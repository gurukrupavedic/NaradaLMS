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aranamh\Narada\NaradaLMS\data\"/>
    </mc:Choice>
  </mc:AlternateContent>
  <xr:revisionPtr revIDLastSave="0" documentId="13_ncr:1_{E7F5A002-BCC1-4675-9C61-53F266E2B8B9}" xr6:coauthVersionLast="47" xr6:coauthVersionMax="47" xr10:uidLastSave="{00000000-0000-0000-0000-000000000000}"/>
  <bookViews>
    <workbookView xWindow="28680" yWindow="-120" windowWidth="29040" windowHeight="15720" xr2:uid="{00000000-000D-0000-FFFF-FFFF00000000}"/>
  </bookViews>
  <sheets>
    <sheet name="Assessments-Master" sheetId="1" r:id="rId1"/>
    <sheet name="Master_Registrations" sheetId="2" r:id="rId2"/>
  </sheets>
  <definedNames>
    <definedName name="_xlnm._FilterDatabase" localSheetId="1" hidden="1">Master_Registrations!$A$1:$R$1073</definedName>
    <definedName name="trak1" localSheetId="0">'Assessments-Master'!$V$2:$AI$694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3C/hsol+d7ugzJ9qLKQ8IyiXv6quKXmbZKJOZt238="/>
    </ext>
  </extLst>
</workbook>
</file>

<file path=xl/calcChain.xml><?xml version="1.0" encoding="utf-8"?>
<calcChain xmlns="http://schemas.openxmlformats.org/spreadsheetml/2006/main">
  <c r="A191" i="1" l="1"/>
  <c r="A155" i="1"/>
  <c r="A52" i="1"/>
  <c r="A51" i="1"/>
  <c r="A36" i="1"/>
  <c r="K1074" i="2"/>
  <c r="Q1074" i="2" s="1"/>
  <c r="K1073" i="2"/>
  <c r="Q1073" i="2" s="1"/>
  <c r="K1072" i="2"/>
  <c r="Q1072" i="2" s="1"/>
  <c r="K1071" i="2"/>
  <c r="Q1071" i="2" s="1"/>
  <c r="K1070" i="2"/>
  <c r="Q1070" i="2" s="1"/>
  <c r="K1069" i="2"/>
  <c r="Q1069" i="2" s="1"/>
  <c r="K1068" i="2"/>
  <c r="Q1068" i="2" s="1"/>
  <c r="K1067" i="2"/>
  <c r="Q1067" i="2" s="1"/>
  <c r="K1066" i="2"/>
  <c r="Q1066" i="2" s="1"/>
  <c r="K1065" i="2"/>
  <c r="Q1065" i="2" s="1"/>
  <c r="K1064" i="2"/>
  <c r="Q1064" i="2" s="1"/>
  <c r="K1063" i="2"/>
  <c r="Q1063" i="2" s="1"/>
  <c r="K1062" i="2"/>
  <c r="Q1062" i="2" s="1"/>
  <c r="K1061" i="2"/>
  <c r="Q1061" i="2" s="1"/>
  <c r="K1060" i="2"/>
  <c r="Q1060" i="2" s="1"/>
  <c r="K1059" i="2"/>
  <c r="Q1059" i="2" s="1"/>
  <c r="K1058" i="2"/>
  <c r="Q1058" i="2" s="1"/>
  <c r="K1057" i="2"/>
  <c r="Q1057" i="2" s="1"/>
  <c r="K1056" i="2"/>
  <c r="Q1056" i="2" s="1"/>
  <c r="K1055" i="2"/>
  <c r="Q1055" i="2" s="1"/>
  <c r="K1054" i="2"/>
  <c r="Q1054" i="2" s="1"/>
  <c r="K1053" i="2"/>
  <c r="Q1053" i="2" s="1"/>
  <c r="K1052" i="2"/>
  <c r="Q1052" i="2" s="1"/>
  <c r="K1051" i="2"/>
  <c r="Q1051" i="2" s="1"/>
  <c r="K1050" i="2"/>
  <c r="Q1050" i="2" s="1"/>
  <c r="K1049" i="2"/>
  <c r="Q1049" i="2" s="1"/>
  <c r="K1048" i="2"/>
  <c r="Q1048" i="2" s="1"/>
  <c r="K1047" i="2"/>
  <c r="Q1047" i="2" s="1"/>
  <c r="K1046" i="2"/>
  <c r="Q1046" i="2" s="1"/>
  <c r="K1045" i="2"/>
  <c r="Q1045" i="2" s="1"/>
  <c r="K1044" i="2"/>
  <c r="Q1044" i="2" s="1"/>
  <c r="K1043" i="2"/>
  <c r="Q1043" i="2" s="1"/>
  <c r="K1042" i="2"/>
  <c r="Q1042" i="2" s="1"/>
  <c r="K1041" i="2"/>
  <c r="Q1041" i="2" s="1"/>
  <c r="K1040" i="2"/>
  <c r="Q1040" i="2" s="1"/>
  <c r="K1039" i="2"/>
  <c r="Q1039" i="2" s="1"/>
  <c r="K1038" i="2"/>
  <c r="Q1038" i="2" s="1"/>
  <c r="K1037" i="2"/>
  <c r="Q1037" i="2" s="1"/>
  <c r="K1036" i="2"/>
  <c r="Q1036" i="2" s="1"/>
  <c r="K1035" i="2"/>
  <c r="Q1035" i="2" s="1"/>
  <c r="K1034" i="2"/>
  <c r="Q1034" i="2" s="1"/>
  <c r="K1033" i="2"/>
  <c r="Q1033" i="2" s="1"/>
  <c r="K1032" i="2"/>
  <c r="Q1032" i="2" s="1"/>
  <c r="K1031" i="2"/>
  <c r="Q1031" i="2" s="1"/>
  <c r="K1030" i="2"/>
  <c r="Q1030" i="2" s="1"/>
  <c r="K1029" i="2"/>
  <c r="Q1029" i="2" s="1"/>
  <c r="K1028" i="2"/>
  <c r="Q1028" i="2" s="1"/>
  <c r="K1027" i="2"/>
  <c r="Q1027" i="2" s="1"/>
  <c r="K1026" i="2"/>
  <c r="Q1026" i="2" s="1"/>
  <c r="K1025" i="2"/>
  <c r="Q1025" i="2" s="1"/>
  <c r="K1024" i="2"/>
  <c r="Q1024" i="2" s="1"/>
  <c r="K1023" i="2"/>
  <c r="Q1023" i="2" s="1"/>
  <c r="K1022" i="2"/>
  <c r="Q1022" i="2" s="1"/>
  <c r="K1021" i="2"/>
  <c r="Q1021" i="2" s="1"/>
  <c r="K1020" i="2"/>
  <c r="Q1020" i="2" s="1"/>
  <c r="K1019" i="2"/>
  <c r="Q1019" i="2" s="1"/>
  <c r="K1018" i="2"/>
  <c r="Q1018" i="2" s="1"/>
  <c r="K1017" i="2"/>
  <c r="Q1017" i="2" s="1"/>
  <c r="K1016" i="2"/>
  <c r="Q1016" i="2" s="1"/>
  <c r="K1015" i="2"/>
  <c r="Q1015" i="2" s="1"/>
  <c r="K1014" i="2"/>
  <c r="Q1014" i="2" s="1"/>
  <c r="K1013" i="2"/>
  <c r="Q1013" i="2" s="1"/>
  <c r="K1012" i="2"/>
  <c r="Q1012" i="2" s="1"/>
  <c r="K1011" i="2"/>
  <c r="Q1011" i="2" s="1"/>
  <c r="K1010" i="2"/>
  <c r="Q1010" i="2" s="1"/>
  <c r="K1009" i="2"/>
  <c r="Q1009" i="2" s="1"/>
  <c r="K1008" i="2"/>
  <c r="Q1008" i="2" s="1"/>
  <c r="K1007" i="2"/>
  <c r="Q1007" i="2" s="1"/>
  <c r="K1006" i="2"/>
  <c r="Q1006" i="2" s="1"/>
  <c r="K1005" i="2"/>
  <c r="Q1005" i="2" s="1"/>
  <c r="K1004" i="2"/>
  <c r="Q1004" i="2" s="1"/>
  <c r="K1003" i="2"/>
  <c r="Q1003" i="2" s="1"/>
  <c r="K1002" i="2"/>
  <c r="Q1002" i="2" s="1"/>
  <c r="K1001" i="2"/>
  <c r="Q1001" i="2" s="1"/>
  <c r="K1000" i="2"/>
  <c r="Q1000" i="2" s="1"/>
  <c r="K999" i="2"/>
  <c r="Q999" i="2" s="1"/>
  <c r="K998" i="2"/>
  <c r="Q998" i="2" s="1"/>
  <c r="K997" i="2"/>
  <c r="Q997" i="2" s="1"/>
  <c r="K996" i="2"/>
  <c r="Q996" i="2" s="1"/>
  <c r="K995" i="2"/>
  <c r="Q995" i="2" s="1"/>
  <c r="K994" i="2"/>
  <c r="Q994" i="2" s="1"/>
  <c r="K993" i="2"/>
  <c r="Q993" i="2" s="1"/>
  <c r="K992" i="2"/>
  <c r="Q992" i="2" s="1"/>
  <c r="K991" i="2"/>
  <c r="Q991" i="2" s="1"/>
  <c r="K990" i="2"/>
  <c r="Q990" i="2" s="1"/>
  <c r="K989" i="2"/>
  <c r="Q989" i="2" s="1"/>
  <c r="K988" i="2"/>
  <c r="Q988" i="2" s="1"/>
  <c r="K987" i="2"/>
  <c r="Q987" i="2" s="1"/>
  <c r="K986" i="2"/>
  <c r="Q986" i="2" s="1"/>
  <c r="K985" i="2"/>
  <c r="Q985" i="2" s="1"/>
  <c r="K984" i="2"/>
  <c r="Q984" i="2" s="1"/>
  <c r="K983" i="2"/>
  <c r="Q983" i="2" s="1"/>
  <c r="K982" i="2"/>
  <c r="Q982" i="2" s="1"/>
  <c r="K981" i="2"/>
  <c r="Q981" i="2" s="1"/>
  <c r="K980" i="2"/>
  <c r="Q980" i="2" s="1"/>
  <c r="K979" i="2"/>
  <c r="Q979" i="2" s="1"/>
  <c r="K978" i="2"/>
  <c r="Q978" i="2" s="1"/>
  <c r="K977" i="2"/>
  <c r="Q977" i="2" s="1"/>
  <c r="K976" i="2"/>
  <c r="Q976" i="2" s="1"/>
  <c r="K975" i="2"/>
  <c r="Q975" i="2" s="1"/>
  <c r="K974" i="2"/>
  <c r="Q974" i="2" s="1"/>
  <c r="K973" i="2"/>
  <c r="Q973" i="2" s="1"/>
  <c r="K972" i="2"/>
  <c r="Q972" i="2" s="1"/>
  <c r="K971" i="2"/>
  <c r="Q971" i="2" s="1"/>
  <c r="K970" i="2"/>
  <c r="Q970" i="2" s="1"/>
  <c r="K969" i="2"/>
  <c r="Q969" i="2" s="1"/>
  <c r="K968" i="2"/>
  <c r="Q968" i="2" s="1"/>
  <c r="K967" i="2"/>
  <c r="Q967" i="2" s="1"/>
  <c r="K966" i="2"/>
  <c r="Q966" i="2" s="1"/>
  <c r="K965" i="2"/>
  <c r="Q965" i="2" s="1"/>
  <c r="K964" i="2"/>
  <c r="Q964" i="2" s="1"/>
  <c r="K963" i="2"/>
  <c r="Q963" i="2" s="1"/>
  <c r="K962" i="2"/>
  <c r="Q962" i="2" s="1"/>
  <c r="K961" i="2"/>
  <c r="Q961" i="2" s="1"/>
  <c r="K960" i="2"/>
  <c r="Q960" i="2" s="1"/>
  <c r="K959" i="2"/>
  <c r="Q959" i="2" s="1"/>
  <c r="K958" i="2"/>
  <c r="Q958" i="2" s="1"/>
  <c r="K957" i="2"/>
  <c r="Q957" i="2" s="1"/>
  <c r="K956" i="2"/>
  <c r="Q956" i="2" s="1"/>
  <c r="K955" i="2"/>
  <c r="Q955" i="2" s="1"/>
  <c r="K954" i="2"/>
  <c r="Q954" i="2" s="1"/>
  <c r="K953" i="2"/>
  <c r="Q953" i="2" s="1"/>
  <c r="K952" i="2"/>
  <c r="Q952" i="2" s="1"/>
  <c r="K951" i="2"/>
  <c r="Q951" i="2" s="1"/>
  <c r="K950" i="2"/>
  <c r="Q950" i="2" s="1"/>
  <c r="K949" i="2"/>
  <c r="Q949" i="2" s="1"/>
  <c r="K948" i="2"/>
  <c r="Q948" i="2" s="1"/>
  <c r="K947" i="2"/>
  <c r="Q947" i="2" s="1"/>
  <c r="K946" i="2"/>
  <c r="Q946" i="2" s="1"/>
  <c r="K945" i="2"/>
  <c r="Q945" i="2" s="1"/>
  <c r="K944" i="2"/>
  <c r="Q944" i="2" s="1"/>
  <c r="K943" i="2"/>
  <c r="Q943" i="2" s="1"/>
  <c r="K942" i="2"/>
  <c r="Q942" i="2" s="1"/>
  <c r="K941" i="2"/>
  <c r="Q941" i="2" s="1"/>
  <c r="K940" i="2"/>
  <c r="Q940" i="2" s="1"/>
  <c r="K939" i="2"/>
  <c r="Q939" i="2" s="1"/>
  <c r="K938" i="2"/>
  <c r="Q938" i="2" s="1"/>
  <c r="K937" i="2"/>
  <c r="Q937" i="2" s="1"/>
  <c r="K936" i="2"/>
  <c r="Q936" i="2" s="1"/>
  <c r="K935" i="2"/>
  <c r="Q935" i="2" s="1"/>
  <c r="K934" i="2"/>
  <c r="Q934" i="2" s="1"/>
  <c r="K933" i="2"/>
  <c r="Q933" i="2" s="1"/>
  <c r="K932" i="2"/>
  <c r="Q932" i="2" s="1"/>
  <c r="K931" i="2"/>
  <c r="Q931" i="2" s="1"/>
  <c r="K930" i="2"/>
  <c r="Q930" i="2" s="1"/>
  <c r="K929" i="2"/>
  <c r="Q929" i="2" s="1"/>
  <c r="K928" i="2"/>
  <c r="Q928" i="2" s="1"/>
  <c r="K927" i="2"/>
  <c r="Q927" i="2" s="1"/>
  <c r="K926" i="2"/>
  <c r="Q926" i="2" s="1"/>
  <c r="K925" i="2"/>
  <c r="Q925" i="2" s="1"/>
  <c r="K924" i="2"/>
  <c r="Q924" i="2" s="1"/>
  <c r="K923" i="2"/>
  <c r="Q923" i="2" s="1"/>
  <c r="K922" i="2"/>
  <c r="Q922" i="2" s="1"/>
  <c r="K921" i="2"/>
  <c r="Q921" i="2" s="1"/>
  <c r="K920" i="2"/>
  <c r="Q920" i="2" s="1"/>
  <c r="K919" i="2"/>
  <c r="Q919" i="2" s="1"/>
  <c r="K918" i="2"/>
  <c r="Q918" i="2" s="1"/>
  <c r="K917" i="2"/>
  <c r="Q917" i="2" s="1"/>
  <c r="K916" i="2"/>
  <c r="Q916" i="2" s="1"/>
  <c r="K915" i="2"/>
  <c r="Q915" i="2" s="1"/>
  <c r="K914" i="2"/>
  <c r="Q914" i="2" s="1"/>
  <c r="K913" i="2"/>
  <c r="Q913" i="2" s="1"/>
  <c r="K912" i="2"/>
  <c r="Q912" i="2" s="1"/>
  <c r="K911" i="2"/>
  <c r="Q911" i="2" s="1"/>
  <c r="K910" i="2"/>
  <c r="Q910" i="2" s="1"/>
  <c r="K909" i="2"/>
  <c r="Q909" i="2" s="1"/>
  <c r="K908" i="2"/>
  <c r="Q908" i="2" s="1"/>
  <c r="K907" i="2"/>
  <c r="Q907" i="2" s="1"/>
  <c r="K906" i="2"/>
  <c r="Q906" i="2" s="1"/>
  <c r="K905" i="2"/>
  <c r="Q905" i="2" s="1"/>
  <c r="K904" i="2"/>
  <c r="Q904" i="2" s="1"/>
  <c r="K903" i="2"/>
  <c r="Q903" i="2" s="1"/>
  <c r="K902" i="2"/>
  <c r="Q902" i="2" s="1"/>
  <c r="K901" i="2"/>
  <c r="Q901" i="2" s="1"/>
  <c r="K900" i="2"/>
  <c r="Q900" i="2" s="1"/>
  <c r="K899" i="2"/>
  <c r="Q899" i="2" s="1"/>
  <c r="K898" i="2"/>
  <c r="Q898" i="2" s="1"/>
  <c r="K897" i="2"/>
  <c r="Q897" i="2" s="1"/>
  <c r="K896" i="2"/>
  <c r="Q896" i="2" s="1"/>
  <c r="K895" i="2"/>
  <c r="Q895" i="2" s="1"/>
  <c r="K894" i="2"/>
  <c r="Q894" i="2" s="1"/>
  <c r="K893" i="2"/>
  <c r="Q893" i="2" s="1"/>
  <c r="K892" i="2"/>
  <c r="Q892" i="2" s="1"/>
  <c r="K891" i="2"/>
  <c r="Q891" i="2" s="1"/>
  <c r="K890" i="2"/>
  <c r="Q890" i="2" s="1"/>
  <c r="K889" i="2"/>
  <c r="Q889" i="2" s="1"/>
  <c r="K888" i="2"/>
  <c r="Q888" i="2" s="1"/>
  <c r="K887" i="2"/>
  <c r="Q887" i="2" s="1"/>
  <c r="K886" i="2"/>
  <c r="Q886" i="2" s="1"/>
  <c r="K885" i="2"/>
  <c r="Q885" i="2" s="1"/>
  <c r="K884" i="2"/>
  <c r="Q884" i="2" s="1"/>
  <c r="K883" i="2"/>
  <c r="Q883" i="2" s="1"/>
  <c r="K882" i="2"/>
  <c r="Q882" i="2" s="1"/>
  <c r="K881" i="2"/>
  <c r="Q881" i="2" s="1"/>
  <c r="K880" i="2"/>
  <c r="Q880" i="2" s="1"/>
  <c r="K879" i="2"/>
  <c r="Q879" i="2" s="1"/>
  <c r="K878" i="2"/>
  <c r="Q878" i="2" s="1"/>
  <c r="K877" i="2"/>
  <c r="Q877" i="2" s="1"/>
  <c r="K876" i="2"/>
  <c r="Q876" i="2" s="1"/>
  <c r="K875" i="2"/>
  <c r="Q875" i="2" s="1"/>
  <c r="K874" i="2"/>
  <c r="Q874" i="2" s="1"/>
  <c r="K873" i="2"/>
  <c r="Q873" i="2" s="1"/>
  <c r="K872" i="2"/>
  <c r="Q872" i="2" s="1"/>
  <c r="K871" i="2"/>
  <c r="Q871" i="2" s="1"/>
  <c r="K870" i="2"/>
  <c r="Q870" i="2" s="1"/>
  <c r="K869" i="2"/>
  <c r="Q869" i="2" s="1"/>
  <c r="K868" i="2"/>
  <c r="Q868" i="2" s="1"/>
  <c r="K867" i="2"/>
  <c r="Q867" i="2" s="1"/>
  <c r="K866" i="2"/>
  <c r="Q866" i="2" s="1"/>
  <c r="K865" i="2"/>
  <c r="Q865" i="2" s="1"/>
  <c r="K864" i="2"/>
  <c r="Q864" i="2" s="1"/>
  <c r="K863" i="2"/>
  <c r="Q863" i="2" s="1"/>
  <c r="K862" i="2"/>
  <c r="Q862" i="2" s="1"/>
  <c r="K861" i="2"/>
  <c r="Q861" i="2" s="1"/>
  <c r="K860" i="2"/>
  <c r="Q860" i="2" s="1"/>
  <c r="K859" i="2"/>
  <c r="Q859" i="2" s="1"/>
  <c r="K858" i="2"/>
  <c r="Q858" i="2" s="1"/>
  <c r="K857" i="2"/>
  <c r="Q857" i="2" s="1"/>
  <c r="K856" i="2"/>
  <c r="Q856" i="2" s="1"/>
  <c r="K855" i="2"/>
  <c r="Q855" i="2" s="1"/>
  <c r="K854" i="2"/>
  <c r="Q854" i="2" s="1"/>
  <c r="K853" i="2"/>
  <c r="Q853" i="2" s="1"/>
  <c r="K852" i="2"/>
  <c r="Q852" i="2" s="1"/>
  <c r="K851" i="2"/>
  <c r="Q851" i="2" s="1"/>
  <c r="K850" i="2"/>
  <c r="Q850" i="2" s="1"/>
  <c r="K849" i="2"/>
  <c r="Q849" i="2" s="1"/>
  <c r="K848" i="2"/>
  <c r="Q848" i="2" s="1"/>
  <c r="K847" i="2"/>
  <c r="Q847" i="2" s="1"/>
  <c r="K846" i="2"/>
  <c r="Q846" i="2" s="1"/>
  <c r="K845" i="2"/>
  <c r="Q845" i="2" s="1"/>
  <c r="K844" i="2"/>
  <c r="Q844" i="2" s="1"/>
  <c r="K843" i="2"/>
  <c r="Q843" i="2" s="1"/>
  <c r="K842" i="2"/>
  <c r="Q842" i="2" s="1"/>
  <c r="K841" i="2"/>
  <c r="Q841" i="2" s="1"/>
  <c r="K840" i="2"/>
  <c r="Q840" i="2" s="1"/>
  <c r="K839" i="2"/>
  <c r="Q839" i="2" s="1"/>
  <c r="K838" i="2"/>
  <c r="Q838" i="2" s="1"/>
  <c r="K837" i="2"/>
  <c r="Q837" i="2" s="1"/>
  <c r="K836" i="2"/>
  <c r="Q836" i="2" s="1"/>
  <c r="K835" i="2"/>
  <c r="Q835" i="2" s="1"/>
  <c r="K834" i="2"/>
  <c r="Q834" i="2" s="1"/>
  <c r="K833" i="2"/>
  <c r="Q833" i="2" s="1"/>
  <c r="K832" i="2"/>
  <c r="Q832" i="2" s="1"/>
  <c r="K831" i="2"/>
  <c r="Q831" i="2" s="1"/>
  <c r="K830" i="2"/>
  <c r="Q830" i="2" s="1"/>
  <c r="K829" i="2"/>
  <c r="Q829" i="2" s="1"/>
  <c r="K828" i="2"/>
  <c r="Q828" i="2" s="1"/>
  <c r="K827" i="2"/>
  <c r="Q827" i="2" s="1"/>
  <c r="K826" i="2"/>
  <c r="Q826" i="2" s="1"/>
  <c r="K825" i="2"/>
  <c r="Q825" i="2" s="1"/>
  <c r="K824" i="2"/>
  <c r="Q824" i="2" s="1"/>
  <c r="K823" i="2"/>
  <c r="Q823" i="2" s="1"/>
  <c r="K822" i="2"/>
  <c r="Q822" i="2" s="1"/>
  <c r="K821" i="2"/>
  <c r="Q821" i="2" s="1"/>
  <c r="K820" i="2"/>
  <c r="Q820" i="2" s="1"/>
  <c r="K819" i="2"/>
  <c r="Q819" i="2" s="1"/>
  <c r="K818" i="2"/>
  <c r="Q818" i="2" s="1"/>
  <c r="K817" i="2"/>
  <c r="Q817" i="2" s="1"/>
  <c r="K816" i="2"/>
  <c r="Q816" i="2" s="1"/>
  <c r="K815" i="2"/>
  <c r="Q815" i="2" s="1"/>
  <c r="K814" i="2"/>
  <c r="Q814" i="2" s="1"/>
  <c r="K813" i="2"/>
  <c r="Q813" i="2" s="1"/>
  <c r="K812" i="2"/>
  <c r="Q812" i="2" s="1"/>
  <c r="K811" i="2"/>
  <c r="Q811" i="2" s="1"/>
  <c r="K810" i="2"/>
  <c r="Q810" i="2" s="1"/>
  <c r="K809" i="2"/>
  <c r="Q809" i="2" s="1"/>
  <c r="K808" i="2"/>
  <c r="Q808" i="2" s="1"/>
  <c r="K807" i="2"/>
  <c r="Q807" i="2" s="1"/>
  <c r="K806" i="2"/>
  <c r="Q806" i="2" s="1"/>
  <c r="K805" i="2"/>
  <c r="Q805" i="2" s="1"/>
  <c r="K804" i="2"/>
  <c r="Q804" i="2" s="1"/>
  <c r="K803" i="2"/>
  <c r="Q803" i="2" s="1"/>
  <c r="K802" i="2"/>
  <c r="Q802" i="2" s="1"/>
  <c r="K801" i="2"/>
  <c r="Q801" i="2" s="1"/>
  <c r="K800" i="2"/>
  <c r="Q800" i="2" s="1"/>
  <c r="K799" i="2"/>
  <c r="Q799" i="2" s="1"/>
  <c r="K798" i="2"/>
  <c r="Q798" i="2" s="1"/>
  <c r="K797" i="2"/>
  <c r="Q797" i="2" s="1"/>
  <c r="K796" i="2"/>
  <c r="Q796" i="2" s="1"/>
  <c r="K795" i="2"/>
  <c r="Q795" i="2" s="1"/>
  <c r="K794" i="2"/>
  <c r="Q794" i="2" s="1"/>
  <c r="K793" i="2"/>
  <c r="Q793" i="2" s="1"/>
  <c r="K792" i="2"/>
  <c r="Q792" i="2" s="1"/>
  <c r="K791" i="2"/>
  <c r="Q791" i="2" s="1"/>
  <c r="K790" i="2"/>
  <c r="Q790" i="2" s="1"/>
  <c r="K789" i="2"/>
  <c r="Q789" i="2" s="1"/>
  <c r="K788" i="2"/>
  <c r="Q788" i="2" s="1"/>
  <c r="K787" i="2"/>
  <c r="Q787" i="2" s="1"/>
  <c r="K786" i="2"/>
  <c r="Q786" i="2" s="1"/>
  <c r="K785" i="2"/>
  <c r="Q785" i="2" s="1"/>
  <c r="K784" i="2"/>
  <c r="Q784" i="2" s="1"/>
  <c r="K783" i="2"/>
  <c r="Q783" i="2" s="1"/>
  <c r="K782" i="2"/>
  <c r="Q782" i="2" s="1"/>
  <c r="K781" i="2"/>
  <c r="Q781" i="2" s="1"/>
  <c r="K780" i="2"/>
  <c r="Q780" i="2" s="1"/>
  <c r="K779" i="2"/>
  <c r="Q779" i="2" s="1"/>
  <c r="K778" i="2"/>
  <c r="Q778" i="2" s="1"/>
  <c r="K777" i="2"/>
  <c r="Q777" i="2" s="1"/>
  <c r="K776" i="2"/>
  <c r="Q776" i="2" s="1"/>
  <c r="K775" i="2"/>
  <c r="Q775" i="2" s="1"/>
  <c r="K774" i="2"/>
  <c r="Q774" i="2" s="1"/>
  <c r="K773" i="2"/>
  <c r="Q773" i="2" s="1"/>
  <c r="K772" i="2"/>
  <c r="Q772" i="2" s="1"/>
  <c r="K771" i="2"/>
  <c r="Q771" i="2" s="1"/>
  <c r="K770" i="2"/>
  <c r="Q770" i="2" s="1"/>
  <c r="K769" i="2"/>
  <c r="Q769" i="2" s="1"/>
  <c r="K768" i="2"/>
  <c r="Q768" i="2" s="1"/>
  <c r="K767" i="2"/>
  <c r="Q767" i="2" s="1"/>
  <c r="K766" i="2"/>
  <c r="Q766" i="2" s="1"/>
  <c r="K765" i="2"/>
  <c r="Q765" i="2" s="1"/>
  <c r="K764" i="2"/>
  <c r="Q764" i="2" s="1"/>
  <c r="K763" i="2"/>
  <c r="Q763" i="2" s="1"/>
  <c r="K762" i="2"/>
  <c r="Q762" i="2" s="1"/>
  <c r="K761" i="2"/>
  <c r="Q761" i="2" s="1"/>
  <c r="K760" i="2"/>
  <c r="Q760" i="2" s="1"/>
  <c r="K759" i="2"/>
  <c r="Q759" i="2" s="1"/>
  <c r="K758" i="2"/>
  <c r="Q758" i="2" s="1"/>
  <c r="K757" i="2"/>
  <c r="Q757" i="2" s="1"/>
  <c r="K756" i="2"/>
  <c r="Q756" i="2" s="1"/>
  <c r="K755" i="2"/>
  <c r="Q755" i="2" s="1"/>
  <c r="K754" i="2"/>
  <c r="Q754" i="2" s="1"/>
  <c r="K753" i="2"/>
  <c r="Q753" i="2" s="1"/>
  <c r="K752" i="2"/>
  <c r="Q752" i="2" s="1"/>
  <c r="K751" i="2"/>
  <c r="Q751" i="2" s="1"/>
  <c r="K750" i="2"/>
  <c r="Q750" i="2" s="1"/>
  <c r="K749" i="2"/>
  <c r="Q749" i="2" s="1"/>
  <c r="K748" i="2"/>
  <c r="Q748" i="2" s="1"/>
  <c r="K747" i="2"/>
  <c r="Q747" i="2" s="1"/>
  <c r="K746" i="2"/>
  <c r="Q746" i="2" s="1"/>
  <c r="K745" i="2"/>
  <c r="Q745" i="2" s="1"/>
  <c r="K744" i="2"/>
  <c r="Q744" i="2" s="1"/>
  <c r="K743" i="2"/>
  <c r="Q743" i="2" s="1"/>
  <c r="K742" i="2"/>
  <c r="Q742" i="2" s="1"/>
  <c r="K741" i="2"/>
  <c r="Q741" i="2" s="1"/>
  <c r="K740" i="2"/>
  <c r="Q740" i="2" s="1"/>
  <c r="K739" i="2"/>
  <c r="Q739" i="2" s="1"/>
  <c r="K738" i="2"/>
  <c r="Q738" i="2" s="1"/>
  <c r="K737" i="2"/>
  <c r="Q737" i="2" s="1"/>
  <c r="K736" i="2"/>
  <c r="Q736" i="2" s="1"/>
  <c r="K735" i="2"/>
  <c r="Q735" i="2" s="1"/>
  <c r="K734" i="2"/>
  <c r="Q734" i="2" s="1"/>
  <c r="K733" i="2"/>
  <c r="Q733" i="2" s="1"/>
  <c r="K732" i="2"/>
  <c r="Q732" i="2" s="1"/>
  <c r="K731" i="2"/>
  <c r="Q731" i="2" s="1"/>
  <c r="K730" i="2"/>
  <c r="Q730" i="2" s="1"/>
  <c r="K729" i="2"/>
  <c r="Q729" i="2" s="1"/>
  <c r="K728" i="2"/>
  <c r="Q728" i="2" s="1"/>
  <c r="K727" i="2"/>
  <c r="Q727" i="2" s="1"/>
  <c r="K726" i="2"/>
  <c r="Q726" i="2" s="1"/>
  <c r="K725" i="2"/>
  <c r="Q725" i="2" s="1"/>
  <c r="K724" i="2"/>
  <c r="Q724" i="2" s="1"/>
  <c r="K723" i="2"/>
  <c r="Q723" i="2" s="1"/>
  <c r="K722" i="2"/>
  <c r="Q722" i="2" s="1"/>
  <c r="K721" i="2"/>
  <c r="Q721" i="2" s="1"/>
  <c r="K720" i="2"/>
  <c r="Q720" i="2" s="1"/>
  <c r="K719" i="2"/>
  <c r="Q719" i="2" s="1"/>
  <c r="K718" i="2"/>
  <c r="Q718" i="2" s="1"/>
  <c r="K717" i="2"/>
  <c r="Q717" i="2" s="1"/>
  <c r="K716" i="2"/>
  <c r="Q716" i="2" s="1"/>
  <c r="K715" i="2"/>
  <c r="Q715" i="2" s="1"/>
  <c r="K714" i="2"/>
  <c r="Q714" i="2" s="1"/>
  <c r="K713" i="2"/>
  <c r="Q713" i="2" s="1"/>
  <c r="K712" i="2"/>
  <c r="Q712" i="2" s="1"/>
  <c r="K711" i="2"/>
  <c r="Q711" i="2" s="1"/>
  <c r="K710" i="2"/>
  <c r="Q710" i="2" s="1"/>
  <c r="K709" i="2"/>
  <c r="Q709" i="2" s="1"/>
  <c r="K708" i="2"/>
  <c r="Q708" i="2" s="1"/>
  <c r="K707" i="2"/>
  <c r="Q707" i="2" s="1"/>
  <c r="K706" i="2"/>
  <c r="Q706" i="2" s="1"/>
  <c r="K705" i="2"/>
  <c r="Q705" i="2" s="1"/>
  <c r="K704" i="2"/>
  <c r="Q704" i="2" s="1"/>
  <c r="K703" i="2"/>
  <c r="Q703" i="2" s="1"/>
  <c r="K702" i="2"/>
  <c r="Q702" i="2" s="1"/>
  <c r="K701" i="2"/>
  <c r="Q701" i="2" s="1"/>
  <c r="K700" i="2"/>
  <c r="Q700" i="2" s="1"/>
  <c r="K699" i="2"/>
  <c r="Q699" i="2" s="1"/>
  <c r="K698" i="2"/>
  <c r="Q698" i="2" s="1"/>
  <c r="K697" i="2"/>
  <c r="Q697" i="2" s="1"/>
  <c r="K696" i="2"/>
  <c r="Q696" i="2" s="1"/>
  <c r="K695" i="2"/>
  <c r="Q695" i="2" s="1"/>
  <c r="K694" i="2"/>
  <c r="Q694" i="2" s="1"/>
  <c r="K693" i="2"/>
  <c r="Q693" i="2" s="1"/>
  <c r="K692" i="2"/>
  <c r="Q692" i="2" s="1"/>
  <c r="K691" i="2"/>
  <c r="Q691" i="2" s="1"/>
  <c r="K690" i="2"/>
  <c r="Q690" i="2" s="1"/>
  <c r="K689" i="2"/>
  <c r="Q689" i="2" s="1"/>
  <c r="K688" i="2"/>
  <c r="Q688" i="2" s="1"/>
  <c r="K687" i="2"/>
  <c r="Q687" i="2" s="1"/>
  <c r="K686" i="2"/>
  <c r="Q686" i="2" s="1"/>
  <c r="K685" i="2"/>
  <c r="Q685" i="2" s="1"/>
  <c r="K684" i="2"/>
  <c r="Q684" i="2" s="1"/>
  <c r="K683" i="2"/>
  <c r="Q683" i="2" s="1"/>
  <c r="K682" i="2"/>
  <c r="Q682" i="2" s="1"/>
  <c r="K681" i="2"/>
  <c r="Q681" i="2" s="1"/>
  <c r="K680" i="2"/>
  <c r="Q680" i="2" s="1"/>
  <c r="K679" i="2"/>
  <c r="Q679" i="2" s="1"/>
  <c r="K678" i="2"/>
  <c r="Q678" i="2" s="1"/>
  <c r="K677" i="2"/>
  <c r="Q677" i="2" s="1"/>
  <c r="K676" i="2"/>
  <c r="Q676" i="2" s="1"/>
  <c r="K675" i="2"/>
  <c r="Q675" i="2" s="1"/>
  <c r="K674" i="2"/>
  <c r="Q674" i="2" s="1"/>
  <c r="K673" i="2"/>
  <c r="Q673" i="2" s="1"/>
  <c r="K672" i="2"/>
  <c r="Q672" i="2" s="1"/>
  <c r="K671" i="2"/>
  <c r="Q671" i="2" s="1"/>
  <c r="K670" i="2"/>
  <c r="Q670" i="2" s="1"/>
  <c r="K669" i="2"/>
  <c r="Q669" i="2" s="1"/>
  <c r="K668" i="2"/>
  <c r="Q668" i="2" s="1"/>
  <c r="K667" i="2"/>
  <c r="Q667" i="2" s="1"/>
  <c r="K666" i="2"/>
  <c r="Q666" i="2" s="1"/>
  <c r="K665" i="2"/>
  <c r="Q665" i="2" s="1"/>
  <c r="K664" i="2"/>
  <c r="Q664" i="2" s="1"/>
  <c r="K663" i="2"/>
  <c r="Q663" i="2" s="1"/>
  <c r="K662" i="2"/>
  <c r="Q662" i="2" s="1"/>
  <c r="K661" i="2"/>
  <c r="Q661" i="2" s="1"/>
  <c r="K660" i="2"/>
  <c r="Q660" i="2" s="1"/>
  <c r="K659" i="2"/>
  <c r="Q659" i="2" s="1"/>
  <c r="K658" i="2"/>
  <c r="Q658" i="2" s="1"/>
  <c r="K657" i="2"/>
  <c r="Q657" i="2" s="1"/>
  <c r="K656" i="2"/>
  <c r="Q656" i="2" s="1"/>
  <c r="K655" i="2"/>
  <c r="Q655" i="2" s="1"/>
  <c r="K654" i="2"/>
  <c r="Q654" i="2" s="1"/>
  <c r="K653" i="2"/>
  <c r="Q653" i="2" s="1"/>
  <c r="K652" i="2"/>
  <c r="Q652" i="2" s="1"/>
  <c r="K651" i="2"/>
  <c r="Q651" i="2" s="1"/>
  <c r="K650" i="2"/>
  <c r="Q650" i="2" s="1"/>
  <c r="K649" i="2"/>
  <c r="Q649" i="2" s="1"/>
  <c r="K648" i="2"/>
  <c r="Q648" i="2" s="1"/>
  <c r="K647" i="2"/>
  <c r="Q647" i="2" s="1"/>
  <c r="K646" i="2"/>
  <c r="Q646" i="2" s="1"/>
  <c r="K645" i="2"/>
  <c r="Q645" i="2" s="1"/>
  <c r="K644" i="2"/>
  <c r="Q644" i="2" s="1"/>
  <c r="K643" i="2"/>
  <c r="Q643" i="2" s="1"/>
  <c r="K642" i="2"/>
  <c r="Q642" i="2" s="1"/>
  <c r="K641" i="2"/>
  <c r="Q641" i="2" s="1"/>
  <c r="K640" i="2"/>
  <c r="Q640" i="2" s="1"/>
  <c r="K639" i="2"/>
  <c r="Q639" i="2" s="1"/>
  <c r="K638" i="2"/>
  <c r="Q638" i="2" s="1"/>
  <c r="K637" i="2"/>
  <c r="Q637" i="2" s="1"/>
  <c r="K636" i="2"/>
  <c r="Q636" i="2" s="1"/>
  <c r="K635" i="2"/>
  <c r="Q635" i="2" s="1"/>
  <c r="K634" i="2"/>
  <c r="Q634" i="2" s="1"/>
  <c r="K633" i="2"/>
  <c r="Q633" i="2" s="1"/>
  <c r="K632" i="2"/>
  <c r="Q632" i="2" s="1"/>
  <c r="K631" i="2"/>
  <c r="Q631" i="2" s="1"/>
  <c r="K630" i="2"/>
  <c r="Q630" i="2" s="1"/>
  <c r="K629" i="2"/>
  <c r="Q629" i="2" s="1"/>
  <c r="K628" i="2"/>
  <c r="Q628" i="2" s="1"/>
  <c r="K627" i="2"/>
  <c r="Q627" i="2" s="1"/>
  <c r="K626" i="2"/>
  <c r="Q626" i="2" s="1"/>
  <c r="K625" i="2"/>
  <c r="Q625" i="2" s="1"/>
  <c r="K624" i="2"/>
  <c r="Q624" i="2" s="1"/>
  <c r="K623" i="2"/>
  <c r="Q623" i="2" s="1"/>
  <c r="K622" i="2"/>
  <c r="Q622" i="2" s="1"/>
  <c r="K621" i="2"/>
  <c r="Q621" i="2" s="1"/>
  <c r="K620" i="2"/>
  <c r="Q620" i="2" s="1"/>
  <c r="K619" i="2"/>
  <c r="Q619" i="2" s="1"/>
  <c r="K618" i="2"/>
  <c r="Q618" i="2" s="1"/>
  <c r="K617" i="2"/>
  <c r="Q617" i="2" s="1"/>
  <c r="K616" i="2"/>
  <c r="Q616" i="2" s="1"/>
  <c r="K615" i="2"/>
  <c r="Q615" i="2" s="1"/>
  <c r="K614" i="2"/>
  <c r="Q614" i="2" s="1"/>
  <c r="K613" i="2"/>
  <c r="Q613" i="2" s="1"/>
  <c r="K612" i="2"/>
  <c r="Q612" i="2" s="1"/>
  <c r="K611" i="2"/>
  <c r="Q611" i="2" s="1"/>
  <c r="K610" i="2"/>
  <c r="Q610" i="2" s="1"/>
  <c r="K609" i="2"/>
  <c r="Q609" i="2" s="1"/>
  <c r="K608" i="2"/>
  <c r="Q608" i="2" s="1"/>
  <c r="K607" i="2"/>
  <c r="Q607" i="2" s="1"/>
  <c r="K606" i="2"/>
  <c r="Q606" i="2" s="1"/>
  <c r="K605" i="2"/>
  <c r="Q605" i="2" s="1"/>
  <c r="K604" i="2"/>
  <c r="Q604" i="2" s="1"/>
  <c r="K603" i="2"/>
  <c r="Q603" i="2" s="1"/>
  <c r="K602" i="2"/>
  <c r="Q602" i="2" s="1"/>
  <c r="K601" i="2"/>
  <c r="Q601" i="2" s="1"/>
  <c r="K600" i="2"/>
  <c r="Q600" i="2" s="1"/>
  <c r="K599" i="2"/>
  <c r="Q599" i="2" s="1"/>
  <c r="K598" i="2"/>
  <c r="Q598" i="2" s="1"/>
  <c r="K597" i="2"/>
  <c r="Q597" i="2" s="1"/>
  <c r="K596" i="2"/>
  <c r="Q596" i="2" s="1"/>
  <c r="K595" i="2"/>
  <c r="Q595" i="2" s="1"/>
  <c r="K594" i="2"/>
  <c r="Q594" i="2" s="1"/>
  <c r="K593" i="2"/>
  <c r="Q593" i="2" s="1"/>
  <c r="K592" i="2"/>
  <c r="Q592" i="2" s="1"/>
  <c r="K591" i="2"/>
  <c r="Q591" i="2" s="1"/>
  <c r="K590" i="2"/>
  <c r="Q590" i="2" s="1"/>
  <c r="K589" i="2"/>
  <c r="Q589" i="2" s="1"/>
  <c r="K588" i="2"/>
  <c r="Q588" i="2" s="1"/>
  <c r="K587" i="2"/>
  <c r="Q587" i="2" s="1"/>
  <c r="K586" i="2"/>
  <c r="Q586" i="2" s="1"/>
  <c r="K585" i="2"/>
  <c r="Q585" i="2" s="1"/>
  <c r="K584" i="2"/>
  <c r="Q584" i="2" s="1"/>
  <c r="K583" i="2"/>
  <c r="Q583" i="2" s="1"/>
  <c r="K582" i="2"/>
  <c r="Q582" i="2" s="1"/>
  <c r="K581" i="2"/>
  <c r="Q581" i="2" s="1"/>
  <c r="K580" i="2"/>
  <c r="Q580" i="2" s="1"/>
  <c r="K579" i="2"/>
  <c r="Q579" i="2" s="1"/>
  <c r="K578" i="2"/>
  <c r="Q578" i="2" s="1"/>
  <c r="K577" i="2"/>
  <c r="Q577" i="2" s="1"/>
  <c r="K576" i="2"/>
  <c r="Q576" i="2" s="1"/>
  <c r="K575" i="2"/>
  <c r="Q575" i="2" s="1"/>
  <c r="K574" i="2"/>
  <c r="Q574" i="2" s="1"/>
  <c r="K573" i="2"/>
  <c r="Q573" i="2" s="1"/>
  <c r="K572" i="2"/>
  <c r="Q572" i="2" s="1"/>
  <c r="K571" i="2"/>
  <c r="Q571" i="2" s="1"/>
  <c r="K570" i="2"/>
  <c r="Q570" i="2" s="1"/>
  <c r="K569" i="2"/>
  <c r="Q569" i="2" s="1"/>
  <c r="K568" i="2"/>
  <c r="Q568" i="2" s="1"/>
  <c r="K567" i="2"/>
  <c r="Q567" i="2" s="1"/>
  <c r="K566" i="2"/>
  <c r="Q566" i="2" s="1"/>
  <c r="K565" i="2"/>
  <c r="Q565" i="2" s="1"/>
  <c r="K564" i="2"/>
  <c r="Q564" i="2" s="1"/>
  <c r="K563" i="2"/>
  <c r="Q563" i="2" s="1"/>
  <c r="K562" i="2"/>
  <c r="Q562" i="2" s="1"/>
  <c r="K561" i="2"/>
  <c r="Q561" i="2" s="1"/>
  <c r="K560" i="2"/>
  <c r="Q560" i="2" s="1"/>
  <c r="K559" i="2"/>
  <c r="Q559" i="2" s="1"/>
  <c r="K558" i="2"/>
  <c r="Q558" i="2" s="1"/>
  <c r="K557" i="2"/>
  <c r="Q557" i="2" s="1"/>
  <c r="K556" i="2"/>
  <c r="Q556" i="2" s="1"/>
  <c r="K555" i="2"/>
  <c r="Q555" i="2" s="1"/>
  <c r="K554" i="2"/>
  <c r="Q554" i="2" s="1"/>
  <c r="K553" i="2"/>
  <c r="Q553" i="2" s="1"/>
  <c r="K552" i="2"/>
  <c r="Q552" i="2" s="1"/>
  <c r="K551" i="2"/>
  <c r="Q551" i="2" s="1"/>
  <c r="K550" i="2"/>
  <c r="Q550" i="2" s="1"/>
  <c r="K549" i="2"/>
  <c r="Q549" i="2" s="1"/>
  <c r="K548" i="2"/>
  <c r="Q548" i="2" s="1"/>
  <c r="K547" i="2"/>
  <c r="Q547" i="2" s="1"/>
  <c r="K546" i="2"/>
  <c r="Q546" i="2" s="1"/>
  <c r="K545" i="2"/>
  <c r="Q545" i="2" s="1"/>
  <c r="K544" i="2"/>
  <c r="Q544" i="2" s="1"/>
  <c r="K543" i="2"/>
  <c r="Q543" i="2" s="1"/>
  <c r="K542" i="2"/>
  <c r="Q542" i="2" s="1"/>
  <c r="K541" i="2"/>
  <c r="Q541" i="2" s="1"/>
  <c r="K540" i="2"/>
  <c r="Q540" i="2" s="1"/>
  <c r="K539" i="2"/>
  <c r="Q539" i="2" s="1"/>
  <c r="K538" i="2"/>
  <c r="Q538" i="2" s="1"/>
  <c r="K537" i="2"/>
  <c r="Q537" i="2" s="1"/>
  <c r="K536" i="2"/>
  <c r="Q536" i="2" s="1"/>
  <c r="K535" i="2"/>
  <c r="Q535" i="2" s="1"/>
  <c r="K534" i="2"/>
  <c r="Q534" i="2" s="1"/>
  <c r="K533" i="2"/>
  <c r="Q533" i="2" s="1"/>
  <c r="K532" i="2"/>
  <c r="Q532" i="2" s="1"/>
  <c r="K531" i="2"/>
  <c r="Q531" i="2" s="1"/>
  <c r="K530" i="2"/>
  <c r="Q530" i="2" s="1"/>
  <c r="K529" i="2"/>
  <c r="Q529" i="2" s="1"/>
  <c r="K528" i="2"/>
  <c r="Q528" i="2" s="1"/>
  <c r="K527" i="2"/>
  <c r="Q527" i="2" s="1"/>
  <c r="K526" i="2"/>
  <c r="Q526" i="2" s="1"/>
  <c r="K525" i="2"/>
  <c r="Q525" i="2" s="1"/>
  <c r="K524" i="2"/>
  <c r="Q524" i="2" s="1"/>
  <c r="K523" i="2"/>
  <c r="Q523" i="2" s="1"/>
  <c r="K522" i="2"/>
  <c r="Q522" i="2" s="1"/>
  <c r="K521" i="2"/>
  <c r="Q521" i="2" s="1"/>
  <c r="K520" i="2"/>
  <c r="Q520" i="2" s="1"/>
  <c r="K519" i="2"/>
  <c r="Q519" i="2" s="1"/>
  <c r="K518" i="2"/>
  <c r="Q518" i="2" s="1"/>
  <c r="K517" i="2"/>
  <c r="Q517" i="2" s="1"/>
  <c r="K516" i="2"/>
  <c r="Q516" i="2" s="1"/>
  <c r="K515" i="2"/>
  <c r="Q515" i="2" s="1"/>
  <c r="K514" i="2"/>
  <c r="Q514" i="2" s="1"/>
  <c r="K513" i="2"/>
  <c r="Q513" i="2" s="1"/>
  <c r="K512" i="2"/>
  <c r="Q512" i="2" s="1"/>
  <c r="K511" i="2"/>
  <c r="Q511" i="2" s="1"/>
  <c r="K510" i="2"/>
  <c r="Q510" i="2" s="1"/>
  <c r="K509" i="2"/>
  <c r="Q509" i="2" s="1"/>
  <c r="K508" i="2"/>
  <c r="Q508" i="2" s="1"/>
  <c r="K507" i="2"/>
  <c r="Q507" i="2" s="1"/>
  <c r="K506" i="2"/>
  <c r="Q506" i="2" s="1"/>
  <c r="K505" i="2"/>
  <c r="Q505" i="2" s="1"/>
  <c r="K504" i="2"/>
  <c r="Q504" i="2" s="1"/>
  <c r="K503" i="2"/>
  <c r="Q503" i="2" s="1"/>
  <c r="K502" i="2"/>
  <c r="Q502" i="2" s="1"/>
  <c r="K501" i="2"/>
  <c r="Q501" i="2" s="1"/>
  <c r="K500" i="2"/>
  <c r="Q500" i="2" s="1"/>
  <c r="K499" i="2"/>
  <c r="Q499" i="2" s="1"/>
  <c r="K498" i="2"/>
  <c r="Q498" i="2" s="1"/>
  <c r="K497" i="2"/>
  <c r="Q497" i="2" s="1"/>
  <c r="K496" i="2"/>
  <c r="Q496" i="2" s="1"/>
  <c r="K495" i="2"/>
  <c r="Q495" i="2" s="1"/>
  <c r="K494" i="2"/>
  <c r="Q494" i="2" s="1"/>
  <c r="K493" i="2"/>
  <c r="Q493" i="2" s="1"/>
  <c r="K492" i="2"/>
  <c r="Q492" i="2" s="1"/>
  <c r="K491" i="2"/>
  <c r="Q491" i="2" s="1"/>
  <c r="K490" i="2"/>
  <c r="Q490" i="2" s="1"/>
  <c r="K489" i="2"/>
  <c r="Q489" i="2" s="1"/>
  <c r="K488" i="2"/>
  <c r="Q488" i="2" s="1"/>
  <c r="K487" i="2"/>
  <c r="Q487" i="2" s="1"/>
  <c r="K486" i="2"/>
  <c r="Q486" i="2" s="1"/>
  <c r="K485" i="2"/>
  <c r="Q485" i="2" s="1"/>
  <c r="K484" i="2"/>
  <c r="Q484" i="2" s="1"/>
  <c r="K483" i="2"/>
  <c r="Q483" i="2" s="1"/>
  <c r="K482" i="2"/>
  <c r="Q482" i="2" s="1"/>
  <c r="K481" i="2"/>
  <c r="Q481" i="2" s="1"/>
  <c r="K480" i="2"/>
  <c r="Q480" i="2" s="1"/>
  <c r="K479" i="2"/>
  <c r="Q479" i="2" s="1"/>
  <c r="K478" i="2"/>
  <c r="Q478" i="2" s="1"/>
  <c r="K477" i="2"/>
  <c r="Q477" i="2" s="1"/>
  <c r="K476" i="2"/>
  <c r="Q476" i="2" s="1"/>
  <c r="K475" i="2"/>
  <c r="Q475" i="2" s="1"/>
  <c r="K474" i="2"/>
  <c r="Q474" i="2" s="1"/>
  <c r="K473" i="2"/>
  <c r="Q473" i="2" s="1"/>
  <c r="K472" i="2"/>
  <c r="Q472" i="2" s="1"/>
  <c r="K471" i="2"/>
  <c r="Q471" i="2" s="1"/>
  <c r="K470" i="2"/>
  <c r="Q470" i="2" s="1"/>
  <c r="K469" i="2"/>
  <c r="Q469" i="2" s="1"/>
  <c r="K468" i="2"/>
  <c r="Q468" i="2" s="1"/>
  <c r="K467" i="2"/>
  <c r="Q467" i="2" s="1"/>
  <c r="K466" i="2"/>
  <c r="Q466" i="2" s="1"/>
  <c r="K465" i="2"/>
  <c r="Q465" i="2" s="1"/>
  <c r="K464" i="2"/>
  <c r="Q464" i="2" s="1"/>
  <c r="K463" i="2"/>
  <c r="Q463" i="2" s="1"/>
  <c r="K462" i="2"/>
  <c r="Q462" i="2" s="1"/>
  <c r="K461" i="2"/>
  <c r="Q461" i="2" s="1"/>
  <c r="K460" i="2"/>
  <c r="Q460" i="2" s="1"/>
  <c r="K459" i="2"/>
  <c r="Q459" i="2" s="1"/>
  <c r="K458" i="2"/>
  <c r="Q458" i="2" s="1"/>
  <c r="K457" i="2"/>
  <c r="Q457" i="2" s="1"/>
  <c r="K456" i="2"/>
  <c r="Q456" i="2" s="1"/>
  <c r="K455" i="2"/>
  <c r="Q455" i="2" s="1"/>
  <c r="K454" i="2"/>
  <c r="Q454" i="2" s="1"/>
  <c r="K453" i="2"/>
  <c r="Q453" i="2" s="1"/>
  <c r="K452" i="2"/>
  <c r="Q452" i="2" s="1"/>
  <c r="K451" i="2"/>
  <c r="Q451" i="2" s="1"/>
  <c r="K450" i="2"/>
  <c r="Q450" i="2" s="1"/>
  <c r="K449" i="2"/>
  <c r="Q449" i="2" s="1"/>
  <c r="K448" i="2"/>
  <c r="Q448" i="2" s="1"/>
  <c r="K447" i="2"/>
  <c r="Q447" i="2" s="1"/>
  <c r="K446" i="2"/>
  <c r="Q446" i="2" s="1"/>
  <c r="K445" i="2"/>
  <c r="Q445" i="2" s="1"/>
  <c r="K444" i="2"/>
  <c r="Q444" i="2" s="1"/>
  <c r="K443" i="2"/>
  <c r="Q443" i="2" s="1"/>
  <c r="K442" i="2"/>
  <c r="Q442" i="2" s="1"/>
  <c r="K441" i="2"/>
  <c r="Q441" i="2" s="1"/>
  <c r="K440" i="2"/>
  <c r="Q440" i="2" s="1"/>
  <c r="K439" i="2"/>
  <c r="Q439" i="2" s="1"/>
  <c r="K438" i="2"/>
  <c r="Q438" i="2" s="1"/>
  <c r="K437" i="2"/>
  <c r="Q437" i="2" s="1"/>
  <c r="K436" i="2"/>
  <c r="Q436" i="2" s="1"/>
  <c r="K435" i="2"/>
  <c r="Q435" i="2" s="1"/>
  <c r="K434" i="2"/>
  <c r="Q434" i="2" s="1"/>
  <c r="K433" i="2"/>
  <c r="Q433" i="2" s="1"/>
  <c r="K432" i="2"/>
  <c r="Q432" i="2" s="1"/>
  <c r="K431" i="2"/>
  <c r="Q431" i="2" s="1"/>
  <c r="K430" i="2"/>
  <c r="Q430" i="2" s="1"/>
  <c r="K429" i="2"/>
  <c r="Q429" i="2" s="1"/>
  <c r="K428" i="2"/>
  <c r="Q428" i="2" s="1"/>
  <c r="K427" i="2"/>
  <c r="Q427" i="2" s="1"/>
  <c r="K426" i="2"/>
  <c r="Q426" i="2" s="1"/>
  <c r="K425" i="2"/>
  <c r="Q425" i="2" s="1"/>
  <c r="K424" i="2"/>
  <c r="Q424" i="2" s="1"/>
  <c r="K423" i="2"/>
  <c r="Q423" i="2" s="1"/>
  <c r="K422" i="2"/>
  <c r="Q422" i="2" s="1"/>
  <c r="K421" i="2"/>
  <c r="Q421" i="2" s="1"/>
  <c r="K420" i="2"/>
  <c r="Q420" i="2" s="1"/>
  <c r="K419" i="2"/>
  <c r="Q419" i="2" s="1"/>
  <c r="K418" i="2"/>
  <c r="Q418" i="2" s="1"/>
  <c r="K417" i="2"/>
  <c r="Q417" i="2" s="1"/>
  <c r="K416" i="2"/>
  <c r="Q416" i="2" s="1"/>
  <c r="K415" i="2"/>
  <c r="Q415" i="2" s="1"/>
  <c r="K414" i="2"/>
  <c r="Q414" i="2" s="1"/>
  <c r="K413" i="2"/>
  <c r="Q413" i="2" s="1"/>
  <c r="K412" i="2"/>
  <c r="Q412" i="2" s="1"/>
  <c r="K411" i="2"/>
  <c r="Q411" i="2" s="1"/>
  <c r="K410" i="2"/>
  <c r="Q410" i="2" s="1"/>
  <c r="K409" i="2"/>
  <c r="Q409" i="2" s="1"/>
  <c r="K408" i="2"/>
  <c r="Q408" i="2" s="1"/>
  <c r="K407" i="2"/>
  <c r="Q407" i="2" s="1"/>
  <c r="K406" i="2"/>
  <c r="Q406" i="2" s="1"/>
  <c r="K405" i="2"/>
  <c r="Q405" i="2" s="1"/>
  <c r="K404" i="2"/>
  <c r="Q404" i="2" s="1"/>
  <c r="K403" i="2"/>
  <c r="Q403" i="2" s="1"/>
  <c r="K402" i="2"/>
  <c r="Q402" i="2" s="1"/>
  <c r="K401" i="2"/>
  <c r="Q401" i="2" s="1"/>
  <c r="K400" i="2"/>
  <c r="Q400" i="2" s="1"/>
  <c r="K399" i="2"/>
  <c r="Q399" i="2" s="1"/>
  <c r="K398" i="2"/>
  <c r="Q398" i="2" s="1"/>
  <c r="K397" i="2"/>
  <c r="Q397" i="2" s="1"/>
  <c r="K396" i="2"/>
  <c r="Q396" i="2" s="1"/>
  <c r="K395" i="2"/>
  <c r="Q395" i="2" s="1"/>
  <c r="K394" i="2"/>
  <c r="Q394" i="2" s="1"/>
  <c r="K393" i="2"/>
  <c r="Q393" i="2" s="1"/>
  <c r="K392" i="2"/>
  <c r="Q392" i="2" s="1"/>
  <c r="K391" i="2"/>
  <c r="Q391" i="2" s="1"/>
  <c r="K390" i="2"/>
  <c r="Q390" i="2" s="1"/>
  <c r="K389" i="2"/>
  <c r="Q389" i="2" s="1"/>
  <c r="K388" i="2"/>
  <c r="Q388" i="2" s="1"/>
  <c r="K387" i="2"/>
  <c r="Q387" i="2" s="1"/>
  <c r="K386" i="2"/>
  <c r="Q386" i="2" s="1"/>
  <c r="K385" i="2"/>
  <c r="Q385" i="2" s="1"/>
  <c r="K384" i="2"/>
  <c r="Q384" i="2" s="1"/>
  <c r="K383" i="2"/>
  <c r="Q383" i="2" s="1"/>
  <c r="K382" i="2"/>
  <c r="Q382" i="2" s="1"/>
  <c r="K381" i="2"/>
  <c r="Q381" i="2" s="1"/>
  <c r="K380" i="2"/>
  <c r="Q380" i="2" s="1"/>
  <c r="K379" i="2"/>
  <c r="Q379" i="2" s="1"/>
  <c r="K378" i="2"/>
  <c r="Q378" i="2" s="1"/>
  <c r="K377" i="2"/>
  <c r="Q377" i="2" s="1"/>
  <c r="K376" i="2"/>
  <c r="Q376" i="2" s="1"/>
  <c r="K375" i="2"/>
  <c r="Q375" i="2" s="1"/>
  <c r="K374" i="2"/>
  <c r="Q374" i="2" s="1"/>
  <c r="K373" i="2"/>
  <c r="Q373" i="2" s="1"/>
  <c r="K372" i="2"/>
  <c r="Q372" i="2" s="1"/>
  <c r="K371" i="2"/>
  <c r="Q371" i="2" s="1"/>
  <c r="K370" i="2"/>
  <c r="Q370" i="2" s="1"/>
  <c r="K369" i="2"/>
  <c r="Q369" i="2" s="1"/>
  <c r="K368" i="2"/>
  <c r="Q368" i="2" s="1"/>
  <c r="K367" i="2"/>
  <c r="Q367" i="2" s="1"/>
  <c r="K366" i="2"/>
  <c r="Q366" i="2" s="1"/>
  <c r="K365" i="2"/>
  <c r="Q365" i="2" s="1"/>
  <c r="K364" i="2"/>
  <c r="Q364" i="2" s="1"/>
  <c r="K363" i="2"/>
  <c r="Q363" i="2" s="1"/>
  <c r="K362" i="2"/>
  <c r="Q362" i="2" s="1"/>
  <c r="K361" i="2"/>
  <c r="Q361" i="2" s="1"/>
  <c r="K360" i="2"/>
  <c r="Q360" i="2" s="1"/>
  <c r="K359" i="2"/>
  <c r="Q359" i="2" s="1"/>
  <c r="K358" i="2"/>
  <c r="Q358" i="2" s="1"/>
  <c r="K357" i="2"/>
  <c r="Q357" i="2" s="1"/>
  <c r="K356" i="2"/>
  <c r="Q356" i="2" s="1"/>
  <c r="K355" i="2"/>
  <c r="Q355" i="2" s="1"/>
  <c r="K354" i="2"/>
  <c r="Q354" i="2" s="1"/>
  <c r="K353" i="2"/>
  <c r="Q353" i="2" s="1"/>
  <c r="K352" i="2"/>
  <c r="Q352" i="2" s="1"/>
  <c r="K351" i="2"/>
  <c r="Q351" i="2" s="1"/>
  <c r="K350" i="2"/>
  <c r="Q350" i="2" s="1"/>
  <c r="K349" i="2"/>
  <c r="Q349" i="2" s="1"/>
  <c r="K348" i="2"/>
  <c r="Q348" i="2" s="1"/>
  <c r="K347" i="2"/>
  <c r="Q347" i="2" s="1"/>
  <c r="K346" i="2"/>
  <c r="Q346" i="2" s="1"/>
  <c r="K345" i="2"/>
  <c r="Q345" i="2" s="1"/>
  <c r="K344" i="2"/>
  <c r="Q344" i="2" s="1"/>
  <c r="K343" i="2"/>
  <c r="Q343" i="2" s="1"/>
  <c r="K342" i="2"/>
  <c r="Q342" i="2" s="1"/>
  <c r="K341" i="2"/>
  <c r="Q341" i="2" s="1"/>
  <c r="K340" i="2"/>
  <c r="Q340" i="2" s="1"/>
  <c r="K339" i="2"/>
  <c r="Q339" i="2" s="1"/>
  <c r="K338" i="2"/>
  <c r="Q338" i="2" s="1"/>
  <c r="K337" i="2"/>
  <c r="Q337" i="2" s="1"/>
  <c r="K336" i="2"/>
  <c r="Q336" i="2" s="1"/>
  <c r="K335" i="2"/>
  <c r="Q335" i="2" s="1"/>
  <c r="K334" i="2"/>
  <c r="Q334" i="2" s="1"/>
  <c r="K333" i="2"/>
  <c r="Q333" i="2" s="1"/>
  <c r="K332" i="2"/>
  <c r="Q332" i="2" s="1"/>
  <c r="K331" i="2"/>
  <c r="Q331" i="2" s="1"/>
  <c r="K330" i="2"/>
  <c r="Q330" i="2" s="1"/>
  <c r="K329" i="2"/>
  <c r="Q329" i="2" s="1"/>
  <c r="K328" i="2"/>
  <c r="Q328" i="2" s="1"/>
  <c r="K327" i="2"/>
  <c r="Q327" i="2" s="1"/>
  <c r="K326" i="2"/>
  <c r="Q326" i="2" s="1"/>
  <c r="K325" i="2"/>
  <c r="Q325" i="2" s="1"/>
  <c r="K324" i="2"/>
  <c r="Q324" i="2" s="1"/>
  <c r="K323" i="2"/>
  <c r="Q323" i="2" s="1"/>
  <c r="K322" i="2"/>
  <c r="Q322" i="2" s="1"/>
  <c r="K321" i="2"/>
  <c r="Q321" i="2" s="1"/>
  <c r="K320" i="2"/>
  <c r="Q320" i="2" s="1"/>
  <c r="K319" i="2"/>
  <c r="Q319" i="2" s="1"/>
  <c r="K318" i="2"/>
  <c r="Q318" i="2" s="1"/>
  <c r="K317" i="2"/>
  <c r="Q317" i="2" s="1"/>
  <c r="K316" i="2"/>
  <c r="Q316" i="2" s="1"/>
  <c r="K315" i="2"/>
  <c r="Q315" i="2" s="1"/>
  <c r="K314" i="2"/>
  <c r="Q314" i="2" s="1"/>
  <c r="K313" i="2"/>
  <c r="Q313" i="2" s="1"/>
  <c r="K312" i="2"/>
  <c r="Q312" i="2" s="1"/>
  <c r="K311" i="2"/>
  <c r="Q311" i="2" s="1"/>
  <c r="K310" i="2"/>
  <c r="Q310" i="2" s="1"/>
  <c r="K309" i="2"/>
  <c r="Q309" i="2" s="1"/>
  <c r="K308" i="2"/>
  <c r="Q308" i="2" s="1"/>
  <c r="K307" i="2"/>
  <c r="Q307" i="2" s="1"/>
  <c r="K306" i="2"/>
  <c r="Q306" i="2" s="1"/>
  <c r="K305" i="2"/>
  <c r="Q305" i="2" s="1"/>
  <c r="K304" i="2"/>
  <c r="Q304" i="2" s="1"/>
  <c r="K303" i="2"/>
  <c r="Q303" i="2" s="1"/>
  <c r="K302" i="2"/>
  <c r="Q302" i="2" s="1"/>
  <c r="K301" i="2"/>
  <c r="Q301" i="2" s="1"/>
  <c r="K300" i="2"/>
  <c r="Q300" i="2" s="1"/>
  <c r="K299" i="2"/>
  <c r="Q299" i="2" s="1"/>
  <c r="K298" i="2"/>
  <c r="Q298" i="2" s="1"/>
  <c r="K297" i="2"/>
  <c r="Q297" i="2" s="1"/>
  <c r="K296" i="2"/>
  <c r="Q296" i="2" s="1"/>
  <c r="K295" i="2"/>
  <c r="Q295" i="2" s="1"/>
  <c r="K294" i="2"/>
  <c r="Q294" i="2" s="1"/>
  <c r="K293" i="2"/>
  <c r="Q293" i="2" s="1"/>
  <c r="K292" i="2"/>
  <c r="Q292" i="2" s="1"/>
  <c r="K291" i="2"/>
  <c r="Q291" i="2" s="1"/>
  <c r="K290" i="2"/>
  <c r="Q290" i="2" s="1"/>
  <c r="K289" i="2"/>
  <c r="Q289" i="2" s="1"/>
  <c r="K288" i="2"/>
  <c r="Q288" i="2" s="1"/>
  <c r="K287" i="2"/>
  <c r="Q287" i="2" s="1"/>
  <c r="K286" i="2"/>
  <c r="Q286" i="2" s="1"/>
  <c r="K285" i="2"/>
  <c r="Q285" i="2" s="1"/>
  <c r="K284" i="2"/>
  <c r="Q284" i="2" s="1"/>
  <c r="K283" i="2"/>
  <c r="Q283" i="2" s="1"/>
  <c r="K282" i="2"/>
  <c r="Q282" i="2" s="1"/>
  <c r="K281" i="2"/>
  <c r="Q281" i="2" s="1"/>
  <c r="K280" i="2"/>
  <c r="Q280" i="2" s="1"/>
  <c r="K279" i="2"/>
  <c r="Q279" i="2" s="1"/>
  <c r="K278" i="2"/>
  <c r="Q278" i="2" s="1"/>
  <c r="K277" i="2"/>
  <c r="Q277" i="2" s="1"/>
  <c r="K276" i="2"/>
  <c r="Q276" i="2" s="1"/>
  <c r="K275" i="2"/>
  <c r="Q275" i="2" s="1"/>
  <c r="K274" i="2"/>
  <c r="Q274" i="2" s="1"/>
  <c r="K273" i="2"/>
  <c r="Q273" i="2" s="1"/>
  <c r="K272" i="2"/>
  <c r="Q272" i="2" s="1"/>
  <c r="K271" i="2"/>
  <c r="Q271" i="2" s="1"/>
  <c r="K270" i="2"/>
  <c r="Q270" i="2" s="1"/>
  <c r="K269" i="2"/>
  <c r="Q269" i="2" s="1"/>
  <c r="K268" i="2"/>
  <c r="Q268" i="2" s="1"/>
  <c r="K267" i="2"/>
  <c r="Q267" i="2" s="1"/>
  <c r="K266" i="2"/>
  <c r="Q266" i="2" s="1"/>
  <c r="K265" i="2"/>
  <c r="Q265" i="2" s="1"/>
  <c r="K264" i="2"/>
  <c r="Q264" i="2" s="1"/>
  <c r="K263" i="2"/>
  <c r="Q263" i="2" s="1"/>
  <c r="K262" i="2"/>
  <c r="Q262" i="2" s="1"/>
  <c r="K261" i="2"/>
  <c r="Q261" i="2" s="1"/>
  <c r="K260" i="2"/>
  <c r="Q260" i="2" s="1"/>
  <c r="K259" i="2"/>
  <c r="Q259" i="2" s="1"/>
  <c r="K258" i="2"/>
  <c r="Q258" i="2" s="1"/>
  <c r="K257" i="2"/>
  <c r="Q257" i="2" s="1"/>
  <c r="K256" i="2"/>
  <c r="Q256" i="2" s="1"/>
  <c r="K255" i="2"/>
  <c r="Q255" i="2" s="1"/>
  <c r="K254" i="2"/>
  <c r="Q254" i="2" s="1"/>
  <c r="K253" i="2"/>
  <c r="Q253" i="2" s="1"/>
  <c r="K252" i="2"/>
  <c r="Q252" i="2" s="1"/>
  <c r="K251" i="2"/>
  <c r="Q251" i="2" s="1"/>
  <c r="K250" i="2"/>
  <c r="Q250" i="2" s="1"/>
  <c r="K249" i="2"/>
  <c r="Q249" i="2" s="1"/>
  <c r="K248" i="2"/>
  <c r="Q248" i="2" s="1"/>
  <c r="K247" i="2"/>
  <c r="Q247" i="2" s="1"/>
  <c r="K246" i="2"/>
  <c r="Q246" i="2" s="1"/>
  <c r="K245" i="2"/>
  <c r="Q245" i="2" s="1"/>
  <c r="K244" i="2"/>
  <c r="Q244" i="2" s="1"/>
  <c r="K243" i="2"/>
  <c r="Q243" i="2" s="1"/>
  <c r="K242" i="2"/>
  <c r="Q242" i="2" s="1"/>
  <c r="K241" i="2"/>
  <c r="Q241" i="2" s="1"/>
  <c r="K240" i="2"/>
  <c r="Q240" i="2" s="1"/>
  <c r="K239" i="2"/>
  <c r="Q239" i="2" s="1"/>
  <c r="K238" i="2"/>
  <c r="Q238" i="2" s="1"/>
  <c r="K237" i="2"/>
  <c r="Q237" i="2" s="1"/>
  <c r="K236" i="2"/>
  <c r="Q236" i="2" s="1"/>
  <c r="K235" i="2"/>
  <c r="Q235" i="2" s="1"/>
  <c r="K234" i="2"/>
  <c r="Q234" i="2" s="1"/>
  <c r="K233" i="2"/>
  <c r="Q233" i="2" s="1"/>
  <c r="K232" i="2"/>
  <c r="Q232" i="2" s="1"/>
  <c r="K231" i="2"/>
  <c r="Q231" i="2" s="1"/>
  <c r="K230" i="2"/>
  <c r="Q230" i="2" s="1"/>
  <c r="K229" i="2"/>
  <c r="Q229" i="2" s="1"/>
  <c r="K228" i="2"/>
  <c r="Q228" i="2" s="1"/>
  <c r="K227" i="2"/>
  <c r="Q227" i="2" s="1"/>
  <c r="K226" i="2"/>
  <c r="Q226" i="2" s="1"/>
  <c r="K225" i="2"/>
  <c r="Q225" i="2" s="1"/>
  <c r="K224" i="2"/>
  <c r="Q224" i="2" s="1"/>
  <c r="K223" i="2"/>
  <c r="Q223" i="2" s="1"/>
  <c r="K222" i="2"/>
  <c r="Q222" i="2" s="1"/>
  <c r="K221" i="2"/>
  <c r="Q221" i="2" s="1"/>
  <c r="K220" i="2"/>
  <c r="Q220" i="2" s="1"/>
  <c r="K219" i="2"/>
  <c r="Q219" i="2" s="1"/>
  <c r="K218" i="2"/>
  <c r="Q218" i="2" s="1"/>
  <c r="K217" i="2"/>
  <c r="Q217" i="2" s="1"/>
  <c r="K216" i="2"/>
  <c r="Q216" i="2" s="1"/>
  <c r="K215" i="2"/>
  <c r="Q215" i="2" s="1"/>
  <c r="K214" i="2"/>
  <c r="Q214" i="2" s="1"/>
  <c r="K213" i="2"/>
  <c r="Q213" i="2" s="1"/>
  <c r="K212" i="2"/>
  <c r="Q212" i="2" s="1"/>
  <c r="K211" i="2"/>
  <c r="Q211" i="2" s="1"/>
  <c r="K210" i="2"/>
  <c r="Q210" i="2" s="1"/>
  <c r="K209" i="2"/>
  <c r="Q209" i="2" s="1"/>
  <c r="K208" i="2"/>
  <c r="Q208" i="2" s="1"/>
  <c r="K207" i="2"/>
  <c r="Q207" i="2" s="1"/>
  <c r="K206" i="2"/>
  <c r="Q206" i="2" s="1"/>
  <c r="K205" i="2"/>
  <c r="Q205" i="2" s="1"/>
  <c r="K204" i="2"/>
  <c r="Q204" i="2" s="1"/>
  <c r="K203" i="2"/>
  <c r="Q203" i="2" s="1"/>
  <c r="K202" i="2"/>
  <c r="Q202" i="2" s="1"/>
  <c r="K201" i="2"/>
  <c r="Q201" i="2" s="1"/>
  <c r="K200" i="2"/>
  <c r="Q200" i="2" s="1"/>
  <c r="K199" i="2"/>
  <c r="Q199" i="2" s="1"/>
  <c r="K198" i="2"/>
  <c r="Q198" i="2" s="1"/>
  <c r="K197" i="2"/>
  <c r="Q197" i="2" s="1"/>
  <c r="K196" i="2"/>
  <c r="Q196" i="2" s="1"/>
  <c r="K195" i="2"/>
  <c r="Q195" i="2" s="1"/>
  <c r="K194" i="2"/>
  <c r="Q194" i="2" s="1"/>
  <c r="K193" i="2"/>
  <c r="Q193" i="2" s="1"/>
  <c r="K192" i="2"/>
  <c r="Q192" i="2" s="1"/>
  <c r="K191" i="2"/>
  <c r="Q191" i="2" s="1"/>
  <c r="K190" i="2"/>
  <c r="Q190" i="2" s="1"/>
  <c r="K189" i="2"/>
  <c r="Q189" i="2" s="1"/>
  <c r="K188" i="2"/>
  <c r="Q188" i="2" s="1"/>
  <c r="K187" i="2"/>
  <c r="Q187" i="2" s="1"/>
  <c r="K186" i="2"/>
  <c r="Q186" i="2" s="1"/>
  <c r="K185" i="2"/>
  <c r="Q185" i="2" s="1"/>
  <c r="K184" i="2"/>
  <c r="Q184" i="2" s="1"/>
  <c r="K183" i="2"/>
  <c r="Q183" i="2" s="1"/>
  <c r="K182" i="2"/>
  <c r="Q182" i="2" s="1"/>
  <c r="K181" i="2"/>
  <c r="Q181" i="2" s="1"/>
  <c r="K180" i="2"/>
  <c r="Q180" i="2" s="1"/>
  <c r="K179" i="2"/>
  <c r="Q179" i="2" s="1"/>
  <c r="K178" i="2"/>
  <c r="Q178" i="2" s="1"/>
  <c r="K177" i="2"/>
  <c r="Q177" i="2" s="1"/>
  <c r="K176" i="2"/>
  <c r="Q176" i="2" s="1"/>
  <c r="K175" i="2"/>
  <c r="Q175" i="2" s="1"/>
  <c r="K174" i="2"/>
  <c r="Q174" i="2" s="1"/>
  <c r="K173" i="2"/>
  <c r="Q173" i="2" s="1"/>
  <c r="K172" i="2"/>
  <c r="Q172" i="2" s="1"/>
  <c r="K171" i="2"/>
  <c r="Q171" i="2" s="1"/>
  <c r="K170" i="2"/>
  <c r="Q170" i="2" s="1"/>
  <c r="K169" i="2"/>
  <c r="Q169" i="2" s="1"/>
  <c r="K168" i="2"/>
  <c r="Q168" i="2" s="1"/>
  <c r="K167" i="2"/>
  <c r="Q167" i="2" s="1"/>
  <c r="K166" i="2"/>
  <c r="Q166" i="2" s="1"/>
  <c r="K165" i="2"/>
  <c r="Q165" i="2" s="1"/>
  <c r="K164" i="2"/>
  <c r="Q164" i="2" s="1"/>
  <c r="K163" i="2"/>
  <c r="Q163" i="2" s="1"/>
  <c r="K162" i="2"/>
  <c r="Q162" i="2" s="1"/>
  <c r="K161" i="2"/>
  <c r="Q161" i="2" s="1"/>
  <c r="K160" i="2"/>
  <c r="Q160" i="2" s="1"/>
  <c r="K159" i="2"/>
  <c r="Q159" i="2" s="1"/>
  <c r="K158" i="2"/>
  <c r="Q158" i="2" s="1"/>
  <c r="K157" i="2"/>
  <c r="Q157" i="2" s="1"/>
  <c r="K156" i="2"/>
  <c r="Q156" i="2" s="1"/>
  <c r="K155" i="2"/>
  <c r="Q155" i="2" s="1"/>
  <c r="K154" i="2"/>
  <c r="Q154" i="2" s="1"/>
  <c r="K153" i="2"/>
  <c r="Q153" i="2" s="1"/>
  <c r="K152" i="2"/>
  <c r="Q152" i="2" s="1"/>
  <c r="K151" i="2"/>
  <c r="Q151" i="2" s="1"/>
  <c r="K150" i="2"/>
  <c r="Q150" i="2" s="1"/>
  <c r="K149" i="2"/>
  <c r="Q149" i="2" s="1"/>
  <c r="K148" i="2"/>
  <c r="Q148" i="2" s="1"/>
  <c r="K147" i="2"/>
  <c r="Q147" i="2" s="1"/>
  <c r="K146" i="2"/>
  <c r="Q146" i="2" s="1"/>
  <c r="K145" i="2"/>
  <c r="Q145" i="2" s="1"/>
  <c r="K144" i="2"/>
  <c r="Q144" i="2" s="1"/>
  <c r="K143" i="2"/>
  <c r="Q143" i="2" s="1"/>
  <c r="K142" i="2"/>
  <c r="Q142" i="2" s="1"/>
  <c r="K141" i="2"/>
  <c r="Q141" i="2" s="1"/>
  <c r="K140" i="2"/>
  <c r="Q140" i="2" s="1"/>
  <c r="K139" i="2"/>
  <c r="Q139" i="2" s="1"/>
  <c r="K138" i="2"/>
  <c r="Q138" i="2" s="1"/>
  <c r="K137" i="2"/>
  <c r="Q137" i="2" s="1"/>
  <c r="K136" i="2"/>
  <c r="Q136" i="2" s="1"/>
  <c r="K135" i="2"/>
  <c r="Q135" i="2" s="1"/>
  <c r="K134" i="2"/>
  <c r="Q134" i="2" s="1"/>
  <c r="K133" i="2"/>
  <c r="Q133" i="2" s="1"/>
  <c r="K132" i="2"/>
  <c r="Q132" i="2" s="1"/>
  <c r="K131" i="2"/>
  <c r="Q131" i="2" s="1"/>
  <c r="K130" i="2"/>
  <c r="Q130" i="2" s="1"/>
  <c r="K129" i="2"/>
  <c r="Q129" i="2" s="1"/>
  <c r="K128" i="2"/>
  <c r="Q128" i="2" s="1"/>
  <c r="K127" i="2"/>
  <c r="Q127" i="2" s="1"/>
  <c r="K126" i="2"/>
  <c r="Q126" i="2" s="1"/>
  <c r="K125" i="2"/>
  <c r="Q125" i="2" s="1"/>
  <c r="K124" i="2"/>
  <c r="Q124" i="2" s="1"/>
  <c r="K123" i="2"/>
  <c r="Q123" i="2" s="1"/>
  <c r="K122" i="2"/>
  <c r="Q122" i="2" s="1"/>
  <c r="K121" i="2"/>
  <c r="Q121" i="2" s="1"/>
  <c r="K120" i="2"/>
  <c r="Q120" i="2" s="1"/>
  <c r="K119" i="2"/>
  <c r="Q119" i="2" s="1"/>
  <c r="K118" i="2"/>
  <c r="Q118" i="2" s="1"/>
  <c r="K117" i="2"/>
  <c r="Q117" i="2" s="1"/>
  <c r="K116" i="2"/>
  <c r="Q116" i="2" s="1"/>
  <c r="K115" i="2"/>
  <c r="Q115" i="2" s="1"/>
  <c r="K114" i="2"/>
  <c r="Q114" i="2" s="1"/>
  <c r="K113" i="2"/>
  <c r="Q113" i="2" s="1"/>
  <c r="K112" i="2"/>
  <c r="Q112" i="2" s="1"/>
  <c r="K111" i="2"/>
  <c r="Q111" i="2" s="1"/>
  <c r="K110" i="2"/>
  <c r="Q110" i="2" s="1"/>
  <c r="K109" i="2"/>
  <c r="Q109" i="2" s="1"/>
  <c r="K108" i="2"/>
  <c r="Q108" i="2" s="1"/>
  <c r="K107" i="2"/>
  <c r="Q107" i="2" s="1"/>
  <c r="K106" i="2"/>
  <c r="Q106" i="2" s="1"/>
  <c r="K105" i="2"/>
  <c r="Q105" i="2" s="1"/>
  <c r="K104" i="2"/>
  <c r="Q104" i="2" s="1"/>
  <c r="K103" i="2"/>
  <c r="Q103" i="2" s="1"/>
  <c r="K102" i="2"/>
  <c r="Q102" i="2" s="1"/>
  <c r="K101" i="2"/>
  <c r="Q101" i="2" s="1"/>
  <c r="K100" i="2"/>
  <c r="Q100" i="2" s="1"/>
  <c r="K99" i="2"/>
  <c r="Q99" i="2" s="1"/>
  <c r="K98" i="2"/>
  <c r="Q98" i="2" s="1"/>
  <c r="K97" i="2"/>
  <c r="Q97" i="2" s="1"/>
  <c r="K96" i="2"/>
  <c r="Q96" i="2" s="1"/>
  <c r="K95" i="2"/>
  <c r="Q95" i="2" s="1"/>
  <c r="K94" i="2"/>
  <c r="Q94" i="2" s="1"/>
  <c r="K93" i="2"/>
  <c r="Q93" i="2" s="1"/>
  <c r="K92" i="2"/>
  <c r="Q92" i="2" s="1"/>
  <c r="K91" i="2"/>
  <c r="Q91" i="2" s="1"/>
  <c r="K90" i="2"/>
  <c r="Q90" i="2" s="1"/>
  <c r="K89" i="2"/>
  <c r="Q89" i="2" s="1"/>
  <c r="K88" i="2"/>
  <c r="Q88" i="2" s="1"/>
  <c r="K87" i="2"/>
  <c r="Q87" i="2" s="1"/>
  <c r="K86" i="2"/>
  <c r="Q86" i="2" s="1"/>
  <c r="K85" i="2"/>
  <c r="Q85" i="2" s="1"/>
  <c r="K84" i="2"/>
  <c r="Q84" i="2" s="1"/>
  <c r="K83" i="2"/>
  <c r="Q83" i="2" s="1"/>
  <c r="K82" i="2"/>
  <c r="Q82" i="2" s="1"/>
  <c r="K81" i="2"/>
  <c r="Q81" i="2" s="1"/>
  <c r="K80" i="2"/>
  <c r="Q80" i="2" s="1"/>
  <c r="K79" i="2"/>
  <c r="Q79" i="2" s="1"/>
  <c r="K78" i="2"/>
  <c r="Q78" i="2" s="1"/>
  <c r="K77" i="2"/>
  <c r="Q77" i="2" s="1"/>
  <c r="K76" i="2"/>
  <c r="Q76" i="2" s="1"/>
  <c r="K75" i="2"/>
  <c r="Q75" i="2" s="1"/>
  <c r="K74" i="2"/>
  <c r="Q74" i="2" s="1"/>
  <c r="K73" i="2"/>
  <c r="Q73" i="2" s="1"/>
  <c r="K72" i="2"/>
  <c r="Q72" i="2" s="1"/>
  <c r="K71" i="2"/>
  <c r="Q71" i="2" s="1"/>
  <c r="K70" i="2"/>
  <c r="Q70" i="2" s="1"/>
  <c r="K69" i="2"/>
  <c r="Q69" i="2" s="1"/>
  <c r="K68" i="2"/>
  <c r="Q68" i="2" s="1"/>
  <c r="K67" i="2"/>
  <c r="Q67" i="2" s="1"/>
  <c r="K66" i="2"/>
  <c r="Q66" i="2" s="1"/>
  <c r="K65" i="2"/>
  <c r="Q65" i="2" s="1"/>
  <c r="K64" i="2"/>
  <c r="Q64" i="2" s="1"/>
  <c r="K63" i="2"/>
  <c r="Q63" i="2" s="1"/>
  <c r="K62" i="2"/>
  <c r="Q62" i="2" s="1"/>
  <c r="K61" i="2"/>
  <c r="Q61" i="2" s="1"/>
  <c r="K60" i="2"/>
  <c r="Q60" i="2" s="1"/>
  <c r="K59" i="2"/>
  <c r="Q59" i="2" s="1"/>
  <c r="K58" i="2"/>
  <c r="Q58" i="2" s="1"/>
  <c r="K57" i="2"/>
  <c r="Q57" i="2" s="1"/>
  <c r="K56" i="2"/>
  <c r="Q56" i="2" s="1"/>
  <c r="K55" i="2"/>
  <c r="Q55" i="2" s="1"/>
  <c r="K54" i="2"/>
  <c r="Q54" i="2" s="1"/>
  <c r="K53" i="2"/>
  <c r="Q53" i="2" s="1"/>
  <c r="K52" i="2"/>
  <c r="Q52" i="2" s="1"/>
  <c r="K51" i="2"/>
  <c r="Q51" i="2" s="1"/>
  <c r="K50" i="2"/>
  <c r="Q50" i="2" s="1"/>
  <c r="K49" i="2"/>
  <c r="Q49" i="2" s="1"/>
  <c r="K48" i="2"/>
  <c r="Q48" i="2" s="1"/>
  <c r="K47" i="2"/>
  <c r="Q47" i="2" s="1"/>
  <c r="K46" i="2"/>
  <c r="Q46" i="2" s="1"/>
  <c r="K45" i="2"/>
  <c r="Q45" i="2" s="1"/>
  <c r="K44" i="2"/>
  <c r="Q44" i="2" s="1"/>
  <c r="K43" i="2"/>
  <c r="Q43" i="2" s="1"/>
  <c r="K42" i="2"/>
  <c r="Q42" i="2" s="1"/>
  <c r="K41" i="2"/>
  <c r="Q41" i="2" s="1"/>
  <c r="K40" i="2"/>
  <c r="Q40" i="2" s="1"/>
  <c r="K39" i="2"/>
  <c r="Q39" i="2" s="1"/>
  <c r="K38" i="2"/>
  <c r="Q38" i="2" s="1"/>
  <c r="K37" i="2"/>
  <c r="Q37" i="2" s="1"/>
  <c r="K36" i="2"/>
  <c r="Q36" i="2" s="1"/>
  <c r="K35" i="2"/>
  <c r="Q35" i="2" s="1"/>
  <c r="K34" i="2"/>
  <c r="Q34" i="2" s="1"/>
  <c r="K33" i="2"/>
  <c r="Q33" i="2" s="1"/>
  <c r="K32" i="2"/>
  <c r="Q32" i="2" s="1"/>
  <c r="K31" i="2"/>
  <c r="Q31" i="2" s="1"/>
  <c r="K30" i="2"/>
  <c r="Q30" i="2" s="1"/>
  <c r="K29" i="2"/>
  <c r="Q29" i="2" s="1"/>
  <c r="K28" i="2"/>
  <c r="Q28" i="2" s="1"/>
  <c r="K27" i="2"/>
  <c r="Q27" i="2" s="1"/>
  <c r="K26" i="2"/>
  <c r="Q26" i="2" s="1"/>
  <c r="K25" i="2"/>
  <c r="Q25" i="2" s="1"/>
  <c r="K24" i="2"/>
  <c r="Q24" i="2" s="1"/>
  <c r="K23" i="2"/>
  <c r="Q23" i="2" s="1"/>
  <c r="K22" i="2"/>
  <c r="Q22" i="2" s="1"/>
  <c r="K21" i="2"/>
  <c r="Q21" i="2" s="1"/>
  <c r="K20" i="2"/>
  <c r="Q20" i="2" s="1"/>
  <c r="K19" i="2"/>
  <c r="Q19" i="2" s="1"/>
  <c r="K18" i="2"/>
  <c r="Q18" i="2" s="1"/>
  <c r="K17" i="2"/>
  <c r="Q17" i="2" s="1"/>
  <c r="K16" i="2"/>
  <c r="Q16" i="2" s="1"/>
  <c r="K15" i="2"/>
  <c r="Q15" i="2" s="1"/>
  <c r="K14" i="2"/>
  <c r="Q14" i="2" s="1"/>
  <c r="K13" i="2"/>
  <c r="Q13" i="2" s="1"/>
  <c r="K12" i="2"/>
  <c r="Q12" i="2" s="1"/>
  <c r="K11" i="2"/>
  <c r="Q11" i="2" s="1"/>
  <c r="K10" i="2"/>
  <c r="Q10" i="2" s="1"/>
  <c r="K9" i="2"/>
  <c r="Q9" i="2" s="1"/>
  <c r="K8" i="2"/>
  <c r="Q8" i="2" s="1"/>
  <c r="K7" i="2"/>
  <c r="Q7" i="2" s="1"/>
  <c r="K6" i="2"/>
  <c r="Q6" i="2" s="1"/>
  <c r="K5" i="2"/>
  <c r="Q5" i="2" s="1"/>
  <c r="K4" i="2"/>
  <c r="Q4" i="2" s="1"/>
  <c r="K3" i="2"/>
  <c r="Q3" i="2" s="1"/>
  <c r="Q2" i="2"/>
  <c r="K2" i="2"/>
  <c r="Q713" i="1"/>
  <c r="F713" i="1"/>
  <c r="A713" i="1" a="1"/>
  <c r="A713" i="1" s="1"/>
  <c r="Q712" i="1"/>
  <c r="F712" i="1"/>
  <c r="A712" i="1" a="1"/>
  <c r="A712" i="1" s="1"/>
  <c r="Q711" i="1"/>
  <c r="F711" i="1"/>
  <c r="A711" i="1" a="1"/>
  <c r="A711" i="1" s="1"/>
  <c r="Q710" i="1"/>
  <c r="F710" i="1"/>
  <c r="A710" i="1" a="1"/>
  <c r="A710" i="1" s="1"/>
  <c r="Q709" i="1"/>
  <c r="F709" i="1"/>
  <c r="A709" i="1" a="1"/>
  <c r="A709" i="1" s="1"/>
  <c r="Q708" i="1"/>
  <c r="F708" i="1"/>
  <c r="A708" i="1" a="1"/>
  <c r="A708" i="1" s="1"/>
  <c r="Q707" i="1"/>
  <c r="F707" i="1"/>
  <c r="A707" i="1" a="1"/>
  <c r="A707" i="1" s="1"/>
  <c r="Q706" i="1"/>
  <c r="F706" i="1"/>
  <c r="A706" i="1" a="1"/>
  <c r="A706" i="1" s="1"/>
  <c r="Q705" i="1"/>
  <c r="F705" i="1"/>
  <c r="A705" i="1" a="1"/>
  <c r="A705" i="1" s="1"/>
  <c r="Q704" i="1"/>
  <c r="F704" i="1"/>
  <c r="A704" i="1" a="1"/>
  <c r="A704" i="1" s="1"/>
  <c r="Q703" i="1"/>
  <c r="F703" i="1"/>
  <c r="A703" i="1" a="1"/>
  <c r="A703" i="1" s="1"/>
  <c r="Q702" i="1"/>
  <c r="F702" i="1"/>
  <c r="A702" i="1" a="1"/>
  <c r="A702" i="1" s="1"/>
  <c r="Q701" i="1"/>
  <c r="F701" i="1"/>
  <c r="A701" i="1" a="1"/>
  <c r="A701" i="1" s="1"/>
  <c r="Q700" i="1"/>
  <c r="F700" i="1"/>
  <c r="A700" i="1" a="1"/>
  <c r="A700" i="1" s="1"/>
  <c r="Q699" i="1"/>
  <c r="F699" i="1"/>
  <c r="A699" i="1" a="1"/>
  <c r="A699" i="1" s="1"/>
  <c r="Q698" i="1"/>
  <c r="F698" i="1"/>
  <c r="A698" i="1" a="1"/>
  <c r="A698" i="1" s="1"/>
  <c r="Q697" i="1"/>
  <c r="F697" i="1"/>
  <c r="A697" i="1" a="1"/>
  <c r="A697" i="1" s="1"/>
  <c r="Q696" i="1"/>
  <c r="F696" i="1"/>
  <c r="A696" i="1" a="1"/>
  <c r="A696" i="1" s="1"/>
  <c r="Q695" i="1"/>
  <c r="F695" i="1"/>
  <c r="A695" i="1" a="1"/>
  <c r="A695" i="1" s="1"/>
  <c r="Q694" i="1"/>
  <c r="F694" i="1"/>
  <c r="A694" i="1" a="1"/>
  <c r="A694" i="1" s="1"/>
  <c r="Q693" i="1"/>
  <c r="F693" i="1"/>
  <c r="A693" i="1" a="1"/>
  <c r="A693" i="1" s="1"/>
  <c r="Q692" i="1"/>
  <c r="F692" i="1"/>
  <c r="A692" i="1" a="1"/>
  <c r="A692" i="1" s="1"/>
  <c r="Q691" i="1"/>
  <c r="F691" i="1"/>
  <c r="A691" i="1" a="1"/>
  <c r="A691" i="1" s="1"/>
  <c r="Q690" i="1"/>
  <c r="F690" i="1"/>
  <c r="A690" i="1" a="1"/>
  <c r="A690" i="1" s="1"/>
  <c r="Q689" i="1"/>
  <c r="F689" i="1"/>
  <c r="A689" i="1" a="1"/>
  <c r="A689" i="1" s="1"/>
  <c r="Q688" i="1"/>
  <c r="F688" i="1"/>
  <c r="Q687" i="1"/>
  <c r="F687" i="1"/>
  <c r="A687" i="1" a="1"/>
  <c r="A687" i="1" s="1"/>
  <c r="Q686" i="1"/>
  <c r="F686" i="1"/>
  <c r="A686" i="1" a="1"/>
  <c r="A686" i="1" s="1"/>
  <c r="Q685" i="1"/>
  <c r="F685" i="1"/>
  <c r="A685" i="1" a="1"/>
  <c r="A685" i="1" s="1"/>
  <c r="Q684" i="1"/>
  <c r="F684" i="1"/>
  <c r="A684" i="1" a="1"/>
  <c r="A684" i="1" s="1"/>
  <c r="Q683" i="1"/>
  <c r="F683" i="1"/>
  <c r="A683" i="1" a="1"/>
  <c r="A683" i="1" s="1"/>
  <c r="Q682" i="1"/>
  <c r="F682" i="1"/>
  <c r="A682" i="1" a="1"/>
  <c r="A682" i="1" s="1"/>
  <c r="Q681" i="1"/>
  <c r="F681" i="1"/>
  <c r="A681" i="1" a="1"/>
  <c r="A681" i="1" s="1"/>
  <c r="Q680" i="1"/>
  <c r="F680" i="1"/>
  <c r="A680" i="1" a="1"/>
  <c r="A680" i="1" s="1"/>
  <c r="Q679" i="1"/>
  <c r="F679" i="1"/>
  <c r="A679" i="1" a="1"/>
  <c r="A679" i="1" s="1"/>
  <c r="Q678" i="1"/>
  <c r="F678" i="1"/>
  <c r="A678" i="1" a="1"/>
  <c r="A678" i="1" s="1"/>
  <c r="Q677" i="1"/>
  <c r="F677" i="1"/>
  <c r="A677" i="1" a="1"/>
  <c r="A677" i="1" s="1"/>
  <c r="Q676" i="1"/>
  <c r="F676" i="1"/>
  <c r="A676" i="1" a="1"/>
  <c r="A676" i="1" s="1"/>
  <c r="Q675" i="1"/>
  <c r="F675" i="1"/>
  <c r="A675" i="1" a="1"/>
  <c r="A675" i="1" s="1"/>
  <c r="Q674" i="1"/>
  <c r="F674" i="1"/>
  <c r="A674" i="1" a="1"/>
  <c r="A674" i="1" s="1"/>
  <c r="Q673" i="1"/>
  <c r="F673" i="1"/>
  <c r="A673" i="1" a="1"/>
  <c r="A673" i="1" s="1"/>
  <c r="Q672" i="1"/>
  <c r="F672" i="1"/>
  <c r="A672" i="1" a="1"/>
  <c r="A672" i="1" s="1"/>
  <c r="Q671" i="1"/>
  <c r="F671" i="1"/>
  <c r="A671" i="1" a="1"/>
  <c r="A671" i="1" s="1"/>
  <c r="Q670" i="1"/>
  <c r="F670" i="1"/>
  <c r="A670" i="1" a="1"/>
  <c r="A670" i="1" s="1"/>
  <c r="Q669" i="1"/>
  <c r="F669" i="1"/>
  <c r="A669" i="1" a="1"/>
  <c r="A669" i="1" s="1"/>
  <c r="Q668" i="1"/>
  <c r="F668" i="1"/>
  <c r="A668" i="1" a="1"/>
  <c r="A668" i="1" s="1"/>
  <c r="Q667" i="1"/>
  <c r="F667" i="1"/>
  <c r="A667" i="1" a="1"/>
  <c r="A667" i="1" s="1"/>
  <c r="Q666" i="1"/>
  <c r="F666" i="1"/>
  <c r="A666" i="1" a="1"/>
  <c r="A666" i="1" s="1"/>
  <c r="Q665" i="1"/>
  <c r="F665" i="1"/>
  <c r="A665" i="1" a="1"/>
  <c r="A665" i="1" s="1"/>
  <c r="Q664" i="1"/>
  <c r="F664" i="1"/>
  <c r="A664" i="1" a="1"/>
  <c r="A664" i="1" s="1"/>
  <c r="Q663" i="1"/>
  <c r="F663" i="1"/>
  <c r="A663" i="1" a="1"/>
  <c r="A663" i="1" s="1"/>
  <c r="Q662" i="1"/>
  <c r="F662" i="1"/>
  <c r="A662" i="1" a="1"/>
  <c r="A662" i="1" s="1"/>
  <c r="Q661" i="1"/>
  <c r="F661" i="1"/>
  <c r="A661" i="1" a="1"/>
  <c r="A661" i="1" s="1"/>
  <c r="Q660" i="1"/>
  <c r="F660" i="1"/>
  <c r="A660" i="1" a="1"/>
  <c r="A660" i="1" s="1"/>
  <c r="Q659" i="1"/>
  <c r="F659" i="1"/>
  <c r="A659" i="1" a="1"/>
  <c r="A659" i="1" s="1"/>
  <c r="Q658" i="1"/>
  <c r="F658" i="1"/>
  <c r="A658" i="1" a="1"/>
  <c r="A658" i="1" s="1"/>
  <c r="Q657" i="1"/>
  <c r="F657" i="1"/>
  <c r="A657" i="1" a="1"/>
  <c r="A657" i="1" s="1"/>
  <c r="Q656" i="1"/>
  <c r="F656" i="1"/>
  <c r="A656" i="1" a="1"/>
  <c r="A656" i="1" s="1"/>
  <c r="Q655" i="1"/>
  <c r="F655" i="1"/>
  <c r="A655" i="1" a="1"/>
  <c r="A655" i="1" s="1"/>
  <c r="Q654" i="1"/>
  <c r="F654" i="1"/>
  <c r="A654" i="1" a="1"/>
  <c r="A654" i="1" s="1"/>
  <c r="Q653" i="1"/>
  <c r="F653" i="1"/>
  <c r="A653" i="1" a="1"/>
  <c r="A653" i="1" s="1"/>
  <c r="Q652" i="1"/>
  <c r="F652" i="1"/>
  <c r="A652" i="1" a="1"/>
  <c r="A652" i="1" s="1"/>
  <c r="Q651" i="1"/>
  <c r="F651" i="1"/>
  <c r="A651" i="1" a="1"/>
  <c r="A651" i="1" s="1"/>
  <c r="Q650" i="1"/>
  <c r="F650" i="1"/>
  <c r="A650" i="1" a="1"/>
  <c r="A650" i="1" s="1"/>
  <c r="Q649" i="1"/>
  <c r="F649" i="1"/>
  <c r="A649" i="1" a="1"/>
  <c r="A649" i="1" s="1"/>
  <c r="Q648" i="1"/>
  <c r="F648" i="1"/>
  <c r="A648" i="1" a="1"/>
  <c r="A648" i="1" s="1"/>
  <c r="Q647" i="1"/>
  <c r="F647" i="1"/>
  <c r="A647" i="1" a="1"/>
  <c r="A647" i="1" s="1"/>
  <c r="Q646" i="1"/>
  <c r="F646" i="1"/>
  <c r="A646" i="1" a="1"/>
  <c r="A646" i="1" s="1"/>
  <c r="Q645" i="1"/>
  <c r="F645" i="1"/>
  <c r="A645" i="1" a="1"/>
  <c r="A645" i="1" s="1"/>
  <c r="Q644" i="1"/>
  <c r="F644" i="1"/>
  <c r="A644" i="1" a="1"/>
  <c r="A644" i="1" s="1"/>
  <c r="Q643" i="1"/>
  <c r="F643" i="1"/>
  <c r="A643" i="1" a="1"/>
  <c r="A643" i="1" s="1"/>
  <c r="Q642" i="1"/>
  <c r="F642" i="1"/>
  <c r="A642" i="1" a="1"/>
  <c r="A642" i="1" s="1"/>
  <c r="Q641" i="1"/>
  <c r="F641" i="1"/>
  <c r="A641" i="1" a="1"/>
  <c r="A641" i="1" s="1"/>
  <c r="Q640" i="1"/>
  <c r="F640" i="1"/>
  <c r="A640" i="1" a="1"/>
  <c r="A640" i="1" s="1"/>
  <c r="Q639" i="1"/>
  <c r="F639" i="1"/>
  <c r="A639" i="1" a="1"/>
  <c r="A639" i="1" s="1"/>
  <c r="Q638" i="1"/>
  <c r="F638" i="1"/>
  <c r="A638" i="1" a="1"/>
  <c r="A638" i="1" s="1"/>
  <c r="Q637" i="1"/>
  <c r="F637" i="1"/>
  <c r="A637" i="1" a="1"/>
  <c r="A637" i="1" s="1"/>
  <c r="Q636" i="1"/>
  <c r="F636" i="1"/>
  <c r="A636" i="1" a="1"/>
  <c r="A636" i="1" s="1"/>
  <c r="Q635" i="1"/>
  <c r="F635" i="1"/>
  <c r="A635" i="1" a="1"/>
  <c r="A635" i="1" s="1"/>
  <c r="Q634" i="1"/>
  <c r="F634" i="1"/>
  <c r="A634" i="1" a="1"/>
  <c r="A634" i="1" s="1"/>
  <c r="Q633" i="1"/>
  <c r="F633" i="1"/>
  <c r="A633" i="1" a="1"/>
  <c r="A633" i="1" s="1"/>
  <c r="Q632" i="1"/>
  <c r="F632" i="1"/>
  <c r="A632" i="1" a="1"/>
  <c r="A632" i="1" s="1"/>
  <c r="Q631" i="1"/>
  <c r="F631" i="1"/>
  <c r="A631" i="1" a="1"/>
  <c r="A631" i="1" s="1"/>
  <c r="Q630" i="1"/>
  <c r="F630" i="1"/>
  <c r="A630" i="1" a="1"/>
  <c r="A630" i="1" s="1"/>
  <c r="Q629" i="1"/>
  <c r="F629" i="1"/>
  <c r="A629" i="1" a="1"/>
  <c r="A629" i="1" s="1"/>
  <c r="Q628" i="1"/>
  <c r="F628" i="1"/>
  <c r="A628" i="1" a="1"/>
  <c r="A628" i="1" s="1"/>
  <c r="Q627" i="1"/>
  <c r="F627" i="1"/>
  <c r="A627" i="1" a="1"/>
  <c r="A627" i="1" s="1"/>
  <c r="Q626" i="1"/>
  <c r="F626" i="1"/>
  <c r="A626" i="1" a="1"/>
  <c r="A626" i="1" s="1"/>
  <c r="Q625" i="1"/>
  <c r="F625" i="1"/>
  <c r="A625" i="1" a="1"/>
  <c r="A625" i="1" s="1"/>
  <c r="Q624" i="1"/>
  <c r="F624" i="1"/>
  <c r="A624" i="1" a="1"/>
  <c r="A624" i="1" s="1"/>
  <c r="Q623" i="1"/>
  <c r="F623" i="1"/>
  <c r="A623" i="1" a="1"/>
  <c r="A623" i="1" s="1"/>
  <c r="Q622" i="1"/>
  <c r="F622" i="1"/>
  <c r="A622" i="1" a="1"/>
  <c r="A622" i="1" s="1"/>
  <c r="Q621" i="1"/>
  <c r="F621" i="1"/>
  <c r="A621" i="1" a="1"/>
  <c r="A621" i="1" s="1"/>
  <c r="Q620" i="1"/>
  <c r="F620" i="1"/>
  <c r="A620" i="1" a="1"/>
  <c r="A620" i="1" s="1"/>
  <c r="Q619" i="1"/>
  <c r="F619" i="1"/>
  <c r="A619" i="1" a="1"/>
  <c r="A619" i="1" s="1"/>
  <c r="Q618" i="1"/>
  <c r="F618" i="1"/>
  <c r="A618" i="1" a="1"/>
  <c r="A618" i="1" s="1"/>
  <c r="Q617" i="1"/>
  <c r="F617" i="1"/>
  <c r="A617" i="1" a="1"/>
  <c r="A617" i="1" s="1"/>
  <c r="Q616" i="1"/>
  <c r="F616" i="1"/>
  <c r="A616" i="1" a="1"/>
  <c r="A616" i="1" s="1"/>
  <c r="Q615" i="1"/>
  <c r="F615" i="1"/>
  <c r="A615" i="1" a="1"/>
  <c r="A615" i="1" s="1"/>
  <c r="Q614" i="1"/>
  <c r="F614" i="1"/>
  <c r="A614" i="1" a="1"/>
  <c r="A614" i="1" s="1"/>
  <c r="Q613" i="1"/>
  <c r="F613" i="1"/>
  <c r="A613" i="1" a="1"/>
  <c r="A613" i="1" s="1"/>
  <c r="Q612" i="1"/>
  <c r="F612" i="1"/>
  <c r="A612" i="1" a="1"/>
  <c r="A612" i="1" s="1"/>
  <c r="Q611" i="1"/>
  <c r="F611" i="1"/>
  <c r="A611" i="1" a="1"/>
  <c r="A611" i="1" s="1"/>
  <c r="Q610" i="1"/>
  <c r="F610" i="1"/>
  <c r="A610" i="1" a="1"/>
  <c r="A610" i="1" s="1"/>
  <c r="Q609" i="1"/>
  <c r="F609" i="1"/>
  <c r="A609" i="1" a="1"/>
  <c r="A609" i="1" s="1"/>
  <c r="Q608" i="1"/>
  <c r="F608" i="1"/>
  <c r="A608" i="1" a="1"/>
  <c r="A608" i="1" s="1"/>
  <c r="Q607" i="1"/>
  <c r="F607" i="1"/>
  <c r="A607" i="1" a="1"/>
  <c r="A607" i="1" s="1"/>
  <c r="Q606" i="1"/>
  <c r="F606" i="1"/>
  <c r="A606" i="1" a="1"/>
  <c r="A606" i="1" s="1"/>
  <c r="Q605" i="1"/>
  <c r="F605" i="1"/>
  <c r="A605" i="1" a="1"/>
  <c r="A605" i="1" s="1"/>
  <c r="Q604" i="1"/>
  <c r="F604" i="1"/>
  <c r="A604" i="1" a="1"/>
  <c r="A604" i="1" s="1"/>
  <c r="Q603" i="1"/>
  <c r="F603" i="1"/>
  <c r="A603" i="1" a="1"/>
  <c r="A603" i="1" s="1"/>
  <c r="Q602" i="1"/>
  <c r="F602" i="1"/>
  <c r="A602" i="1" a="1"/>
  <c r="A602" i="1" s="1"/>
  <c r="Q601" i="1"/>
  <c r="F601" i="1"/>
  <c r="A601" i="1" a="1"/>
  <c r="A601" i="1" s="1"/>
  <c r="Q600" i="1"/>
  <c r="F600" i="1"/>
  <c r="A600" i="1" a="1"/>
  <c r="A600" i="1" s="1"/>
  <c r="Q599" i="1"/>
  <c r="F599" i="1"/>
  <c r="A599" i="1" a="1"/>
  <c r="A599" i="1" s="1"/>
  <c r="Q598" i="1"/>
  <c r="F598" i="1"/>
  <c r="A598" i="1" a="1"/>
  <c r="A598" i="1" s="1"/>
  <c r="Q597" i="1"/>
  <c r="F597" i="1"/>
  <c r="A597" i="1" a="1"/>
  <c r="A597" i="1" s="1"/>
  <c r="Q596" i="1"/>
  <c r="F596" i="1"/>
  <c r="A596" i="1" a="1"/>
  <c r="A596" i="1" s="1"/>
  <c r="Q595" i="1"/>
  <c r="F595" i="1"/>
  <c r="A595" i="1" a="1"/>
  <c r="A595" i="1" s="1"/>
  <c r="Q594" i="1"/>
  <c r="F594" i="1"/>
  <c r="A594" i="1" a="1"/>
  <c r="A594" i="1" s="1"/>
  <c r="Q593" i="1"/>
  <c r="F593" i="1"/>
  <c r="A593" i="1" a="1"/>
  <c r="A593" i="1" s="1"/>
  <c r="Q592" i="1"/>
  <c r="F592" i="1"/>
  <c r="A592" i="1" a="1"/>
  <c r="A592" i="1" s="1"/>
  <c r="Q591" i="1"/>
  <c r="F591" i="1"/>
  <c r="A591" i="1" a="1"/>
  <c r="A591" i="1" s="1"/>
  <c r="Q590" i="1"/>
  <c r="F590" i="1"/>
  <c r="A590" i="1" a="1"/>
  <c r="A590" i="1" s="1"/>
  <c r="Q589" i="1"/>
  <c r="F589" i="1"/>
  <c r="A589" i="1" a="1"/>
  <c r="A589" i="1" s="1"/>
  <c r="Q588" i="1"/>
  <c r="F588" i="1"/>
  <c r="A588" i="1" a="1"/>
  <c r="A588" i="1" s="1"/>
  <c r="Q587" i="1"/>
  <c r="F587" i="1"/>
  <c r="A587" i="1" a="1"/>
  <c r="A587" i="1" s="1"/>
  <c r="Q586" i="1"/>
  <c r="F586" i="1"/>
  <c r="A586" i="1" a="1"/>
  <c r="A586" i="1" s="1"/>
  <c r="Q585" i="1"/>
  <c r="F585" i="1"/>
  <c r="A585" i="1" a="1"/>
  <c r="A585" i="1" s="1"/>
  <c r="Q584" i="1"/>
  <c r="F584" i="1"/>
  <c r="A584" i="1" a="1"/>
  <c r="A584" i="1" s="1"/>
  <c r="Q583" i="1"/>
  <c r="F583" i="1"/>
  <c r="A583" i="1" a="1"/>
  <c r="A583" i="1" s="1"/>
  <c r="Q582" i="1"/>
  <c r="F582" i="1"/>
  <c r="A582" i="1" a="1"/>
  <c r="A582" i="1" s="1"/>
  <c r="Q581" i="1"/>
  <c r="F581" i="1"/>
  <c r="A581" i="1" a="1"/>
  <c r="A581" i="1" s="1"/>
  <c r="Q580" i="1"/>
  <c r="F580" i="1"/>
  <c r="A580" i="1" a="1"/>
  <c r="A580" i="1" s="1"/>
  <c r="Q579" i="1"/>
  <c r="F579" i="1"/>
  <c r="A579" i="1" a="1"/>
  <c r="A579" i="1" s="1"/>
  <c r="Q578" i="1"/>
  <c r="F578" i="1"/>
  <c r="A578" i="1" a="1"/>
  <c r="A578" i="1" s="1"/>
  <c r="Q577" i="1"/>
  <c r="F577" i="1"/>
  <c r="A577" i="1" a="1"/>
  <c r="A577" i="1" s="1"/>
  <c r="Q576" i="1"/>
  <c r="F576" i="1"/>
  <c r="A576" i="1" a="1"/>
  <c r="A576" i="1" s="1"/>
  <c r="Q575" i="1"/>
  <c r="F575" i="1"/>
  <c r="A575" i="1" a="1"/>
  <c r="A575" i="1" s="1"/>
  <c r="Q574" i="1"/>
  <c r="F574" i="1"/>
  <c r="A574" i="1" a="1"/>
  <c r="A574" i="1" s="1"/>
  <c r="Q573" i="1"/>
  <c r="F573" i="1"/>
  <c r="A573" i="1" a="1"/>
  <c r="A573" i="1" s="1"/>
  <c r="Q572" i="1"/>
  <c r="F572" i="1"/>
  <c r="A572" i="1" a="1"/>
  <c r="A572" i="1" s="1"/>
  <c r="Q571" i="1"/>
  <c r="F571" i="1"/>
  <c r="A571" i="1" a="1"/>
  <c r="A571" i="1" s="1"/>
  <c r="Q570" i="1"/>
  <c r="F570" i="1"/>
  <c r="A570" i="1" a="1"/>
  <c r="A570" i="1" s="1"/>
  <c r="Q569" i="1"/>
  <c r="F569" i="1"/>
  <c r="A569" i="1" a="1"/>
  <c r="A569" i="1" s="1"/>
  <c r="Q568" i="1"/>
  <c r="F568" i="1"/>
  <c r="A568" i="1" a="1"/>
  <c r="A568" i="1" s="1"/>
  <c r="Q567" i="1"/>
  <c r="F567" i="1"/>
  <c r="A567" i="1" a="1"/>
  <c r="A567" i="1" s="1"/>
  <c r="Q566" i="1"/>
  <c r="F566" i="1"/>
  <c r="A566" i="1" a="1"/>
  <c r="A566" i="1" s="1"/>
  <c r="Q565" i="1"/>
  <c r="F565" i="1"/>
  <c r="A565" i="1" a="1"/>
  <c r="A565" i="1" s="1"/>
  <c r="Q564" i="1"/>
  <c r="F564" i="1"/>
  <c r="A564" i="1" a="1"/>
  <c r="A564" i="1" s="1"/>
  <c r="Q563" i="1"/>
  <c r="F563" i="1"/>
  <c r="A563" i="1" a="1"/>
  <c r="A563" i="1" s="1"/>
  <c r="Q562" i="1"/>
  <c r="F562" i="1"/>
  <c r="A562" i="1" a="1"/>
  <c r="A562" i="1" s="1"/>
  <c r="Q561" i="1"/>
  <c r="F561" i="1"/>
  <c r="A561" i="1" a="1"/>
  <c r="A561" i="1" s="1"/>
  <c r="Q560" i="1"/>
  <c r="F560" i="1"/>
  <c r="A560" i="1" a="1"/>
  <c r="A560" i="1" s="1"/>
  <c r="Q559" i="1"/>
  <c r="F559" i="1"/>
  <c r="A559" i="1" a="1"/>
  <c r="A559" i="1" s="1"/>
  <c r="Q558" i="1"/>
  <c r="F558" i="1"/>
  <c r="A558" i="1" a="1"/>
  <c r="A558" i="1" s="1"/>
  <c r="Q557" i="1"/>
  <c r="F557" i="1"/>
  <c r="A557" i="1" a="1"/>
  <c r="A557" i="1" s="1"/>
  <c r="Q556" i="1"/>
  <c r="F556" i="1"/>
  <c r="A556" i="1" a="1"/>
  <c r="A556" i="1" s="1"/>
  <c r="Q555" i="1"/>
  <c r="F555" i="1"/>
  <c r="A555" i="1" a="1"/>
  <c r="A555" i="1" s="1"/>
  <c r="Q554" i="1"/>
  <c r="F554" i="1"/>
  <c r="A554" i="1" a="1"/>
  <c r="A554" i="1" s="1"/>
  <c r="Q553" i="1"/>
  <c r="F553" i="1"/>
  <c r="A553" i="1" a="1"/>
  <c r="A553" i="1" s="1"/>
  <c r="Q552" i="1"/>
  <c r="F552" i="1"/>
  <c r="A552" i="1" a="1"/>
  <c r="A552" i="1" s="1"/>
  <c r="Q551" i="1"/>
  <c r="F551" i="1"/>
  <c r="A551" i="1" a="1"/>
  <c r="A551" i="1" s="1"/>
  <c r="Q550" i="1"/>
  <c r="F550" i="1"/>
  <c r="A550" i="1" a="1"/>
  <c r="A550" i="1" s="1"/>
  <c r="Q549" i="1"/>
  <c r="F549" i="1"/>
  <c r="A549" i="1" a="1"/>
  <c r="A549" i="1" s="1"/>
  <c r="Q548" i="1"/>
  <c r="F548" i="1"/>
  <c r="A548" i="1" a="1"/>
  <c r="A548" i="1" s="1"/>
  <c r="Q547" i="1"/>
  <c r="F547" i="1"/>
  <c r="A547" i="1" a="1"/>
  <c r="A547" i="1" s="1"/>
  <c r="Q546" i="1"/>
  <c r="F546" i="1"/>
  <c r="A546" i="1" a="1"/>
  <c r="A546" i="1" s="1"/>
  <c r="Q545" i="1"/>
  <c r="F545" i="1"/>
  <c r="A545" i="1" a="1"/>
  <c r="A545" i="1" s="1"/>
  <c r="Q544" i="1"/>
  <c r="F544" i="1"/>
  <c r="A544" i="1" a="1"/>
  <c r="A544" i="1" s="1"/>
  <c r="Q543" i="1"/>
  <c r="F543" i="1"/>
  <c r="A543" i="1" a="1"/>
  <c r="A543" i="1" s="1"/>
  <c r="Q542" i="1"/>
  <c r="F542" i="1"/>
  <c r="A542" i="1" a="1"/>
  <c r="A542" i="1" s="1"/>
  <c r="Q541" i="1"/>
  <c r="F541" i="1"/>
  <c r="A541" i="1" a="1"/>
  <c r="A541" i="1" s="1"/>
  <c r="Q540" i="1"/>
  <c r="F540" i="1"/>
  <c r="A540" i="1" a="1"/>
  <c r="A540" i="1" s="1"/>
  <c r="Q539" i="1"/>
  <c r="F539" i="1"/>
  <c r="A539" i="1" a="1"/>
  <c r="A539" i="1" s="1"/>
  <c r="Q538" i="1"/>
  <c r="F538" i="1"/>
  <c r="A538" i="1" a="1"/>
  <c r="A538" i="1" s="1"/>
  <c r="Q537" i="1"/>
  <c r="F537" i="1"/>
  <c r="A537" i="1" a="1"/>
  <c r="A537" i="1" s="1"/>
  <c r="Q536" i="1"/>
  <c r="F536" i="1"/>
  <c r="A536" i="1" a="1"/>
  <c r="A536" i="1" s="1"/>
  <c r="Q535" i="1"/>
  <c r="F535" i="1"/>
  <c r="A535" i="1" a="1"/>
  <c r="A535" i="1" s="1"/>
  <c r="Q534" i="1"/>
  <c r="F534" i="1"/>
  <c r="A534" i="1" a="1"/>
  <c r="A534" i="1" s="1"/>
  <c r="Q533" i="1"/>
  <c r="F533" i="1"/>
  <c r="A533" i="1" a="1"/>
  <c r="A533" i="1" s="1"/>
  <c r="Q532" i="1"/>
  <c r="F532" i="1"/>
  <c r="A532" i="1" a="1"/>
  <c r="A532" i="1" s="1"/>
  <c r="Q531" i="1"/>
  <c r="F531" i="1"/>
  <c r="A531" i="1" a="1"/>
  <c r="A531" i="1" s="1"/>
  <c r="Q530" i="1"/>
  <c r="F530" i="1"/>
  <c r="A530" i="1" a="1"/>
  <c r="A530" i="1" s="1"/>
  <c r="Q529" i="1"/>
  <c r="F529" i="1"/>
  <c r="A529" i="1" a="1"/>
  <c r="A529" i="1" s="1"/>
  <c r="Q528" i="1"/>
  <c r="F528" i="1"/>
  <c r="A528" i="1" a="1"/>
  <c r="A528" i="1" s="1"/>
  <c r="Q527" i="1"/>
  <c r="F527" i="1"/>
  <c r="A527" i="1" a="1"/>
  <c r="A527" i="1" s="1"/>
  <c r="Q526" i="1"/>
  <c r="F526" i="1"/>
  <c r="A526" i="1" a="1"/>
  <c r="A526" i="1" s="1"/>
  <c r="Q525" i="1"/>
  <c r="F525" i="1"/>
  <c r="A525" i="1" a="1"/>
  <c r="A525" i="1" s="1"/>
  <c r="Q524" i="1"/>
  <c r="F524" i="1"/>
  <c r="A524" i="1" a="1"/>
  <c r="A524" i="1" s="1"/>
  <c r="Q523" i="1"/>
  <c r="F523" i="1"/>
  <c r="A523" i="1" a="1"/>
  <c r="A523" i="1" s="1"/>
  <c r="Q522" i="1"/>
  <c r="F522" i="1"/>
  <c r="A522" i="1" a="1"/>
  <c r="A522" i="1" s="1"/>
  <c r="Q521" i="1"/>
  <c r="F521" i="1"/>
  <c r="A521" i="1" a="1"/>
  <c r="A521" i="1" s="1"/>
  <c r="Q520" i="1"/>
  <c r="F520" i="1"/>
  <c r="A520" i="1" a="1"/>
  <c r="A520" i="1" s="1"/>
  <c r="Q519" i="1"/>
  <c r="F519" i="1"/>
  <c r="A519" i="1" a="1"/>
  <c r="A519" i="1" s="1"/>
  <c r="Q518" i="1"/>
  <c r="F518" i="1"/>
  <c r="A518" i="1" a="1"/>
  <c r="A518" i="1" s="1"/>
  <c r="Q517" i="1"/>
  <c r="F517" i="1"/>
  <c r="A517" i="1" a="1"/>
  <c r="A517" i="1" s="1"/>
  <c r="Q516" i="1"/>
  <c r="F516" i="1"/>
  <c r="A516" i="1" a="1"/>
  <c r="A516" i="1" s="1"/>
  <c r="Q515" i="1"/>
  <c r="F515" i="1"/>
  <c r="A515" i="1" a="1"/>
  <c r="A515" i="1" s="1"/>
  <c r="Q514" i="1"/>
  <c r="F514" i="1"/>
  <c r="A514" i="1" a="1"/>
  <c r="A514" i="1" s="1"/>
  <c r="Q513" i="1"/>
  <c r="F513" i="1"/>
  <c r="A513" i="1" a="1"/>
  <c r="A513" i="1" s="1"/>
  <c r="Q512" i="1"/>
  <c r="F512" i="1"/>
  <c r="A512" i="1" a="1"/>
  <c r="A512" i="1" s="1"/>
  <c r="Q511" i="1"/>
  <c r="F511" i="1"/>
  <c r="A511" i="1" a="1"/>
  <c r="A511" i="1" s="1"/>
  <c r="Q510" i="1"/>
  <c r="F510" i="1"/>
  <c r="A510" i="1" a="1"/>
  <c r="A510" i="1" s="1"/>
  <c r="Q509" i="1"/>
  <c r="F509" i="1"/>
  <c r="A509" i="1" a="1"/>
  <c r="A509" i="1" s="1"/>
  <c r="Q508" i="1"/>
  <c r="F508" i="1"/>
  <c r="A508" i="1" a="1"/>
  <c r="A508" i="1" s="1"/>
  <c r="Q507" i="1"/>
  <c r="F507" i="1"/>
  <c r="A507" i="1" a="1"/>
  <c r="A507" i="1" s="1"/>
  <c r="Q506" i="1"/>
  <c r="F506" i="1"/>
  <c r="A506" i="1" a="1"/>
  <c r="A506" i="1" s="1"/>
  <c r="Q505" i="1"/>
  <c r="F505" i="1"/>
  <c r="A505" i="1" a="1"/>
  <c r="A505" i="1" s="1"/>
  <c r="Q504" i="1"/>
  <c r="F504" i="1"/>
  <c r="A504" i="1" a="1"/>
  <c r="A504" i="1" s="1"/>
  <c r="Q503" i="1"/>
  <c r="F503" i="1"/>
  <c r="A503" i="1" a="1"/>
  <c r="A503" i="1" s="1"/>
  <c r="Q502" i="1"/>
  <c r="F502" i="1"/>
  <c r="A502" i="1" a="1"/>
  <c r="A502" i="1" s="1"/>
  <c r="Q501" i="1"/>
  <c r="F501" i="1"/>
  <c r="A501" i="1" a="1"/>
  <c r="A501" i="1" s="1"/>
  <c r="Q500" i="1"/>
  <c r="F500" i="1"/>
  <c r="A500" i="1" a="1"/>
  <c r="A500" i="1" s="1"/>
  <c r="Q499" i="1"/>
  <c r="F499" i="1"/>
  <c r="A499" i="1" a="1"/>
  <c r="A499" i="1" s="1"/>
  <c r="Q498" i="1"/>
  <c r="F498" i="1"/>
  <c r="A498" i="1" a="1"/>
  <c r="A498" i="1" s="1"/>
  <c r="Q497" i="1"/>
  <c r="F497" i="1"/>
  <c r="A497" i="1" a="1"/>
  <c r="A497" i="1" s="1"/>
  <c r="Q496" i="1"/>
  <c r="F496" i="1"/>
  <c r="A496" i="1" a="1"/>
  <c r="A496" i="1" s="1"/>
  <c r="Q495" i="1"/>
  <c r="F495" i="1"/>
  <c r="A495" i="1" a="1"/>
  <c r="A495" i="1" s="1"/>
  <c r="Q494" i="1"/>
  <c r="F494" i="1"/>
  <c r="A494" i="1" a="1"/>
  <c r="A494" i="1" s="1"/>
  <c r="Q493" i="1"/>
  <c r="F493" i="1"/>
  <c r="A493" i="1" a="1"/>
  <c r="A493" i="1" s="1"/>
  <c r="Q492" i="1"/>
  <c r="F492" i="1"/>
  <c r="A492" i="1" a="1"/>
  <c r="A492" i="1" s="1"/>
  <c r="Q491" i="1"/>
  <c r="F491" i="1"/>
  <c r="A491" i="1" a="1"/>
  <c r="A491" i="1" s="1"/>
  <c r="Q490" i="1"/>
  <c r="F490" i="1"/>
  <c r="A490" i="1" a="1"/>
  <c r="A490" i="1" s="1"/>
  <c r="Q489" i="1"/>
  <c r="F489" i="1"/>
  <c r="A489" i="1" a="1"/>
  <c r="A489" i="1" s="1"/>
  <c r="Q488" i="1"/>
  <c r="F488" i="1"/>
  <c r="A488" i="1" a="1"/>
  <c r="A488" i="1" s="1"/>
  <c r="Q487" i="1"/>
  <c r="F487" i="1"/>
  <c r="A487" i="1" a="1"/>
  <c r="A487" i="1" s="1"/>
  <c r="Q486" i="1"/>
  <c r="F486" i="1"/>
  <c r="A486" i="1" a="1"/>
  <c r="A486" i="1" s="1"/>
  <c r="Q485" i="1"/>
  <c r="F485" i="1"/>
  <c r="A485" i="1" a="1"/>
  <c r="A485" i="1" s="1"/>
  <c r="Q484" i="1"/>
  <c r="F484" i="1"/>
  <c r="A484" i="1" a="1"/>
  <c r="A484" i="1" s="1"/>
  <c r="Q483" i="1"/>
  <c r="F483" i="1"/>
  <c r="A483" i="1" a="1"/>
  <c r="A483" i="1" s="1"/>
  <c r="Q482" i="1"/>
  <c r="F482" i="1"/>
  <c r="A482" i="1" a="1"/>
  <c r="A482" i="1" s="1"/>
  <c r="Q481" i="1"/>
  <c r="F481" i="1"/>
  <c r="A481" i="1" a="1"/>
  <c r="A481" i="1" s="1"/>
  <c r="Q480" i="1"/>
  <c r="F480" i="1"/>
  <c r="A480" i="1" a="1"/>
  <c r="A480" i="1" s="1"/>
  <c r="Q479" i="1"/>
  <c r="F479" i="1"/>
  <c r="A479" i="1" a="1"/>
  <c r="A479" i="1" s="1"/>
  <c r="Q478" i="1"/>
  <c r="F478" i="1"/>
  <c r="A478" i="1" a="1"/>
  <c r="A478" i="1" s="1"/>
  <c r="Q477" i="1"/>
  <c r="F477" i="1"/>
  <c r="A477" i="1" a="1"/>
  <c r="A477" i="1" s="1"/>
  <c r="Q476" i="1"/>
  <c r="F476" i="1"/>
  <c r="A476" i="1" a="1"/>
  <c r="A476" i="1" s="1"/>
  <c r="Q475" i="1"/>
  <c r="F475" i="1"/>
  <c r="A475" i="1" a="1"/>
  <c r="A475" i="1" s="1"/>
  <c r="Q474" i="1"/>
  <c r="F474" i="1"/>
  <c r="A474" i="1" a="1"/>
  <c r="A474" i="1" s="1"/>
  <c r="Q473" i="1"/>
  <c r="F473" i="1"/>
  <c r="A473" i="1" a="1"/>
  <c r="A473" i="1" s="1"/>
  <c r="Q472" i="1"/>
  <c r="F472" i="1"/>
  <c r="A472" i="1" a="1"/>
  <c r="A472" i="1" s="1"/>
  <c r="Q471" i="1"/>
  <c r="F471" i="1"/>
  <c r="A471" i="1" a="1"/>
  <c r="A471" i="1" s="1"/>
  <c r="Q470" i="1"/>
  <c r="F470" i="1"/>
  <c r="A470" i="1" a="1"/>
  <c r="A470" i="1" s="1"/>
  <c r="Q469" i="1"/>
  <c r="F469" i="1"/>
  <c r="A469" i="1" a="1"/>
  <c r="A469" i="1" s="1"/>
  <c r="Q468" i="1"/>
  <c r="F468" i="1"/>
  <c r="A468" i="1" a="1"/>
  <c r="A468" i="1" s="1"/>
  <c r="Q467" i="1"/>
  <c r="F467" i="1"/>
  <c r="A467" i="1" a="1"/>
  <c r="A467" i="1" s="1"/>
  <c r="Q466" i="1"/>
  <c r="F466" i="1"/>
  <c r="A466" i="1" a="1"/>
  <c r="A466" i="1" s="1"/>
  <c r="Q465" i="1"/>
  <c r="F465" i="1"/>
  <c r="A465" i="1" a="1"/>
  <c r="A465" i="1" s="1"/>
  <c r="Q464" i="1"/>
  <c r="F464" i="1"/>
  <c r="A464" i="1" a="1"/>
  <c r="A464" i="1" s="1"/>
  <c r="Q463" i="1"/>
  <c r="F463" i="1"/>
  <c r="A463" i="1" a="1"/>
  <c r="A463" i="1" s="1"/>
  <c r="Q462" i="1"/>
  <c r="F462" i="1"/>
  <c r="A462" i="1" a="1"/>
  <c r="A462" i="1" s="1"/>
  <c r="Q461" i="1"/>
  <c r="F461" i="1"/>
  <c r="A461" i="1" a="1"/>
  <c r="A461" i="1" s="1"/>
  <c r="Q460" i="1"/>
  <c r="F460" i="1"/>
  <c r="A460" i="1" a="1"/>
  <c r="A460" i="1" s="1"/>
  <c r="Q459" i="1"/>
  <c r="F459" i="1"/>
  <c r="A459" i="1" a="1"/>
  <c r="A459" i="1" s="1"/>
  <c r="Q458" i="1"/>
  <c r="F458" i="1"/>
  <c r="A458" i="1" a="1"/>
  <c r="A458" i="1" s="1"/>
  <c r="Q457" i="1"/>
  <c r="F457" i="1"/>
  <c r="A457" i="1" a="1"/>
  <c r="A457" i="1" s="1"/>
  <c r="Q456" i="1"/>
  <c r="F456" i="1"/>
  <c r="A456" i="1" a="1"/>
  <c r="A456" i="1" s="1"/>
  <c r="Q455" i="1"/>
  <c r="F455" i="1"/>
  <c r="A455" i="1" a="1"/>
  <c r="A455" i="1" s="1"/>
  <c r="Q454" i="1"/>
  <c r="F454" i="1"/>
  <c r="A454" i="1" a="1"/>
  <c r="A454" i="1" s="1"/>
  <c r="Q453" i="1"/>
  <c r="F453" i="1"/>
  <c r="A453" i="1" a="1"/>
  <c r="A453" i="1" s="1"/>
  <c r="Q452" i="1"/>
  <c r="F452" i="1"/>
  <c r="A452" i="1" a="1"/>
  <c r="A452" i="1" s="1"/>
  <c r="Q451" i="1"/>
  <c r="F451" i="1"/>
  <c r="A451" i="1" a="1"/>
  <c r="A451" i="1" s="1"/>
  <c r="Q450" i="1"/>
  <c r="F450" i="1"/>
  <c r="A450" i="1" a="1"/>
  <c r="A450" i="1" s="1"/>
  <c r="Q449" i="1"/>
  <c r="F449" i="1"/>
  <c r="A449" i="1" a="1"/>
  <c r="A449" i="1" s="1"/>
  <c r="Q448" i="1"/>
  <c r="F448" i="1"/>
  <c r="A448" i="1" a="1"/>
  <c r="A448" i="1" s="1"/>
  <c r="Q447" i="1"/>
  <c r="F447" i="1"/>
  <c r="A447" i="1" a="1"/>
  <c r="A447" i="1" s="1"/>
  <c r="Q446" i="1"/>
  <c r="F446" i="1"/>
  <c r="A446" i="1" a="1"/>
  <c r="A446" i="1" s="1"/>
  <c r="Q445" i="1"/>
  <c r="F445" i="1"/>
  <c r="A445" i="1" a="1"/>
  <c r="A445" i="1" s="1"/>
  <c r="Q444" i="1"/>
  <c r="F444" i="1"/>
  <c r="A444" i="1" a="1"/>
  <c r="A444" i="1" s="1"/>
  <c r="Q443" i="1"/>
  <c r="F443" i="1"/>
  <c r="A443" i="1" a="1"/>
  <c r="A443" i="1" s="1"/>
  <c r="Q442" i="1"/>
  <c r="F442" i="1"/>
  <c r="A442" i="1" a="1"/>
  <c r="A442" i="1" s="1"/>
  <c r="Q441" i="1"/>
  <c r="F441" i="1"/>
  <c r="A441" i="1" a="1"/>
  <c r="A441" i="1" s="1"/>
  <c r="Q440" i="1"/>
  <c r="F440" i="1"/>
  <c r="A440" i="1" a="1"/>
  <c r="A440" i="1" s="1"/>
  <c r="Q439" i="1"/>
  <c r="F439" i="1"/>
  <c r="A439" i="1" a="1"/>
  <c r="A439" i="1" s="1"/>
  <c r="Q438" i="1"/>
  <c r="F438" i="1"/>
  <c r="A438" i="1" a="1"/>
  <c r="A438" i="1" s="1"/>
  <c r="Q437" i="1"/>
  <c r="F437" i="1"/>
  <c r="A437" i="1" a="1"/>
  <c r="A437" i="1" s="1"/>
  <c r="Q436" i="1"/>
  <c r="F436" i="1"/>
  <c r="A436" i="1" a="1"/>
  <c r="A436" i="1" s="1"/>
  <c r="Q435" i="1"/>
  <c r="F435" i="1"/>
  <c r="A435" i="1" a="1"/>
  <c r="A435" i="1" s="1"/>
  <c r="Q434" i="1"/>
  <c r="F434" i="1"/>
  <c r="A434" i="1" a="1"/>
  <c r="A434" i="1" s="1"/>
  <c r="Q433" i="1"/>
  <c r="F433" i="1"/>
  <c r="A433" i="1" a="1"/>
  <c r="A433" i="1" s="1"/>
  <c r="Q432" i="1"/>
  <c r="F432" i="1"/>
  <c r="A432" i="1" a="1"/>
  <c r="A432" i="1" s="1"/>
  <c r="Q431" i="1"/>
  <c r="F431" i="1"/>
  <c r="A431" i="1" a="1"/>
  <c r="A431" i="1" s="1"/>
  <c r="Q430" i="1"/>
  <c r="F430" i="1"/>
  <c r="A430" i="1" a="1"/>
  <c r="A430" i="1" s="1"/>
  <c r="Q429" i="1"/>
  <c r="F429" i="1"/>
  <c r="A429" i="1" a="1"/>
  <c r="A429" i="1" s="1"/>
  <c r="Q428" i="1"/>
  <c r="F428" i="1"/>
  <c r="A428" i="1" a="1"/>
  <c r="A428" i="1" s="1"/>
  <c r="Q427" i="1"/>
  <c r="F427" i="1"/>
  <c r="A427" i="1" a="1"/>
  <c r="A427" i="1" s="1"/>
  <c r="Q426" i="1"/>
  <c r="F426" i="1"/>
  <c r="A426" i="1" a="1"/>
  <c r="A426" i="1" s="1"/>
  <c r="Q425" i="1"/>
  <c r="F425" i="1"/>
  <c r="A425" i="1" a="1"/>
  <c r="A425" i="1" s="1"/>
  <c r="Q424" i="1"/>
  <c r="F424" i="1"/>
  <c r="A424" i="1" a="1"/>
  <c r="A424" i="1" s="1"/>
  <c r="Q423" i="1"/>
  <c r="F423" i="1"/>
  <c r="A423" i="1" a="1"/>
  <c r="A423" i="1" s="1"/>
  <c r="Q422" i="1"/>
  <c r="F422" i="1"/>
  <c r="A422" i="1" a="1"/>
  <c r="A422" i="1" s="1"/>
  <c r="Q421" i="1"/>
  <c r="F421" i="1"/>
  <c r="A421" i="1" a="1"/>
  <c r="A421" i="1" s="1"/>
  <c r="Q420" i="1"/>
  <c r="F420" i="1"/>
  <c r="A420" i="1" a="1"/>
  <c r="A420" i="1" s="1"/>
  <c r="Q419" i="1"/>
  <c r="F419" i="1"/>
  <c r="A419" i="1" a="1"/>
  <c r="A419" i="1" s="1"/>
  <c r="Q418" i="1"/>
  <c r="F418" i="1"/>
  <c r="A418" i="1" a="1"/>
  <c r="A418" i="1" s="1"/>
  <c r="Q417" i="1"/>
  <c r="F417" i="1"/>
  <c r="A417" i="1" a="1"/>
  <c r="A417" i="1" s="1"/>
  <c r="Q416" i="1"/>
  <c r="F416" i="1"/>
  <c r="A416" i="1" a="1"/>
  <c r="A416" i="1" s="1"/>
  <c r="Q415" i="1"/>
  <c r="F415" i="1"/>
  <c r="A415" i="1" a="1"/>
  <c r="A415" i="1" s="1"/>
  <c r="Q414" i="1"/>
  <c r="F414" i="1"/>
  <c r="A414" i="1" a="1"/>
  <c r="A414" i="1" s="1"/>
  <c r="Q413" i="1"/>
  <c r="F413" i="1"/>
  <c r="A413" i="1" a="1"/>
  <c r="A413" i="1" s="1"/>
  <c r="Q412" i="1"/>
  <c r="F412" i="1"/>
  <c r="A412" i="1" a="1"/>
  <c r="A412" i="1" s="1"/>
  <c r="Q411" i="1"/>
  <c r="F411" i="1"/>
  <c r="A411" i="1" a="1"/>
  <c r="A411" i="1" s="1"/>
  <c r="Q410" i="1"/>
  <c r="F410" i="1"/>
  <c r="A410" i="1" a="1"/>
  <c r="A410" i="1" s="1"/>
  <c r="Q409" i="1"/>
  <c r="F409" i="1"/>
  <c r="A409" i="1" a="1"/>
  <c r="A409" i="1" s="1"/>
  <c r="Q408" i="1"/>
  <c r="F408" i="1"/>
  <c r="A408" i="1" a="1"/>
  <c r="A408" i="1" s="1"/>
  <c r="Q407" i="1"/>
  <c r="F407" i="1"/>
  <c r="A407" i="1" a="1"/>
  <c r="A407" i="1" s="1"/>
  <c r="Q406" i="1"/>
  <c r="F406" i="1"/>
  <c r="A406" i="1" a="1"/>
  <c r="A406" i="1" s="1"/>
  <c r="Q405" i="1"/>
  <c r="F405" i="1"/>
  <c r="A405" i="1" a="1"/>
  <c r="A405" i="1" s="1"/>
  <c r="Q404" i="1"/>
  <c r="F404" i="1"/>
  <c r="A404" i="1" a="1"/>
  <c r="A404" i="1" s="1"/>
  <c r="Q403" i="1"/>
  <c r="F403" i="1"/>
  <c r="A403" i="1" a="1"/>
  <c r="A403" i="1" s="1"/>
  <c r="Q402" i="1"/>
  <c r="F402" i="1"/>
  <c r="A402" i="1" a="1"/>
  <c r="A402" i="1" s="1"/>
  <c r="Q401" i="1"/>
  <c r="F401" i="1"/>
  <c r="A401" i="1" a="1"/>
  <c r="A401" i="1" s="1"/>
  <c r="Q400" i="1"/>
  <c r="F400" i="1"/>
  <c r="A400" i="1" a="1"/>
  <c r="A400" i="1" s="1"/>
  <c r="Q399" i="1"/>
  <c r="F399" i="1"/>
  <c r="A399" i="1" a="1"/>
  <c r="A399" i="1" s="1"/>
  <c r="Q398" i="1"/>
  <c r="F398" i="1"/>
  <c r="A398" i="1" a="1"/>
  <c r="A398" i="1" s="1"/>
  <c r="Q397" i="1"/>
  <c r="F397" i="1"/>
  <c r="A397" i="1" a="1"/>
  <c r="A397" i="1" s="1"/>
  <c r="Q396" i="1"/>
  <c r="F396" i="1"/>
  <c r="A396" i="1" a="1"/>
  <c r="A396" i="1" s="1"/>
  <c r="Q395" i="1"/>
  <c r="F395" i="1"/>
  <c r="A395" i="1" a="1"/>
  <c r="A395" i="1" s="1"/>
  <c r="Q394" i="1"/>
  <c r="F394" i="1"/>
  <c r="A394" i="1" a="1"/>
  <c r="A394" i="1" s="1"/>
  <c r="Q393" i="1"/>
  <c r="F393" i="1"/>
  <c r="A393" i="1" a="1"/>
  <c r="A393" i="1" s="1"/>
  <c r="Q392" i="1"/>
  <c r="F392" i="1"/>
  <c r="A392" i="1" a="1"/>
  <c r="A392" i="1" s="1"/>
  <c r="Q391" i="1"/>
  <c r="F391" i="1"/>
  <c r="A391" i="1" a="1"/>
  <c r="A391" i="1" s="1"/>
  <c r="Q390" i="1"/>
  <c r="F390" i="1"/>
  <c r="A390" i="1" a="1"/>
  <c r="A390" i="1" s="1"/>
  <c r="Q389" i="1"/>
  <c r="F389" i="1"/>
  <c r="A389" i="1" a="1"/>
  <c r="A389" i="1" s="1"/>
  <c r="Q388" i="1"/>
  <c r="F388" i="1"/>
  <c r="A388" i="1" a="1"/>
  <c r="A388" i="1" s="1"/>
  <c r="Q387" i="1"/>
  <c r="F387" i="1"/>
  <c r="A387" i="1" a="1"/>
  <c r="A387" i="1" s="1"/>
  <c r="Q386" i="1"/>
  <c r="F386" i="1"/>
  <c r="A386" i="1" a="1"/>
  <c r="A386" i="1" s="1"/>
  <c r="Q385" i="1"/>
  <c r="F385" i="1"/>
  <c r="A385" i="1" a="1"/>
  <c r="A385" i="1" s="1"/>
  <c r="Q384" i="1"/>
  <c r="F384" i="1"/>
  <c r="A384" i="1" a="1"/>
  <c r="A384" i="1" s="1"/>
  <c r="Q383" i="1"/>
  <c r="F383" i="1"/>
  <c r="A383" i="1" a="1"/>
  <c r="A383" i="1" s="1"/>
  <c r="Q382" i="1"/>
  <c r="F382" i="1"/>
  <c r="A382" i="1" a="1"/>
  <c r="A382" i="1" s="1"/>
  <c r="Q381" i="1"/>
  <c r="F381" i="1"/>
  <c r="A381" i="1" a="1"/>
  <c r="A381" i="1" s="1"/>
  <c r="Q380" i="1"/>
  <c r="F380" i="1"/>
  <c r="A380" i="1" a="1"/>
  <c r="A380" i="1" s="1"/>
  <c r="Q379" i="1"/>
  <c r="F379" i="1"/>
  <c r="A379" i="1" a="1"/>
  <c r="A379" i="1" s="1"/>
  <c r="Q378" i="1"/>
  <c r="F378" i="1"/>
  <c r="A378" i="1" a="1"/>
  <c r="A378" i="1" s="1"/>
  <c r="Q377" i="1"/>
  <c r="F377" i="1"/>
  <c r="A377" i="1" a="1"/>
  <c r="A377" i="1" s="1"/>
  <c r="Q376" i="1"/>
  <c r="F376" i="1"/>
  <c r="A376" i="1" a="1"/>
  <c r="A376" i="1" s="1"/>
  <c r="Q375" i="1"/>
  <c r="F375" i="1"/>
  <c r="A375" i="1" a="1"/>
  <c r="A375" i="1" s="1"/>
  <c r="Q374" i="1"/>
  <c r="F374" i="1"/>
  <c r="A374" i="1" a="1"/>
  <c r="A374" i="1" s="1"/>
  <c r="Q373" i="1"/>
  <c r="F373" i="1"/>
  <c r="A373" i="1" a="1"/>
  <c r="A373" i="1" s="1"/>
  <c r="Q372" i="1"/>
  <c r="F372" i="1"/>
  <c r="A372" i="1" a="1"/>
  <c r="A372" i="1" s="1"/>
  <c r="Q371" i="1"/>
  <c r="F371" i="1"/>
  <c r="A371" i="1" a="1"/>
  <c r="A371" i="1" s="1"/>
  <c r="Q370" i="1"/>
  <c r="F370" i="1"/>
  <c r="A370" i="1" a="1"/>
  <c r="A370" i="1" s="1"/>
  <c r="Q369" i="1"/>
  <c r="F369" i="1"/>
  <c r="A369" i="1" a="1"/>
  <c r="A369" i="1" s="1"/>
  <c r="Q368" i="1"/>
  <c r="F368" i="1"/>
  <c r="A368" i="1" a="1"/>
  <c r="A368" i="1" s="1"/>
  <c r="Q367" i="1"/>
  <c r="F367" i="1"/>
  <c r="A367" i="1" a="1"/>
  <c r="A367" i="1" s="1"/>
  <c r="Q366" i="1"/>
  <c r="F366" i="1"/>
  <c r="A366" i="1" a="1"/>
  <c r="A366" i="1" s="1"/>
  <c r="Q365" i="1"/>
  <c r="F365" i="1"/>
  <c r="A365" i="1" a="1"/>
  <c r="A365" i="1" s="1"/>
  <c r="Q364" i="1"/>
  <c r="F364" i="1"/>
  <c r="A364" i="1" a="1"/>
  <c r="A364" i="1" s="1"/>
  <c r="Q363" i="1"/>
  <c r="F363" i="1"/>
  <c r="A363" i="1" a="1"/>
  <c r="A363" i="1" s="1"/>
  <c r="Q362" i="1"/>
  <c r="F362" i="1"/>
  <c r="A362" i="1" a="1"/>
  <c r="A362" i="1" s="1"/>
  <c r="Q361" i="1"/>
  <c r="F361" i="1"/>
  <c r="A361" i="1" a="1"/>
  <c r="A361" i="1" s="1"/>
  <c r="Q360" i="1"/>
  <c r="F360" i="1"/>
  <c r="A360" i="1" a="1"/>
  <c r="A360" i="1" s="1"/>
  <c r="Q359" i="1"/>
  <c r="F359" i="1"/>
  <c r="A359" i="1" a="1"/>
  <c r="A359" i="1" s="1"/>
  <c r="Q358" i="1"/>
  <c r="F358" i="1"/>
  <c r="A358" i="1" a="1"/>
  <c r="A358" i="1" s="1"/>
  <c r="Q357" i="1"/>
  <c r="F357" i="1"/>
  <c r="A357" i="1" a="1"/>
  <c r="A357" i="1" s="1"/>
  <c r="Q356" i="1"/>
  <c r="F356" i="1"/>
  <c r="A356" i="1" a="1"/>
  <c r="A356" i="1" s="1"/>
  <c r="Q355" i="1"/>
  <c r="F355" i="1"/>
  <c r="A355" i="1" a="1"/>
  <c r="A355" i="1" s="1"/>
  <c r="Q354" i="1"/>
  <c r="F354" i="1"/>
  <c r="A354" i="1" a="1"/>
  <c r="A354" i="1" s="1"/>
  <c r="Q353" i="1"/>
  <c r="F353" i="1"/>
  <c r="A353" i="1" a="1"/>
  <c r="A353" i="1" s="1"/>
  <c r="Q352" i="1"/>
  <c r="F352" i="1"/>
  <c r="A352" i="1" a="1"/>
  <c r="A352" i="1" s="1"/>
  <c r="Q351" i="1"/>
  <c r="F351" i="1"/>
  <c r="A351" i="1" a="1"/>
  <c r="A351" i="1" s="1"/>
  <c r="Q350" i="1"/>
  <c r="F350" i="1"/>
  <c r="A350" i="1" a="1"/>
  <c r="A350" i="1" s="1"/>
  <c r="Q349" i="1"/>
  <c r="F349" i="1"/>
  <c r="A349" i="1" a="1"/>
  <c r="A349" i="1" s="1"/>
  <c r="Q348" i="1"/>
  <c r="F348" i="1"/>
  <c r="A348" i="1" a="1"/>
  <c r="A348" i="1" s="1"/>
  <c r="Q347" i="1"/>
  <c r="F347" i="1"/>
  <c r="A347" i="1" a="1"/>
  <c r="A347" i="1" s="1"/>
  <c r="Q346" i="1"/>
  <c r="F346" i="1"/>
  <c r="A346" i="1" a="1"/>
  <c r="A346" i="1" s="1"/>
  <c r="Q345" i="1"/>
  <c r="F345" i="1"/>
  <c r="A345" i="1" a="1"/>
  <c r="A345" i="1" s="1"/>
  <c r="Q344" i="1"/>
  <c r="F344" i="1"/>
  <c r="A344" i="1" a="1"/>
  <c r="A344" i="1" s="1"/>
  <c r="Q343" i="1"/>
  <c r="F343" i="1"/>
  <c r="A343" i="1" a="1"/>
  <c r="A343" i="1" s="1"/>
  <c r="Q342" i="1"/>
  <c r="F342" i="1"/>
  <c r="A342" i="1" a="1"/>
  <c r="A342" i="1" s="1"/>
  <c r="Q341" i="1"/>
  <c r="F341" i="1"/>
  <c r="A341" i="1" a="1"/>
  <c r="A341" i="1" s="1"/>
  <c r="Q340" i="1"/>
  <c r="F340" i="1"/>
  <c r="A340" i="1" a="1"/>
  <c r="A340" i="1" s="1"/>
  <c r="Q339" i="1"/>
  <c r="F339" i="1"/>
  <c r="A339" i="1" a="1"/>
  <c r="A339" i="1" s="1"/>
  <c r="Q338" i="1"/>
  <c r="F338" i="1"/>
  <c r="A338" i="1" a="1"/>
  <c r="A338" i="1" s="1"/>
  <c r="Q337" i="1"/>
  <c r="F337" i="1"/>
  <c r="A337" i="1" a="1"/>
  <c r="A337" i="1" s="1"/>
  <c r="Q336" i="1"/>
  <c r="F336" i="1"/>
  <c r="A336" i="1" a="1"/>
  <c r="A336" i="1" s="1"/>
  <c r="Q335" i="1"/>
  <c r="F335" i="1"/>
  <c r="A335" i="1" a="1"/>
  <c r="A335" i="1" s="1"/>
  <c r="Q334" i="1"/>
  <c r="F334" i="1"/>
  <c r="A334" i="1" a="1"/>
  <c r="A334" i="1" s="1"/>
  <c r="Q333" i="1"/>
  <c r="F333" i="1"/>
  <c r="A333" i="1" a="1"/>
  <c r="A333" i="1" s="1"/>
  <c r="Q332" i="1"/>
  <c r="F332" i="1"/>
  <c r="A332" i="1" a="1"/>
  <c r="A332" i="1" s="1"/>
  <c r="Q331" i="1"/>
  <c r="F331" i="1"/>
  <c r="A331" i="1" a="1"/>
  <c r="A331" i="1" s="1"/>
  <c r="Q330" i="1"/>
  <c r="F330" i="1"/>
  <c r="A330" i="1" a="1"/>
  <c r="A330" i="1" s="1"/>
  <c r="Q329" i="1"/>
  <c r="F329" i="1"/>
  <c r="A329" i="1" a="1"/>
  <c r="A329" i="1" s="1"/>
  <c r="Q328" i="1"/>
  <c r="F328" i="1"/>
  <c r="A328" i="1" a="1"/>
  <c r="A328" i="1" s="1"/>
  <c r="Q327" i="1"/>
  <c r="F327" i="1"/>
  <c r="A327" i="1" a="1"/>
  <c r="A327" i="1" s="1"/>
  <c r="Q326" i="1"/>
  <c r="F326" i="1"/>
  <c r="A326" i="1" a="1"/>
  <c r="A326" i="1" s="1"/>
  <c r="Q325" i="1"/>
  <c r="F325" i="1"/>
  <c r="A325" i="1" a="1"/>
  <c r="A325" i="1" s="1"/>
  <c r="Q324" i="1"/>
  <c r="F324" i="1"/>
  <c r="A324" i="1" a="1"/>
  <c r="A324" i="1" s="1"/>
  <c r="Q323" i="1"/>
  <c r="F323" i="1"/>
  <c r="A323" i="1" a="1"/>
  <c r="A323" i="1" s="1"/>
  <c r="Q322" i="1"/>
  <c r="F322" i="1"/>
  <c r="A322" i="1" a="1"/>
  <c r="A322" i="1" s="1"/>
  <c r="Q321" i="1"/>
  <c r="F321" i="1"/>
  <c r="A321" i="1" a="1"/>
  <c r="A321" i="1" s="1"/>
  <c r="Q320" i="1"/>
  <c r="F320" i="1"/>
  <c r="A320" i="1" a="1"/>
  <c r="A320" i="1" s="1"/>
  <c r="Q319" i="1"/>
  <c r="F319" i="1"/>
  <c r="A319" i="1" a="1"/>
  <c r="A319" i="1" s="1"/>
  <c r="Q318" i="1"/>
  <c r="F318" i="1"/>
  <c r="A318" i="1" a="1"/>
  <c r="A318" i="1" s="1"/>
  <c r="Q317" i="1"/>
  <c r="F317" i="1"/>
  <c r="A317" i="1" a="1"/>
  <c r="A317" i="1" s="1"/>
  <c r="Q316" i="1"/>
  <c r="F316" i="1"/>
  <c r="A316" i="1" a="1"/>
  <c r="A316" i="1" s="1"/>
  <c r="Q315" i="1"/>
  <c r="F315" i="1"/>
  <c r="A315" i="1" a="1"/>
  <c r="A315" i="1" s="1"/>
  <c r="Q314" i="1"/>
  <c r="F314" i="1"/>
  <c r="A314" i="1" a="1"/>
  <c r="A314" i="1" s="1"/>
  <c r="Q313" i="1"/>
  <c r="F313" i="1"/>
  <c r="A313" i="1" a="1"/>
  <c r="A313" i="1" s="1"/>
  <c r="Q312" i="1"/>
  <c r="F312" i="1"/>
  <c r="A312" i="1" a="1"/>
  <c r="A312" i="1" s="1"/>
  <c r="Q311" i="1"/>
  <c r="F311" i="1"/>
  <c r="A311" i="1" a="1"/>
  <c r="A311" i="1" s="1"/>
  <c r="Q310" i="1"/>
  <c r="F310" i="1"/>
  <c r="A310" i="1" a="1"/>
  <c r="A310" i="1" s="1"/>
  <c r="Q309" i="1"/>
  <c r="F309" i="1"/>
  <c r="A309" i="1" a="1"/>
  <c r="A309" i="1" s="1"/>
  <c r="Q308" i="1"/>
  <c r="F308" i="1"/>
  <c r="A308" i="1" a="1"/>
  <c r="A308" i="1" s="1"/>
  <c r="Q307" i="1"/>
  <c r="F307" i="1"/>
  <c r="A307" i="1" a="1"/>
  <c r="A307" i="1" s="1"/>
  <c r="Q306" i="1"/>
  <c r="F306" i="1"/>
  <c r="A306" i="1" a="1"/>
  <c r="A306" i="1" s="1"/>
  <c r="Q305" i="1"/>
  <c r="F305" i="1"/>
  <c r="A305" i="1" a="1"/>
  <c r="A305" i="1" s="1"/>
  <c r="Q304" i="1"/>
  <c r="F304" i="1"/>
  <c r="A304" i="1" a="1"/>
  <c r="A304" i="1" s="1"/>
  <c r="Q303" i="1"/>
  <c r="F303" i="1"/>
  <c r="A303" i="1" a="1"/>
  <c r="A303" i="1" s="1"/>
  <c r="Q302" i="1"/>
  <c r="F302" i="1"/>
  <c r="A302" i="1" a="1"/>
  <c r="A302" i="1" s="1"/>
  <c r="Q301" i="1"/>
  <c r="F301" i="1"/>
  <c r="A301" i="1" a="1"/>
  <c r="A301" i="1" s="1"/>
  <c r="Q300" i="1"/>
  <c r="F300" i="1"/>
  <c r="A300" i="1" a="1"/>
  <c r="A300" i="1" s="1"/>
  <c r="Q299" i="1"/>
  <c r="F299" i="1"/>
  <c r="A299" i="1" a="1"/>
  <c r="A299" i="1" s="1"/>
  <c r="Q298" i="1"/>
  <c r="F298" i="1"/>
  <c r="A298" i="1" a="1"/>
  <c r="A298" i="1" s="1"/>
  <c r="Q297" i="1"/>
  <c r="F297" i="1"/>
  <c r="A297" i="1" a="1"/>
  <c r="A297" i="1" s="1"/>
  <c r="Q296" i="1"/>
  <c r="F296" i="1"/>
  <c r="A296" i="1" a="1"/>
  <c r="A296" i="1" s="1"/>
  <c r="Q295" i="1"/>
  <c r="F295" i="1"/>
  <c r="A295" i="1" a="1"/>
  <c r="A295" i="1" s="1"/>
  <c r="Q294" i="1"/>
  <c r="F294" i="1"/>
  <c r="A294" i="1" a="1"/>
  <c r="A294" i="1" s="1"/>
  <c r="Q293" i="1"/>
  <c r="F293" i="1"/>
  <c r="A293" i="1" a="1"/>
  <c r="A293" i="1" s="1"/>
  <c r="Q292" i="1"/>
  <c r="F292" i="1"/>
  <c r="A292" i="1" a="1"/>
  <c r="A292" i="1" s="1"/>
  <c r="Q291" i="1"/>
  <c r="F291" i="1"/>
  <c r="A291" i="1" a="1"/>
  <c r="A291" i="1" s="1"/>
  <c r="Q290" i="1"/>
  <c r="F290" i="1"/>
  <c r="A290" i="1" a="1"/>
  <c r="A290" i="1" s="1"/>
  <c r="Q289" i="1"/>
  <c r="F289" i="1"/>
  <c r="A289" i="1" a="1"/>
  <c r="A289" i="1" s="1"/>
  <c r="Q288" i="1"/>
  <c r="F288" i="1"/>
  <c r="A288" i="1" a="1"/>
  <c r="A288" i="1" s="1"/>
  <c r="Q287" i="1"/>
  <c r="F287" i="1"/>
  <c r="A287" i="1" a="1"/>
  <c r="A287" i="1" s="1"/>
  <c r="Q286" i="1"/>
  <c r="F286" i="1"/>
  <c r="A286" i="1" a="1"/>
  <c r="A286" i="1" s="1"/>
  <c r="Q285" i="1"/>
  <c r="F285" i="1"/>
  <c r="A285" i="1" a="1"/>
  <c r="A285" i="1" s="1"/>
  <c r="Q284" i="1"/>
  <c r="F284" i="1"/>
  <c r="A284" i="1" a="1"/>
  <c r="A284" i="1" s="1"/>
  <c r="Q283" i="1"/>
  <c r="F283" i="1"/>
  <c r="A283" i="1" a="1"/>
  <c r="A283" i="1" s="1"/>
  <c r="Q282" i="1"/>
  <c r="F282" i="1"/>
  <c r="A282" i="1" a="1"/>
  <c r="A282" i="1" s="1"/>
  <c r="Q281" i="1"/>
  <c r="F281" i="1"/>
  <c r="A281" i="1" a="1"/>
  <c r="A281" i="1" s="1"/>
  <c r="Q280" i="1"/>
  <c r="F280" i="1"/>
  <c r="A280" i="1" a="1"/>
  <c r="A280" i="1" s="1"/>
  <c r="Q279" i="1"/>
  <c r="F279" i="1"/>
  <c r="A279" i="1" a="1"/>
  <c r="A279" i="1" s="1"/>
  <c r="Q278" i="1"/>
  <c r="F278" i="1"/>
  <c r="A278" i="1" a="1"/>
  <c r="A278" i="1" s="1"/>
  <c r="Q277" i="1"/>
  <c r="F277" i="1"/>
  <c r="A277" i="1" a="1"/>
  <c r="A277" i="1" s="1"/>
  <c r="Q276" i="1"/>
  <c r="F276" i="1"/>
  <c r="A276" i="1" a="1"/>
  <c r="A276" i="1" s="1"/>
  <c r="Q275" i="1"/>
  <c r="F275" i="1"/>
  <c r="A275" i="1" a="1"/>
  <c r="A275" i="1" s="1"/>
  <c r="Q274" i="1"/>
  <c r="F274" i="1"/>
  <c r="A274" i="1" a="1"/>
  <c r="A274" i="1" s="1"/>
  <c r="Q273" i="1"/>
  <c r="F273" i="1"/>
  <c r="A273" i="1" a="1"/>
  <c r="A273" i="1" s="1"/>
  <c r="Q272" i="1"/>
  <c r="F272" i="1"/>
  <c r="A272" i="1" a="1"/>
  <c r="A272" i="1" s="1"/>
  <c r="Q271" i="1"/>
  <c r="F271" i="1"/>
  <c r="A271" i="1" a="1"/>
  <c r="A271" i="1" s="1"/>
  <c r="Q270" i="1"/>
  <c r="F270" i="1"/>
  <c r="A270" i="1" a="1"/>
  <c r="A270" i="1" s="1"/>
  <c r="Q269" i="1"/>
  <c r="F269" i="1"/>
  <c r="A269" i="1" a="1"/>
  <c r="A269" i="1" s="1"/>
  <c r="Q268" i="1"/>
  <c r="F268" i="1"/>
  <c r="A268" i="1" a="1"/>
  <c r="A268" i="1" s="1"/>
  <c r="Q267" i="1"/>
  <c r="F267" i="1"/>
  <c r="A267" i="1" a="1"/>
  <c r="A267" i="1" s="1"/>
  <c r="Q266" i="1"/>
  <c r="F266" i="1"/>
  <c r="A266" i="1" a="1"/>
  <c r="A266" i="1" s="1"/>
  <c r="Q265" i="1"/>
  <c r="F265" i="1"/>
  <c r="A265" i="1" a="1"/>
  <c r="A265" i="1" s="1"/>
  <c r="Q264" i="1"/>
  <c r="F264" i="1"/>
  <c r="A264" i="1" a="1"/>
  <c r="A264" i="1" s="1"/>
  <c r="Q263" i="1"/>
  <c r="F263" i="1"/>
  <c r="A263" i="1" a="1"/>
  <c r="A263" i="1" s="1"/>
  <c r="Q262" i="1"/>
  <c r="F262" i="1"/>
  <c r="A262" i="1" a="1"/>
  <c r="A262" i="1" s="1"/>
  <c r="Q261" i="1"/>
  <c r="F261" i="1"/>
  <c r="A261" i="1" a="1"/>
  <c r="A261" i="1" s="1"/>
  <c r="Q260" i="1"/>
  <c r="F260" i="1"/>
  <c r="A260" i="1" a="1"/>
  <c r="A260" i="1" s="1"/>
  <c r="Q259" i="1"/>
  <c r="F259" i="1"/>
  <c r="A259" i="1" a="1"/>
  <c r="A259" i="1" s="1"/>
  <c r="Q258" i="1"/>
  <c r="F258" i="1"/>
  <c r="A258" i="1" a="1"/>
  <c r="A258" i="1" s="1"/>
  <c r="Q257" i="1"/>
  <c r="F257" i="1"/>
  <c r="A257" i="1" a="1"/>
  <c r="A257" i="1" s="1"/>
  <c r="Q256" i="1"/>
  <c r="F256" i="1"/>
  <c r="A256" i="1" a="1"/>
  <c r="A256" i="1" s="1"/>
  <c r="Q255" i="1"/>
  <c r="F255" i="1"/>
  <c r="A255" i="1" a="1"/>
  <c r="A255" i="1" s="1"/>
  <c r="Q254" i="1"/>
  <c r="F254" i="1"/>
  <c r="A254" i="1" a="1"/>
  <c r="A254" i="1" s="1"/>
  <c r="Q253" i="1"/>
  <c r="F253" i="1"/>
  <c r="A253" i="1" a="1"/>
  <c r="A253" i="1" s="1"/>
  <c r="Q252" i="1"/>
  <c r="F252" i="1"/>
  <c r="A252" i="1" a="1"/>
  <c r="A252" i="1" s="1"/>
  <c r="Q251" i="1"/>
  <c r="F251" i="1"/>
  <c r="A251" i="1" a="1"/>
  <c r="A251" i="1" s="1"/>
  <c r="Q250" i="1"/>
  <c r="F250" i="1"/>
  <c r="A250" i="1" a="1"/>
  <c r="A250" i="1" s="1"/>
  <c r="Q249" i="1"/>
  <c r="F249" i="1"/>
  <c r="A249" i="1" a="1"/>
  <c r="A249" i="1" s="1"/>
  <c r="Q248" i="1"/>
  <c r="F248" i="1"/>
  <c r="A248" i="1" a="1"/>
  <c r="A248" i="1" s="1"/>
  <c r="Q247" i="1"/>
  <c r="F247" i="1"/>
  <c r="A247" i="1" a="1"/>
  <c r="A247" i="1" s="1"/>
  <c r="Q246" i="1"/>
  <c r="F246" i="1"/>
  <c r="A246" i="1" a="1"/>
  <c r="A246" i="1" s="1"/>
  <c r="Q245" i="1"/>
  <c r="F245" i="1"/>
  <c r="A245" i="1" a="1"/>
  <c r="A245" i="1" s="1"/>
  <c r="Q244" i="1"/>
  <c r="F244" i="1"/>
  <c r="A244" i="1" a="1"/>
  <c r="A244" i="1" s="1"/>
  <c r="Q243" i="1"/>
  <c r="F243" i="1"/>
  <c r="A243" i="1" a="1"/>
  <c r="A243" i="1" s="1"/>
  <c r="Q242" i="1"/>
  <c r="F242" i="1"/>
  <c r="A242" i="1" a="1"/>
  <c r="A242" i="1" s="1"/>
  <c r="Q241" i="1"/>
  <c r="F241" i="1"/>
  <c r="A241" i="1" a="1"/>
  <c r="A241" i="1" s="1"/>
  <c r="Q240" i="1"/>
  <c r="F240" i="1"/>
  <c r="A240" i="1" a="1"/>
  <c r="A240" i="1" s="1"/>
  <c r="Q239" i="1"/>
  <c r="F239" i="1"/>
  <c r="A239" i="1" a="1"/>
  <c r="A239" i="1" s="1"/>
  <c r="Q238" i="1"/>
  <c r="F238" i="1"/>
  <c r="A238" i="1" a="1"/>
  <c r="A238" i="1" s="1"/>
  <c r="Q237" i="1"/>
  <c r="F237" i="1"/>
  <c r="A237" i="1" a="1"/>
  <c r="A237" i="1" s="1"/>
  <c r="Q236" i="1"/>
  <c r="F236" i="1"/>
  <c r="A236" i="1" a="1"/>
  <c r="A236" i="1" s="1"/>
  <c r="Q235" i="1"/>
  <c r="F235" i="1"/>
  <c r="A235" i="1" a="1"/>
  <c r="A235" i="1" s="1"/>
  <c r="Q234" i="1"/>
  <c r="F234" i="1"/>
  <c r="A234" i="1" a="1"/>
  <c r="A234" i="1" s="1"/>
  <c r="Q233" i="1"/>
  <c r="F233" i="1"/>
  <c r="A233" i="1" a="1"/>
  <c r="A233" i="1" s="1"/>
  <c r="Q232" i="1"/>
  <c r="F232" i="1"/>
  <c r="A232" i="1" a="1"/>
  <c r="A232" i="1" s="1"/>
  <c r="Q231" i="1"/>
  <c r="F231" i="1"/>
  <c r="A231" i="1" a="1"/>
  <c r="A231" i="1" s="1"/>
  <c r="Q230" i="1"/>
  <c r="F230" i="1"/>
  <c r="A230" i="1" a="1"/>
  <c r="A230" i="1" s="1"/>
  <c r="Q229" i="1"/>
  <c r="F229" i="1"/>
  <c r="A229" i="1" a="1"/>
  <c r="A229" i="1" s="1"/>
  <c r="Q228" i="1"/>
  <c r="F228" i="1"/>
  <c r="A228" i="1" a="1"/>
  <c r="A228" i="1" s="1"/>
  <c r="Q227" i="1"/>
  <c r="F227" i="1"/>
  <c r="A227" i="1" a="1"/>
  <c r="A227" i="1" s="1"/>
  <c r="Q226" i="1"/>
  <c r="F226" i="1"/>
  <c r="A226" i="1" a="1"/>
  <c r="A226" i="1" s="1"/>
  <c r="Q225" i="1"/>
  <c r="F225" i="1"/>
  <c r="A225" i="1" a="1"/>
  <c r="A225" i="1" s="1"/>
  <c r="Q224" i="1"/>
  <c r="F224" i="1"/>
  <c r="A224" i="1" a="1"/>
  <c r="A224" i="1" s="1"/>
  <c r="Q223" i="1"/>
  <c r="F223" i="1"/>
  <c r="A223" i="1" a="1"/>
  <c r="A223" i="1" s="1"/>
  <c r="Q222" i="1"/>
  <c r="F222" i="1"/>
  <c r="A222" i="1" a="1"/>
  <c r="A222" i="1" s="1"/>
  <c r="Q221" i="1"/>
  <c r="F221" i="1"/>
  <c r="A221" i="1" a="1"/>
  <c r="A221" i="1" s="1"/>
  <c r="Q220" i="1"/>
  <c r="F220" i="1"/>
  <c r="A220" i="1" a="1"/>
  <c r="A220" i="1" s="1"/>
  <c r="Q219" i="1"/>
  <c r="F219" i="1"/>
  <c r="A219" i="1" a="1"/>
  <c r="A219" i="1" s="1"/>
  <c r="Q218" i="1"/>
  <c r="F218" i="1"/>
  <c r="A218" i="1" a="1"/>
  <c r="A218" i="1" s="1"/>
  <c r="Q217" i="1"/>
  <c r="F217" i="1"/>
  <c r="A217" i="1" a="1"/>
  <c r="A217" i="1" s="1"/>
  <c r="Q216" i="1"/>
  <c r="F216" i="1"/>
  <c r="A216" i="1" a="1"/>
  <c r="A216" i="1" s="1"/>
  <c r="Q215" i="1"/>
  <c r="F215" i="1"/>
  <c r="A215" i="1" a="1"/>
  <c r="A215" i="1" s="1"/>
  <c r="Q214" i="1"/>
  <c r="F214" i="1"/>
  <c r="A214" i="1" a="1"/>
  <c r="A214" i="1" s="1"/>
  <c r="Q213" i="1"/>
  <c r="F213" i="1"/>
  <c r="A213" i="1" a="1"/>
  <c r="A213" i="1" s="1"/>
  <c r="Q212" i="1"/>
  <c r="F212" i="1"/>
  <c r="A212" i="1" a="1"/>
  <c r="A212" i="1" s="1"/>
  <c r="Q211" i="1"/>
  <c r="F211" i="1"/>
  <c r="A211" i="1" a="1"/>
  <c r="A211" i="1" s="1"/>
  <c r="Q210" i="1"/>
  <c r="F210" i="1"/>
  <c r="A210" i="1" a="1"/>
  <c r="A210" i="1" s="1"/>
  <c r="Q209" i="1"/>
  <c r="F209" i="1"/>
  <c r="A209" i="1" a="1"/>
  <c r="A209" i="1" s="1"/>
  <c r="Q208" i="1"/>
  <c r="F208" i="1"/>
  <c r="A208" i="1" a="1"/>
  <c r="A208" i="1" s="1"/>
  <c r="Q207" i="1"/>
  <c r="F207" i="1"/>
  <c r="A207" i="1" a="1"/>
  <c r="A207" i="1" s="1"/>
  <c r="Q206" i="1"/>
  <c r="F206" i="1"/>
  <c r="A206" i="1" a="1"/>
  <c r="A206" i="1" s="1"/>
  <c r="Q205" i="1"/>
  <c r="F205" i="1"/>
  <c r="A205" i="1" a="1"/>
  <c r="A205" i="1" s="1"/>
  <c r="Q204" i="1"/>
  <c r="F204" i="1"/>
  <c r="A204" i="1" a="1"/>
  <c r="A204" i="1" s="1"/>
  <c r="Q203" i="1"/>
  <c r="F203" i="1"/>
  <c r="A203" i="1" a="1"/>
  <c r="A203" i="1" s="1"/>
  <c r="Q202" i="1"/>
  <c r="F202" i="1"/>
  <c r="A202" i="1" a="1"/>
  <c r="A202" i="1" s="1"/>
  <c r="Q201" i="1"/>
  <c r="F201" i="1"/>
  <c r="A201" i="1" a="1"/>
  <c r="A201" i="1" s="1"/>
  <c r="Q200" i="1"/>
  <c r="F200" i="1"/>
  <c r="A200" i="1" a="1"/>
  <c r="A200" i="1" s="1"/>
  <c r="Q199" i="1"/>
  <c r="F199" i="1"/>
  <c r="A199" i="1" a="1"/>
  <c r="A199" i="1" s="1"/>
  <c r="Q198" i="1"/>
  <c r="F198" i="1"/>
  <c r="A198" i="1" a="1"/>
  <c r="A198" i="1" s="1"/>
  <c r="Q197" i="1"/>
  <c r="F197" i="1"/>
  <c r="A197" i="1" a="1"/>
  <c r="A197" i="1" s="1"/>
  <c r="Q196" i="1"/>
  <c r="F196" i="1"/>
  <c r="A196" i="1" a="1"/>
  <c r="A196" i="1" s="1"/>
  <c r="Q195" i="1"/>
  <c r="F195" i="1"/>
  <c r="A195" i="1" a="1"/>
  <c r="A195" i="1" s="1"/>
  <c r="Q194" i="1"/>
  <c r="F194" i="1"/>
  <c r="A194" i="1" a="1"/>
  <c r="A194" i="1" s="1"/>
  <c r="Q193" i="1"/>
  <c r="F193" i="1"/>
  <c r="A193" i="1" a="1"/>
  <c r="A193" i="1" s="1"/>
  <c r="Q192" i="1"/>
  <c r="F192" i="1"/>
  <c r="A192" i="1" a="1"/>
  <c r="A192" i="1" s="1"/>
  <c r="Q191" i="1"/>
  <c r="F191" i="1"/>
  <c r="Q190" i="1"/>
  <c r="F190" i="1"/>
  <c r="A190" i="1" a="1"/>
  <c r="A190" i="1" s="1"/>
  <c r="Q189" i="1"/>
  <c r="F189" i="1"/>
  <c r="A189" i="1" a="1"/>
  <c r="A189" i="1" s="1"/>
  <c r="Q188" i="1"/>
  <c r="F188" i="1"/>
  <c r="A188" i="1" a="1"/>
  <c r="A188" i="1" s="1"/>
  <c r="Q187" i="1"/>
  <c r="F187" i="1"/>
  <c r="A187" i="1" a="1"/>
  <c r="A187" i="1" s="1"/>
  <c r="Q186" i="1"/>
  <c r="F186" i="1"/>
  <c r="A186" i="1" a="1"/>
  <c r="A186" i="1" s="1"/>
  <c r="Q185" i="1"/>
  <c r="F185" i="1"/>
  <c r="A185" i="1" a="1"/>
  <c r="A185" i="1" s="1"/>
  <c r="Q184" i="1"/>
  <c r="F184" i="1"/>
  <c r="A184" i="1" a="1"/>
  <c r="A184" i="1" s="1"/>
  <c r="Q183" i="1"/>
  <c r="F183" i="1"/>
  <c r="A183" i="1" a="1"/>
  <c r="A183" i="1" s="1"/>
  <c r="Q182" i="1"/>
  <c r="F182" i="1"/>
  <c r="A182" i="1" a="1"/>
  <c r="A182" i="1" s="1"/>
  <c r="Q181" i="1"/>
  <c r="F181" i="1"/>
  <c r="A181" i="1" a="1"/>
  <c r="A181" i="1" s="1"/>
  <c r="Q180" i="1"/>
  <c r="F180" i="1"/>
  <c r="A180" i="1" a="1"/>
  <c r="A180" i="1" s="1"/>
  <c r="Q179" i="1"/>
  <c r="F179" i="1"/>
  <c r="A179" i="1" a="1"/>
  <c r="A179" i="1" s="1"/>
  <c r="Q178" i="1"/>
  <c r="F178" i="1"/>
  <c r="A178" i="1" a="1"/>
  <c r="A178" i="1" s="1"/>
  <c r="Q177" i="1"/>
  <c r="F177" i="1"/>
  <c r="A177" i="1" a="1"/>
  <c r="A177" i="1" s="1"/>
  <c r="Q176" i="1"/>
  <c r="F176" i="1"/>
  <c r="A176" i="1" a="1"/>
  <c r="A176" i="1" s="1"/>
  <c r="Q175" i="1"/>
  <c r="F175" i="1"/>
  <c r="A175" i="1" a="1"/>
  <c r="A175" i="1" s="1"/>
  <c r="Q174" i="1"/>
  <c r="F174" i="1"/>
  <c r="A174" i="1" a="1"/>
  <c r="A174" i="1" s="1"/>
  <c r="Q173" i="1"/>
  <c r="F173" i="1"/>
  <c r="A173" i="1" a="1"/>
  <c r="A173" i="1" s="1"/>
  <c r="Q172" i="1"/>
  <c r="F172" i="1"/>
  <c r="A172" i="1" a="1"/>
  <c r="A172" i="1" s="1"/>
  <c r="Q171" i="1"/>
  <c r="F171" i="1"/>
  <c r="A171" i="1" a="1"/>
  <c r="A171" i="1" s="1"/>
  <c r="Q170" i="1"/>
  <c r="F170" i="1"/>
  <c r="A170" i="1" a="1"/>
  <c r="A170" i="1" s="1"/>
  <c r="Q169" i="1"/>
  <c r="F169" i="1"/>
  <c r="A169" i="1" a="1"/>
  <c r="A169" i="1" s="1"/>
  <c r="Q168" i="1"/>
  <c r="F168" i="1"/>
  <c r="A168" i="1" a="1"/>
  <c r="A168" i="1" s="1"/>
  <c r="Q167" i="1"/>
  <c r="F167" i="1"/>
  <c r="A167" i="1" a="1"/>
  <c r="A167" i="1" s="1"/>
  <c r="Q166" i="1"/>
  <c r="F166" i="1"/>
  <c r="A166" i="1" a="1"/>
  <c r="A166" i="1" s="1"/>
  <c r="Q165" i="1"/>
  <c r="F165" i="1"/>
  <c r="A165" i="1" a="1"/>
  <c r="A165" i="1" s="1"/>
  <c r="Q164" i="1"/>
  <c r="F164" i="1"/>
  <c r="A164" i="1" a="1"/>
  <c r="A164" i="1" s="1"/>
  <c r="Q163" i="1"/>
  <c r="F163" i="1"/>
  <c r="A163" i="1" a="1"/>
  <c r="A163" i="1" s="1"/>
  <c r="Q162" i="1"/>
  <c r="F162" i="1"/>
  <c r="A162" i="1" a="1"/>
  <c r="A162" i="1" s="1"/>
  <c r="Q161" i="1"/>
  <c r="F161" i="1"/>
  <c r="A161" i="1" a="1"/>
  <c r="A161" i="1" s="1"/>
  <c r="Q160" i="1"/>
  <c r="F160" i="1"/>
  <c r="A160" i="1" a="1"/>
  <c r="A160" i="1" s="1"/>
  <c r="Q159" i="1"/>
  <c r="F159" i="1"/>
  <c r="A159" i="1" a="1"/>
  <c r="A159" i="1" s="1"/>
  <c r="Q158" i="1"/>
  <c r="F158" i="1"/>
  <c r="A158" i="1" a="1"/>
  <c r="A158" i="1" s="1"/>
  <c r="Q157" i="1"/>
  <c r="F157" i="1"/>
  <c r="A157" i="1" a="1"/>
  <c r="A157" i="1" s="1"/>
  <c r="Q156" i="1"/>
  <c r="F156" i="1"/>
  <c r="A156" i="1" a="1"/>
  <c r="A156" i="1" s="1"/>
  <c r="Q155" i="1"/>
  <c r="F155" i="1"/>
  <c r="Q154" i="1"/>
  <c r="F154" i="1"/>
  <c r="A154" i="1" a="1"/>
  <c r="A154" i="1" s="1"/>
  <c r="Q153" i="1"/>
  <c r="F153" i="1"/>
  <c r="A153" i="1" a="1"/>
  <c r="A153" i="1" s="1"/>
  <c r="Q152" i="1"/>
  <c r="F152" i="1"/>
  <c r="A152" i="1" a="1"/>
  <c r="A152" i="1" s="1"/>
  <c r="Q151" i="1"/>
  <c r="F151" i="1"/>
  <c r="A151" i="1" a="1"/>
  <c r="A151" i="1" s="1"/>
  <c r="Q150" i="1"/>
  <c r="F150" i="1"/>
  <c r="A150" i="1" a="1"/>
  <c r="A150" i="1" s="1"/>
  <c r="Q149" i="1"/>
  <c r="F149" i="1"/>
  <c r="A149" i="1" a="1"/>
  <c r="A149" i="1" s="1"/>
  <c r="Q148" i="1"/>
  <c r="F148" i="1"/>
  <c r="A148" i="1" a="1"/>
  <c r="A148" i="1" s="1"/>
  <c r="Q147" i="1"/>
  <c r="F147" i="1"/>
  <c r="A147" i="1" a="1"/>
  <c r="A147" i="1" s="1"/>
  <c r="Q146" i="1"/>
  <c r="F146" i="1"/>
  <c r="A146" i="1" a="1"/>
  <c r="A146" i="1" s="1"/>
  <c r="Q145" i="1"/>
  <c r="F145" i="1"/>
  <c r="A145" i="1" a="1"/>
  <c r="A145" i="1" s="1"/>
  <c r="Q144" i="1"/>
  <c r="F144" i="1"/>
  <c r="A144" i="1" a="1"/>
  <c r="A144" i="1" s="1"/>
  <c r="Q143" i="1"/>
  <c r="F143" i="1"/>
  <c r="A143" i="1" a="1"/>
  <c r="A143" i="1" s="1"/>
  <c r="Q142" i="1"/>
  <c r="F142" i="1"/>
  <c r="A142" i="1" a="1"/>
  <c r="A142" i="1" s="1"/>
  <c r="Q141" i="1"/>
  <c r="F141" i="1"/>
  <c r="A141" i="1" a="1"/>
  <c r="A141" i="1" s="1"/>
  <c r="Q140" i="1"/>
  <c r="F140" i="1"/>
  <c r="A140" i="1" a="1"/>
  <c r="A140" i="1" s="1"/>
  <c r="Q139" i="1"/>
  <c r="F139" i="1"/>
  <c r="A139" i="1" a="1"/>
  <c r="A139" i="1" s="1"/>
  <c r="Q138" i="1"/>
  <c r="F138" i="1"/>
  <c r="A138" i="1" a="1"/>
  <c r="A138" i="1" s="1"/>
  <c r="Q137" i="1"/>
  <c r="F137" i="1"/>
  <c r="A137" i="1" a="1"/>
  <c r="A137" i="1" s="1"/>
  <c r="Q136" i="1"/>
  <c r="F136" i="1"/>
  <c r="A136" i="1" a="1"/>
  <c r="A136" i="1" s="1"/>
  <c r="Q135" i="1"/>
  <c r="F135" i="1"/>
  <c r="A135" i="1" a="1"/>
  <c r="A135" i="1" s="1"/>
  <c r="Q134" i="1"/>
  <c r="F134" i="1"/>
  <c r="A134" i="1" a="1"/>
  <c r="A134" i="1" s="1"/>
  <c r="Q133" i="1"/>
  <c r="F133" i="1"/>
  <c r="A133" i="1" a="1"/>
  <c r="A133" i="1" s="1"/>
  <c r="Q132" i="1"/>
  <c r="F132" i="1"/>
  <c r="A132" i="1" a="1"/>
  <c r="A132" i="1" s="1"/>
  <c r="Q131" i="1"/>
  <c r="F131" i="1"/>
  <c r="A131" i="1" a="1"/>
  <c r="A131" i="1" s="1"/>
  <c r="Q130" i="1"/>
  <c r="F130" i="1"/>
  <c r="A130" i="1" a="1"/>
  <c r="A130" i="1" s="1"/>
  <c r="Q129" i="1"/>
  <c r="F129" i="1"/>
  <c r="A129" i="1" a="1"/>
  <c r="A129" i="1" s="1"/>
  <c r="Q128" i="1"/>
  <c r="F128" i="1"/>
  <c r="A128" i="1" a="1"/>
  <c r="A128" i="1" s="1"/>
  <c r="Q127" i="1"/>
  <c r="F127" i="1"/>
  <c r="A127" i="1" a="1"/>
  <c r="A127" i="1" s="1"/>
  <c r="Q126" i="1"/>
  <c r="F126" i="1"/>
  <c r="A126" i="1" a="1"/>
  <c r="A126" i="1" s="1"/>
  <c r="Q125" i="1"/>
  <c r="F125" i="1"/>
  <c r="A125" i="1" a="1"/>
  <c r="A125" i="1" s="1"/>
  <c r="Q124" i="1"/>
  <c r="F124" i="1"/>
  <c r="A124" i="1" a="1"/>
  <c r="A124" i="1" s="1"/>
  <c r="Q123" i="1"/>
  <c r="F123" i="1"/>
  <c r="A123" i="1" a="1"/>
  <c r="A123" i="1" s="1"/>
  <c r="Q122" i="1"/>
  <c r="F122" i="1"/>
  <c r="A122" i="1" a="1"/>
  <c r="A122" i="1" s="1"/>
  <c r="Q121" i="1"/>
  <c r="F121" i="1"/>
  <c r="A121" i="1" a="1"/>
  <c r="A121" i="1" s="1"/>
  <c r="Q120" i="1"/>
  <c r="F120" i="1"/>
  <c r="A120" i="1" a="1"/>
  <c r="A120" i="1" s="1"/>
  <c r="Q119" i="1"/>
  <c r="F119" i="1"/>
  <c r="A119" i="1" a="1"/>
  <c r="A119" i="1" s="1"/>
  <c r="Q118" i="1"/>
  <c r="F118" i="1"/>
  <c r="A118" i="1" a="1"/>
  <c r="A118" i="1" s="1"/>
  <c r="Q117" i="1"/>
  <c r="F117" i="1"/>
  <c r="A117" i="1" a="1"/>
  <c r="A117" i="1" s="1"/>
  <c r="Q116" i="1"/>
  <c r="F116" i="1"/>
  <c r="A116" i="1" a="1"/>
  <c r="A116" i="1" s="1"/>
  <c r="Q115" i="1"/>
  <c r="F115" i="1"/>
  <c r="A115" i="1" a="1"/>
  <c r="A115" i="1" s="1"/>
  <c r="Q114" i="1"/>
  <c r="F114" i="1"/>
  <c r="A114" i="1" a="1"/>
  <c r="A114" i="1" s="1"/>
  <c r="Q113" i="1"/>
  <c r="F113" i="1"/>
  <c r="A113" i="1" a="1"/>
  <c r="A113" i="1" s="1"/>
  <c r="Q112" i="1"/>
  <c r="F112" i="1"/>
  <c r="A112" i="1" a="1"/>
  <c r="A112" i="1" s="1"/>
  <c r="Q111" i="1"/>
  <c r="F111" i="1"/>
  <c r="A111" i="1" a="1"/>
  <c r="A111" i="1" s="1"/>
  <c r="Q110" i="1"/>
  <c r="F110" i="1"/>
  <c r="A110" i="1" a="1"/>
  <c r="A110" i="1" s="1"/>
  <c r="Q109" i="1"/>
  <c r="F109" i="1"/>
  <c r="A109" i="1" a="1"/>
  <c r="A109" i="1" s="1"/>
  <c r="Q108" i="1"/>
  <c r="F108" i="1"/>
  <c r="A108" i="1" a="1"/>
  <c r="A108" i="1" s="1"/>
  <c r="Q107" i="1"/>
  <c r="F107" i="1"/>
  <c r="A107" i="1" a="1"/>
  <c r="A107" i="1" s="1"/>
  <c r="Q106" i="1"/>
  <c r="F106" i="1"/>
  <c r="A106" i="1" a="1"/>
  <c r="A106" i="1" s="1"/>
  <c r="Q105" i="1"/>
  <c r="F105" i="1"/>
  <c r="A105" i="1" a="1"/>
  <c r="A105" i="1" s="1"/>
  <c r="Q104" i="1"/>
  <c r="F104" i="1"/>
  <c r="A104" i="1" a="1"/>
  <c r="A104" i="1" s="1"/>
  <c r="Q103" i="1"/>
  <c r="F103" i="1"/>
  <c r="A103" i="1" a="1"/>
  <c r="A103" i="1" s="1"/>
  <c r="Q102" i="1"/>
  <c r="F102" i="1"/>
  <c r="A102" i="1" a="1"/>
  <c r="A102" i="1" s="1"/>
  <c r="Q101" i="1"/>
  <c r="F101" i="1"/>
  <c r="A101" i="1" a="1"/>
  <c r="A101" i="1" s="1"/>
  <c r="Q100" i="1"/>
  <c r="F100" i="1"/>
  <c r="A100" i="1" a="1"/>
  <c r="A100" i="1" s="1"/>
  <c r="Q99" i="1"/>
  <c r="F99" i="1"/>
  <c r="A99" i="1" a="1"/>
  <c r="A99" i="1" s="1"/>
  <c r="Q98" i="1"/>
  <c r="F98" i="1"/>
  <c r="A98" i="1" a="1"/>
  <c r="A98" i="1" s="1"/>
  <c r="Q97" i="1"/>
  <c r="F97" i="1"/>
  <c r="A97" i="1" a="1"/>
  <c r="A97" i="1" s="1"/>
  <c r="Q96" i="1"/>
  <c r="F96" i="1"/>
  <c r="A96" i="1" a="1"/>
  <c r="A96" i="1" s="1"/>
  <c r="Q95" i="1"/>
  <c r="F95" i="1"/>
  <c r="A95" i="1" a="1"/>
  <c r="A95" i="1" s="1"/>
  <c r="Q94" i="1"/>
  <c r="F94" i="1"/>
  <c r="A94" i="1" a="1"/>
  <c r="A94" i="1" s="1"/>
  <c r="Q93" i="1"/>
  <c r="F93" i="1"/>
  <c r="A93" i="1" a="1"/>
  <c r="A93" i="1" s="1"/>
  <c r="Q92" i="1"/>
  <c r="F92" i="1"/>
  <c r="A92" i="1" a="1"/>
  <c r="A92" i="1" s="1"/>
  <c r="Q91" i="1"/>
  <c r="F91" i="1"/>
  <c r="A91" i="1" a="1"/>
  <c r="A91" i="1" s="1"/>
  <c r="Q90" i="1"/>
  <c r="F90" i="1"/>
  <c r="A90" i="1" a="1"/>
  <c r="A90" i="1" s="1"/>
  <c r="Q89" i="1"/>
  <c r="F89" i="1"/>
  <c r="A89" i="1" a="1"/>
  <c r="A89" i="1" s="1"/>
  <c r="Q88" i="1"/>
  <c r="F88" i="1"/>
  <c r="A88" i="1" a="1"/>
  <c r="A88" i="1" s="1"/>
  <c r="Q87" i="1"/>
  <c r="F87" i="1"/>
  <c r="A87" i="1" a="1"/>
  <c r="A87" i="1" s="1"/>
  <c r="Q86" i="1"/>
  <c r="F86" i="1"/>
  <c r="A86" i="1" a="1"/>
  <c r="A86" i="1" s="1"/>
  <c r="Q85" i="1"/>
  <c r="F85" i="1"/>
  <c r="A85" i="1" a="1"/>
  <c r="A85" i="1" s="1"/>
  <c r="Q84" i="1"/>
  <c r="F84" i="1"/>
  <c r="A84" i="1" a="1"/>
  <c r="A84" i="1" s="1"/>
  <c r="Q83" i="1"/>
  <c r="F83" i="1"/>
  <c r="A83" i="1" a="1"/>
  <c r="A83" i="1" s="1"/>
  <c r="Q82" i="1"/>
  <c r="F82" i="1"/>
  <c r="A82" i="1" a="1"/>
  <c r="A82" i="1" s="1"/>
  <c r="Q81" i="1"/>
  <c r="F81" i="1"/>
  <c r="A81" i="1" a="1"/>
  <c r="A81" i="1" s="1"/>
  <c r="Q80" i="1"/>
  <c r="F80" i="1"/>
  <c r="A80" i="1" a="1"/>
  <c r="A80" i="1" s="1"/>
  <c r="Q79" i="1"/>
  <c r="F79" i="1"/>
  <c r="A79" i="1" a="1"/>
  <c r="A79" i="1" s="1"/>
  <c r="Q78" i="1"/>
  <c r="F78" i="1"/>
  <c r="A78" i="1" a="1"/>
  <c r="A78" i="1" s="1"/>
  <c r="Q77" i="1"/>
  <c r="F77" i="1"/>
  <c r="A77" i="1" a="1"/>
  <c r="A77" i="1" s="1"/>
  <c r="Q76" i="1"/>
  <c r="F76" i="1"/>
  <c r="A76" i="1" a="1"/>
  <c r="A76" i="1" s="1"/>
  <c r="Q75" i="1"/>
  <c r="F75" i="1"/>
  <c r="A75" i="1" a="1"/>
  <c r="A75" i="1" s="1"/>
  <c r="Q74" i="1"/>
  <c r="F74" i="1"/>
  <c r="A74" i="1" a="1"/>
  <c r="A74" i="1" s="1"/>
  <c r="Q73" i="1"/>
  <c r="F73" i="1"/>
  <c r="A73" i="1" a="1"/>
  <c r="A73" i="1" s="1"/>
  <c r="Q72" i="1"/>
  <c r="F72" i="1"/>
  <c r="A72" i="1" a="1"/>
  <c r="A72" i="1" s="1"/>
  <c r="Q71" i="1"/>
  <c r="F71" i="1"/>
  <c r="A71" i="1" a="1"/>
  <c r="A71" i="1" s="1"/>
  <c r="F70" i="1"/>
  <c r="A70" i="1" a="1"/>
  <c r="A70" i="1" s="1"/>
  <c r="F69" i="1"/>
  <c r="A69" i="1" a="1"/>
  <c r="A69" i="1" s="1"/>
  <c r="F68" i="1"/>
  <c r="A68" i="1" a="1"/>
  <c r="A68" i="1" s="1"/>
  <c r="F67" i="1"/>
  <c r="A67" i="1" a="1"/>
  <c r="A67" i="1" s="1"/>
  <c r="Q66" i="1"/>
  <c r="F66" i="1"/>
  <c r="A66" i="1" a="1"/>
  <c r="A66" i="1" s="1"/>
  <c r="Q65" i="1"/>
  <c r="F65" i="1"/>
  <c r="A65" i="1" a="1"/>
  <c r="A65" i="1" s="1"/>
  <c r="Q64" i="1"/>
  <c r="F64" i="1"/>
  <c r="A64" i="1" a="1"/>
  <c r="A64" i="1" s="1"/>
  <c r="Q63" i="1"/>
  <c r="F63" i="1"/>
  <c r="A63" i="1" a="1"/>
  <c r="A63" i="1" s="1"/>
  <c r="Q62" i="1"/>
  <c r="F62" i="1"/>
  <c r="A62" i="1" a="1"/>
  <c r="A62" i="1" s="1"/>
  <c r="Q61" i="1"/>
  <c r="F61" i="1"/>
  <c r="A61" i="1" a="1"/>
  <c r="A61" i="1" s="1"/>
  <c r="Q60" i="1"/>
  <c r="F60" i="1"/>
  <c r="A60" i="1" a="1"/>
  <c r="A60" i="1" s="1"/>
  <c r="Q59" i="1"/>
  <c r="F59" i="1"/>
  <c r="A59" i="1" a="1"/>
  <c r="A59" i="1" s="1"/>
  <c r="Q58" i="1"/>
  <c r="F58" i="1"/>
  <c r="A58" i="1" a="1"/>
  <c r="A58" i="1" s="1"/>
  <c r="Q57" i="1"/>
  <c r="F57" i="1"/>
  <c r="A57" i="1" a="1"/>
  <c r="A57" i="1" s="1"/>
  <c r="Q56" i="1"/>
  <c r="F56" i="1"/>
  <c r="A56" i="1" a="1"/>
  <c r="A56" i="1" s="1"/>
  <c r="Q55" i="1"/>
  <c r="F55" i="1"/>
  <c r="A55" i="1" a="1"/>
  <c r="A55" i="1" s="1"/>
  <c r="Q54" i="1"/>
  <c r="F54" i="1"/>
  <c r="A54" i="1" a="1"/>
  <c r="A54" i="1" s="1"/>
  <c r="Q53" i="1"/>
  <c r="F53" i="1"/>
  <c r="A53" i="1" a="1"/>
  <c r="A53" i="1" s="1"/>
  <c r="Q52" i="1"/>
  <c r="F52" i="1"/>
  <c r="Q51" i="1"/>
  <c r="F51" i="1"/>
  <c r="F50" i="1"/>
  <c r="A50" i="1" a="1"/>
  <c r="A50" i="1" s="1"/>
  <c r="Q49" i="1"/>
  <c r="F49" i="1"/>
  <c r="A49" i="1" a="1"/>
  <c r="A49" i="1" s="1"/>
  <c r="Q48" i="1"/>
  <c r="F48" i="1"/>
  <c r="A48" i="1" a="1"/>
  <c r="A48" i="1" s="1"/>
  <c r="Q47" i="1"/>
  <c r="F47" i="1"/>
  <c r="A47" i="1" a="1"/>
  <c r="A47" i="1" s="1"/>
  <c r="Q46" i="1"/>
  <c r="F46" i="1"/>
  <c r="A46" i="1" a="1"/>
  <c r="A46" i="1" s="1"/>
  <c r="Q45" i="1"/>
  <c r="F45" i="1"/>
  <c r="A45" i="1" a="1"/>
  <c r="A45" i="1" s="1"/>
  <c r="Q44" i="1"/>
  <c r="F44" i="1"/>
  <c r="A44" i="1" a="1"/>
  <c r="A44" i="1" s="1"/>
  <c r="Q43" i="1"/>
  <c r="F43" i="1"/>
  <c r="A43" i="1" a="1"/>
  <c r="A43" i="1" s="1"/>
  <c r="Q42" i="1"/>
  <c r="F42" i="1"/>
  <c r="A42" i="1" a="1"/>
  <c r="A42" i="1" s="1"/>
  <c r="Q41" i="1"/>
  <c r="F41" i="1"/>
  <c r="A41" i="1" a="1"/>
  <c r="A41" i="1" s="1"/>
  <c r="Q40" i="1"/>
  <c r="F40" i="1"/>
  <c r="A40" i="1" a="1"/>
  <c r="A40" i="1" s="1"/>
  <c r="Q39" i="1"/>
  <c r="F39" i="1"/>
  <c r="A39" i="1" a="1"/>
  <c r="A39" i="1" s="1"/>
  <c r="Q38" i="1"/>
  <c r="F38" i="1"/>
  <c r="A38" i="1" a="1"/>
  <c r="A38" i="1" s="1"/>
  <c r="Q37" i="1"/>
  <c r="F37" i="1"/>
  <c r="A37" i="1" a="1"/>
  <c r="A37" i="1" s="1"/>
  <c r="Q36" i="1"/>
  <c r="F36" i="1"/>
  <c r="Q35" i="1"/>
  <c r="F35" i="1"/>
  <c r="A35" i="1" a="1"/>
  <c r="A35" i="1" s="1"/>
  <c r="Q34" i="1"/>
  <c r="F34" i="1"/>
  <c r="A34" i="1" a="1"/>
  <c r="A34" i="1" s="1"/>
  <c r="Q33" i="1"/>
  <c r="F33" i="1"/>
  <c r="A33" i="1" a="1"/>
  <c r="A33" i="1" s="1"/>
  <c r="Q32" i="1"/>
  <c r="F32" i="1"/>
  <c r="A32" i="1" a="1"/>
  <c r="A32" i="1" s="1"/>
  <c r="Q31" i="1"/>
  <c r="F31" i="1"/>
  <c r="A31" i="1" a="1"/>
  <c r="A31" i="1" s="1"/>
  <c r="Q30" i="1"/>
  <c r="F30" i="1"/>
  <c r="A30" i="1" a="1"/>
  <c r="A30" i="1" s="1"/>
  <c r="Q29" i="1"/>
  <c r="F29" i="1"/>
  <c r="A29" i="1" a="1"/>
  <c r="A29" i="1" s="1"/>
  <c r="Q28" i="1"/>
  <c r="F28" i="1"/>
  <c r="A28" i="1" a="1"/>
  <c r="A28" i="1" s="1"/>
  <c r="F27" i="1"/>
  <c r="A27" i="1" a="1"/>
  <c r="A27" i="1" s="1"/>
  <c r="Q26" i="1"/>
  <c r="F26" i="1"/>
  <c r="A26" i="1" a="1"/>
  <c r="A26" i="1" s="1"/>
  <c r="Q25" i="1"/>
  <c r="F25" i="1"/>
  <c r="A25" i="1" a="1"/>
  <c r="A25" i="1" s="1"/>
  <c r="Q24" i="1"/>
  <c r="F24" i="1"/>
  <c r="A24" i="1" a="1"/>
  <c r="A24" i="1" s="1"/>
  <c r="F23" i="1"/>
  <c r="A23" i="1" a="1"/>
  <c r="A23" i="1" s="1"/>
  <c r="F22" i="1"/>
  <c r="A22" i="1" a="1"/>
  <c r="A22" i="1" s="1"/>
  <c r="Q21" i="1"/>
  <c r="F21" i="1"/>
  <c r="A21" i="1" a="1"/>
  <c r="A21" i="1" s="1"/>
  <c r="Q20" i="1"/>
  <c r="F20" i="1"/>
  <c r="A20" i="1" a="1"/>
  <c r="A20" i="1" s="1"/>
  <c r="Q19" i="1"/>
  <c r="F19" i="1"/>
  <c r="A19" i="1" a="1"/>
  <c r="A19" i="1" s="1"/>
  <c r="Q18" i="1"/>
  <c r="F18" i="1"/>
  <c r="A18" i="1" a="1"/>
  <c r="A18" i="1" s="1"/>
  <c r="Q17" i="1"/>
  <c r="F17" i="1"/>
  <c r="A17" i="1" a="1"/>
  <c r="A17" i="1" s="1"/>
  <c r="Q16" i="1"/>
  <c r="F16" i="1"/>
  <c r="A16" i="1" a="1"/>
  <c r="A16" i="1" s="1"/>
  <c r="Q15" i="1"/>
  <c r="F15" i="1"/>
  <c r="A15" i="1" a="1"/>
  <c r="A15" i="1" s="1"/>
  <c r="Q14" i="1"/>
  <c r="F14" i="1"/>
  <c r="A14" i="1" a="1"/>
  <c r="A14" i="1" s="1"/>
  <c r="Q13" i="1"/>
  <c r="F13" i="1"/>
  <c r="A13" i="1" a="1"/>
  <c r="A13" i="1" s="1"/>
  <c r="Q12" i="1"/>
  <c r="F12" i="1"/>
  <c r="A12" i="1" a="1"/>
  <c r="A12" i="1" s="1"/>
  <c r="Q11" i="1"/>
  <c r="F11" i="1"/>
  <c r="A11" i="1" a="1"/>
  <c r="A11" i="1" s="1"/>
  <c r="Q10" i="1"/>
  <c r="F10" i="1"/>
  <c r="A10" i="1" a="1"/>
  <c r="A10" i="1" s="1"/>
  <c r="Q9" i="1"/>
  <c r="F9" i="1"/>
  <c r="A9" i="1" a="1"/>
  <c r="A9" i="1" s="1"/>
  <c r="Q8" i="1"/>
  <c r="F8" i="1"/>
  <c r="A8" i="1" a="1"/>
  <c r="A8" i="1" s="1"/>
  <c r="Q7" i="1"/>
  <c r="F7" i="1"/>
  <c r="A7" i="1" a="1"/>
  <c r="A7" i="1" s="1"/>
  <c r="Q6" i="1"/>
  <c r="F6" i="1"/>
  <c r="A6" i="1" a="1"/>
  <c r="A6" i="1" s="1"/>
  <c r="Q5" i="1"/>
  <c r="F5" i="1"/>
  <c r="A5" i="1" a="1"/>
  <c r="A5" i="1" s="1"/>
  <c r="Q4" i="1"/>
  <c r="F4" i="1"/>
  <c r="A4" i="1" a="1"/>
  <c r="A4" i="1" s="1"/>
  <c r="Q3" i="1"/>
  <c r="F3" i="1"/>
  <c r="A3" i="1" a="1"/>
  <c r="A3" i="1" s="1"/>
  <c r="Q2" i="1"/>
  <c r="F2" i="1"/>
  <c r="A2" i="1" a="1"/>
  <c r="A2" i="1" s="1"/>
</calcChain>
</file>

<file path=xl/sharedStrings.xml><?xml version="1.0" encoding="utf-8"?>
<sst xmlns="http://schemas.openxmlformats.org/spreadsheetml/2006/main" count="29571" uniqueCount="7149">
  <si>
    <t>Joining Year</t>
  </si>
  <si>
    <t>REGISTERED</t>
  </si>
  <si>
    <t>Track Number</t>
  </si>
  <si>
    <t>LAST Batch Year</t>
  </si>
  <si>
    <t>Category</t>
  </si>
  <si>
    <t>Batch Number</t>
  </si>
  <si>
    <t>WhatsApp Batch Name</t>
  </si>
  <si>
    <t>Timestamp</t>
  </si>
  <si>
    <t>GURUVU GARU 1</t>
  </si>
  <si>
    <t>QUALIFIED?</t>
  </si>
  <si>
    <t>GURUVU GARU 2 / TA</t>
  </si>
  <si>
    <t>EMAIL SENT?</t>
  </si>
  <si>
    <t>GURUVU GARU 3 / TA</t>
  </si>
  <si>
    <t>WHATSAPP SENT?</t>
  </si>
  <si>
    <t>Student Status</t>
  </si>
  <si>
    <t>JOINED COMM GROUP?</t>
  </si>
  <si>
    <t>CATEGORY</t>
  </si>
  <si>
    <t>LAST 4-WEEKS ATTENDANCE</t>
  </si>
  <si>
    <t>EMAIL ADDRESS</t>
  </si>
  <si>
    <t>OVERALL AKSHARA / SWARA JNANAM</t>
  </si>
  <si>
    <t>LAST NAME</t>
  </si>
  <si>
    <t>FIRST NAME</t>
  </si>
  <si>
    <t>OVERALL EXAM BACKLOG</t>
  </si>
  <si>
    <t>FULL NAME</t>
  </si>
  <si>
    <t>Roll Number</t>
  </si>
  <si>
    <t>YEAR OF BIRTH</t>
  </si>
  <si>
    <t>Last Name</t>
  </si>
  <si>
    <t>First Name</t>
  </si>
  <si>
    <t>UPANAYANAM</t>
  </si>
  <si>
    <t>Full Name</t>
  </si>
  <si>
    <t>Country Code</t>
  </si>
  <si>
    <t>Phone Number</t>
  </si>
  <si>
    <t>Time zone</t>
  </si>
  <si>
    <t>YOB</t>
  </si>
  <si>
    <t>COUNTRY TIME ZONE</t>
  </si>
  <si>
    <t>Guru Vandana SHLOKAS</t>
  </si>
  <si>
    <t>COUNTRY CODE</t>
  </si>
  <si>
    <t>YAGNOPAVEETA Dharanam, Avaposanam, panchangam</t>
  </si>
  <si>
    <t>WHATSAPP</t>
  </si>
  <si>
    <t>Shraddha</t>
  </si>
  <si>
    <t>Medha</t>
  </si>
  <si>
    <t>Durga</t>
  </si>
  <si>
    <t>PRIMARY KEY</t>
  </si>
  <si>
    <t>Sri Suktam</t>
  </si>
  <si>
    <t>Purusha</t>
  </si>
  <si>
    <t>CITY</t>
  </si>
  <si>
    <t>Ganapathi</t>
  </si>
  <si>
    <t>REFERENCE NAME</t>
  </si>
  <si>
    <t>Narayana</t>
  </si>
  <si>
    <t>REFERENCE PHONE</t>
  </si>
  <si>
    <t>Sandhya Vandanam 1</t>
  </si>
  <si>
    <t>GRUHASTA</t>
  </si>
  <si>
    <t>Sandhya Vandanam 2</t>
  </si>
  <si>
    <t>BRAHMACHARI</t>
  </si>
  <si>
    <t>Sandhya Vandanam 3</t>
  </si>
  <si>
    <t>VEDA SHAKA</t>
  </si>
  <si>
    <t>Brahma Yagnam</t>
  </si>
  <si>
    <t>SPOKEN</t>
  </si>
  <si>
    <t>TRACK 1 CERTIFICATION EXAM STATUS</t>
  </si>
  <si>
    <t>READ</t>
  </si>
  <si>
    <t>PARENT NAMES</t>
  </si>
  <si>
    <t>Vishnu</t>
  </si>
  <si>
    <t>JOB</t>
  </si>
  <si>
    <t>PARENT STUDYING</t>
  </si>
  <si>
    <t>Bhu Suktam</t>
  </si>
  <si>
    <t>GOAL</t>
  </si>
  <si>
    <t>Neela</t>
  </si>
  <si>
    <t>PROFICIENCY</t>
  </si>
  <si>
    <t>Bhagya</t>
  </si>
  <si>
    <t>PRIORITY</t>
  </si>
  <si>
    <t>Brahma</t>
  </si>
  <si>
    <t>DRESS CODE</t>
  </si>
  <si>
    <t>Sarpa</t>
  </si>
  <si>
    <t>Saraswathi</t>
  </si>
  <si>
    <t>NO MEAT</t>
  </si>
  <si>
    <t>Govu</t>
  </si>
  <si>
    <t>Pavamana</t>
  </si>
  <si>
    <t>NO ALCHOHOL</t>
  </si>
  <si>
    <t>Ayushya</t>
  </si>
  <si>
    <t>Navagraha</t>
  </si>
  <si>
    <t>NO SMOKING</t>
  </si>
  <si>
    <t>Maha Mantra Pushpam</t>
  </si>
  <si>
    <t>COMMENTS</t>
  </si>
  <si>
    <t>TRACK 2 CERTIFICATION EXAM STATUS</t>
  </si>
  <si>
    <t>Deepa Prajvalanam</t>
  </si>
  <si>
    <t>Trisuparnam</t>
  </si>
  <si>
    <t>Manyu Suktam</t>
  </si>
  <si>
    <t>Vaishvanara Suktam</t>
  </si>
  <si>
    <t>3-ARCHAKA?</t>
  </si>
  <si>
    <t>Rudram Namakam</t>
  </si>
  <si>
    <t>NO</t>
  </si>
  <si>
    <t>Rudram Chamakam</t>
  </si>
  <si>
    <t>Shakunadi</t>
  </si>
  <si>
    <t>1-ADULT OVER 16 YRS</t>
  </si>
  <si>
    <t>Ganapati Pooja</t>
  </si>
  <si>
    <t>harish19wipro@gmail.com</t>
  </si>
  <si>
    <t>Punyaha vaachanam</t>
  </si>
  <si>
    <t>Cherukuru</t>
  </si>
  <si>
    <t xml:space="preserve">Harish Kumar </t>
  </si>
  <si>
    <t>TRACK 3 CERTIFICATION EXAM STATUS</t>
  </si>
  <si>
    <t>Mahanyasam - 1</t>
  </si>
  <si>
    <t>Mahanyasam - 2</t>
  </si>
  <si>
    <t>Mahanyasam - 3</t>
  </si>
  <si>
    <t>Mahanyasam - 4</t>
  </si>
  <si>
    <t>Dasashanti</t>
  </si>
  <si>
    <t>Samrajya Pattabhishekam</t>
  </si>
  <si>
    <t>TRACK 4 CERTIFICATION EXAM</t>
  </si>
  <si>
    <t>Seeksha Valli</t>
  </si>
  <si>
    <t>Ananda Valli</t>
  </si>
  <si>
    <t>Brughu Valli</t>
  </si>
  <si>
    <t>Chitti 1</t>
  </si>
  <si>
    <t>1-INDIA IST</t>
  </si>
  <si>
    <t>+91</t>
  </si>
  <si>
    <t>Chitti 2</t>
  </si>
  <si>
    <t>Maha Narayanam 1</t>
  </si>
  <si>
    <t>Maha Narayanam 2</t>
  </si>
  <si>
    <t>Maha Narayanam 3</t>
  </si>
  <si>
    <t>TRACK 5 CERTIFICATION EXAM STATUS</t>
  </si>
  <si>
    <t xml:space="preserve">Hyderabad </t>
  </si>
  <si>
    <t xml:space="preserve">Muralidhar </t>
  </si>
  <si>
    <t>Nakshatreshti
1</t>
  </si>
  <si>
    <t>Kashyapasa, Vishwamitra, N/A</t>
  </si>
  <si>
    <t>Nakshatreshti
2</t>
  </si>
  <si>
    <t>Rig Veda</t>
  </si>
  <si>
    <t xml:space="preserve">English, Telugu and Kannada </t>
  </si>
  <si>
    <t>Pancha katakamulu 1
Samjnanam 1</t>
  </si>
  <si>
    <t xml:space="preserve">English, Telugu, Kannada and Hindi </t>
  </si>
  <si>
    <t>N/A</t>
  </si>
  <si>
    <t>Pancha katakamulu 1
Samjnanam 2</t>
  </si>
  <si>
    <t>Not Applicable (Not Registering a Child under 13)</t>
  </si>
  <si>
    <t>Pancha katakamulu 2
Lokosi 1</t>
  </si>
  <si>
    <t>Archakathvam and have to learn perfectly</t>
  </si>
  <si>
    <t>Low - Did not learn from Traditional Guru, but learnt from books/audio and perform daily Sandhya Vandanam and other poojas through books</t>
  </si>
  <si>
    <t>Yes, This is High Priority for me</t>
  </si>
  <si>
    <t>Pancha katakamulu 2
Lokosi 2</t>
  </si>
  <si>
    <t>Yes</t>
  </si>
  <si>
    <t>Pancha katakamulu 3
Thubyam 1</t>
  </si>
  <si>
    <t>Pancha katakamulu 3
Thubyam 2</t>
  </si>
  <si>
    <t xml:space="preserve">I would like to learn all sukthas, rudram etc perfectly </t>
  </si>
  <si>
    <t>TRACK 6 CERTIFICATION EXAM STATUS</t>
  </si>
  <si>
    <t>Pancha katakamulu 4 
Arunam 1</t>
  </si>
  <si>
    <t>Pancha katakamulu 4 
Arunam 2</t>
  </si>
  <si>
    <t>mphanishwaraprasad@gmail.com</t>
  </si>
  <si>
    <t>Maddhali</t>
  </si>
  <si>
    <t>Pancha katakamulu 4 
Arunam 3</t>
  </si>
  <si>
    <t>Phanishwara Prasad</t>
  </si>
  <si>
    <t>Pancha katakamulu 4 
Arunam 4</t>
  </si>
  <si>
    <t>Pancha katakamulu 5 
Swadhyaya Brahmanam 1</t>
  </si>
  <si>
    <t>Pancha katakamulu 5 
Swadhyaya Brahmanam 2</t>
  </si>
  <si>
    <t>Pancha katakamulu 5 
Swadhyaya Brahmanam 3</t>
  </si>
  <si>
    <t>TRACK 7 CERTIFICATION EXAM STATUS</t>
  </si>
  <si>
    <t>Veda Aseervachanam 1</t>
  </si>
  <si>
    <t>Veda Aseervachanam 2</t>
  </si>
  <si>
    <t>Purnakumbha Swagata Mantras</t>
  </si>
  <si>
    <t>Pancha anuvaaka Mantras</t>
  </si>
  <si>
    <t>Anna Sooktam 1</t>
  </si>
  <si>
    <t>WARANGAL</t>
  </si>
  <si>
    <t>Anna Sooktam 2</t>
  </si>
  <si>
    <t>M PHANISHWAR PRASAD</t>
  </si>
  <si>
    <t>Prayojanaartha Mantraah 1</t>
  </si>
  <si>
    <t>KOUNDINYASA, BHARADWAJASA, N/A</t>
  </si>
  <si>
    <t>Prayojanaartha Mantraah 2</t>
  </si>
  <si>
    <t>YAJUR VEDA</t>
  </si>
  <si>
    <t xml:space="preserve">TELUGU </t>
  </si>
  <si>
    <t>Shatpatra Prayogam</t>
  </si>
  <si>
    <t>TELUGU</t>
  </si>
  <si>
    <t>Jayadayah</t>
  </si>
  <si>
    <t>Poornahuti &amp;Agni Pradakshina</t>
  </si>
  <si>
    <t>SMATHA</t>
  </si>
  <si>
    <t>High - Learnt from Traditional Guru in perfect swaram/uccharana - perform nithya Sandhya Vandanam and can recite few Suktams in su-swaram</t>
  </si>
  <si>
    <t>TRACK 8 CERTIFICATION EXAM STATUS</t>
  </si>
  <si>
    <t>vishu.9194@gmail.com</t>
  </si>
  <si>
    <t>Bethanabatla</t>
  </si>
  <si>
    <t>Kasi Vishwanath</t>
  </si>
  <si>
    <t xml:space="preserve">Hyderabad ,Telangana, India </t>
  </si>
  <si>
    <t>Gudipati pavan kumar</t>
  </si>
  <si>
    <t>Bhardwaj, Kaasyapasa, Kaasyapasa</t>
  </si>
  <si>
    <t xml:space="preserve">Yajur vedam </t>
  </si>
  <si>
    <t xml:space="preserve">Telugu </t>
  </si>
  <si>
    <t>Telugu</t>
  </si>
  <si>
    <t xml:space="preserve">No </t>
  </si>
  <si>
    <t>I am in purohitam</t>
  </si>
  <si>
    <t>VED-01</t>
  </si>
  <si>
    <t>YES</t>
  </si>
  <si>
    <t>BR</t>
  </si>
  <si>
    <t>praneeth5599@gmail.com</t>
  </si>
  <si>
    <t>Vanamali</t>
  </si>
  <si>
    <t>Praneeth</t>
  </si>
  <si>
    <t>Hyderabad</t>
  </si>
  <si>
    <t>Mavuduru Umamaheswara rao berhampur</t>
  </si>
  <si>
    <t>Bharadwajasa, Kasyapasa, Kasyapasa</t>
  </si>
  <si>
    <t>Rig veda</t>
  </si>
  <si>
    <t xml:space="preserve">Telugu english </t>
  </si>
  <si>
    <t xml:space="preserve">Niranjan Penumarthy </t>
  </si>
  <si>
    <t xml:space="preserve">Telugu english hindi </t>
  </si>
  <si>
    <t xml:space="preserve">Kiran Deshpande </t>
  </si>
  <si>
    <t>Tax Practitioner / Archaka Background</t>
  </si>
  <si>
    <t>We have pourohithyam at my village. My dad is a purohith and Srividhya Poorna Dheeksha Parulu</t>
  </si>
  <si>
    <t>Active</t>
  </si>
  <si>
    <t>I m glad if I able to learn from you.</t>
  </si>
  <si>
    <t>R1</t>
  </si>
  <si>
    <t>Ayachitula</t>
  </si>
  <si>
    <t>vennampallysharma@gmail.com</t>
  </si>
  <si>
    <t>Hrishikesh</t>
  </si>
  <si>
    <t>Vennampally</t>
  </si>
  <si>
    <t>Prashanth Sharma</t>
  </si>
  <si>
    <t xml:space="preserve">Narsampet </t>
  </si>
  <si>
    <t>B Chandresekar   9849639880</t>
  </si>
  <si>
    <t>B Chandresekar   9849639881</t>
  </si>
  <si>
    <t>Koundinyasa, Sri vatsasa, N/A</t>
  </si>
  <si>
    <t xml:space="preserve">Yajur Veda </t>
  </si>
  <si>
    <t>Telugu, Hindi, English</t>
  </si>
  <si>
    <t xml:space="preserve">To upgrade my skills </t>
  </si>
  <si>
    <t>prathaparudrudu181@gmail.com</t>
  </si>
  <si>
    <t>Marripati</t>
  </si>
  <si>
    <t>Prathapa Rudrudu</t>
  </si>
  <si>
    <t>Tenali</t>
  </si>
  <si>
    <t>Ch Ramakrishna garu</t>
  </si>
  <si>
    <t>Koundinyasa, Sri vatsasa, Bharadwajasa</t>
  </si>
  <si>
    <t>Yajur veda</t>
  </si>
  <si>
    <t xml:space="preserve">Telugu, Hindi, English </t>
  </si>
  <si>
    <t xml:space="preserve">Telugu Hindi English </t>
  </si>
  <si>
    <t>To improve swaram and sukthas</t>
  </si>
  <si>
    <t>bkalyankumarhyd@gmail.com</t>
  </si>
  <si>
    <t>Kumar</t>
  </si>
  <si>
    <t>Kalyan</t>
  </si>
  <si>
    <t>Rama krishna rtd railway</t>
  </si>
  <si>
    <t>98662 09719</t>
  </si>
  <si>
    <t>Kashyapasa, Srivatsasa</t>
  </si>
  <si>
    <t>Krishna Yajur</t>
  </si>
  <si>
    <t>Telugu, Hindhi, English</t>
  </si>
  <si>
    <t>To upgrade myself in Brahmanatva</t>
  </si>
  <si>
    <t>A high need for me to survive too</t>
  </si>
  <si>
    <t>paturi.venkatanagasrinivas@gmail.com</t>
  </si>
  <si>
    <t>Paturi</t>
  </si>
  <si>
    <t>Srinivas Venkata Naga</t>
  </si>
  <si>
    <t xml:space="preserve">HYDERABAD </t>
  </si>
  <si>
    <t>KALPANA MANGALAMPALLI</t>
  </si>
  <si>
    <t>AYHREYASA, HARIDASA, KASYAPASA</t>
  </si>
  <si>
    <t>Sukla Yajurveda</t>
  </si>
  <si>
    <t>Telugu, English n Hindi</t>
  </si>
  <si>
    <t>Private Emoloyee/Archaka</t>
  </si>
  <si>
    <t xml:space="preserve">Due to financial burden. </t>
  </si>
  <si>
    <t xml:space="preserve">NO ALTERNATE FOR ME TO LEAD FAMILY... DAUGHTER'S MARRIAGE n Son's higher education. My job is in dilemma as per management decision. </t>
  </si>
  <si>
    <t>arkesharchakam2@gmail.com</t>
  </si>
  <si>
    <t>Archakam</t>
  </si>
  <si>
    <t>Arkeshwara Gurukkal</t>
  </si>
  <si>
    <t>Palamaner</t>
  </si>
  <si>
    <t xml:space="preserve">Aravinda Sai Kondamari </t>
  </si>
  <si>
    <t>+14806124302</t>
  </si>
  <si>
    <t>Vasistasa, Bhargava, Kasyapasa</t>
  </si>
  <si>
    <t xml:space="preserve">Yajur veda </t>
  </si>
  <si>
    <t xml:space="preserve">Telugu, Tamil, Kannada </t>
  </si>
  <si>
    <t xml:space="preserve">Telugu, Kannada </t>
  </si>
  <si>
    <t xml:space="preserve">Homam prakriya </t>
  </si>
  <si>
    <t>I am working as an archaka at Temple. I can recite several suktas, but want to learn higher ceremonies like homam and yagnam.</t>
  </si>
  <si>
    <t>2-CHILD UNDER 16 YRS</t>
  </si>
  <si>
    <t>praveenbonala@gmail.com</t>
  </si>
  <si>
    <t>Bonala</t>
  </si>
  <si>
    <t>Arshith Sharma</t>
  </si>
  <si>
    <t>5-OTHER</t>
  </si>
  <si>
    <t>+61</t>
  </si>
  <si>
    <t>Melbourne Australia</t>
  </si>
  <si>
    <t>Praveen Kumar Sharma bonala</t>
  </si>
  <si>
    <t>+61434852893</t>
  </si>
  <si>
    <t>Koundinyasa, Bharadwajasa</t>
  </si>
  <si>
    <t>Krishna Yajurveda</t>
  </si>
  <si>
    <t>English, Telugu</t>
  </si>
  <si>
    <t>Praveen Kumar Sharma Bonala, Gauthami Rajuri</t>
  </si>
  <si>
    <t>Yes. Will Learn 1st Semester Syllabus along with Child</t>
  </si>
  <si>
    <t>Praveen Kumar Sharma writing this comment- I feel truly blessed by the grace of God to have taken birth as Brahmin. During my childhood, I didnt get opportunity to learn ouir sacred tradition. My brother learnt something from Shringeri Shankar Matt- Warangal during college days. But I didnt get chance to learn from my brother due to my nature of study and job. Currently I am in Australia and have enough time for work life balance. I wanted to teach my kid about our country and our tradition. Currently he is learning from Youtube videos and books. I wanted him to learn swarayukta and from Guru upadesham. So he will continue our tradition and parampara and wont attract to other wester culture things.</t>
  </si>
  <si>
    <t>4-REFERENCE?</t>
  </si>
  <si>
    <t>rudraramaj@gmail.com</t>
  </si>
  <si>
    <t>Rudra</t>
  </si>
  <si>
    <t>Rama</t>
  </si>
  <si>
    <t>Jana rudra Rama lingeswar sharma</t>
  </si>
  <si>
    <t>Bharadwajasa</t>
  </si>
  <si>
    <t xml:space="preserve">Self employed </t>
  </si>
  <si>
    <t xml:space="preserve">Intrested and important </t>
  </si>
  <si>
    <t>kavi999@gmail.com</t>
  </si>
  <si>
    <t>Kavikondala</t>
  </si>
  <si>
    <t>Srinivas</t>
  </si>
  <si>
    <t>Diwakar</t>
  </si>
  <si>
    <t>+91 90000 19664</t>
  </si>
  <si>
    <t>NA</t>
  </si>
  <si>
    <t xml:space="preserve">Software engineer </t>
  </si>
  <si>
    <t>Sandhya vandanam</t>
  </si>
  <si>
    <t>None - Do  not know much about this subject, but committed to learn</t>
  </si>
  <si>
    <t>praffulshakhai@gmail.com</t>
  </si>
  <si>
    <t>Shakhai</t>
  </si>
  <si>
    <t>Prafful Sharma</t>
  </si>
  <si>
    <t>Online sent email</t>
  </si>
  <si>
    <t xml:space="preserve">Online </t>
  </si>
  <si>
    <t>Goutamasa,kashyapasa</t>
  </si>
  <si>
    <t>Telugu English hindi marati</t>
  </si>
  <si>
    <t>Telugu English hindi</t>
  </si>
  <si>
    <t>Na</t>
  </si>
  <si>
    <t>Software engineer</t>
  </si>
  <si>
    <t>Wanted to learn , follow and implement Veda dharma in daily life for better living</t>
  </si>
  <si>
    <t>R2</t>
  </si>
  <si>
    <t>Sriram Charan</t>
  </si>
  <si>
    <t>veda729@gmail.com</t>
  </si>
  <si>
    <t>Simgavarjula</t>
  </si>
  <si>
    <t>Vedavyas</t>
  </si>
  <si>
    <t>Khammam</t>
  </si>
  <si>
    <t xml:space="preserve">Vedantam Rama Krishna Prasad </t>
  </si>
  <si>
    <t>Srivatsasa, Vardeswasa</t>
  </si>
  <si>
    <t>Yajur Veda</t>
  </si>
  <si>
    <t>Telugu, English</t>
  </si>
  <si>
    <t>Job Searching</t>
  </si>
  <si>
    <t>Interested to learn and to be able to perform when required at home.</t>
  </si>
  <si>
    <t xml:space="preserve">I am excited to join and learn. Thank you for giving this opportunity of sharing my details with you. </t>
  </si>
  <si>
    <t>durgaprasadvaranasi08@gmail.com</t>
  </si>
  <si>
    <t>Varanasi</t>
  </si>
  <si>
    <t>Durgaprasad</t>
  </si>
  <si>
    <t>3-USA CST</t>
  </si>
  <si>
    <t>+1</t>
  </si>
  <si>
    <t>Aubrey</t>
  </si>
  <si>
    <t xml:space="preserve">Koundinyasa, </t>
  </si>
  <si>
    <t>Yajur</t>
  </si>
  <si>
    <t xml:space="preserve">Telugu , Hindi , English </t>
  </si>
  <si>
    <t>Ganapathi homam, Rudra homam…etc</t>
  </si>
  <si>
    <t xml:space="preserve">Main goal is -I have to perform my Poojas at home without anyone’s help ( can be any Pooja or homam). And to retain our culture and spread it to next generations </t>
  </si>
  <si>
    <t>nagarajugudipudi@gmail.com</t>
  </si>
  <si>
    <t>Gudipudi</t>
  </si>
  <si>
    <t>Nagaraju</t>
  </si>
  <si>
    <t xml:space="preserve">GUDIPUDI PRASUNA </t>
  </si>
  <si>
    <t>SHANDILYASA, MAITRAVARANA, KOUNDINYASA</t>
  </si>
  <si>
    <t>Yajurveda</t>
  </si>
  <si>
    <t>Telugu, Hindi, English.</t>
  </si>
  <si>
    <t>SBI Bank Manager Retired</t>
  </si>
  <si>
    <t>Nithya Karma, Pancha Suktas, Visesha Suktas, Rudra Pada Patham, Smartha Poojas, Mahanyaasam, Smartham, Upanishads, Maha Narayanam, Arunam, Veda Aseervachanam, Ghana Swasthi.,</t>
  </si>
  <si>
    <t>Not sure due to other commitments</t>
  </si>
  <si>
    <t>Atleast now I should be able to byheart the necessary slokas and sutras to do nitya pooja.</t>
  </si>
  <si>
    <t>prasadevs@gmail.com</t>
  </si>
  <si>
    <t>Emani</t>
  </si>
  <si>
    <t>V S Prasad</t>
  </si>
  <si>
    <t xml:space="preserve">hyderabad </t>
  </si>
  <si>
    <t>what app</t>
  </si>
  <si>
    <t>gowthamasa  haritasa Gagresa</t>
  </si>
  <si>
    <t xml:space="preserve">not applicable </t>
  </si>
  <si>
    <t>rig veda</t>
  </si>
  <si>
    <t>telugu englush</t>
  </si>
  <si>
    <t>telugu english</t>
  </si>
  <si>
    <t xml:space="preserve">rtd </t>
  </si>
  <si>
    <t>nitya vidhi</t>
  </si>
  <si>
    <t>venkata.yammanuru@gmail.com</t>
  </si>
  <si>
    <t>Yammanuru</t>
  </si>
  <si>
    <t>Venkata Phaneendra</t>
  </si>
  <si>
    <t>Kadiri</t>
  </si>
  <si>
    <t>G Vishnu Sri vardhan</t>
  </si>
  <si>
    <t>Sri vasthasa, Aathreyasa</t>
  </si>
  <si>
    <t>Telugu, English, Hindi</t>
  </si>
  <si>
    <t>Self Intrest.</t>
  </si>
  <si>
    <t>To perform daily pooja.</t>
  </si>
  <si>
    <t>bharatchandraji@gmail.com</t>
  </si>
  <si>
    <t>Mukkavalli</t>
  </si>
  <si>
    <t>Bharat Chandra</t>
  </si>
  <si>
    <t>Mumbai</t>
  </si>
  <si>
    <t>Viswa Prasad Mukkavalli</t>
  </si>
  <si>
    <t>Kousikasa, Athreyasa</t>
  </si>
  <si>
    <t>Telugu-Beginner, English-Full Proficiency, Hindi-Proficient</t>
  </si>
  <si>
    <t>M.Tech Student</t>
  </si>
  <si>
    <t>5- STUDENT OVER 13. Not Applicable</t>
  </si>
  <si>
    <t>I have always wanted to learn the vedas.</t>
  </si>
  <si>
    <t>Yes, This is Top Priority for me</t>
  </si>
  <si>
    <t>nelapatlasastry@gmail.com</t>
  </si>
  <si>
    <t>Nelapatla</t>
  </si>
  <si>
    <t>Subbarama Sastry</t>
  </si>
  <si>
    <t>R3</t>
  </si>
  <si>
    <t>Challa</t>
  </si>
  <si>
    <t>Achyuth Ram</t>
  </si>
  <si>
    <t>Nelabhotla yeswanth kumar</t>
  </si>
  <si>
    <t>Bharadhwaja, koundinyasa, kasyapasa</t>
  </si>
  <si>
    <t xml:space="preserve">Krishna Yajurveda </t>
  </si>
  <si>
    <t>Telugu, English and hindi</t>
  </si>
  <si>
    <t>Telugu and english</t>
  </si>
  <si>
    <t>Public sector employee</t>
  </si>
  <si>
    <t xml:space="preserve">For peace and teach my kids in future </t>
  </si>
  <si>
    <t>barurao@rediffmail.com</t>
  </si>
  <si>
    <t>Baru</t>
  </si>
  <si>
    <t>Narasimha Rao</t>
  </si>
  <si>
    <t>Pune</t>
  </si>
  <si>
    <t>Raghavendra Rao</t>
  </si>
  <si>
    <t>Bharadwaja/ vashishta / kasyapasa</t>
  </si>
  <si>
    <t>English; hindi</t>
  </si>
  <si>
    <t>Retired</t>
  </si>
  <si>
    <t>Veda chanting</t>
  </si>
  <si>
    <t>TBD</t>
  </si>
  <si>
    <t>vasishtaswarna@gmail.com</t>
  </si>
  <si>
    <t>Swarna</t>
  </si>
  <si>
    <t>Srikrishna Vasishta</t>
  </si>
  <si>
    <t>Nadendla Sudheer Kumar</t>
  </si>
  <si>
    <t>Koundinyasa, Kasyapasa</t>
  </si>
  <si>
    <t>Yajurvedam</t>
  </si>
  <si>
    <t>Swarna Siva Subrahmanyam, Swarna Harichandana</t>
  </si>
  <si>
    <t>Student</t>
  </si>
  <si>
    <t>Smartam</t>
  </si>
  <si>
    <t>5-WHATSAPP?</t>
  </si>
  <si>
    <t>mvbhavani86@gmail.com</t>
  </si>
  <si>
    <t>Neelalohith</t>
  </si>
  <si>
    <t>Hanumath</t>
  </si>
  <si>
    <t>2-USA EST</t>
  </si>
  <si>
    <t>North carolina</t>
  </si>
  <si>
    <t>Kotam Raju srinivas rao</t>
  </si>
  <si>
    <t>Koundinyasa, Kasyapasa, Brahmachari</t>
  </si>
  <si>
    <t>English</t>
  </si>
  <si>
    <t>M.chandra Kaladhar</t>
  </si>
  <si>
    <t>Yes. Will Learn 1st Year Syllabus along with Child</t>
  </si>
  <si>
    <t>To learn nityakarma puja</t>
  </si>
  <si>
    <t>tlbhaskar@gmail.com</t>
  </si>
  <si>
    <t>Lakshman</t>
  </si>
  <si>
    <t>Bhaskar</t>
  </si>
  <si>
    <t xml:space="preserve">Detroit </t>
  </si>
  <si>
    <t>Srinath Kunduruthy</t>
  </si>
  <si>
    <t>Srivatsa, Haridasa, Kashyapa</t>
  </si>
  <si>
    <t>Tamil, Telugu, English</t>
  </si>
  <si>
    <t>Tamil, English</t>
  </si>
  <si>
    <t xml:space="preserve">IT professional </t>
  </si>
  <si>
    <t>I want improve my chanting of vedas as I already learnt Guru Mula Rudram, Chamakam. Suktas basic ones</t>
  </si>
  <si>
    <t>I want to learn Mahanyasam which is being taught in AP which is very elaborate to start with</t>
  </si>
  <si>
    <t>bvmk_rao27@rediffmail.com</t>
  </si>
  <si>
    <t>Bhattiprolu</t>
  </si>
  <si>
    <t>Venkata Murali Krishna Rao</t>
  </si>
  <si>
    <t>Satish sarma tumuluri guruvugaru (Budwel veda patasala)</t>
  </si>
  <si>
    <t>Koundinyasa, Bharadwajasa, Bharadwajasa</t>
  </si>
  <si>
    <t xml:space="preserve"> Telugu, English ,Hindi </t>
  </si>
  <si>
    <t xml:space="preserve">Telugu ,English, Hindi </t>
  </si>
  <si>
    <t>Private Sector.</t>
  </si>
  <si>
    <t xml:space="preserve">I want to be able to do nitya karma that brahmin should be doing. Want to lead life as per Sanatana dharma. </t>
  </si>
  <si>
    <t>I am Sandhyavandanam 3 times a day but want sookthams and other nitya karma's like pitru tarpanas and daily Puja with proper shodasa vidhanam. Budwel vedapatasala guruvu garu suggested your classes.</t>
  </si>
  <si>
    <t>ssripada@gmail.com</t>
  </si>
  <si>
    <t>Shripada</t>
  </si>
  <si>
    <t>Subrahmanya Srinivasa</t>
  </si>
  <si>
    <t>R4</t>
  </si>
  <si>
    <t>Toronto, Canada</t>
  </si>
  <si>
    <t>SRINIVAS MARLA</t>
  </si>
  <si>
    <t>Dokka</t>
  </si>
  <si>
    <t>Kaushikasa, Kaundinyasa, Gauthamasa</t>
  </si>
  <si>
    <t>Jagannadh</t>
  </si>
  <si>
    <t>Telugu, English, Hindi, Kannada</t>
  </si>
  <si>
    <t>Civil Enginner</t>
  </si>
  <si>
    <t>To better understand and knowing of Vedas and to gain spiritual knowledge</t>
  </si>
  <si>
    <t>I would like to join the course and develop my skills. Thanks</t>
  </si>
  <si>
    <t>vedula.abhishek1@gmail.com</t>
  </si>
  <si>
    <t>Vedula</t>
  </si>
  <si>
    <t>Abhishek</t>
  </si>
  <si>
    <t>VEDULA ABHISHEK</t>
  </si>
  <si>
    <t>Bharadwaja, Srivatsa, Kaundinyasa</t>
  </si>
  <si>
    <t>SAMA VEDA</t>
  </si>
  <si>
    <t>Software Engineer</t>
  </si>
  <si>
    <t>I couldn't learn this during my childhood. I have interest in learning nithyakarma, smartham , pooja vidhis so that I can stick to my cultural roots.</t>
  </si>
  <si>
    <t>Although many of my family members are into paurohitham unfortunately I couldn't learn from them during my childhood. I will be privileged if I get into the course and find a guru. 🙏</t>
  </si>
  <si>
    <t>raviec04@gmail.com</t>
  </si>
  <si>
    <t>Tadepally</t>
  </si>
  <si>
    <t>Sri Rama Karthikeya Sharma</t>
  </si>
  <si>
    <t>Sai Srinivas Jagarlamudi</t>
  </si>
  <si>
    <t>Harithasa, Gauthamasa, N/A</t>
  </si>
  <si>
    <t xml:space="preserve">Ravikanth Sharma Tadepally </t>
  </si>
  <si>
    <t>5th Grade</t>
  </si>
  <si>
    <t xml:space="preserve">To follow sanatana dharmam as prescribed in Vedas </t>
  </si>
  <si>
    <t>sudan1955@gmail.com</t>
  </si>
  <si>
    <t>Kurada</t>
  </si>
  <si>
    <t>Madhusudana Rao</t>
  </si>
  <si>
    <t xml:space="preserve">Venkata Satya Vijay Kommaraju </t>
  </si>
  <si>
    <t>Srivatsasa, Sandilyasa, Sandilyasa</t>
  </si>
  <si>
    <t>Yajur Veda Krishna Sakha</t>
  </si>
  <si>
    <t xml:space="preserve">Telugu, English, Hindi </t>
  </si>
  <si>
    <t xml:space="preserve">General Manager BSNL Retired </t>
  </si>
  <si>
    <t>Interested in our tradition. Know Sandhyavandanam etc and some sukthas</t>
  </si>
  <si>
    <t>Once occasional smoker. Stopped long back</t>
  </si>
  <si>
    <t>charans92@gmail.com</t>
  </si>
  <si>
    <t>Indrakanti</t>
  </si>
  <si>
    <t>Shiva Charan</t>
  </si>
  <si>
    <t>4-USA MST/PST</t>
  </si>
  <si>
    <t>Seattle</t>
  </si>
  <si>
    <t>Rama Krishna</t>
  </si>
  <si>
    <t>Srivatsasa, Bharadwajasa, N/A</t>
  </si>
  <si>
    <t>Telugu English Hindi</t>
  </si>
  <si>
    <t>Hardware Engineer</t>
  </si>
  <si>
    <t>Out of Passion</t>
  </si>
  <si>
    <t>Phone Number is +18509806681</t>
  </si>
  <si>
    <t>narasimharaokvn@rediffmail.com</t>
  </si>
  <si>
    <t>Kommaraju</t>
  </si>
  <si>
    <t>Venkata Narasimha Rao</t>
  </si>
  <si>
    <t>HYDERABAD</t>
  </si>
  <si>
    <t>Kommaraju venkata sarya vijay</t>
  </si>
  <si>
    <t>Koundinyasa, Bharadwaja, Bharadwaja</t>
  </si>
  <si>
    <t>Krishna Yajur Veda</t>
  </si>
  <si>
    <t>Telugu/hindi/english</t>
  </si>
  <si>
    <t>Bank AGM RETD.</t>
  </si>
  <si>
    <t>Vedas meanings and nitya karmalu vidhanam</t>
  </si>
  <si>
    <t>Please allow me to participate</t>
  </si>
  <si>
    <t>praveendaita@gmail.com</t>
  </si>
  <si>
    <t>Daita</t>
  </si>
  <si>
    <t>Praveen</t>
  </si>
  <si>
    <t xml:space="preserve">M Ravi Kiran Sharma </t>
  </si>
  <si>
    <t>Srivathsa, Bharadwajas, Haritasa</t>
  </si>
  <si>
    <t>Krishna yajur veda</t>
  </si>
  <si>
    <t xml:space="preserve">Operations Manager </t>
  </si>
  <si>
    <t xml:space="preserve">To practice my daily rituals </t>
  </si>
  <si>
    <t>srivatsakurada@gmail.com</t>
  </si>
  <si>
    <t>Srivatsa</t>
  </si>
  <si>
    <t>Redmond</t>
  </si>
  <si>
    <t>Vijay Kommaraju</t>
  </si>
  <si>
    <t>Srivatsasa, Sandilyasa, N/A</t>
  </si>
  <si>
    <t>English, Hindi, Telugu</t>
  </si>
  <si>
    <t>I want to learn ancient culture</t>
  </si>
  <si>
    <t>srkvsagar@gmail.com</t>
  </si>
  <si>
    <t>Sathuvalli</t>
  </si>
  <si>
    <t>Vidyasagar</t>
  </si>
  <si>
    <t>Kennewick</t>
  </si>
  <si>
    <t>Bharat Vyakaranam</t>
  </si>
  <si>
    <t>Bharadwaja, Koundinasya, Vishwamitra</t>
  </si>
  <si>
    <t>Telugu, Kannada, English, Tamil, Hindi</t>
  </si>
  <si>
    <t>Telugu, Kannada, English</t>
  </si>
  <si>
    <t>Associate Professor</t>
  </si>
  <si>
    <t>Complete Veda</t>
  </si>
  <si>
    <t>nirapavankumar@gmail.com</t>
  </si>
  <si>
    <t>Niraghatam</t>
  </si>
  <si>
    <t>Pavan</t>
  </si>
  <si>
    <t>Austin</t>
  </si>
  <si>
    <t>Pravallika Kautha</t>
  </si>
  <si>
    <t>Bhargavasa, Kaundinyasa, N/A</t>
  </si>
  <si>
    <t>Niraghatam Subbarao, Niraghatam Parvathi Prasanna</t>
  </si>
  <si>
    <t>R5</t>
  </si>
  <si>
    <t>IT</t>
  </si>
  <si>
    <t>To learn Vedam and correct pronunciation</t>
  </si>
  <si>
    <t>Gorthy</t>
  </si>
  <si>
    <t>Anand krishna</t>
  </si>
  <si>
    <t>parthumanikonda04@gmail.com</t>
  </si>
  <si>
    <t>Manikonda</t>
  </si>
  <si>
    <t>Parthasaradhi</t>
  </si>
  <si>
    <t>Yathin Chandra Manikonda</t>
  </si>
  <si>
    <t>Kowndinyasa, Harithasa, N/A</t>
  </si>
  <si>
    <t>Krishna Yajur vedam</t>
  </si>
  <si>
    <t xml:space="preserve">Telugu, English </t>
  </si>
  <si>
    <t xml:space="preserve">Telugu , English </t>
  </si>
  <si>
    <t xml:space="preserve">Btech 3rd year student </t>
  </si>
  <si>
    <t>To practice our Vedic dharma</t>
  </si>
  <si>
    <t>siva.tatavarthi@yahoo.co.in</t>
  </si>
  <si>
    <t>Tatavarthi</t>
  </si>
  <si>
    <t>Sivaramakrishna</t>
  </si>
  <si>
    <t>Manikonda yatin chandra</t>
  </si>
  <si>
    <t>Koundinyasa, Bharadwajasa, Kousikasa</t>
  </si>
  <si>
    <t xml:space="preserve">Architect </t>
  </si>
  <si>
    <t xml:space="preserve">As per syllabus </t>
  </si>
  <si>
    <t xml:space="preserve">Very keen </t>
  </si>
  <si>
    <t>sreekararockzz@gmail.com</t>
  </si>
  <si>
    <t>Mokshagundam</t>
  </si>
  <si>
    <t>Sreekara</t>
  </si>
  <si>
    <t>Bangalore</t>
  </si>
  <si>
    <t>Bharadwajasa, kowndinyasa, N/A</t>
  </si>
  <si>
    <t xml:space="preserve">English, Telugu </t>
  </si>
  <si>
    <t xml:space="preserve">To be able to perform my nitya karma and daily Pooja </t>
  </si>
  <si>
    <t>nandanrags@gmail.com</t>
  </si>
  <si>
    <t>Pandilla</t>
  </si>
  <si>
    <t>Narahari Sharma</t>
  </si>
  <si>
    <t>Raghu Nandan</t>
  </si>
  <si>
    <t>Gowthamasa, Parasara, N/A</t>
  </si>
  <si>
    <t>Telugu, English, hindi</t>
  </si>
  <si>
    <t>Raghu Nandan Pandilla</t>
  </si>
  <si>
    <t xml:space="preserve">7th Grade Student </t>
  </si>
  <si>
    <t>Already know 1st year Syllabus. Hence will help the child at home</t>
  </si>
  <si>
    <t>Being Brahmin in stress in learning vedas</t>
  </si>
  <si>
    <t>Very much intrested to join , preferably offline classes (face to face)</t>
  </si>
  <si>
    <t>bharani.rayaprolu@gmail.com</t>
  </si>
  <si>
    <t>Rayaprolu</t>
  </si>
  <si>
    <t>Bharani Kumar</t>
  </si>
  <si>
    <t>Rayaprolu pavan kumar</t>
  </si>
  <si>
    <t>Athreyasa, Bharadwajasa, Kousikasa</t>
  </si>
  <si>
    <t>Telugu, english</t>
  </si>
  <si>
    <t>Private employee</t>
  </si>
  <si>
    <t>To educate myself and keep the dharmic things into practice.</t>
  </si>
  <si>
    <t xml:space="preserve">Please consider me for this year and i will ensure i will join classes without fail and practice what i learnt. </t>
  </si>
  <si>
    <t>venkatesh.kottapalli@gmail.com</t>
  </si>
  <si>
    <t>Kothapalli</t>
  </si>
  <si>
    <t>Venkatesh</t>
  </si>
  <si>
    <t>Calgary</t>
  </si>
  <si>
    <t>Pavan Rayaprolu</t>
  </si>
  <si>
    <t>Harithasa, Koundinyasa, Bhagavatula</t>
  </si>
  <si>
    <t xml:space="preserve">Telugu English </t>
  </si>
  <si>
    <t>N/a</t>
  </si>
  <si>
    <t>Recruiter</t>
  </si>
  <si>
    <t xml:space="preserve">To learn about culture process </t>
  </si>
  <si>
    <t>murthykothapalli5959@gmail.com</t>
  </si>
  <si>
    <t>Narasimha Murthy</t>
  </si>
  <si>
    <t>R.K.V.Pavan kumar</t>
  </si>
  <si>
    <t>Harithasa, Kousikasa, Koundinyasa</t>
  </si>
  <si>
    <t>Yajurvweda</t>
  </si>
  <si>
    <t>Total</t>
  </si>
  <si>
    <t xml:space="preserve">Good service </t>
  </si>
  <si>
    <t>potharajuvenkat824@gmail.com</t>
  </si>
  <si>
    <t>Potharaju</t>
  </si>
  <si>
    <t>Venkat Sharma</t>
  </si>
  <si>
    <t xml:space="preserve">Bengaluru </t>
  </si>
  <si>
    <t xml:space="preserve">Manikanta Chillara </t>
  </si>
  <si>
    <t>Kaundinyasa, Kashyapasa, NA</t>
  </si>
  <si>
    <t xml:space="preserve">Yajur Vedam </t>
  </si>
  <si>
    <t xml:space="preserve">Dr P Venkateswara Rao </t>
  </si>
  <si>
    <t xml:space="preserve">Analog Design Engineer </t>
  </si>
  <si>
    <t xml:space="preserve">I want to learn Vedas because it’s my duty. Aadhyana, Adhyapana are the basic duties of Brahmin </t>
  </si>
  <si>
    <t xml:space="preserve">I am very much excited to learn and be part of this wonderful course. I am blessed. Sharade Pahimam Shankar Rakshamam </t>
  </si>
  <si>
    <t>kameswarasastrya@gmail.com</t>
  </si>
  <si>
    <t>Amanamanchi</t>
  </si>
  <si>
    <t>Kameswara Sastry</t>
  </si>
  <si>
    <t>Self</t>
  </si>
  <si>
    <t>Bharadwajasa, Srivatsa, Koundinyasa</t>
  </si>
  <si>
    <t xml:space="preserve">Software Engineer </t>
  </si>
  <si>
    <t>For performing daily rituals</t>
  </si>
  <si>
    <t>I am committed to lernt</t>
  </si>
  <si>
    <t>mallikarjun.kasibhatta@gmail.com</t>
  </si>
  <si>
    <t>Kasibhatta</t>
  </si>
  <si>
    <t>Mallikarjun</t>
  </si>
  <si>
    <t>SGB group</t>
  </si>
  <si>
    <t>Koundinyasa, Harithasa, Kashyapa</t>
  </si>
  <si>
    <t>Telugu, hindi, english</t>
  </si>
  <si>
    <t>Self employed</t>
  </si>
  <si>
    <t xml:space="preserve">Jagadguru Sri ADI SANKARA said "Vedo nityamadiyatam..." </t>
  </si>
  <si>
    <t>I and my 9 yr old son are doing regular nitya karma, so we want from year 1 part B syllabus onwards. I recite rudram regularly, my child learnt namakam and chamakam is pending. Other suktas my son needs to learn. Hence asking from part B onwards.</t>
  </si>
  <si>
    <t>smdu1967@gmail.com</t>
  </si>
  <si>
    <t>R6</t>
  </si>
  <si>
    <t>Samavedam</t>
  </si>
  <si>
    <t>Malleshwara Sharma</t>
  </si>
  <si>
    <t>Jandhyala</t>
  </si>
  <si>
    <t>Venkata Karthikeya Aashrith</t>
  </si>
  <si>
    <t xml:space="preserve">హైదరాబాద్ </t>
  </si>
  <si>
    <t xml:space="preserve">తూములూరి కృష్ణ ప్రసాద్ </t>
  </si>
  <si>
    <t>హరిత సగోత్రం, భరద్వాజ, గౌతమ సగోత్రం</t>
  </si>
  <si>
    <t xml:space="preserve">కృష్ణ యాజర్వేద </t>
  </si>
  <si>
    <t xml:space="preserve">తెలుగు </t>
  </si>
  <si>
    <t xml:space="preserve">ప్రైవేట్ </t>
  </si>
  <si>
    <t xml:space="preserve">బ్రాహ్మణ పరంపారా విద్య నేర్చుకోవాలని </t>
  </si>
  <si>
    <t>boochulu.ss@gmail.com</t>
  </si>
  <si>
    <t>Sharma</t>
  </si>
  <si>
    <t>Saket Ram</t>
  </si>
  <si>
    <t>Sankarmutt</t>
  </si>
  <si>
    <t>Koundinyasa, Srivatsasa, N/A</t>
  </si>
  <si>
    <t>Employee LIC</t>
  </si>
  <si>
    <t>Dharmika jeevanam</t>
  </si>
  <si>
    <t>Hare Krishna</t>
  </si>
  <si>
    <t>gushagiridhar@gmail.com</t>
  </si>
  <si>
    <t>Yasasvi</t>
  </si>
  <si>
    <t>Krishna</t>
  </si>
  <si>
    <t>Shyam. Kuppa</t>
  </si>
  <si>
    <t>Haritasa, Koundinyasa, N/A</t>
  </si>
  <si>
    <t xml:space="preserve">Yajur </t>
  </si>
  <si>
    <t xml:space="preserve">Tell, English and Hindi </t>
  </si>
  <si>
    <t>G. V.GIRIDHAR, G USHA</t>
  </si>
  <si>
    <t xml:space="preserve">6th grade student </t>
  </si>
  <si>
    <t xml:space="preserve">We want to make our kid aware of sanathana Dharma and learn Vedam along with regular studies </t>
  </si>
  <si>
    <t>Very good initiative , we are eagerly waiting for the classes to start</t>
  </si>
  <si>
    <t>bhanumscgitam@gmail.com</t>
  </si>
  <si>
    <t>Karanam</t>
  </si>
  <si>
    <t>Bhanu Chander</t>
  </si>
  <si>
    <t>SGB SV YAJUR TELUGU WHATSAPPGROUP , Mani Kanta Chillara Garu</t>
  </si>
  <si>
    <t>Bhardwajasa, SriVastasa, SriVastasa</t>
  </si>
  <si>
    <t>Telugu , Hindi, English</t>
  </si>
  <si>
    <t>Software Employee</t>
  </si>
  <si>
    <t>Interested in Suktam, Rudram, Mahanysam, Aruna prashna, Nitya Karma &amp; Sanatana Dharama teachings.</t>
  </si>
  <si>
    <t>Thank you for this Opportunity.</t>
  </si>
  <si>
    <t>sv_manjunath@yahoo.com</t>
  </si>
  <si>
    <t>Sridharam Venkatraman</t>
  </si>
  <si>
    <t>Manjunath</t>
  </si>
  <si>
    <t>Bengaluru</t>
  </si>
  <si>
    <t>Sri Manikanta Chillara via SGB-SV-Yajur Telugu group</t>
  </si>
  <si>
    <t>Gowthama gothram, Vishwamitra gothram, Kutsava gothram</t>
  </si>
  <si>
    <t>Telugu, Hindi, Marathi, English</t>
  </si>
  <si>
    <t>Independent Consultant - Chartered Accountant</t>
  </si>
  <si>
    <t xml:space="preserve">I think it is important for every Hindu to know. I was highly interested, but no opportunities where I stayed before. Now, since it is online, I am very interested to fill the gap in my education. </t>
  </si>
  <si>
    <t>I do not smoke, drink alcohol or eat meat. Those questions are not applicable to me.</t>
  </si>
  <si>
    <t>nivas.pasumarthi@gmail.com</t>
  </si>
  <si>
    <t>Pasumarthi</t>
  </si>
  <si>
    <t>Kommu Srinivasa Bhaskar</t>
  </si>
  <si>
    <t>Kasyapa, కుత్సస, Harithasa</t>
  </si>
  <si>
    <t xml:space="preserve">Lecturer </t>
  </si>
  <si>
    <t>To perform Abhishekam on my own</t>
  </si>
  <si>
    <t>I sincerely follow the above rules</t>
  </si>
  <si>
    <t>kpadmakar@gmail.com</t>
  </si>
  <si>
    <t>Kocherlakota</t>
  </si>
  <si>
    <t>Padmakar</t>
  </si>
  <si>
    <t xml:space="preserve">Tumuluri Krishna Prasad </t>
  </si>
  <si>
    <t>Kasyapasa, Harithasa, Bharadwajasa</t>
  </si>
  <si>
    <t xml:space="preserve">Ramana Murthy </t>
  </si>
  <si>
    <t>Retired Bank Manager</t>
  </si>
  <si>
    <t>To upkeep the hindu traditions and rituals</t>
  </si>
  <si>
    <t>Not sure</t>
  </si>
  <si>
    <t>k.sricharan@gmail.com</t>
  </si>
  <si>
    <t>Sricharan</t>
  </si>
  <si>
    <t>Peddada Radha Krishna</t>
  </si>
  <si>
    <t>Kasyapasa, Srivatsasa, Vasishtasa</t>
  </si>
  <si>
    <t>Director</t>
  </si>
  <si>
    <t>To perfor Nitya Karma on my own and have basic knowledge about Veda. To get cultural knowledge and spread it and encourage younger generation</t>
  </si>
  <si>
    <t>Even though this is not high priority, I want to be a committed learner and want to practice nitya karma without fail</t>
  </si>
  <si>
    <t>medurivamsi@gmail.com</t>
  </si>
  <si>
    <t>Meduri</t>
  </si>
  <si>
    <t>Vamsikanth</t>
  </si>
  <si>
    <t>Kousikasa, Athreyasa, Koundinyasa</t>
  </si>
  <si>
    <t xml:space="preserve">Telugu,Tamil, english </t>
  </si>
  <si>
    <t>Telugu English Sanskrit hindhi</t>
  </si>
  <si>
    <t>Software prfeasional</t>
  </si>
  <si>
    <t>To save vedas</t>
  </si>
  <si>
    <t>shravanikondapaka@gmail.com</t>
  </si>
  <si>
    <t>Kondapaka</t>
  </si>
  <si>
    <t>Sriniketh</t>
  </si>
  <si>
    <t>Koundniyasa, Athryasa, Brahmachari</t>
  </si>
  <si>
    <t xml:space="preserve">Yajurveda </t>
  </si>
  <si>
    <t>Telugu and English</t>
  </si>
  <si>
    <t>Praveen kumar</t>
  </si>
  <si>
    <t>5th grade completing</t>
  </si>
  <si>
    <t>Sandhya vandanam and suktams and more   with swaram</t>
  </si>
  <si>
    <t xml:space="preserve">V r shri vaishnav completely traditional and pure veg and I like to learn veda </t>
  </si>
  <si>
    <t>durgasairam1979@gmail.com</t>
  </si>
  <si>
    <t>Sairam</t>
  </si>
  <si>
    <t>R7</t>
  </si>
  <si>
    <t>Vijayawada</t>
  </si>
  <si>
    <t>Kavuri</t>
  </si>
  <si>
    <t>Harithasa, KoundinyasY, Koundinyas</t>
  </si>
  <si>
    <t>Sriram</t>
  </si>
  <si>
    <t>Accounts Manager</t>
  </si>
  <si>
    <t xml:space="preserve"> Pooja kriya learning</t>
  </si>
  <si>
    <t xml:space="preserve">Thank you  for this opportunity </t>
  </si>
  <si>
    <t>srikrishnanelapatla@gmail.com</t>
  </si>
  <si>
    <t>Srikrishna</t>
  </si>
  <si>
    <t>Ongole</t>
  </si>
  <si>
    <t>None</t>
  </si>
  <si>
    <t>Bharadwajasa, Kaundinyasa, Kasyapasa</t>
  </si>
  <si>
    <t>IT Professional</t>
  </si>
  <si>
    <t>I'm Interested in learning Vedam</t>
  </si>
  <si>
    <t>ramakn@gmail.com</t>
  </si>
  <si>
    <t>Nibhanapuri</t>
  </si>
  <si>
    <t>Ramakrishna</t>
  </si>
  <si>
    <t>Bharavi sharma sarabu</t>
  </si>
  <si>
    <t>koundinyasa, Haritasya, KOUSHIKA</t>
  </si>
  <si>
    <t>Telugu,English</t>
  </si>
  <si>
    <t>Faculty, ETE department, GNITS, Hyderabad</t>
  </si>
  <si>
    <t xml:space="preserve">life ambition  and  continues improvement </t>
  </si>
  <si>
    <t xml:space="preserve">happy to be part of this course </t>
  </si>
  <si>
    <t>anandkappa@gmail.com</t>
  </si>
  <si>
    <t>Kappagantula</t>
  </si>
  <si>
    <t>Anand</t>
  </si>
  <si>
    <t xml:space="preserve">Milpitas </t>
  </si>
  <si>
    <t xml:space="preserve">Sri Shiva Rama Krishna </t>
  </si>
  <si>
    <t>Kousikasa, Koundinyasa, NA</t>
  </si>
  <si>
    <t xml:space="preserve">Krishna Yajur Veda </t>
  </si>
  <si>
    <t xml:space="preserve">Sanskrit, Hindi </t>
  </si>
  <si>
    <t xml:space="preserve">NA </t>
  </si>
  <si>
    <t xml:space="preserve">IT Condultant </t>
  </si>
  <si>
    <t>For Jñāna</t>
  </si>
  <si>
    <t>sridhar.kvs@gmail.com</t>
  </si>
  <si>
    <t>Kuruganti</t>
  </si>
  <si>
    <t>Sridhar</t>
  </si>
  <si>
    <t xml:space="preserve">Houston </t>
  </si>
  <si>
    <t>Last year student</t>
  </si>
  <si>
    <t>Harithasa, Bharadwaja, Bharadwaja</t>
  </si>
  <si>
    <t>Software consultant</t>
  </si>
  <si>
    <t>To practice Sanatana Dharma</t>
  </si>
  <si>
    <t>dbasrinivasr@gmail.com</t>
  </si>
  <si>
    <t>Rangavajhala</t>
  </si>
  <si>
    <t>Online</t>
  </si>
  <si>
    <t>Bharadwajasa, Kasyapasa, Koundinyasa</t>
  </si>
  <si>
    <t>Software Engg</t>
  </si>
  <si>
    <t xml:space="preserve">To become the path of Sanatana Dharma </t>
  </si>
  <si>
    <t>I am interested in this course and waiting for the same.</t>
  </si>
  <si>
    <t>rsrinivas04@gmail.com</t>
  </si>
  <si>
    <t>Yegna Datta</t>
  </si>
  <si>
    <t>Bharadwajasa, Koundinyasa, NA</t>
  </si>
  <si>
    <t>SRINIVAS R</t>
  </si>
  <si>
    <t>For upgrade my self</t>
  </si>
  <si>
    <t xml:space="preserve">I am interested for this course </t>
  </si>
  <si>
    <t>sreedatta.rallabhandi@gmail.com</t>
  </si>
  <si>
    <t>Rallabhandi</t>
  </si>
  <si>
    <t>Sri Datta Sharma</t>
  </si>
  <si>
    <t>I got to know through WhatsApp group (Manikanta chillara)</t>
  </si>
  <si>
    <t>Bharadwajasa, Koundinyasa, N/A</t>
  </si>
  <si>
    <t>Krishna yajur vedam</t>
  </si>
  <si>
    <t>Telugu, english, hindi</t>
  </si>
  <si>
    <t>Student (doing internship)</t>
  </si>
  <si>
    <t xml:space="preserve">I'm interested to learn regarding Vedas, upanishads and their importance that's helps me improve myself to follow the responsibilities and dharmam, i learnt some parts like namakam chamakam sri suktam, purusha suuktam, durga suktam, ganapati atharvasheersham like this </t>
  </si>
  <si>
    <t xml:space="preserve">I'm very much interested to learn vedas upanishads and ill ensure myself that I'll learn and practice to full extent </t>
  </si>
  <si>
    <t>girimsp@gmail.com</t>
  </si>
  <si>
    <t>Malladi</t>
  </si>
  <si>
    <t>Srinivas Pavan Giri</t>
  </si>
  <si>
    <t xml:space="preserve">Bangalore </t>
  </si>
  <si>
    <t>Malladi Venkata Sita Ram Anjaneya Sarma</t>
  </si>
  <si>
    <t>Haritha, Bharadwaja, Srivatsa</t>
  </si>
  <si>
    <t>R8</t>
  </si>
  <si>
    <t xml:space="preserve">Kidambi </t>
  </si>
  <si>
    <t>Telugu, Tamil, English, Kannada, Hindi</t>
  </si>
  <si>
    <t xml:space="preserve">Sanskrit, English </t>
  </si>
  <si>
    <t xml:space="preserve">Senior Project Manager </t>
  </si>
  <si>
    <t xml:space="preserve">Vedkrishna </t>
  </si>
  <si>
    <t>Nithya Anushtanam, Sooktam,</t>
  </si>
  <si>
    <t>Not too sure of the field "Reference Person". I gave the Reference person of a person who can vouch me as. Brahmin</t>
  </si>
  <si>
    <t>siripurapusrinivas64@gmail.com</t>
  </si>
  <si>
    <t>Siripurapu</t>
  </si>
  <si>
    <t>GUNTUR (AP)</t>
  </si>
  <si>
    <t>Karanam Bhanu Chander</t>
  </si>
  <si>
    <t>GOUTHAMA, KOUNDINYA, BHARADWAJA</t>
  </si>
  <si>
    <t>Bank Manager 3rd Grade</t>
  </si>
  <si>
    <t>To improve vedic skills and to practise sanathana dharma</t>
  </si>
  <si>
    <t>Happy to know that SLPTS is striving hard to inculcate the habit of learning vedas through guru shishys parampara among the sanathanis.</t>
  </si>
  <si>
    <t>pksk4u@yahoo.com</t>
  </si>
  <si>
    <t>Mellacheruvu</t>
  </si>
  <si>
    <t>Venkata Radha Krishna Murthy</t>
  </si>
  <si>
    <t xml:space="preserve">Karanam Bhanu Chander </t>
  </si>
  <si>
    <t>Bharadwajasa, Haridasa, Haridasa</t>
  </si>
  <si>
    <t>Telugu, English  &amp;Hindi</t>
  </si>
  <si>
    <t>N,/A</t>
  </si>
  <si>
    <t xml:space="preserve">Deputy Secretary to Government, A.P. Secretariat, Amaravati </t>
  </si>
  <si>
    <t xml:space="preserve">To learn Sanathana Dharma,Veda Vidhya and the same is passing next generation </t>
  </si>
  <si>
    <t xml:space="preserve">I am very much thankful to Sri Gurukrupa Veda Samrakshana Educational Society to give me this great opportunity </t>
  </si>
  <si>
    <t>shantharamsa.ch@gmail.com</t>
  </si>
  <si>
    <t>Chintapenta</t>
  </si>
  <si>
    <t>Shantaram</t>
  </si>
  <si>
    <t>Riyadh</t>
  </si>
  <si>
    <t>Whatapp group</t>
  </si>
  <si>
    <t>Bharadhawasaja, Harithasa, Gauthamasa</t>
  </si>
  <si>
    <t>Software</t>
  </si>
  <si>
    <t>To do rituals every day</t>
  </si>
  <si>
    <t>cssravan@gmail.com</t>
  </si>
  <si>
    <t>Chavali</t>
  </si>
  <si>
    <t>Subrahmanya Sravan</t>
  </si>
  <si>
    <t xml:space="preserve">Aditya Yadavalli </t>
  </si>
  <si>
    <t>Kousikasa, Goutamasa, Haritasa</t>
  </si>
  <si>
    <t>Nitya karma</t>
  </si>
  <si>
    <t xml:space="preserve">గురుబ్యో నమః </t>
  </si>
  <si>
    <t>hemanthkumarsfdc@gmail.com</t>
  </si>
  <si>
    <t>Jagannadhula</t>
  </si>
  <si>
    <t>Vidwath</t>
  </si>
  <si>
    <t>HYDERABAD-TL</t>
  </si>
  <si>
    <t>Satyam Takkarsu</t>
  </si>
  <si>
    <t>Vishnuvardhasa, Parasara, NA</t>
  </si>
  <si>
    <t xml:space="preserve">Girija Hemanth </t>
  </si>
  <si>
    <t>Wanna continue our traditional learning.</t>
  </si>
  <si>
    <t>mavuduru@gmail.com</t>
  </si>
  <si>
    <t>Mavuduru</t>
  </si>
  <si>
    <t>Uma Maheswar Rao</t>
  </si>
  <si>
    <t xml:space="preserve">BERHAMPUR ODISHA </t>
  </si>
  <si>
    <t>SRI WADALAMANI YAGESWAR RAO</t>
  </si>
  <si>
    <t>KASYAPA, UPAMANYASYA, UPAMANYASYA</t>
  </si>
  <si>
    <t xml:space="preserve">YAJURVEDA </t>
  </si>
  <si>
    <t xml:space="preserve">TELUGU ODIYA ENGLISH HINDI </t>
  </si>
  <si>
    <t xml:space="preserve">TELUGU ODIYA ENGLISH </t>
  </si>
  <si>
    <t xml:space="preserve">RETIRED SECTION OFFICER, GOVT ODISHA </t>
  </si>
  <si>
    <t>To have knowledge and recite vedas</t>
  </si>
  <si>
    <t xml:space="preserve">I am very much privileged have this opportunity </t>
  </si>
  <si>
    <t>sriramasarma1971@gmail.com</t>
  </si>
  <si>
    <t>Kondaveeti</t>
  </si>
  <si>
    <t>S V V S S S Ramasarma</t>
  </si>
  <si>
    <t>Yanam</t>
  </si>
  <si>
    <t>Sasikanth garu</t>
  </si>
  <si>
    <t>Kowsikasa, Kashyapasa, Koundinyasa</t>
  </si>
  <si>
    <t>Telugu, english , hindi</t>
  </si>
  <si>
    <t>Accounts Manager at private sector</t>
  </si>
  <si>
    <t xml:space="preserve">Personal </t>
  </si>
  <si>
    <t>R9</t>
  </si>
  <si>
    <t>Mandapaka</t>
  </si>
  <si>
    <t xml:space="preserve">I joined your పాఠశాల 2 years back.  But due to family troubles I didn't attend regularly.  Now I request to give opertunity again sir. </t>
  </si>
  <si>
    <t>Krishna Sai Sudeep Sarma</t>
  </si>
  <si>
    <t>satish.munnagi@gmail.com</t>
  </si>
  <si>
    <t>Munnagi</t>
  </si>
  <si>
    <t>Satish</t>
  </si>
  <si>
    <t xml:space="preserve">Lafayette Indiana </t>
  </si>
  <si>
    <t>Raja sekhar</t>
  </si>
  <si>
    <t>Harithasa, Srivathsa, Bharadwaj</t>
  </si>
  <si>
    <t xml:space="preserve">Engineer </t>
  </si>
  <si>
    <t xml:space="preserve">Learn traditional methods </t>
  </si>
  <si>
    <t>vijayakumarasarma@gmail.com</t>
  </si>
  <si>
    <t>Gouripeddi</t>
  </si>
  <si>
    <t>Vijaya Kumara Sharma</t>
  </si>
  <si>
    <t xml:space="preserve">MANDAPETA </t>
  </si>
  <si>
    <t>Dr.Boddu Palli Venkata Siva Kumar. Mobile:9346386115.</t>
  </si>
  <si>
    <t>Sree BHARADWAJASA, Sree SHYAANDILYASA, Sree SHYAANDILYASA</t>
  </si>
  <si>
    <t>Telugu, English.</t>
  </si>
  <si>
    <t xml:space="preserve">Telugu, English. </t>
  </si>
  <si>
    <t>Joint Director (Animal Husbandry Dept).(Retired).A.P.</t>
  </si>
  <si>
    <t>Vedic Literature in repect of Sanathana Dharma for Brahmanism.</t>
  </si>
  <si>
    <t>Respected Sir. A traditinal family back ground and desire to learn the Vedic Knowledge for perpuation of the wisdom to future generations. Presently, persuing the Sree Rudram and Mahaanyasam from Sree Vadlamani Yagneswara Sarma garu and Dr.B.Siva Kumar garu of Hyderabad.  Highly need a systematic appraoch as per your curriculum.</t>
  </si>
  <si>
    <t>pavan12@gmail.com</t>
  </si>
  <si>
    <t>Jagarlapudi</t>
  </si>
  <si>
    <t>Venkata Sai Siddharth</t>
  </si>
  <si>
    <t>Ambatipudi Lalith chaitanya</t>
  </si>
  <si>
    <t>Koundinasya, Kousikasa, N/A</t>
  </si>
  <si>
    <t>Krishna Yajur veda</t>
  </si>
  <si>
    <t>Telugu, Engligh</t>
  </si>
  <si>
    <t>Jagarlapudi Venkata Pavan Kumar</t>
  </si>
  <si>
    <t>4th Class</t>
  </si>
  <si>
    <t>To learn our veda practices for my self and my son</t>
  </si>
  <si>
    <t>Looking forward</t>
  </si>
  <si>
    <t>krishnagopal.bh@gmail.com</t>
  </si>
  <si>
    <t>Sistla</t>
  </si>
  <si>
    <t>Saamdeep Pradyumna</t>
  </si>
  <si>
    <t xml:space="preserve">Krishna Gopal Bhamidipalli </t>
  </si>
  <si>
    <t>Koundinya, Koushika, N/A</t>
  </si>
  <si>
    <t>C/o Krishna gopal Bhamidipalli</t>
  </si>
  <si>
    <t>4th class</t>
  </si>
  <si>
    <t>Sandhya vandanam,Agni kaaryam etc.</t>
  </si>
  <si>
    <t>Want to learn veda.</t>
  </si>
  <si>
    <t>svlprasad999@gmail.com</t>
  </si>
  <si>
    <t>Sankaramanchi</t>
  </si>
  <si>
    <t>Venkata Lakshminarayana Prasad</t>
  </si>
  <si>
    <t xml:space="preserve">Satheesh Kumar sarma </t>
  </si>
  <si>
    <t>Atreyasa, Gowthamasa, Gowthamasa</t>
  </si>
  <si>
    <t xml:space="preserve">Telugu English Hindi </t>
  </si>
  <si>
    <t xml:space="preserve">IT employee </t>
  </si>
  <si>
    <t>For namakam chemakam</t>
  </si>
  <si>
    <t>saiganjam.1992@gmail.com</t>
  </si>
  <si>
    <t>Ganjam</t>
  </si>
  <si>
    <t>Anantha Venkata Sesha Talpa Sai</t>
  </si>
  <si>
    <t xml:space="preserve">Ongole </t>
  </si>
  <si>
    <t xml:space="preserve">Manikanta chillara </t>
  </si>
  <si>
    <t>Harithasa, Sri vastha, Na</t>
  </si>
  <si>
    <t xml:space="preserve">Own business </t>
  </si>
  <si>
    <t xml:space="preserve">I am interested in god and vedas our culture </t>
  </si>
  <si>
    <t>R10</t>
  </si>
  <si>
    <t>Mannava</t>
  </si>
  <si>
    <t>Atharv</t>
  </si>
  <si>
    <t>visitmsrao@gmail.com</t>
  </si>
  <si>
    <t>Mutnuru</t>
  </si>
  <si>
    <t>Srinivasa Rao</t>
  </si>
  <si>
    <t xml:space="preserve">DELHI </t>
  </si>
  <si>
    <t>Boddupalli Siva Kumar</t>
  </si>
  <si>
    <t>KAUNDINYASA గోత్రం, VARDHIYASWASA గోత్రము, BHARADWAJASA గోత్రం</t>
  </si>
  <si>
    <t xml:space="preserve">Associate Professor DSEU Govt of Delhi </t>
  </si>
  <si>
    <t>అద్భుతమైన అవకాశం to learn and follow my culture. Dedicate remaining life to my culture and surrender to almighty</t>
  </si>
  <si>
    <t xml:space="preserve">తప్పకుండా cherchukomani విన్నపము. Learnt rudram, mahanysam and some suktamulu.  I wish to Learn from basics from you with the blessings of almighty for all the 4 years. శ్రీ Gurubhyom Namaha </t>
  </si>
  <si>
    <t>bsgsivachandrika@gmail.com</t>
  </si>
  <si>
    <t>Boddupalli</t>
  </si>
  <si>
    <t>Venka Siva Kumar</t>
  </si>
  <si>
    <t>Madduri Rajender Garu</t>
  </si>
  <si>
    <t>HARITASA, Kasypasa, Koushikasa</t>
  </si>
  <si>
    <t>Telugu , English, Hindi</t>
  </si>
  <si>
    <t xml:space="preserve">Pharma Employee </t>
  </si>
  <si>
    <t>Interested in Vedas/Sanata Dharama Teachings</t>
  </si>
  <si>
    <t xml:space="preserve">Thankyou for this Opportunity </t>
  </si>
  <si>
    <t>rajendra.madduri@gmail.com</t>
  </si>
  <si>
    <t>Madduri</t>
  </si>
  <si>
    <t>Rajendra Prasad</t>
  </si>
  <si>
    <t xml:space="preserve">Sangareddy, Telangana </t>
  </si>
  <si>
    <t>Siripurapu Srinivas</t>
  </si>
  <si>
    <t>Haritasa, Bharadwaja, Bharadwaja</t>
  </si>
  <si>
    <t xml:space="preserve">Telugu English Sanskrit </t>
  </si>
  <si>
    <t xml:space="preserve">Retired Manager </t>
  </si>
  <si>
    <t>Spiritual uplift, Atma Suddhi</t>
  </si>
  <si>
    <t>I am committed to improve my learning of Vedic texts.</t>
  </si>
  <si>
    <t>muthyamkanakadurga@gmail.com</t>
  </si>
  <si>
    <t>Muthyam</t>
  </si>
  <si>
    <t>Abhiram Rao</t>
  </si>
  <si>
    <t>Mahankali Lakshmi prasanna</t>
  </si>
  <si>
    <t>Sandilyasa, Kousikasa, N/A</t>
  </si>
  <si>
    <t>Yajur vedam</t>
  </si>
  <si>
    <t>Telugu ,hindi,english</t>
  </si>
  <si>
    <t>10th grade student</t>
  </si>
  <si>
    <t>Im interested learning veda and implement in my personal life .</t>
  </si>
  <si>
    <t>Kindly enroll me for the course .Tq u</t>
  </si>
  <si>
    <t>prasadpannala@gmail.com</t>
  </si>
  <si>
    <t>Pannala</t>
  </si>
  <si>
    <t>Srinivasa Prasad</t>
  </si>
  <si>
    <t xml:space="preserve">Lalit Santosh </t>
  </si>
  <si>
    <t>Koundinysa, Haritasa, NA</t>
  </si>
  <si>
    <t xml:space="preserve">Retired Bank Manager </t>
  </si>
  <si>
    <t xml:space="preserve">I want to learn </t>
  </si>
  <si>
    <t>I am very much interested to learn vedam</t>
  </si>
  <si>
    <t>smyahoo@gmail.com</t>
  </si>
  <si>
    <t>Mattegunta</t>
  </si>
  <si>
    <t>Ragavendhra, Ravi Kiran</t>
  </si>
  <si>
    <t>Bharadwaja, Vasishtha, Kasyapaya</t>
  </si>
  <si>
    <t>Manager</t>
  </si>
  <si>
    <t>I am interested in learning Veda since many years , I started reciting Narayana Suktham, Purusha Suktham, Sri Rudram as a starting point</t>
  </si>
  <si>
    <t>vasisekhar@gmail.com</t>
  </si>
  <si>
    <t>Kesiraju</t>
  </si>
  <si>
    <t>Rajasekhar</t>
  </si>
  <si>
    <t>R11</t>
  </si>
  <si>
    <t>Vahin</t>
  </si>
  <si>
    <t>Plano</t>
  </si>
  <si>
    <t>Prabhakar Prabala</t>
  </si>
  <si>
    <t>Haritasa, Aslesha, Koundinyasa</t>
  </si>
  <si>
    <t xml:space="preserve">Solution Architect </t>
  </si>
  <si>
    <t xml:space="preserve">I want to improve my uccharana and learn Rudram. Want to learn Vedas and save our ancestors what has done. </t>
  </si>
  <si>
    <t xml:space="preserve">I don’t smoke, drink… in our home we don’t consume onions and garlic. We are Brahmins </t>
  </si>
  <si>
    <t>purnarao1959@gmail.com</t>
  </si>
  <si>
    <t>Vemuri</t>
  </si>
  <si>
    <t>Annapurnananda Rao</t>
  </si>
  <si>
    <t xml:space="preserve">Konduri Venkata Ramana </t>
  </si>
  <si>
    <t>Harithasa, Kosikasa, Kanvasa</t>
  </si>
  <si>
    <t xml:space="preserve">Retired Railway Employee </t>
  </si>
  <si>
    <t xml:space="preserve">To do my daily puja as per procedure </t>
  </si>
  <si>
    <t xml:space="preserve">I wish to be a part of this Veda learning </t>
  </si>
  <si>
    <t>prasadnssai@gmail.com</t>
  </si>
  <si>
    <t>NS</t>
  </si>
  <si>
    <t>Prasad</t>
  </si>
  <si>
    <t xml:space="preserve">Kurnool </t>
  </si>
  <si>
    <t>Online net</t>
  </si>
  <si>
    <t>BHARADWJA, KASYAPASA, PARASARA</t>
  </si>
  <si>
    <t xml:space="preserve">KRISHNA YAJURVEDA </t>
  </si>
  <si>
    <t>Telugu english hindi</t>
  </si>
  <si>
    <t xml:space="preserve">Retd professional </t>
  </si>
  <si>
    <t>To Know our Hindu culture from gross roots</t>
  </si>
  <si>
    <t xml:space="preserve">Pl share fee details </t>
  </si>
  <si>
    <t>mvnvihas@gmail.com</t>
  </si>
  <si>
    <t>Mamillapalli</t>
  </si>
  <si>
    <t>Viswanatha Naga Vihas Sharma</t>
  </si>
  <si>
    <t>Chandra Kaladhar</t>
  </si>
  <si>
    <t>Koundinyasa, Harithasa, BRAHMACHARI</t>
  </si>
  <si>
    <t>Srikanth Mamillapalli and Kalyani Mamillapalli</t>
  </si>
  <si>
    <t>6th Grade Student</t>
  </si>
  <si>
    <t>to perform Sandhya Vandana daily along with gayatri mata japam</t>
  </si>
  <si>
    <t>kameshmallela@gmail.com</t>
  </si>
  <si>
    <t>Mallela</t>
  </si>
  <si>
    <t>Lalitha Kameswar</t>
  </si>
  <si>
    <t>Ghantasala Raghu</t>
  </si>
  <si>
    <t>Kausikasa, Harithasa, NA</t>
  </si>
  <si>
    <t xml:space="preserve">IT engineering </t>
  </si>
  <si>
    <t xml:space="preserve">Smartham 4 year course </t>
  </si>
  <si>
    <t>mannavadeepu@gmail.com</t>
  </si>
  <si>
    <t>Rayapati</t>
  </si>
  <si>
    <t>Naren Karthik</t>
  </si>
  <si>
    <t>Ravi kiran Mahankali</t>
  </si>
  <si>
    <t>Bharadwaja, Gautamasa, Na</t>
  </si>
  <si>
    <t xml:space="preserve">Telugu,  English, Hindi </t>
  </si>
  <si>
    <t xml:space="preserve">I want to explore the knowledge </t>
  </si>
  <si>
    <t>ssprakhya@gmail.com</t>
  </si>
  <si>
    <t>Prakhya</t>
  </si>
  <si>
    <t>Sadasiva</t>
  </si>
  <si>
    <t>Whats app</t>
  </si>
  <si>
    <t>Srivatsa, Bharadwaj, Kounyasa</t>
  </si>
  <si>
    <t xml:space="preserve">Telugu. Hindi, English </t>
  </si>
  <si>
    <t xml:space="preserve">Acupuncturist </t>
  </si>
  <si>
    <t>Interest</t>
  </si>
  <si>
    <t>vedantpillutla@gmail.com</t>
  </si>
  <si>
    <t>R12</t>
  </si>
  <si>
    <t>Pillutla</t>
  </si>
  <si>
    <t>Vedant</t>
  </si>
  <si>
    <t>Remella</t>
  </si>
  <si>
    <t>Srikar Sreshta</t>
  </si>
  <si>
    <t>Davenport, Iowa</t>
  </si>
  <si>
    <t>Rajsekhar K.V.</t>
  </si>
  <si>
    <t>Srivatsa, Koundinya, N/A</t>
  </si>
  <si>
    <t>Telugu and English, and Sanskrit</t>
  </si>
  <si>
    <t>8th grade student</t>
  </si>
  <si>
    <t>To get more fluent with my Vedic practices.</t>
  </si>
  <si>
    <t>I'm excited to learn. I appreciate the opportunity afforded to me. Thank you!</t>
  </si>
  <si>
    <t>cymohan@gmail.com</t>
  </si>
  <si>
    <t>Yeleswarapu</t>
  </si>
  <si>
    <t>Mr. Mangipudi Annappa Somayajulu</t>
  </si>
  <si>
    <t>Kousikasa, Koundinyasa, N/A</t>
  </si>
  <si>
    <t>Telugu., Hindi, English</t>
  </si>
  <si>
    <t>English, learning Telugu and Hindi</t>
  </si>
  <si>
    <t>Yeleswarapu Chandramohan, Yeleswarapu Satya Kalyani</t>
  </si>
  <si>
    <t>4th grade</t>
  </si>
  <si>
    <t xml:space="preserve">To help my son understand the importance our traditions and rituals which if he puts to practice, I believe would help him lead a quality life. </t>
  </si>
  <si>
    <t>1followyourpassion@gmail.com</t>
  </si>
  <si>
    <t>Teegavarapu</t>
  </si>
  <si>
    <t>Ahil</t>
  </si>
  <si>
    <t>Milton, Ontario, Canada</t>
  </si>
  <si>
    <t>Malavika Nandula</t>
  </si>
  <si>
    <t>Bharathwaza, Harithasa, NA</t>
  </si>
  <si>
    <t>VenkataPrabhakar Teegavarapu</t>
  </si>
  <si>
    <t>8th grade</t>
  </si>
  <si>
    <t>To learn Hindu culture</t>
  </si>
  <si>
    <t>S.Kasyapa@gmail.com</t>
  </si>
  <si>
    <t>Kaarthikeya</t>
  </si>
  <si>
    <t xml:space="preserve">Alpharetta </t>
  </si>
  <si>
    <t>Challa Siva Sankara Kumar(Aditya Kumar Challa) Austin, TX</t>
  </si>
  <si>
    <t>Kasyapasa, Gowtamasa, N/A</t>
  </si>
  <si>
    <t>Yajur Veda (Krishna)</t>
  </si>
  <si>
    <t xml:space="preserve">English </t>
  </si>
  <si>
    <t xml:space="preserve">Kasyapa Sistla, Alataramani Nandula </t>
  </si>
  <si>
    <t>Vedam</t>
  </si>
  <si>
    <t>Sasimeduri@gmail.com</t>
  </si>
  <si>
    <t>Sashikanth</t>
  </si>
  <si>
    <t xml:space="preserve">Vamsikanth Meduri </t>
  </si>
  <si>
    <t>Kousikasa, Athreyasa, Kasyapasa</t>
  </si>
  <si>
    <t>Krishna Yajurvedam</t>
  </si>
  <si>
    <t>Telugu, English, tamil</t>
  </si>
  <si>
    <t>Telugu, english, tamil</t>
  </si>
  <si>
    <t>Sw Manager</t>
  </si>
  <si>
    <t>Rudram namkam chamakaal, and ither sthotrams</t>
  </si>
  <si>
    <t xml:space="preserve">Registered my kid for veda children class. So I wamt to join on Grihastha class kindly join me </t>
  </si>
  <si>
    <t>krishnakanth82@gmail.com</t>
  </si>
  <si>
    <t>Choragudi</t>
  </si>
  <si>
    <t>Sai Karthikeya Sriram</t>
  </si>
  <si>
    <t>Sasikanth Meduri</t>
  </si>
  <si>
    <t>Aathreya, Kasyapa, NA</t>
  </si>
  <si>
    <t>Naga Krishnakanth choragudi and Sirisha Chaturvedula</t>
  </si>
  <si>
    <t>3rd grade Student</t>
  </si>
  <si>
    <t>To understand and sustain our cultural roots</t>
  </si>
  <si>
    <t>svmynampati@gmail.com</t>
  </si>
  <si>
    <t>Mynampati</t>
  </si>
  <si>
    <t>Venkata Subbaramaiah</t>
  </si>
  <si>
    <t>Dr. Atmakuri Chakravarthy</t>
  </si>
  <si>
    <t>Bhardwaja, koundinyasa, Satamarshana</t>
  </si>
  <si>
    <t>telugu</t>
  </si>
  <si>
    <t>telugu english hindi</t>
  </si>
  <si>
    <t xml:space="preserve">M V Subbaramaiah </t>
  </si>
  <si>
    <t xml:space="preserve">Civil Engineer </t>
  </si>
  <si>
    <t xml:space="preserve">vedic program </t>
  </si>
  <si>
    <t xml:space="preserve">being a Brahmin from traditional family till date I have not taken meat or cigarettes alcohol etc and did upnayanam to my both children at 12 yrs and 11 yrs now they are 15 and 13 doing sandhya vandanam regularly </t>
  </si>
  <si>
    <t>findsatish@gmail.com</t>
  </si>
  <si>
    <t>Balantrapu</t>
  </si>
  <si>
    <t>Surya Srinivas Chavali</t>
  </si>
  <si>
    <t>Vadhulasa, Bharadwaja, Gargeyasa</t>
  </si>
  <si>
    <t xml:space="preserve">Software Professional </t>
  </si>
  <si>
    <t>To learn Samskaras</t>
  </si>
  <si>
    <t>Sai Sri Vallabh</t>
  </si>
  <si>
    <t>Vadhula, Gargeya, N/A</t>
  </si>
  <si>
    <t>English,Hindi</t>
  </si>
  <si>
    <t>Satish, Sowmya</t>
  </si>
  <si>
    <t xml:space="preserve">7TH GRADE STUDENT </t>
  </si>
  <si>
    <t>Learn our culture</t>
  </si>
  <si>
    <t>dileepsr01@gmail.com</t>
  </si>
  <si>
    <t>R13</t>
  </si>
  <si>
    <t>Srikonda</t>
  </si>
  <si>
    <t>Dileep</t>
  </si>
  <si>
    <t>Sundaragiri</t>
  </si>
  <si>
    <t>Medhas</t>
  </si>
  <si>
    <t>On Line</t>
  </si>
  <si>
    <t>Koundinyasa, Haritasa, Haritasa</t>
  </si>
  <si>
    <t>Business</t>
  </si>
  <si>
    <t>Interest in Vedam</t>
  </si>
  <si>
    <t>Interest in Learning Veda</t>
  </si>
  <si>
    <t>ramkaushik.sai@gmail.com</t>
  </si>
  <si>
    <t>Kaushik</t>
  </si>
  <si>
    <t xml:space="preserve">Krishna kaushik </t>
  </si>
  <si>
    <t>Kousikasa, Koundinyasa, Bharadwaja</t>
  </si>
  <si>
    <t>YAJUR</t>
  </si>
  <si>
    <t xml:space="preserve">Software </t>
  </si>
  <si>
    <t xml:space="preserve">For my spiritual progress </t>
  </si>
  <si>
    <t>bh.saikishore@gmail.com</t>
  </si>
  <si>
    <t>Bhandevupurapu</t>
  </si>
  <si>
    <t>Sai Kishore</t>
  </si>
  <si>
    <t xml:space="preserve">Vizianagaram </t>
  </si>
  <si>
    <t>Poroori Srinivas</t>
  </si>
  <si>
    <t>Koundinyasa, Bharadwaja, Kasyapasa</t>
  </si>
  <si>
    <t>Krishna yajurveda</t>
  </si>
  <si>
    <t>Telugu, Hindi, english</t>
  </si>
  <si>
    <t>Faculty</t>
  </si>
  <si>
    <t>For knowledge.</t>
  </si>
  <si>
    <t xml:space="preserve">Dhanyawadaha </t>
  </si>
  <si>
    <t>subrahmanyamt72@gmail.com</t>
  </si>
  <si>
    <t>Tejomurthula</t>
  </si>
  <si>
    <t>Subrahmanyam</t>
  </si>
  <si>
    <t>Sridhar Chetlapalli</t>
  </si>
  <si>
    <t>Haritasa, Atreyasa, Srivatsasa</t>
  </si>
  <si>
    <t xml:space="preserve">Telugu, english </t>
  </si>
  <si>
    <t xml:space="preserve">Telugu, english, hindi </t>
  </si>
  <si>
    <t xml:space="preserve">Teacher </t>
  </si>
  <si>
    <t>Dharma anustanam</t>
  </si>
  <si>
    <t xml:space="preserve">Dharmasya Vijayostu </t>
  </si>
  <si>
    <t>sarathbabu2500@yahoo.com</t>
  </si>
  <si>
    <t>Sarath</t>
  </si>
  <si>
    <t>Babu</t>
  </si>
  <si>
    <t xml:space="preserve">Yelaswarupu Chandra mohan </t>
  </si>
  <si>
    <t>Harithasa, Kaundinyaa, Athreyasa</t>
  </si>
  <si>
    <t xml:space="preserve">Asst gen mgr. Air India </t>
  </si>
  <si>
    <t xml:space="preserve">Naa samskruti,and I want to pass on our rich heritage </t>
  </si>
  <si>
    <t>ramanv.madhira@gmail.com</t>
  </si>
  <si>
    <t>Madhira</t>
  </si>
  <si>
    <t>Venkata Raman</t>
  </si>
  <si>
    <t>Kumar garu (Hari Hara kshetram)</t>
  </si>
  <si>
    <t>Aatreyasa, Haritasa, Bharadwajasa</t>
  </si>
  <si>
    <t xml:space="preserve">Construction Manager </t>
  </si>
  <si>
    <t>Swara sahita mantra pathanam and performing Vedic rituals in a sastra Vihita vidhanam.</t>
  </si>
  <si>
    <t>శ్రీ గురుభ్యోనమః 🙏🙏🙏</t>
  </si>
  <si>
    <t>koushi.ogirala@gmail.com</t>
  </si>
  <si>
    <t>Adithya Siva Siddharth</t>
  </si>
  <si>
    <t>Saaikanth Meduri</t>
  </si>
  <si>
    <t>Koundinyasa, Harithasa, NA</t>
  </si>
  <si>
    <t>Yajur Vedam</t>
  </si>
  <si>
    <t>Sistla Badriram</t>
  </si>
  <si>
    <t>2nd Grade student</t>
  </si>
  <si>
    <t>To follow Dharmam and be commited Dharma Shastram</t>
  </si>
  <si>
    <t>jsuryasrinivas@gmail.com</t>
  </si>
  <si>
    <t>Surya Venkata Shanmukha Sai Pranav</t>
  </si>
  <si>
    <t xml:space="preserve">J Surya Srinivas </t>
  </si>
  <si>
    <t>Koundinyasa, Haritasa, N/A</t>
  </si>
  <si>
    <t>J Srujana</t>
  </si>
  <si>
    <t xml:space="preserve">As this is guided for a brahmin </t>
  </si>
  <si>
    <t xml:space="preserve">Father might not be able to join class ..please suggest if it is mandatory as we both are in different countries </t>
  </si>
  <si>
    <t>bobbyprem7@gmail.com</t>
  </si>
  <si>
    <t>Bellamkonda</t>
  </si>
  <si>
    <t>Prem Kumar</t>
  </si>
  <si>
    <t>Hari Hara Nadha Sai Vamaraju</t>
  </si>
  <si>
    <t>Bharadwajasa, Kapilasa, Parasara</t>
  </si>
  <si>
    <t>YajurVedam</t>
  </si>
  <si>
    <t xml:space="preserve">Hari Hara kshetram </t>
  </si>
  <si>
    <t>To teach my child after his Upanayanam</t>
  </si>
  <si>
    <t>revanthpothukuchi123@gmail.com</t>
  </si>
  <si>
    <t>Pothukuchi</t>
  </si>
  <si>
    <t>Revanth</t>
  </si>
  <si>
    <t>Cambridge</t>
  </si>
  <si>
    <t>Revanth Venkata Pothukuchi</t>
  </si>
  <si>
    <t>Srivatsasa, Vadhoolasa, N/A</t>
  </si>
  <si>
    <t>College Student</t>
  </si>
  <si>
    <t>Since I was a child, I have been learning about the Vedas and Itihaasas. However, I have only had formal Guru training for the Rudram and a few Suktams. Therefore, I would like to learn more about how to chant the various slokas in the most perfect manner, and with no mistakes to carry forward into the next generation.</t>
  </si>
  <si>
    <t>R14</t>
  </si>
  <si>
    <t>Anand Karthikeya</t>
  </si>
  <si>
    <t>krovi.maruthiram@gmail.com</t>
  </si>
  <si>
    <t>Krovi</t>
  </si>
  <si>
    <t>Maruthi Ram</t>
  </si>
  <si>
    <t xml:space="preserve">Machilipatnam </t>
  </si>
  <si>
    <t xml:space="preserve">Sri phani </t>
  </si>
  <si>
    <t>Harithasa, Bharadwaj, Kasyapasa</t>
  </si>
  <si>
    <t xml:space="preserve">Krishna yajur Veda </t>
  </si>
  <si>
    <t>Retired Lic of India Assisgant manager</t>
  </si>
  <si>
    <t>I already learned smartham in my childhood at saangavedha paatashala.  Want to learn punyahavachanam, arunam etc.,</t>
  </si>
  <si>
    <t>subrhmanyam.as@gmail.com</t>
  </si>
  <si>
    <t>Ayyagari</t>
  </si>
  <si>
    <t>Pranav Krishna</t>
  </si>
  <si>
    <t>Krishna vedula</t>
  </si>
  <si>
    <t>Koudanyasya, Gothamasya, Na</t>
  </si>
  <si>
    <t xml:space="preserve">Kannada </t>
  </si>
  <si>
    <t>Subrhmanyam ayyagari, Laxmi Deepa ayygari</t>
  </si>
  <si>
    <t xml:space="preserve">Student 4th grade </t>
  </si>
  <si>
    <t xml:space="preserve">To keep sanatana dharma alive </t>
  </si>
  <si>
    <t>pvnkumar@gmail.com</t>
  </si>
  <si>
    <t>Pudipeddi</t>
  </si>
  <si>
    <t>Venkata Naveen Kumar</t>
  </si>
  <si>
    <t>Mountain House</t>
  </si>
  <si>
    <t>Bhaardwaj, Atresa, Harithasa</t>
  </si>
  <si>
    <t xml:space="preserve">Hindi, Sanskrit (Devanagari), English </t>
  </si>
  <si>
    <t>Vedas</t>
  </si>
  <si>
    <t>venchad@gmail.com</t>
  </si>
  <si>
    <t>Chadalawada</t>
  </si>
  <si>
    <t>Venkata</t>
  </si>
  <si>
    <t>Hari Charan</t>
  </si>
  <si>
    <t>Bharadwaja, Srivatsa, Haritasa</t>
  </si>
  <si>
    <t xml:space="preserve">Interest in vedas </t>
  </si>
  <si>
    <t>bvnagesh@gmail.com</t>
  </si>
  <si>
    <t>Balijepalli</t>
  </si>
  <si>
    <t>Venkata Nageswara Sastry</t>
  </si>
  <si>
    <t>Raleigh</t>
  </si>
  <si>
    <t>KHC</t>
  </si>
  <si>
    <t>Harithasa, Bharadwaja, Koundinysa</t>
  </si>
  <si>
    <t xml:space="preserve">Telugu, hindi, english </t>
  </si>
  <si>
    <t xml:space="preserve">IT Profesional </t>
  </si>
  <si>
    <t>Increase spiritual knowledge and practice</t>
  </si>
  <si>
    <t>pvvamsik@gmail.com</t>
  </si>
  <si>
    <t>Pydimarry</t>
  </si>
  <si>
    <t>Venkata Vamsikrishna</t>
  </si>
  <si>
    <t xml:space="preserve">Siva kumar </t>
  </si>
  <si>
    <t>Bharadwajasa gothram, Sri Vatsa gothram, Sri vatsa gothram</t>
  </si>
  <si>
    <t xml:space="preserve">Software professional </t>
  </si>
  <si>
    <t>Interested to learn</t>
  </si>
  <si>
    <t>sjayanty@colostate.edu</t>
  </si>
  <si>
    <t>Jayanty</t>
  </si>
  <si>
    <t>Guri Murthy Sastry</t>
  </si>
  <si>
    <t>Fort Collins</t>
  </si>
  <si>
    <t>Sagar sathuvalli</t>
  </si>
  <si>
    <t>Gargeyasa, Bharadwaja, Satamarshana</t>
  </si>
  <si>
    <t>Satyanarayana Murty</t>
  </si>
  <si>
    <t>Professor</t>
  </si>
  <si>
    <t xml:space="preserve">Good pronunciation </t>
  </si>
  <si>
    <t xml:space="preserve">Thank you for the opportunity </t>
  </si>
  <si>
    <t>pratap.cheruvu@gmail.com</t>
  </si>
  <si>
    <t>Cheruvu</t>
  </si>
  <si>
    <t>Pratap</t>
  </si>
  <si>
    <t>SFO</t>
  </si>
  <si>
    <t>Murali</t>
  </si>
  <si>
    <t>Bharadwajasa, Haridasa, haridasa</t>
  </si>
  <si>
    <t>Telugu , English</t>
  </si>
  <si>
    <t xml:space="preserve">Practice </t>
  </si>
  <si>
    <t>araghavaram@gmail.com</t>
  </si>
  <si>
    <t>Agastyaraju</t>
  </si>
  <si>
    <t>Raghavaram</t>
  </si>
  <si>
    <t>Phoenix</t>
  </si>
  <si>
    <t>Kashyapasa, haridasa, Gouthamasa</t>
  </si>
  <si>
    <t>yajur veda</t>
  </si>
  <si>
    <t>to follow Sanathana Dharma and nitya karma</t>
  </si>
  <si>
    <t xml:space="preserve">Damodaram Tekuru </t>
  </si>
  <si>
    <t>Mavuduru Uma Maheshwar</t>
  </si>
  <si>
    <t>ksrinivas.n@gmail.com</t>
  </si>
  <si>
    <t>Namburu</t>
  </si>
  <si>
    <t>Kalyana Srinivas</t>
  </si>
  <si>
    <t>TUMULURI SATEESHA SHARMA GURU GARU</t>
  </si>
  <si>
    <t>KANVASA, BHARADWAJASA, KOUNDINYASA</t>
  </si>
  <si>
    <t>Krishna Yaju Shaka</t>
  </si>
  <si>
    <t xml:space="preserve">TELUGU, HINDI, ENGLISH </t>
  </si>
  <si>
    <t xml:space="preserve">TELUGU, ENGLISH </t>
  </si>
  <si>
    <t xml:space="preserve">SOFTWARE ENGINEER </t>
  </si>
  <si>
    <t>So</t>
  </si>
  <si>
    <t>Akella</t>
  </si>
  <si>
    <t>TO FOLLOW NITYA KARMA</t>
  </si>
  <si>
    <t>Sai Surya Manikya Srikar Sharma</t>
  </si>
  <si>
    <t>I am registering for 2025 as I'm already pursuing Post Graduation along with Job</t>
  </si>
  <si>
    <t>panchagnula@gmail.com</t>
  </si>
  <si>
    <t>Panchagnula</t>
  </si>
  <si>
    <t>Chakravarthy</t>
  </si>
  <si>
    <t>Chicago</t>
  </si>
  <si>
    <t>Raghavaram Agastyaraju</t>
  </si>
  <si>
    <t>BHARADHWAJA, KOUNDINYA, HARITHA</t>
  </si>
  <si>
    <t>TELUGU, HINDI, ENGLISH</t>
  </si>
  <si>
    <t>SOFTWARE ENGINEER</t>
  </si>
  <si>
    <t>satsang and improve my veda knowledge</t>
  </si>
  <si>
    <t>maskarthik@gmail.com</t>
  </si>
  <si>
    <t>Karthik</t>
  </si>
  <si>
    <t>Houston</t>
  </si>
  <si>
    <t>Sivaram Pochimcherla</t>
  </si>
  <si>
    <t>Haritasa, Koundinyasa, Athreyasa</t>
  </si>
  <si>
    <t>Sr. Engineer, Plant and Process Safety</t>
  </si>
  <si>
    <t>Sandya Vandanam refresher, Nitya pooja, Rudram, Namakam, Chamakam</t>
  </si>
  <si>
    <t>nuthalapati87@gmail.com</t>
  </si>
  <si>
    <t>Nuthalapati</t>
  </si>
  <si>
    <t>Rajagopal</t>
  </si>
  <si>
    <t>Katy</t>
  </si>
  <si>
    <t>Kartheek Maladi</t>
  </si>
  <si>
    <t>Parasara, Kasyapasa, Kasyapasa</t>
  </si>
  <si>
    <t xml:space="preserve">Telugu hindhi English </t>
  </si>
  <si>
    <t>Telugu hindhi english</t>
  </si>
  <si>
    <t>Wnginnee</t>
  </si>
  <si>
    <t xml:space="preserve">Nithya pooja vidhanam </t>
  </si>
  <si>
    <t>sriramamurthy.sadhu@gmail.com</t>
  </si>
  <si>
    <t>Sadhu</t>
  </si>
  <si>
    <t>Sri Rama Murthy</t>
  </si>
  <si>
    <t>Kodada</t>
  </si>
  <si>
    <t>Ravikanth Vishnubhotla</t>
  </si>
  <si>
    <t>Harithasa, Gouthamasa, Bharadwajasa</t>
  </si>
  <si>
    <t>Krisha Yajurvedam</t>
  </si>
  <si>
    <t xml:space="preserve">Retired </t>
  </si>
  <si>
    <t>Yajurveda Sandhya Vandanam &amp; Slokas</t>
  </si>
  <si>
    <t>yashwanthmvsk@yahoo.in</t>
  </si>
  <si>
    <t>Machavaram</t>
  </si>
  <si>
    <t>Venkata Sai Krishna Yaswanth</t>
  </si>
  <si>
    <t>Dallas</t>
  </si>
  <si>
    <t>Uma Josyula</t>
  </si>
  <si>
    <t>Parasira, Athreyasa, Harithasa</t>
  </si>
  <si>
    <t>Telugu , English , Hindi</t>
  </si>
  <si>
    <t>To practice everyday</t>
  </si>
  <si>
    <t>pviswaprasad@gmail.com</t>
  </si>
  <si>
    <t>Pullela</t>
  </si>
  <si>
    <t>Viswa Prasad</t>
  </si>
  <si>
    <t>Hari charan karanam</t>
  </si>
  <si>
    <t>Koundinyasa, Harithasa, Gowthamisa</t>
  </si>
  <si>
    <t xml:space="preserve">I realised that as a Brahmin i should learn and practice. My grandfather used to practice but there has been a disconnect. </t>
  </si>
  <si>
    <t>srkmalladi@gmail.com</t>
  </si>
  <si>
    <t>Sai Rama Krishna</t>
  </si>
  <si>
    <t>Pochimcharla Siva Rama Krishna / Aditya Subrahmanya Karthik</t>
  </si>
  <si>
    <t>Harithasa, Kaundinyasa, Maitreyasa</t>
  </si>
  <si>
    <t xml:space="preserve">Assistant Professor at IIT Hyderabad </t>
  </si>
  <si>
    <t xml:space="preserve">Whatever can be taught, not sure about the complete course yet </t>
  </si>
  <si>
    <t xml:space="preserve">Learnt sandhyavandanam, few suktams, etc long ago after my upanayanam but I practise sandhyavandanam only everyday </t>
  </si>
  <si>
    <t>yadavalli.aditya@gmail.com</t>
  </si>
  <si>
    <t>Yadavalli</t>
  </si>
  <si>
    <t>Naga Aditya Kiran</t>
  </si>
  <si>
    <t>Annapoorna Satya Prasad Mandalika</t>
  </si>
  <si>
    <t>Bhardwajasa, Haritasa, Atreyasa</t>
  </si>
  <si>
    <t>English, Telugu, Hindi</t>
  </si>
  <si>
    <t xml:space="preserve">English, Telugu, Hindi </t>
  </si>
  <si>
    <t xml:space="preserve">Software Consultant </t>
  </si>
  <si>
    <t xml:space="preserve">I do trikala sandhyavandanam. Interested to learn vedas to feel the blessings of veda mata. </t>
  </si>
  <si>
    <t>sekhar9613@gmail.com</t>
  </si>
  <si>
    <t>Nori</t>
  </si>
  <si>
    <t>Sekhar</t>
  </si>
  <si>
    <t>P shiva ram</t>
  </si>
  <si>
    <t>Harithasa, Kousikasa, Sandilyasa</t>
  </si>
  <si>
    <t>srinivasjagadish@gmail.com</t>
  </si>
  <si>
    <t>Pulapalli</t>
  </si>
  <si>
    <t>Srivallabha Gaura Krishna</t>
  </si>
  <si>
    <t>Ranghavachary</t>
  </si>
  <si>
    <t>Koundinya, Gautama, Gautama</t>
  </si>
  <si>
    <t>Telgu,english,hindi</t>
  </si>
  <si>
    <t>PS Jagadish</t>
  </si>
  <si>
    <t>Student 8thgrade</t>
  </si>
  <si>
    <t>Vedic knowledge</t>
  </si>
  <si>
    <t>dshyleshkarthik@gmail.com</t>
  </si>
  <si>
    <t>Dinavahi</t>
  </si>
  <si>
    <t>Shylesh Karthik</t>
  </si>
  <si>
    <t>Rajahmundry</t>
  </si>
  <si>
    <t>Harithasa, Bharadwajasa, N/A</t>
  </si>
  <si>
    <t>KRISHNA YAJUR VEDA</t>
  </si>
  <si>
    <t>ENGLISH AND TELUGU</t>
  </si>
  <si>
    <t>TELUGU AND ENGLISH</t>
  </si>
  <si>
    <t>12TH GRADE STUDENT</t>
  </si>
  <si>
    <t>AS A BRAHMIN I THOUGHT I SHOULD LEARN NITYA KARMAS</t>
  </si>
  <si>
    <t>ramana.chittipeddi@gmail.com</t>
  </si>
  <si>
    <t>Chittipeddi</t>
  </si>
  <si>
    <t>Venkata Ramana</t>
  </si>
  <si>
    <t xml:space="preserve">Secundrabad </t>
  </si>
  <si>
    <t>Ramakanth garu</t>
  </si>
  <si>
    <t>Ambatipudi</t>
  </si>
  <si>
    <t>Koundinyasa, Atreyasa, N/A</t>
  </si>
  <si>
    <t>Vibhu Sankar</t>
  </si>
  <si>
    <t xml:space="preserve">Telugu, English &amp;Hindu </t>
  </si>
  <si>
    <t xml:space="preserve">Private sector as shift manager </t>
  </si>
  <si>
    <t>To understand my own dharma, self enlightenment &amp;  Garu purna anugraha prapthyartham .</t>
  </si>
  <si>
    <t>Self enlightenment, Garu purna anugraha prapthyartham &amp; swadharma anusaranartham want to learn.</t>
  </si>
  <si>
    <t>sripathi.neti@gmail.com</t>
  </si>
  <si>
    <t>Neti</t>
  </si>
  <si>
    <t>Sripathi</t>
  </si>
  <si>
    <t>Northville</t>
  </si>
  <si>
    <t xml:space="preserve">Sreenath Kundurthy </t>
  </si>
  <si>
    <t>Koundinyasa, Bharadwaja, Haridasa</t>
  </si>
  <si>
    <t>Sr.Director</t>
  </si>
  <si>
    <t xml:space="preserve">Wanted to learn proper pronunciation of Veda mantras and nitya karma at home </t>
  </si>
  <si>
    <t>murthypatamalla@gmail.com</t>
  </si>
  <si>
    <t>Patamalla</t>
  </si>
  <si>
    <t>Satyanarayana Murthy</t>
  </si>
  <si>
    <t>Haritasa, Koundinyasa, Bharadwajasa</t>
  </si>
  <si>
    <t>Telugu English</t>
  </si>
  <si>
    <t>Sales engineer</t>
  </si>
  <si>
    <t>Way of life</t>
  </si>
  <si>
    <t>I want to utilise the opportunity to learn and use this in my daily routine for a peaceful life</t>
  </si>
  <si>
    <t>kkumar17@yahoo.com</t>
  </si>
  <si>
    <t>Panguluri</t>
  </si>
  <si>
    <t>Kalyan Sharma</t>
  </si>
  <si>
    <t>Bommakanti Dileep Sharma</t>
  </si>
  <si>
    <t>Koundinyasa, Bharathwaja, Kousikasya</t>
  </si>
  <si>
    <t>Krishna Yajur Vedam</t>
  </si>
  <si>
    <t>For performing nitya karma anustanam</t>
  </si>
  <si>
    <t>Sri gurubhyo namah</t>
  </si>
  <si>
    <t>venkat.av2706@gmail.com</t>
  </si>
  <si>
    <t>Dandibhotla</t>
  </si>
  <si>
    <t>Ramesh Bulusu</t>
  </si>
  <si>
    <t xml:space="preserve">Private Employee </t>
  </si>
  <si>
    <t xml:space="preserve">To follow and protect Sanatana Dharma </t>
  </si>
  <si>
    <t>sanrosh.kamatkar76@gmail.com</t>
  </si>
  <si>
    <t>Kamatkar</t>
  </si>
  <si>
    <t>Sai Aadithya</t>
  </si>
  <si>
    <t>Whatsapp Forward</t>
  </si>
  <si>
    <t>Sri Vatsasa, Haritasa, N/A</t>
  </si>
  <si>
    <t>Santosh V K, Sumithra G</t>
  </si>
  <si>
    <t>7th Grade</t>
  </si>
  <si>
    <t>No. Don't know 1st Year Syllabus but NOT able to Join</t>
  </si>
  <si>
    <t>Medha Suktam</t>
  </si>
  <si>
    <t>paninidurvasula@gmail.com</t>
  </si>
  <si>
    <t>Panini</t>
  </si>
  <si>
    <t>Durvasula</t>
  </si>
  <si>
    <t xml:space="preserve">Rajahmundry </t>
  </si>
  <si>
    <t>Ramesh bulusu</t>
  </si>
  <si>
    <t>Srivathsasa, Bharathwajasa, Haridasa</t>
  </si>
  <si>
    <t>Sandhyavandam with swaram, namakam chamakam, arunam.</t>
  </si>
  <si>
    <t>murthy.rocker@gmail.com</t>
  </si>
  <si>
    <t>Jayanthi</t>
  </si>
  <si>
    <t>Lakshmi Narasimha Murthy</t>
  </si>
  <si>
    <t xml:space="preserve">Ahmedabad </t>
  </si>
  <si>
    <t>C. Sridhar</t>
  </si>
  <si>
    <t>Gargeyasa, Na, Kasyapasa</t>
  </si>
  <si>
    <t>Hindi telugu english</t>
  </si>
  <si>
    <t>Hardware engineer</t>
  </si>
  <si>
    <t>Special interest and for samoohika lakshapatri pooja time for reading mantras</t>
  </si>
  <si>
    <t>venkatraman.karra@gmail.com</t>
  </si>
  <si>
    <t>Karra</t>
  </si>
  <si>
    <t>Venkat</t>
  </si>
  <si>
    <t>Aatreyasa gotram, Vardhulasa gotram, Vardhulasa gotram</t>
  </si>
  <si>
    <t>English, Tekugu</t>
  </si>
  <si>
    <t>Project lead IT</t>
  </si>
  <si>
    <t>Sandhya vandanamu, rudram namakam chamakam, pancha suktamulu</t>
  </si>
  <si>
    <t>Sree gurubhyo namaha, hara hara shankara jaya jaya shankara, I want to take this as a life time opportunity and get the grace of the parama gurus for the health of my kid karthikeya by learning these. My paternal frand father is a ghanapati name karra ramavadhanulu garu from pasarla pudi Lanka east godavari</t>
  </si>
  <si>
    <t>akellanmurty@gmail.com</t>
  </si>
  <si>
    <t>Narasimha Murty</t>
  </si>
  <si>
    <t>KROVI MARUTI RAM</t>
  </si>
  <si>
    <t>HARITASA, KAPISA, GOUTAMASA</t>
  </si>
  <si>
    <t>TELUGU, ENGLISH, HINDI</t>
  </si>
  <si>
    <t>TELUGU, ENGLISH, HINDI, SANSRIT</t>
  </si>
  <si>
    <t>RETIRED BANK AGM from INDIAN BANK N/</t>
  </si>
  <si>
    <t>TO KNOW OUR DHARMA</t>
  </si>
  <si>
    <t xml:space="preserve">MORE INTERESTED IN HINDU DHARMA </t>
  </si>
  <si>
    <t>raju.palurivenkat@gmail.com</t>
  </si>
  <si>
    <t>Paluri</t>
  </si>
  <si>
    <t>Venkata Raju Sarma</t>
  </si>
  <si>
    <t>Gorthi</t>
  </si>
  <si>
    <t>Tirupati</t>
  </si>
  <si>
    <t>G.Suresh Babu</t>
  </si>
  <si>
    <t>Shanmukha Sri Datta</t>
  </si>
  <si>
    <t>Harithasa, Koundinyasa, Bharadwajasa</t>
  </si>
  <si>
    <t>Telugu, english,hindi</t>
  </si>
  <si>
    <t>Asst.Manager (P) Apsrtc</t>
  </si>
  <si>
    <t>To know our vedas</t>
  </si>
  <si>
    <t>I want learn Slokas with swara gnaana</t>
  </si>
  <si>
    <t>suneethaupadhyayula@gmail.com</t>
  </si>
  <si>
    <t>Nukala</t>
  </si>
  <si>
    <t>Nishkal Sharma</t>
  </si>
  <si>
    <t xml:space="preserve">Ghaziabad </t>
  </si>
  <si>
    <t>K Maruthi Ram</t>
  </si>
  <si>
    <t>Atreyasa, Kaundanasya, Na</t>
  </si>
  <si>
    <t xml:space="preserve">Hindi, English </t>
  </si>
  <si>
    <t>Nukala Kishore</t>
  </si>
  <si>
    <t xml:space="preserve">3rd grade student </t>
  </si>
  <si>
    <t xml:space="preserve">To know our Sanskriti </t>
  </si>
  <si>
    <t>SundaragiriV@gmail.com</t>
  </si>
  <si>
    <t>Cary</t>
  </si>
  <si>
    <t xml:space="preserve">Sri Joshi </t>
  </si>
  <si>
    <t>Kasyapasa, Sri Vatsasa, NA</t>
  </si>
  <si>
    <t>English, Little telugu</t>
  </si>
  <si>
    <t>Venkata Raja Ravindra Sundaragiri, Naga Poornima Sundaragiri</t>
  </si>
  <si>
    <t>7th frade</t>
  </si>
  <si>
    <t>Entire 4yr Syllabus</t>
  </si>
  <si>
    <t>Father will join through all the classes</t>
  </si>
  <si>
    <t>balakrishna99in@yahoo.com</t>
  </si>
  <si>
    <t>Munnangi</t>
  </si>
  <si>
    <t>Balakrishna Sarma</t>
  </si>
  <si>
    <t>Hari Hara Sai</t>
  </si>
  <si>
    <t>Harithasa, Gouthamasa, Koundinyasa</t>
  </si>
  <si>
    <t>Telugu English and Hindi</t>
  </si>
  <si>
    <t>Retired Central Pensioner</t>
  </si>
  <si>
    <t xml:space="preserve">Sankalpam Mahanyasam Namakam Chamakam and Rudramu </t>
  </si>
  <si>
    <t xml:space="preserve">I want to learn traditional vedas spiritually </t>
  </si>
  <si>
    <t>hemsunder@gmail.com</t>
  </si>
  <si>
    <t>Tallury</t>
  </si>
  <si>
    <t>Hemasunder</t>
  </si>
  <si>
    <t>Frisco</t>
  </si>
  <si>
    <t>Srivatsa, Bharadwaja, Bharadwaja</t>
  </si>
  <si>
    <t xml:space="preserve">Electronics Engineer </t>
  </si>
  <si>
    <t xml:space="preserve">Nitya Karma in an effective way </t>
  </si>
  <si>
    <t>vsssrinivas1@rediffmail.com</t>
  </si>
  <si>
    <t>Shyam Sunder</t>
  </si>
  <si>
    <t xml:space="preserve">Krishna Murthy Tumuluri </t>
  </si>
  <si>
    <t>Kousikasa, Koundinyasa, Sandilyasa</t>
  </si>
  <si>
    <t xml:space="preserve">English, Hindi &amp; Telugu </t>
  </si>
  <si>
    <t>English, Hindi &amp; Telugu</t>
  </si>
  <si>
    <t xml:space="preserve">Front office </t>
  </si>
  <si>
    <t xml:space="preserve">To acqaint myself </t>
  </si>
  <si>
    <t>Committed to preserve our tradition</t>
  </si>
  <si>
    <t>krishna309@gmail.com</t>
  </si>
  <si>
    <t>Krishna Pavan</t>
  </si>
  <si>
    <t xml:space="preserve">San Diego </t>
  </si>
  <si>
    <t>Vemuri Annapurnananda Rao</t>
  </si>
  <si>
    <t>Harithasa, Kanvasa, Moudgalyasa</t>
  </si>
  <si>
    <t xml:space="preserve">Krishna Yejur Vedam </t>
  </si>
  <si>
    <t>Sanskrit</t>
  </si>
  <si>
    <t xml:space="preserve">Hardware Engineering lead </t>
  </si>
  <si>
    <t xml:space="preserve">For chitta sudhi </t>
  </si>
  <si>
    <t>RNJOSYULA@GMAIL.COM</t>
  </si>
  <si>
    <t>Josyula</t>
  </si>
  <si>
    <t>Ramanatham</t>
  </si>
  <si>
    <t xml:space="preserve">Visakhapatnam </t>
  </si>
  <si>
    <t>Konduru satyamurthy garu</t>
  </si>
  <si>
    <t>Gouthamasa, Koundinyasa, Srivatsasa</t>
  </si>
  <si>
    <t>Telugu, hindi, english, sanskrit</t>
  </si>
  <si>
    <t xml:space="preserve">Senior project manager, </t>
  </si>
  <si>
    <t>To understand our scriptures and feel those vibrations of chanting</t>
  </si>
  <si>
    <t>If it’s needed to sit traditionally in class, I can as I do sandhyavandanam in our traditional attire</t>
  </si>
  <si>
    <t>narayana.surya1989@gmail.com</t>
  </si>
  <si>
    <t>Ponnada</t>
  </si>
  <si>
    <t>Surya Narayana</t>
  </si>
  <si>
    <t>Visakhapatnam</t>
  </si>
  <si>
    <t>Bhamidipalli Krishna Gopal</t>
  </si>
  <si>
    <t>harithasa, kasyapasa, aatreyasa</t>
  </si>
  <si>
    <t>yajurveda</t>
  </si>
  <si>
    <t>telugu and English</t>
  </si>
  <si>
    <t>private job</t>
  </si>
  <si>
    <t>I came from a traditional brahmin family and we have been following sanathana dharma since generations and i am very much interested in following the same. Vedas containing knowledge of every field under existence they are constitution of humanity and sanatana Vedic Dharma.</t>
  </si>
  <si>
    <t>I am very much interested and i have been applying since last 2 years. Please give a chance. Thank you.</t>
  </si>
  <si>
    <t>siva.ayyagari@gmail.com</t>
  </si>
  <si>
    <t>Siva Shankar</t>
  </si>
  <si>
    <t xml:space="preserve">Ayyagari Nagendra Kumar </t>
  </si>
  <si>
    <t>Koundinyasa, Vardhulasa, Vardhulasa</t>
  </si>
  <si>
    <t xml:space="preserve">Manager in Pvt company </t>
  </si>
  <si>
    <t xml:space="preserve">Realised the importance and availability of online classes </t>
  </si>
  <si>
    <t xml:space="preserve">Feel this is the great opportunity to learn </t>
  </si>
  <si>
    <t>Keely</t>
  </si>
  <si>
    <t>Akshay Rao</t>
  </si>
  <si>
    <t>aduri.kk@gmail.com</t>
  </si>
  <si>
    <t>Aduri</t>
  </si>
  <si>
    <t>Krishna Kishore</t>
  </si>
  <si>
    <t>Venkata Ramana Dikshit Karra</t>
  </si>
  <si>
    <t>Kowshika, Koundinyasa, Bharadwaja</t>
  </si>
  <si>
    <t xml:space="preserve">Executive Assistant </t>
  </si>
  <si>
    <t>To strictly follow shat karmas</t>
  </si>
  <si>
    <t>Namaskaram</t>
  </si>
  <si>
    <t>Srikanth_dsk@yahoo.com</t>
  </si>
  <si>
    <t>Devulapalli</t>
  </si>
  <si>
    <t>Srikanth</t>
  </si>
  <si>
    <t>Chantilly</t>
  </si>
  <si>
    <t>Sivaram</t>
  </si>
  <si>
    <t>Koundinya, Kasyapasa, Srivatsa</t>
  </si>
  <si>
    <t xml:space="preserve">Follow Sanathana Dharma with right guidance </t>
  </si>
  <si>
    <t>ramsar1992@gmail.com</t>
  </si>
  <si>
    <t>Gundu</t>
  </si>
  <si>
    <t>Ramamurthy</t>
  </si>
  <si>
    <t>Srikanth Devulapalli</t>
  </si>
  <si>
    <t>Kamakayanasa, Bharadwajasa, Bharadwajasa</t>
  </si>
  <si>
    <t>Telugu Hindi English</t>
  </si>
  <si>
    <t>Retired IT Professional</t>
  </si>
  <si>
    <t>Very much interested since childhood</t>
  </si>
  <si>
    <t>Very much interested to learn with suddha ucharana and to know inner meaning of each word of what we are uttering</t>
  </si>
  <si>
    <t>saichandvaranasi@gmail.com</t>
  </si>
  <si>
    <t>Saichand</t>
  </si>
  <si>
    <t>Saichand Varanasi</t>
  </si>
  <si>
    <t>Koundinyasa, Koushika, Bharathwaj</t>
  </si>
  <si>
    <t>Engineer</t>
  </si>
  <si>
    <t>To continue the legacy</t>
  </si>
  <si>
    <t>subbudevulapalli81@gmail.com</t>
  </si>
  <si>
    <t>Subramanyam</t>
  </si>
  <si>
    <t>Savitru kumar. Kuchibhatla</t>
  </si>
  <si>
    <t>Kowsakisa, Kasyapasa, Kutsasa</t>
  </si>
  <si>
    <t xml:space="preserve">Tenet marketing </t>
  </si>
  <si>
    <t xml:space="preserve">Interest </t>
  </si>
  <si>
    <t>No comments</t>
  </si>
  <si>
    <t>gkrishnasai@gmail.com</t>
  </si>
  <si>
    <t>Ganugapati</t>
  </si>
  <si>
    <t>Krishna Sai</t>
  </si>
  <si>
    <t>Haricharan Karanam</t>
  </si>
  <si>
    <t>Koundinyasa, Rathitharasa, Shatamarshana</t>
  </si>
  <si>
    <t>Software Architect</t>
  </si>
  <si>
    <t>To know about Paramatma tatvam</t>
  </si>
  <si>
    <t>kashyap.kuchipudi@gmail.com</t>
  </si>
  <si>
    <t>Kuchipudi</t>
  </si>
  <si>
    <t>Kashyap</t>
  </si>
  <si>
    <t>Apex, North Carolina</t>
  </si>
  <si>
    <t>Raja Ravindra Sundaragiri, Narasimha Joshi</t>
  </si>
  <si>
    <t>Kaasyapasa, Bharadwaja, Srivatsasa</t>
  </si>
  <si>
    <t xml:space="preserve">When I do nitya puja or other poojas during festivals, I usually skip the Vedic verses that come in between the shodasopachara pooja. Even when I hear the priests and others chant purusha suktam, sri suktam or rudram I feel the atmosphere so energized and enjoy listening to it so much. I always had the urge to learn it in an authentic way so I can perform my dharma better. </t>
  </si>
  <si>
    <t>anilkumar28@gmail.com</t>
  </si>
  <si>
    <t>Anil</t>
  </si>
  <si>
    <t>San Diego</t>
  </si>
  <si>
    <t>Krishna Vemuri</t>
  </si>
  <si>
    <t>Haritasa, Kaasyapasa, Srivatsasa</t>
  </si>
  <si>
    <t>Duty to learn</t>
  </si>
  <si>
    <t>bharadwaj.gadepalli3@gmail.com</t>
  </si>
  <si>
    <t>Gadepalli</t>
  </si>
  <si>
    <t>D A S C Bharadwaj</t>
  </si>
  <si>
    <t xml:space="preserve">Aparna Sastry </t>
  </si>
  <si>
    <t>Bharadwajasa, Harithasa, Harithasa</t>
  </si>
  <si>
    <t xml:space="preserve">Telugu, English, hindi </t>
  </si>
  <si>
    <t xml:space="preserve">Employee </t>
  </si>
  <si>
    <t>As a custodian of my culture, I feel it's my duty to understand and pass on the Vedic knowledge that has been handed down through generations too</t>
  </si>
  <si>
    <t>it’s essential to revive and practice these teachings to preserve our heritage for future generations.</t>
  </si>
  <si>
    <t>srinikuruganti@gmail.com</t>
  </si>
  <si>
    <t>Srinivas Suryaprakash</t>
  </si>
  <si>
    <t xml:space="preserve">Kramadhati rameshwar Sharma </t>
  </si>
  <si>
    <t>Harithasa, Kasyapasa, Srivatsasa</t>
  </si>
  <si>
    <t>Telugu, hindi, english,tamil</t>
  </si>
  <si>
    <t xml:space="preserve">English, hindi </t>
  </si>
  <si>
    <t>Business owner</t>
  </si>
  <si>
    <t>ramu.it@gmail.com</t>
  </si>
  <si>
    <t>Muga</t>
  </si>
  <si>
    <t>Advait Sharma</t>
  </si>
  <si>
    <t>Tulsa</t>
  </si>
  <si>
    <t>Muga Advait sharma</t>
  </si>
  <si>
    <t>Srivatsa, Srivatsa, Srivatsa</t>
  </si>
  <si>
    <t>Kota</t>
  </si>
  <si>
    <t>Yajurvedha</t>
  </si>
  <si>
    <t xml:space="preserve">English and Telugu </t>
  </si>
  <si>
    <t>Yasasvi Pranav</t>
  </si>
  <si>
    <t xml:space="preserve">Muga Rammohan Sharma </t>
  </si>
  <si>
    <t>7th garde</t>
  </si>
  <si>
    <t xml:space="preserve">Its my religion and wants to protect ny culture </t>
  </si>
  <si>
    <t>I am a Brahmin and wants to learn vedhas</t>
  </si>
  <si>
    <t>m.venkataswetha@gmail.com</t>
  </si>
  <si>
    <t>Marla</t>
  </si>
  <si>
    <t>Abhiram</t>
  </si>
  <si>
    <t>Hopkinton</t>
  </si>
  <si>
    <t>Vijaya Kumar Sarma</t>
  </si>
  <si>
    <t>Bharadwaja, Atreyasa, N/A</t>
  </si>
  <si>
    <t xml:space="preserve">Marla Satish Kumar and M Venkata Swetha </t>
  </si>
  <si>
    <t>3rd Grade Student</t>
  </si>
  <si>
    <t>As Brahmin for Nithya Karma Anushtanams(Trikala Sandhya Vandhanam)  and perform day to day puja vidhi in a correct manner. Also want to learn Mahanasyam, Rudram and all sukthams</t>
  </si>
  <si>
    <t>satish.marla@gmail.com</t>
  </si>
  <si>
    <t>Bharadwaja Gotram, Atreyasa Gothram, Atreyasa Gothram</t>
  </si>
  <si>
    <t>IT Software</t>
  </si>
  <si>
    <t xml:space="preserve">I am ready to learn in USA - EST time zone </t>
  </si>
  <si>
    <t>cg2382@gmail.com</t>
  </si>
  <si>
    <t>Bandhakavi</t>
  </si>
  <si>
    <t>Harikesa</t>
  </si>
  <si>
    <t>Brahmin Association of Texas</t>
  </si>
  <si>
    <t>Moudgalyasa, Koundinyasa, N/A</t>
  </si>
  <si>
    <t>8th Grade Student</t>
  </si>
  <si>
    <t>My Vidyuktha Dharma</t>
  </si>
  <si>
    <t>bphanisarma@gmail.com</t>
  </si>
  <si>
    <t>Venkata Phani</t>
  </si>
  <si>
    <t>Dallas, Texas</t>
  </si>
  <si>
    <t>Moudgalyasa, Gouthamasa, Koundinyasa</t>
  </si>
  <si>
    <t>Telug, English</t>
  </si>
  <si>
    <t xml:space="preserve">Telugu, English, </t>
  </si>
  <si>
    <t>Swargeeya Bandhakavi Sri Krishnamurthy garu, Swargeeya Bandhakavi Satya Dattatreyulu garu</t>
  </si>
  <si>
    <t>Vidyuktha dharmam</t>
  </si>
  <si>
    <t>ramprasad.yamijala@gmail.com</t>
  </si>
  <si>
    <t>Yamijala</t>
  </si>
  <si>
    <t>Ram</t>
  </si>
  <si>
    <t>Raja Attreya</t>
  </si>
  <si>
    <t>Bharadwajasa, Goutamasya, Koundinyasa</t>
  </si>
  <si>
    <t>Rig</t>
  </si>
  <si>
    <t xml:space="preserve">Hindi, Sanskrit, English </t>
  </si>
  <si>
    <t xml:space="preserve">Basics </t>
  </si>
  <si>
    <t>s.kapardhi@gmail.com</t>
  </si>
  <si>
    <t>Chaitanya Kapardhi</t>
  </si>
  <si>
    <t>Sistla Kaarthikeya</t>
  </si>
  <si>
    <t>Kasyapasa, Srivatsasa, Haritasa</t>
  </si>
  <si>
    <t>Since I am very much interested Smartham and Vedam I would like to learn this course</t>
  </si>
  <si>
    <t>tekuru.damodaram@gmail.com</t>
  </si>
  <si>
    <t>Tekuru</t>
  </si>
  <si>
    <t>Damodaram</t>
  </si>
  <si>
    <t>Bhanu Chandar Karanam</t>
  </si>
  <si>
    <t>Kasyapasa, Koundinyasa, Lohitasa</t>
  </si>
  <si>
    <t xml:space="preserve">Telugu  English </t>
  </si>
  <si>
    <t>Telugu  and English</t>
  </si>
  <si>
    <t>Retired Central Government Senior Officer</t>
  </si>
  <si>
    <t>To perform daily puja and recitation of Veda suktas. Interest in learning Veda mantras</t>
  </si>
  <si>
    <t xml:space="preserve">Very much interested to learn vedam. </t>
  </si>
  <si>
    <t>srikant.lbs@gmail.com</t>
  </si>
  <si>
    <t>Lanka</t>
  </si>
  <si>
    <t>Bala Subrahmanya Srikant</t>
  </si>
  <si>
    <t>Woodinville</t>
  </si>
  <si>
    <t xml:space="preserve">Ram Pochincherla </t>
  </si>
  <si>
    <t>Koundinyasa, Sandilyasa, Harithasa</t>
  </si>
  <si>
    <t xml:space="preserve">Krishna Yajur Vedam </t>
  </si>
  <si>
    <t>Sri Rudram</t>
  </si>
  <si>
    <t>rishi.udgirkar@gmail.com</t>
  </si>
  <si>
    <t>Udgirkar</t>
  </si>
  <si>
    <t>Rishikesh</t>
  </si>
  <si>
    <t>Cary, NC</t>
  </si>
  <si>
    <t>Venkata Raja Ravindra Sundaragiri</t>
  </si>
  <si>
    <t>Srivastsa, Bharadwaja, Kashyapa</t>
  </si>
  <si>
    <t>Telugu, Hindi, Kannada, Marathi, English</t>
  </si>
  <si>
    <t>Telugu, Hindi and English</t>
  </si>
  <si>
    <t>IT professional</t>
  </si>
  <si>
    <t>to become better with sholka recitation and perform daily pooja at home more accurately.</t>
  </si>
  <si>
    <t>Kuppa</t>
  </si>
  <si>
    <t>nabbaraju@gmail.com</t>
  </si>
  <si>
    <t>Abbaraju</t>
  </si>
  <si>
    <t>Saketh Ram</t>
  </si>
  <si>
    <t>Naganand</t>
  </si>
  <si>
    <t>Frisco, TX</t>
  </si>
  <si>
    <t>Ramprasad Malladi</t>
  </si>
  <si>
    <t>Atreyasa, Koundinyasa, Harithasa</t>
  </si>
  <si>
    <t>English, Hindi, Telugu, Devanagiri</t>
  </si>
  <si>
    <t>Aruna Suktam</t>
  </si>
  <si>
    <t>cvrk1960@gmail.com</t>
  </si>
  <si>
    <t>Chimmapudi</t>
  </si>
  <si>
    <t>Venkata Rama Krishna</t>
  </si>
  <si>
    <t>Rajamahendravaram</t>
  </si>
  <si>
    <t xml:space="preserve">Siripurapu Srinivas </t>
  </si>
  <si>
    <t>Harithasa, Harithasa, Koundinyasa</t>
  </si>
  <si>
    <t xml:space="preserve">Telugu Hindi English and Sanskrit </t>
  </si>
  <si>
    <t xml:space="preserve">Retired Engineer </t>
  </si>
  <si>
    <t xml:space="preserve">To learn Vedic knowledge </t>
  </si>
  <si>
    <t>I do Sandhyavandanam daily ( but once a day only not Trikala)</t>
  </si>
  <si>
    <t>anujmahalingam@gmail.com</t>
  </si>
  <si>
    <t>Mahalingam</t>
  </si>
  <si>
    <t>Anuj</t>
  </si>
  <si>
    <t>Tempe</t>
  </si>
  <si>
    <t>Ram Pochincherla</t>
  </si>
  <si>
    <t>Sankruti, Haritha, N/A</t>
  </si>
  <si>
    <t>English, Tamil</t>
  </si>
  <si>
    <t>I want to have knowledge and am interested in learning Vedam</t>
  </si>
  <si>
    <t>Evening times preferably</t>
  </si>
  <si>
    <t>sundaragiriv@gmail.com</t>
  </si>
  <si>
    <t>Venkata Raja Ravindra</t>
  </si>
  <si>
    <t xml:space="preserve">Priest Narasing a Joshi </t>
  </si>
  <si>
    <t>Kasyapasa, Viswamithra Vaisankayana, SriVatsasa</t>
  </si>
  <si>
    <t>YajurVeda</t>
  </si>
  <si>
    <t>Telugu, English, Hindi, Sanskrit</t>
  </si>
  <si>
    <t xml:space="preserve">Entire 4 years course, </t>
  </si>
  <si>
    <t xml:space="preserve">Thanks for Opportunity </t>
  </si>
  <si>
    <t>srinivas.konduri@gmail.com</t>
  </si>
  <si>
    <t>Konduri</t>
  </si>
  <si>
    <t>VenkataRamana Konduri</t>
  </si>
  <si>
    <t>Haritasa, Kousikasa, Kousikasa</t>
  </si>
  <si>
    <t>Aruna prasna, Mahanarayanam, Mahanyasam, some suktas ,pancha katakas</t>
  </si>
  <si>
    <t>Please let me know if I can join directly from part1b</t>
  </si>
  <si>
    <t>ksnmurty9@gmail.com</t>
  </si>
  <si>
    <t xml:space="preserve">Konduri venkata ramana </t>
  </si>
  <si>
    <t>Haritasa, Bhardwajasa, Kowsikasa</t>
  </si>
  <si>
    <t>Retired from PSU</t>
  </si>
  <si>
    <t xml:space="preserve">To acquire basic knowledge n understanding </t>
  </si>
  <si>
    <t>ksare2012@gmail.com</t>
  </si>
  <si>
    <t>Kotikalapudi</t>
  </si>
  <si>
    <t>Srinivas Rao</t>
  </si>
  <si>
    <t>Chemudupaty Raghavendra</t>
  </si>
  <si>
    <t>Harithasa, Gautamasa, Koundinyasa</t>
  </si>
  <si>
    <t>English, Hindi</t>
  </si>
  <si>
    <t>Service</t>
  </si>
  <si>
    <t xml:space="preserve">To understand the essential Karmas/Gyana/Kartavya needed to lead a pious life following the principles of Dharma, Artha, Kama, and Moksha. </t>
  </si>
  <si>
    <t>gudipati.pavankumar@gmail.com</t>
  </si>
  <si>
    <t>Gudipati</t>
  </si>
  <si>
    <t>Pavan Kumar</t>
  </si>
  <si>
    <t>HYDERABAD, TELANGANA</t>
  </si>
  <si>
    <t>GUTHINA SRI NAGA TARAKA RAMA RAO</t>
  </si>
  <si>
    <t>KASYAPA, HARITHASA, HARITHASA</t>
  </si>
  <si>
    <t>KRISHNA YAJUR VEDAM</t>
  </si>
  <si>
    <t>PRIVATE EMPLOYEE</t>
  </si>
  <si>
    <t>BEING A BRAHMIN I WANT TO BE PEROFORM ALL MY NITYA KARYAKRAMAS</t>
  </si>
  <si>
    <t>Mellachervu</t>
  </si>
  <si>
    <t>I WILL TRY MY LEVEL BEST TO LEARN AND KEEP UP THE SANCITY OF THE LEARNED SUBJECT</t>
  </si>
  <si>
    <t>Srikar</t>
  </si>
  <si>
    <t>ranjith.cvk@gmail.com</t>
  </si>
  <si>
    <t>Chivukula</t>
  </si>
  <si>
    <t>Venkat Krishna Ranjith</t>
  </si>
  <si>
    <t>Charlotte</t>
  </si>
  <si>
    <t>RamaKrishna Adusumilli</t>
  </si>
  <si>
    <t>Bhaardwaja, Kashyapa, Kashyapa</t>
  </si>
  <si>
    <t xml:space="preserve">Motivated to lead my life in more Vedic way doing nithya Karma and Sandhya vandanam going forward </t>
  </si>
  <si>
    <t>gsrdeepak@gmail.com</t>
  </si>
  <si>
    <t>Gurajada</t>
  </si>
  <si>
    <t>Ramachandra Deepak</t>
  </si>
  <si>
    <t>Srihari Pingali</t>
  </si>
  <si>
    <t>Srihari Pingala</t>
  </si>
  <si>
    <t>Koundinya, Kousika, Kousika</t>
  </si>
  <si>
    <t>Telugu, English, Sanskrit</t>
  </si>
  <si>
    <t>To protect our Sanatana share and propagate to future generations. Na janma sardhakata chesukovadam kosam.</t>
  </si>
  <si>
    <t xml:space="preserve">My son will have his upakarma done in June 2025, planning to join him as well after that </t>
  </si>
  <si>
    <t>srikar5544@gmail.com</t>
  </si>
  <si>
    <t>Kaushika, Kasyapa, N/A</t>
  </si>
  <si>
    <t xml:space="preserve">Telugu ,english </t>
  </si>
  <si>
    <t>Much interested in it</t>
  </si>
  <si>
    <t>srivanirajiv@gmail.com</t>
  </si>
  <si>
    <t>Vasishta Penumarthy</t>
  </si>
  <si>
    <t>Athreyasa, Harithasa, N/A</t>
  </si>
  <si>
    <t xml:space="preserve">Rig Veda </t>
  </si>
  <si>
    <t xml:space="preserve">Tamil, Telugu, Hindi, English </t>
  </si>
  <si>
    <t>A.K RAJEEV ,SRIVANI</t>
  </si>
  <si>
    <t xml:space="preserve">8th grade </t>
  </si>
  <si>
    <t xml:space="preserve">For knowledge </t>
  </si>
  <si>
    <t>Want to learn my culture by aware of it</t>
  </si>
  <si>
    <t>vamshikrishnameher@gmail.com</t>
  </si>
  <si>
    <t>Bujurampally</t>
  </si>
  <si>
    <t>Vamshikrishna</t>
  </si>
  <si>
    <t>Kamesh shastry</t>
  </si>
  <si>
    <t>Baadharayana, Vasista, Koundanyasa</t>
  </si>
  <si>
    <t>Pourohityam</t>
  </si>
  <si>
    <t>tvdsphaneendrakrishna@gmail.com</t>
  </si>
  <si>
    <t>Tumu</t>
  </si>
  <si>
    <t>Phaneendra Krishna</t>
  </si>
  <si>
    <t>Pingali Hari babu</t>
  </si>
  <si>
    <t>Parasara, Salavasa, Koundinyasa</t>
  </si>
  <si>
    <t xml:space="preserve">Team lead in private company </t>
  </si>
  <si>
    <t xml:space="preserve">To learn slokas and nitya karma in a proper way </t>
  </si>
  <si>
    <t>sai.visnubhatla@gmail.com</t>
  </si>
  <si>
    <t>Vishnubhatla</t>
  </si>
  <si>
    <t>Sai</t>
  </si>
  <si>
    <t xml:space="preserve">Austin </t>
  </si>
  <si>
    <t xml:space="preserve">Sri Siva Rama Krishna </t>
  </si>
  <si>
    <t>Bharadwaja, Srivatsasa, Haritasa</t>
  </si>
  <si>
    <t xml:space="preserve">Yajur Veda ( Krishna) </t>
  </si>
  <si>
    <t>Telugu, Samskritam</t>
  </si>
  <si>
    <t xml:space="preserve">Vice President </t>
  </si>
  <si>
    <t xml:space="preserve">Aaranyakam, Pancha Kaatakalu </t>
  </si>
  <si>
    <t>phanibhushan1962@gmail.com</t>
  </si>
  <si>
    <t>Kypa</t>
  </si>
  <si>
    <t>Phani Bhushan</t>
  </si>
  <si>
    <t>Madanapalle</t>
  </si>
  <si>
    <t>I saw in a group</t>
  </si>
  <si>
    <t>Retd banker</t>
  </si>
  <si>
    <t>Interested to learn veda mantras</t>
  </si>
  <si>
    <t>Interested to learn vedas</t>
  </si>
  <si>
    <t>alukucha.rajesh@gmail.com</t>
  </si>
  <si>
    <t>Alukucha</t>
  </si>
  <si>
    <t>Rajesh</t>
  </si>
  <si>
    <t>NIZAMABAD</t>
  </si>
  <si>
    <t>Vamshi</t>
  </si>
  <si>
    <t>KOUSHIKASA, KoUndinya, KoUndinya</t>
  </si>
  <si>
    <t>Mylavarapu</t>
  </si>
  <si>
    <t xml:space="preserve">English Telugu Hindi </t>
  </si>
  <si>
    <t>All</t>
  </si>
  <si>
    <t>Advaith</t>
  </si>
  <si>
    <t>Teacher</t>
  </si>
  <si>
    <t>Mylavarapu Advaith</t>
  </si>
  <si>
    <t>వివాహం</t>
  </si>
  <si>
    <t>Sri Harsha</t>
  </si>
  <si>
    <t>Vamshi krishna</t>
  </si>
  <si>
    <t>Koushikasa, Koundinya, N/A</t>
  </si>
  <si>
    <t>RIG VEDA</t>
  </si>
  <si>
    <t xml:space="preserve">Rajesh A </t>
  </si>
  <si>
    <t>6 th grade</t>
  </si>
  <si>
    <t xml:space="preserve">For keep the tradition spreading </t>
  </si>
  <si>
    <t>kavuriphani@gmail.com</t>
  </si>
  <si>
    <t>Phani Kumar</t>
  </si>
  <si>
    <t>Atmaram</t>
  </si>
  <si>
    <t>Gowthamasa, Haridasa, Kaasyapasa</t>
  </si>
  <si>
    <t>Mahanyasam, sukthas</t>
  </si>
  <si>
    <t>mahorkarradhakrishna@gmail.com</t>
  </si>
  <si>
    <t>Mahorkar</t>
  </si>
  <si>
    <t>Radha Krishna</t>
  </si>
  <si>
    <t>Bhardwajasa, Koundinyasa, Badarayana</t>
  </si>
  <si>
    <t>Telugu, Hindi English</t>
  </si>
  <si>
    <t>Senior Manager HR</t>
  </si>
  <si>
    <t>To Keep our Heritage and culture active</t>
  </si>
  <si>
    <t>chaitanyamamillapally@gmail.com</t>
  </si>
  <si>
    <t>Chaitanya Kumar</t>
  </si>
  <si>
    <t>Santosh ananthapadbhanabha karanam</t>
  </si>
  <si>
    <t>Koundinyasa, Harithasa, Kasyapasa</t>
  </si>
  <si>
    <t xml:space="preserve">Telugu, hindi, English </t>
  </si>
  <si>
    <t xml:space="preserve">Pvt employed </t>
  </si>
  <si>
    <t>Very happy to join the class and learn in traditional method 🙏</t>
  </si>
  <si>
    <t>kriss.venkata@gmail.com</t>
  </si>
  <si>
    <t>Annamaraju</t>
  </si>
  <si>
    <t>Krishna Kanth</t>
  </si>
  <si>
    <t>Kurnool</t>
  </si>
  <si>
    <t>Haritasa, Kasyapasa, Koudinyasa</t>
  </si>
  <si>
    <t>Telugu, Kannada, English and Hindi</t>
  </si>
  <si>
    <t>Telugu, English and Hindi</t>
  </si>
  <si>
    <t>For Nitya Anustanam</t>
  </si>
  <si>
    <t>bsriteja@gmail.com</t>
  </si>
  <si>
    <t>Burra</t>
  </si>
  <si>
    <t>Sriteja</t>
  </si>
  <si>
    <t>J L N Murthy</t>
  </si>
  <si>
    <t>Lohithasa, Srivatsasa, n/a</t>
  </si>
  <si>
    <t>Satyanarayana, Rama Kumari</t>
  </si>
  <si>
    <t>software engineer</t>
  </si>
  <si>
    <t>Interested in vedam and performing nitya karma</t>
  </si>
  <si>
    <t>nrsravisankar@gmail.com</t>
  </si>
  <si>
    <t>Nadendla</t>
  </si>
  <si>
    <t>Ravisankar</t>
  </si>
  <si>
    <t>Rajagopal Nuthalapati</t>
  </si>
  <si>
    <t>Kasyapasa, Maharshi, N/a</t>
  </si>
  <si>
    <t>Telugu Tamil</t>
  </si>
  <si>
    <t>Works at Auditor</t>
  </si>
  <si>
    <t>Nithya Pooja vidhanam</t>
  </si>
  <si>
    <t>mtejaswaroop@gmail.com</t>
  </si>
  <si>
    <t>Machavolu</t>
  </si>
  <si>
    <t>Thejaswaroop</t>
  </si>
  <si>
    <t>RAJAGOPAL NUTHALAPATI</t>
  </si>
  <si>
    <t>Srivashasa, Bharatvaja, Bharatvaja</t>
  </si>
  <si>
    <t>I am always interested to lean/ know spiritual things and offer prayers to god in the right way.</t>
  </si>
  <si>
    <t>I am really interested to learn and practice the things on regular basis please let me know once class schedule is prepared.</t>
  </si>
  <si>
    <t>panthularavindra5@gmail.com</t>
  </si>
  <si>
    <t>Panthula</t>
  </si>
  <si>
    <t>Ravindra Kumar Sarma</t>
  </si>
  <si>
    <t>Veda Samskrithi Samithi</t>
  </si>
  <si>
    <t>MOUNA BHARGAVASYA, Vasisthasa, Athreyasa</t>
  </si>
  <si>
    <t>RIGVEDA</t>
  </si>
  <si>
    <t>Telugu/English/Hindi/Kannada</t>
  </si>
  <si>
    <t>Surya</t>
  </si>
  <si>
    <t xml:space="preserve">Not Applicable </t>
  </si>
  <si>
    <t>Bank Manager Retired</t>
  </si>
  <si>
    <t>Niraghatam Surya</t>
  </si>
  <si>
    <t>To retain our culture by practicing, performing and teaching to next generation</t>
  </si>
  <si>
    <t>I am also attending classes with Veda Samskrithi Samithi 2nd level and appearing for Sanskrit examinations to be conducted by Sanskrit Bharathi</t>
  </si>
  <si>
    <t>sharmaakhil691@gmail.com</t>
  </si>
  <si>
    <t>Akhilesh Sarma</t>
  </si>
  <si>
    <t xml:space="preserve">Kadiri </t>
  </si>
  <si>
    <t>Mouna Bhargavaysa, Kasayapasa, N/a</t>
  </si>
  <si>
    <t>Rigveda</t>
  </si>
  <si>
    <t xml:space="preserve">Sandhya vamdam </t>
  </si>
  <si>
    <t>valleenath@gmail.com</t>
  </si>
  <si>
    <t>Sripada</t>
  </si>
  <si>
    <t>Vallinath</t>
  </si>
  <si>
    <t xml:space="preserve">Mokkapati Adiseshu </t>
  </si>
  <si>
    <t>Kausikasa, Haritasa, Bharadwajasa</t>
  </si>
  <si>
    <t>Telugu, English, Hindi, Bangla</t>
  </si>
  <si>
    <t xml:space="preserve">Telugu English Hindi Bangla </t>
  </si>
  <si>
    <t>Retired Central Government Officer</t>
  </si>
  <si>
    <t>Veda vidya</t>
  </si>
  <si>
    <t>raghunath.khotari@gmail.com</t>
  </si>
  <si>
    <t>Kotharu</t>
  </si>
  <si>
    <t>Medhansh Sarma</t>
  </si>
  <si>
    <t>Koundanyasa, Kasyapasa, Kasyapasa</t>
  </si>
  <si>
    <t xml:space="preserve">Sameera </t>
  </si>
  <si>
    <t xml:space="preserve">5th grade </t>
  </si>
  <si>
    <t>I am a Brahmin, that is my Dharmam</t>
  </si>
  <si>
    <t xml:space="preserve">Jaya Jaya Shankar hara hara shankar </t>
  </si>
  <si>
    <t>banda.shekar@gmail.com</t>
  </si>
  <si>
    <t>Chandrasekhar</t>
  </si>
  <si>
    <t>Banda</t>
  </si>
  <si>
    <t xml:space="preserve">SivaramaKrishna </t>
  </si>
  <si>
    <t>Agnivivasyasa, Koundanyasa, Bardwagasa</t>
  </si>
  <si>
    <t xml:space="preserve">Telugu,Hindi&amp;English </t>
  </si>
  <si>
    <t xml:space="preserve">Telugu ,English </t>
  </si>
  <si>
    <t>Plant head in private Company MNC.</t>
  </si>
  <si>
    <t xml:space="preserve">Smaratham </t>
  </si>
  <si>
    <t>Nil</t>
  </si>
  <si>
    <t>krisna8000@gmail.com</t>
  </si>
  <si>
    <t>Kondapalli</t>
  </si>
  <si>
    <t>Austin, TX</t>
  </si>
  <si>
    <t>Krishna Rao Kondapalli</t>
  </si>
  <si>
    <t>Srivatsasa, Kowshikasa, Bharadvajasa</t>
  </si>
  <si>
    <t>Information Technology Employee</t>
  </si>
  <si>
    <t>To follow my family tradition and culture</t>
  </si>
  <si>
    <t>raghavansai@gmail.com</t>
  </si>
  <si>
    <t>Chandrapati</t>
  </si>
  <si>
    <t>Sai Raghavan</t>
  </si>
  <si>
    <t>Ganjam shesha talpa sai</t>
  </si>
  <si>
    <t>Koundinyasa, Sri vaschasa, N/a</t>
  </si>
  <si>
    <t xml:space="preserve">Software employee night shift </t>
  </si>
  <si>
    <t xml:space="preserve">To get knowledge regarding our roots </t>
  </si>
  <si>
    <t xml:space="preserve">Thanks </t>
  </si>
  <si>
    <t>drk.satya2002@gmail.com</t>
  </si>
  <si>
    <t>Duvvuri</t>
  </si>
  <si>
    <t>Ravi Kumar</t>
  </si>
  <si>
    <t xml:space="preserve">Rajendra shanivaarapu </t>
  </si>
  <si>
    <t>Aatreya, Koundinya, Koushika</t>
  </si>
  <si>
    <t xml:space="preserve">Krishna yajurveda </t>
  </si>
  <si>
    <t>For Aatmoddharana</t>
  </si>
  <si>
    <t>jkrishna66@gmail.com</t>
  </si>
  <si>
    <t>Juturi</t>
  </si>
  <si>
    <t>Jayakrishna</t>
  </si>
  <si>
    <t>Puranam</t>
  </si>
  <si>
    <t xml:space="preserve">Shanmukhaditya </t>
  </si>
  <si>
    <t>Raghu ghantasala</t>
  </si>
  <si>
    <t>Bharadwajasa, Koundinyasa, Koundinyasa</t>
  </si>
  <si>
    <t>Vidaka velanadu</t>
  </si>
  <si>
    <t>Telugu,Hindi</t>
  </si>
  <si>
    <t>Adinarayana</t>
  </si>
  <si>
    <t>Courier office</t>
  </si>
  <si>
    <t>Iwant to do abhishekam</t>
  </si>
  <si>
    <t>lvsr64@gmail.com</t>
  </si>
  <si>
    <t>Sarma</t>
  </si>
  <si>
    <t>Srinivasa</t>
  </si>
  <si>
    <t>Murali Sridhar</t>
  </si>
  <si>
    <t>Kasyapasa, Bharadwaja, Bharadwaja</t>
  </si>
  <si>
    <t>Telugu, English, Sanscrit</t>
  </si>
  <si>
    <t>N. A.</t>
  </si>
  <si>
    <t>LIC Agent</t>
  </si>
  <si>
    <t>It is my long felt wish</t>
  </si>
  <si>
    <t xml:space="preserve">Please give me an opportunity to chant veda mantras like professionals. I hv learnt navagraha mantras, pancha suktas, mantra pushpam. </t>
  </si>
  <si>
    <t>raghavasarma@gmail.com</t>
  </si>
  <si>
    <t>Mallikharjuna Sharma</t>
  </si>
  <si>
    <t xml:space="preserve">గుంటూరు </t>
  </si>
  <si>
    <t xml:space="preserve">జగర్లపూడి శ్రీకాంత్ </t>
  </si>
  <si>
    <t>ఆత్రేయస, శ్రీ వత్సస, Less than 16 years children</t>
  </si>
  <si>
    <t xml:space="preserve">ఋగ్వేద </t>
  </si>
  <si>
    <t xml:space="preserve">రాఘవ శర్మ </t>
  </si>
  <si>
    <t>High school student</t>
  </si>
  <si>
    <t>గురుపరంపర</t>
  </si>
  <si>
    <t>raghavasarma1256@gmail.com</t>
  </si>
  <si>
    <t>Ashritha Sharma</t>
  </si>
  <si>
    <t>గుంటూరు</t>
  </si>
  <si>
    <t>జగర్లపూడి శ్రీకాంత్</t>
  </si>
  <si>
    <t>ఆత్రేయస, శ్రీ వత్సస, Under 14 years</t>
  </si>
  <si>
    <t>ఋగ్వేదం</t>
  </si>
  <si>
    <t>తెలుగు</t>
  </si>
  <si>
    <t>రాఘవ శర్మ, అలేఖ్య</t>
  </si>
  <si>
    <t>Student of age 11 years.</t>
  </si>
  <si>
    <t>cvnkishore@gmail.com</t>
  </si>
  <si>
    <t>Chintalapati</t>
  </si>
  <si>
    <t>Karthik Malladi</t>
  </si>
  <si>
    <t>Bharadwaj, Harithasa, Gargesya</t>
  </si>
  <si>
    <t>Hindi, Telugu, english</t>
  </si>
  <si>
    <t xml:space="preserve">Hindi Telugu english </t>
  </si>
  <si>
    <t>IT Director</t>
  </si>
  <si>
    <t>I would like to get back to spiritual path</t>
  </si>
  <si>
    <t>pidugu2007@gmail.com</t>
  </si>
  <si>
    <t>Pidugu</t>
  </si>
  <si>
    <t>Kitchener</t>
  </si>
  <si>
    <t>Gopikrishna madava</t>
  </si>
  <si>
    <t>Koundanyasa, Haridasa, Shrivatsatsaya</t>
  </si>
  <si>
    <t>English hindi</t>
  </si>
  <si>
    <t>Sandhyavandanam</t>
  </si>
  <si>
    <t>viswaji@yahoo.com</t>
  </si>
  <si>
    <t>Nrusimham A</t>
  </si>
  <si>
    <t>Kousikasa, Not sure, Atreyasa</t>
  </si>
  <si>
    <t xml:space="preserve">Not sure </t>
  </si>
  <si>
    <t>Veda Mantras and Namakam and Chamakam</t>
  </si>
  <si>
    <t>kiran.pakala@gmail.com</t>
  </si>
  <si>
    <t>Pakala</t>
  </si>
  <si>
    <t>Manikanta Kiran</t>
  </si>
  <si>
    <t>redmond</t>
  </si>
  <si>
    <t>Bharath Vyakaranam</t>
  </si>
  <si>
    <t>Moudgalyasa, do not know, Bharadwajasa</t>
  </si>
  <si>
    <t>telugu,hindi,english</t>
  </si>
  <si>
    <t>for spiritual growth</t>
  </si>
  <si>
    <t>rrkompella@hotmail.com</t>
  </si>
  <si>
    <t>Kompella</t>
  </si>
  <si>
    <t>Rama Rao</t>
  </si>
  <si>
    <t xml:space="preserve">Lecanto </t>
  </si>
  <si>
    <t>Kashyapasa, Bharadwajasa, Koundinyasa</t>
  </si>
  <si>
    <t xml:space="preserve">Telugu,English </t>
  </si>
  <si>
    <t xml:space="preserve">Telugu,English,Hindi </t>
  </si>
  <si>
    <t xml:space="preserve">Physician </t>
  </si>
  <si>
    <t>To enhance spiritual knowledge and to practice on daily basis.</t>
  </si>
  <si>
    <t xml:space="preserve">This is a great spiritual opportunity </t>
  </si>
  <si>
    <t>svsprasanna2006@gmail.com</t>
  </si>
  <si>
    <t>Tharnusai</t>
  </si>
  <si>
    <t>Srikanta</t>
  </si>
  <si>
    <t>Kcdt gayatri trust</t>
  </si>
  <si>
    <t>Srivatsa, Koundinyasa, No</t>
  </si>
  <si>
    <t xml:space="preserve">Srinivasa rao, saraswathi </t>
  </si>
  <si>
    <t>No</t>
  </si>
  <si>
    <t xml:space="preserve">Interested </t>
  </si>
  <si>
    <t>Please add me in groups</t>
  </si>
  <si>
    <t>Saripalli</t>
  </si>
  <si>
    <t>Subhrahmanya Aditya</t>
  </si>
  <si>
    <t>vg.saraswathula@gmail.com</t>
  </si>
  <si>
    <t>Saraswathula</t>
  </si>
  <si>
    <t>Venugopal</t>
  </si>
  <si>
    <t xml:space="preserve">Tekuru Damodaran </t>
  </si>
  <si>
    <t>Haritha, Srivathsa, Srivathsa</t>
  </si>
  <si>
    <t xml:space="preserve">Telugu, Tamil, Hindi, English </t>
  </si>
  <si>
    <t>Project manager Civil</t>
  </si>
  <si>
    <t>Interest to learn our Vedas</t>
  </si>
  <si>
    <t xml:space="preserve">Want to learn Vedas in professional manner </t>
  </si>
  <si>
    <t>nitish.sri38@gmail.com</t>
  </si>
  <si>
    <t>Srivastha</t>
  </si>
  <si>
    <t>Nitish</t>
  </si>
  <si>
    <t>sastri</t>
  </si>
  <si>
    <t>Srivatsa, koushika, Na</t>
  </si>
  <si>
    <t>telugu, tamil</t>
  </si>
  <si>
    <t>Tax manager</t>
  </si>
  <si>
    <t>To learn Sanatana dharma</t>
  </si>
  <si>
    <t>aditya.jdonepudi@gmail.com</t>
  </si>
  <si>
    <t>Donepudi</t>
  </si>
  <si>
    <t>Aditya</t>
  </si>
  <si>
    <t>Sivarama Krishna Sarmagaru</t>
  </si>
  <si>
    <t>Saunakasa, sandilyasa, Sandilyasa</t>
  </si>
  <si>
    <t>sanskrit, english</t>
  </si>
  <si>
    <t>Nitya karma, suktams, advanced vedas</t>
  </si>
  <si>
    <t>sairavikiran.me@anits.edu.in</t>
  </si>
  <si>
    <t>Dwibhashyam</t>
  </si>
  <si>
    <t>Akhilesh</t>
  </si>
  <si>
    <t>Ponnada Surya</t>
  </si>
  <si>
    <t>Valakhilyasa, Kamakayanasa, N/A</t>
  </si>
  <si>
    <t>Dr. D S Sai Ravi Kiran and Mrs. D Tejaswi</t>
  </si>
  <si>
    <t>High School Student</t>
  </si>
  <si>
    <t xml:space="preserve">I wish to learn Vedam because it is not only a spiritual and cultural heritage of our land, but also a profound source of discipline, clarity, and inner strength. </t>
  </si>
  <si>
    <t>dokkakiran@gmail.com</t>
  </si>
  <si>
    <t>Srinath Vemuri garu</t>
  </si>
  <si>
    <t>Aathreyasa, Koundinyasa, N/A</t>
  </si>
  <si>
    <t>English, light Telugu</t>
  </si>
  <si>
    <t>Middle School Student</t>
  </si>
  <si>
    <t>To learn and practice Sanatana Dharma</t>
  </si>
  <si>
    <t>ganapathilattala@gmail.com</t>
  </si>
  <si>
    <t>Lattala</t>
  </si>
  <si>
    <t>Sudheer</t>
  </si>
  <si>
    <t>Kausikasa, Kasyapasa, N/A</t>
  </si>
  <si>
    <t xml:space="preserve">Studying </t>
  </si>
  <si>
    <t>Interest in vedas</t>
  </si>
  <si>
    <t>10jnss@gmail.com</t>
  </si>
  <si>
    <t>Ram Malladi</t>
  </si>
  <si>
    <t>Goutamasa, Koundinyasa, N/A</t>
  </si>
  <si>
    <t>English, Telugu (rudimentary)</t>
  </si>
  <si>
    <t>To help in my spiritual growth and experience the greatness of Sanatana Dharmam</t>
  </si>
  <si>
    <t>Tenjerla</t>
  </si>
  <si>
    <t>Vinay, Sreelakshmi</t>
  </si>
  <si>
    <t>Sri Dhruva Mahesh</t>
  </si>
  <si>
    <t>Spiritual enablement</t>
  </si>
  <si>
    <t>Vinay</t>
  </si>
  <si>
    <t>Goutamasa, Harithasa, Koundinyasa</t>
  </si>
  <si>
    <t>Venkateshwara Rao, Lakshmi</t>
  </si>
  <si>
    <t xml:space="preserve">Spiritual Enlightenment, nitya kriyas </t>
  </si>
  <si>
    <t>hbkthelegend@gmail.com</t>
  </si>
  <si>
    <t>Kallepalli</t>
  </si>
  <si>
    <t>Anirudh Sastry</t>
  </si>
  <si>
    <t>Jyothi rekapalli</t>
  </si>
  <si>
    <t>Bharadwaja, Kasyapasa, Srivatsasa</t>
  </si>
  <si>
    <t xml:space="preserve">Vamsi krishna kallepalli </t>
  </si>
  <si>
    <t>School student</t>
  </si>
  <si>
    <t>No. Don't know 1st Semester Syllabus but will sit with Child</t>
  </si>
  <si>
    <t>I want my son to learn our vedas and understand how dee knowledge it has and how it will help him in making right decisions in life and make him walk in the path of dharma</t>
  </si>
  <si>
    <t>Sir I work in the night shifts maximum my shift may start at 5 or 6pm and week offs may vary . Wanted to know about the schedule and syllabus and also want to know if you to reach sandhyavandanam in rigvedam</t>
  </si>
  <si>
    <t>yeshwanthnelabhotla@gmail.com</t>
  </si>
  <si>
    <t>Nelabhotla</t>
  </si>
  <si>
    <t>Yeshwanth</t>
  </si>
  <si>
    <t xml:space="preserve">Telugu hindi english </t>
  </si>
  <si>
    <t xml:space="preserve">Btech 1st year </t>
  </si>
  <si>
    <t>We have to learn vedas because we are brahmins and learning vedas is our dharma</t>
  </si>
  <si>
    <t>viswaprasad.sp@gmail.com</t>
  </si>
  <si>
    <t>Sree Patnala</t>
  </si>
  <si>
    <t>TAGARAPUVALASA</t>
  </si>
  <si>
    <t>M.UMA MAHESWAR RAO.</t>
  </si>
  <si>
    <t>SATA MARSHANA, AATHREYESA ( ఆత్రేయస ), AATHREYESA(ఆత్రేయస)</t>
  </si>
  <si>
    <t>TELUGU.ENGLISH.</t>
  </si>
  <si>
    <t>TELUGU.ENGLISH</t>
  </si>
  <si>
    <t xml:space="preserve">TEACHER </t>
  </si>
  <si>
    <t>INTREST TO LEARN MANTHRAAS</t>
  </si>
  <si>
    <t>LEARNING VEDIC MANTHRAAS IS MY HOBBY</t>
  </si>
  <si>
    <t>suryarao36031@gmail.com</t>
  </si>
  <si>
    <t>Vemparala</t>
  </si>
  <si>
    <t>Anantha Padmanabha Venkata Surya Rao</t>
  </si>
  <si>
    <t>K.Venkata  Ramana</t>
  </si>
  <si>
    <t>BHARADWAJASA, Kyasapasa, Harithasayajur</t>
  </si>
  <si>
    <t>Yujur VEDA</t>
  </si>
  <si>
    <t>Telugu  English  HINDI</t>
  </si>
  <si>
    <t>Telugu   english   hindi</t>
  </si>
  <si>
    <t>Not applicable</t>
  </si>
  <si>
    <t>Retired   AGM  FROM BANK.</t>
  </si>
  <si>
    <t xml:space="preserve">To  IMPROVE  MY SPIRUTUAL.KNOWLEDGE </t>
  </si>
  <si>
    <t>I AM INTERESTED TO LEARN  VAIDIC COURSE.</t>
  </si>
  <si>
    <t>shravankumarvemuri@gmail.com</t>
  </si>
  <si>
    <t>Shravan Kumar</t>
  </si>
  <si>
    <t xml:space="preserve">J L N Murthy </t>
  </si>
  <si>
    <t>Haritasa, Koundinsya, Na</t>
  </si>
  <si>
    <t>All above</t>
  </si>
  <si>
    <t>na</t>
  </si>
  <si>
    <t>Sr store person</t>
  </si>
  <si>
    <t xml:space="preserve">Basics of Vedic dharma </t>
  </si>
  <si>
    <t>vamseekrishna.m@gmail.com</t>
  </si>
  <si>
    <t>Vamsee Krishna</t>
  </si>
  <si>
    <t>Rajashekar K V</t>
  </si>
  <si>
    <t>Bharadwajasa, Koudinayasa, Vasista</t>
  </si>
  <si>
    <t>Telugu, Hindi,English</t>
  </si>
  <si>
    <t>Hindi, English</t>
  </si>
  <si>
    <t>Follow Dharma</t>
  </si>
  <si>
    <t>durga.valluri@gmail.com</t>
  </si>
  <si>
    <t>Valluri</t>
  </si>
  <si>
    <t>Durgamalleswar Rao</t>
  </si>
  <si>
    <t xml:space="preserve">Chicago </t>
  </si>
  <si>
    <t>Srikanth Mellachervu</t>
  </si>
  <si>
    <t>Koundinyasa, Bharadwajesa, Bharadwajaesa</t>
  </si>
  <si>
    <t xml:space="preserve">Follow and practice dharma </t>
  </si>
  <si>
    <t>Eager to join</t>
  </si>
  <si>
    <t>Ganesh Karthik</t>
  </si>
  <si>
    <t>Tenjerla Ganesh Karthik</t>
  </si>
  <si>
    <t>rchatlapalli@gmail.com</t>
  </si>
  <si>
    <t>Chatlapalli</t>
  </si>
  <si>
    <t>Ramarao</t>
  </si>
  <si>
    <t>Bharadwaja, Kasyapasa, Kasyapasa</t>
  </si>
  <si>
    <t>Self employed/Retired</t>
  </si>
  <si>
    <t>Veda Sukta and meaning</t>
  </si>
  <si>
    <t>sathishj83@gmail.com</t>
  </si>
  <si>
    <t>Chennai</t>
  </si>
  <si>
    <t>Subhramanya Mani Kumar Maganti 8105178555</t>
  </si>
  <si>
    <t>Subhramanya Mani Kumar Maganti 8105178556</t>
  </si>
  <si>
    <t>Sandalyasa, Yaskasa, NA</t>
  </si>
  <si>
    <t>English and Hindi</t>
  </si>
  <si>
    <t>Jandhyala Sathish &amp; Jandhyala Ramya Saveri</t>
  </si>
  <si>
    <t xml:space="preserve">Sandhyavandanam, Agnikaryam </t>
  </si>
  <si>
    <t>phanikumar.challapalli@gmail.com</t>
  </si>
  <si>
    <t>Challapalli</t>
  </si>
  <si>
    <t>SLMTS Veda Pathasala</t>
  </si>
  <si>
    <t>Kasyapasa, Atreyasa, Bharadwajasa</t>
  </si>
  <si>
    <t xml:space="preserve">Telugu, English, and Hindi </t>
  </si>
  <si>
    <t xml:space="preserve">Accounts Officer </t>
  </si>
  <si>
    <t xml:space="preserve">Follow Sanatana Dharma </t>
  </si>
  <si>
    <t>v.v.ramam26@gmail.com</t>
  </si>
  <si>
    <t>Vadlamani</t>
  </si>
  <si>
    <t>Venkata Ramam</t>
  </si>
  <si>
    <t>Ayyagari nagender</t>
  </si>
  <si>
    <t>Vadlamani, Bharadwaja, Bharsdwaja</t>
  </si>
  <si>
    <t xml:space="preserve">Telugu, Hindi English </t>
  </si>
  <si>
    <t>Bank manager</t>
  </si>
  <si>
    <t xml:space="preserve">To be part of our Hindu tradition and learn </t>
  </si>
  <si>
    <t>To learn from guru’s to avoid Swara dosham</t>
  </si>
  <si>
    <t>ramanacv@gmail.com</t>
  </si>
  <si>
    <t>Chandavarapu</t>
  </si>
  <si>
    <t>Ramana</t>
  </si>
  <si>
    <t>Koundinya, Bharadwaja, Bharadwaja</t>
  </si>
  <si>
    <t>Upanishads</t>
  </si>
  <si>
    <t>mvsrnm@gmail.com</t>
  </si>
  <si>
    <t>Maddipatla</t>
  </si>
  <si>
    <t>Murthy</t>
  </si>
  <si>
    <t>Krishna Vemuri, +1 (858) 242-9506</t>
  </si>
  <si>
    <t>Krishna Vemuri, +1 (858) 242-9507</t>
  </si>
  <si>
    <t>Bharadwaja, Gowthama, Sounakasa</t>
  </si>
  <si>
    <t>Telugu, English, Sanskrit/hindi (70% fluent)</t>
  </si>
  <si>
    <t>Manager in a biotech company</t>
  </si>
  <si>
    <t xml:space="preserve">I was able to do sandhya vandanam &amp; pooja few years ago- but now doing only pooja! Want to spend my time to learn traditional Brahmin suktam, puja vidhanam, other vedic mantra </t>
  </si>
  <si>
    <t xml:space="preserve">I’m committed to be part of this journey and want to teach my kid the same </t>
  </si>
  <si>
    <t>p_muralidhar@yahoo.com</t>
  </si>
  <si>
    <t>Patri</t>
  </si>
  <si>
    <t>Muralidhara Rao</t>
  </si>
  <si>
    <t xml:space="preserve">WhatsApp group </t>
  </si>
  <si>
    <t>Koundinyasa, Sandilyasa, Kousikssa</t>
  </si>
  <si>
    <t>Telugu, Hindi, English, Tamil, Kannada</t>
  </si>
  <si>
    <t>Want to perform the daily rituals in a more meaningful way by learning and understanding these through Guru</t>
  </si>
  <si>
    <t>Savarni</t>
  </si>
  <si>
    <t>subbaraovali@gmail.com</t>
  </si>
  <si>
    <t>Valicherla</t>
  </si>
  <si>
    <t>Subba Rao</t>
  </si>
  <si>
    <t>Aditya Valicherla 0018474945060</t>
  </si>
  <si>
    <t>Aditya Valicherla 0018474945061</t>
  </si>
  <si>
    <t>Bharadwajasa, Haritasa, Chikitasa</t>
  </si>
  <si>
    <t>Sandhyavandanam, sooktams and yagnya bidhi</t>
  </si>
  <si>
    <t>pkautha@gmail.com</t>
  </si>
  <si>
    <t>Madhavi garu</t>
  </si>
  <si>
    <t>Bhargavasa, Kasyapasa, N/A</t>
  </si>
  <si>
    <t>Telugu/ english</t>
  </si>
  <si>
    <t>English and not so fluent Telugu</t>
  </si>
  <si>
    <t>Pavan and Pravallika Niraghatam</t>
  </si>
  <si>
    <t>6th grade</t>
  </si>
  <si>
    <t>Already know 1st Semester Syllabus. Hence will help the child at home</t>
  </si>
  <si>
    <t>Current goal is To make it a habit to perform Sandhyavandanam properly</t>
  </si>
  <si>
    <t>lalitha.chilukuri9@gmail.com</t>
  </si>
  <si>
    <t>Chilukuri</t>
  </si>
  <si>
    <t>Sri Shourya</t>
  </si>
  <si>
    <t>Madhavi pochimcherla +1 (512) 599-2999</t>
  </si>
  <si>
    <t>Madhavi pochimcherla +1 (512) 599-3000</t>
  </si>
  <si>
    <t>Harithasa, Koundinyasa, NA</t>
  </si>
  <si>
    <t xml:space="preserve">Pavanesh chilukuri, Lalitha </t>
  </si>
  <si>
    <t>Student 3 rd grade</t>
  </si>
  <si>
    <t>omshankarv@gmail.com</t>
  </si>
  <si>
    <t>Varadharajan</t>
  </si>
  <si>
    <t>Omshankar</t>
  </si>
  <si>
    <t>Hari Charan Karanam/ 469-954-5338</t>
  </si>
  <si>
    <t>Hari Charan Karanam/ 469-954-5339</t>
  </si>
  <si>
    <t>Haritha gothram, Naitruba kashyaba Gothram, Bharathwaja kothram</t>
  </si>
  <si>
    <t>Tamil</t>
  </si>
  <si>
    <t>English and Tamil. Can read Hindi</t>
  </si>
  <si>
    <t>My great Grand father is Sundara Ganapatikal. I have lost my root and dharma. Bring completely in to Loukeekam would like to get back learning my roots. Be a proper Brahmin.</t>
  </si>
  <si>
    <t>subrahmanyamlanka@gmail.com</t>
  </si>
  <si>
    <t>Venkata Sai Subrahmanyam</t>
  </si>
  <si>
    <t>Lanka venkata sai subrahmanyam 9908866584</t>
  </si>
  <si>
    <t>Lanka venkata sai subrahmanyam 9908866585</t>
  </si>
  <si>
    <t>Koundinyasa, Gowthamasa, Gowthamasa</t>
  </si>
  <si>
    <t xml:space="preserve">Telugu english Hindi </t>
  </si>
  <si>
    <t>Want to continue traditions</t>
  </si>
  <si>
    <t>bravikant@gmail.com</t>
  </si>
  <si>
    <t>Bhimavarapu</t>
  </si>
  <si>
    <t>Ravikanth</t>
  </si>
  <si>
    <t>Kotikalapudi Murali Sreedhar; Mobile: 9490792372</t>
  </si>
  <si>
    <t>Kotikalapudi Murali Sreedhar; Mobile: 9490792373</t>
  </si>
  <si>
    <t>Srivatsasa, Bharatwaja, Bharatwaja</t>
  </si>
  <si>
    <t xml:space="preserve">Telugu, English and Hindi </t>
  </si>
  <si>
    <t>I wanted to chant the Sandhya vandanam mantras with correct swaras.</t>
  </si>
  <si>
    <t>Currently I am pursuing learning Aruna prashnam through online training classes</t>
  </si>
  <si>
    <t>vennampallynagays@gmail.com</t>
  </si>
  <si>
    <t>Naga Yashwanth Sharma</t>
  </si>
  <si>
    <t>B. Chandrasekar, phone no:9849639880</t>
  </si>
  <si>
    <t>B. Chandrasekar, phone no:9849639881</t>
  </si>
  <si>
    <t>Koundinyasa, Srivatsava, Kashyapasa</t>
  </si>
  <si>
    <t>Quality Control Officer.</t>
  </si>
  <si>
    <t>To become expert in this feild</t>
  </si>
  <si>
    <t>Looking forward to join the sessions.</t>
  </si>
  <si>
    <t>nareshthirukovela1987@gmail.com</t>
  </si>
  <si>
    <t>Thirukovela</t>
  </si>
  <si>
    <t>Naresh</t>
  </si>
  <si>
    <t>R15</t>
  </si>
  <si>
    <t>Jithamithra</t>
  </si>
  <si>
    <t>Bharadwajasa, Srivatsasa, Srivatsasa</t>
  </si>
  <si>
    <t>Job</t>
  </si>
  <si>
    <t xml:space="preserve">Gain nowledg </t>
  </si>
  <si>
    <t xml:space="preserve">Happy to be apart of this </t>
  </si>
  <si>
    <t>pssarma2003@gmail.com</t>
  </si>
  <si>
    <t>Phani Sekhar</t>
  </si>
  <si>
    <t>Bharath 96180 14676</t>
  </si>
  <si>
    <t>Bharath 96180 14677</t>
  </si>
  <si>
    <t>Koushikasa, Bharadwaja, Vardhoolasa</t>
  </si>
  <si>
    <t>English and Telugu</t>
  </si>
  <si>
    <t>Above 18</t>
  </si>
  <si>
    <t xml:space="preserve">Medical Representative </t>
  </si>
  <si>
    <t>Smartha Vedam</t>
  </si>
  <si>
    <t xml:space="preserve">I am anticipated to learn vedam </t>
  </si>
  <si>
    <t>praneeth.chaterji@gmail.com</t>
  </si>
  <si>
    <t>Uppalapati</t>
  </si>
  <si>
    <t>Debary</t>
  </si>
  <si>
    <t>Aishwarya Uppalapati</t>
  </si>
  <si>
    <t>Athreyasa, Moudhgalyasa, Parasara</t>
  </si>
  <si>
    <t>Basic Vedam</t>
  </si>
  <si>
    <t>bhairavyammanur@gmail.com</t>
  </si>
  <si>
    <t>Yammanur</t>
  </si>
  <si>
    <t>Bhairav</t>
  </si>
  <si>
    <t>Mr. Harish Sandilya, +91 98861 33677</t>
  </si>
  <si>
    <t>Mr. Harish Sandilya, +91 98861 33678</t>
  </si>
  <si>
    <t>Saunakasa, Kausikasa, Kausikasa</t>
  </si>
  <si>
    <t>Telugu, Kannada, English, Hindi, Odiya</t>
  </si>
  <si>
    <t>Dy. General Manager at RITES LTD (Railways Company)</t>
  </si>
  <si>
    <t>Yajur Vedam, Rudra Namaka Chamakam, all suktam, Daily pooja and vishesha pooja kriya</t>
  </si>
  <si>
    <t>vallisyam82@gmail.com</t>
  </si>
  <si>
    <t>Cousin 9966238978</t>
  </si>
  <si>
    <t>Cousin 9966238979</t>
  </si>
  <si>
    <t>Koundinyasa, Srivastasa, N/A</t>
  </si>
  <si>
    <t>Telugu,english</t>
  </si>
  <si>
    <t>Shyam,valli</t>
  </si>
  <si>
    <t>High school  student</t>
  </si>
  <si>
    <t>Nice and learn to interesting candidate</t>
  </si>
  <si>
    <t>bhaskarvlnr@gmail.com</t>
  </si>
  <si>
    <t>Beerakayala</t>
  </si>
  <si>
    <t>Bhaskara</t>
  </si>
  <si>
    <t>Concord</t>
  </si>
  <si>
    <t>Harithasa, Vasishtha Gothram, Vasishtha Gothram</t>
  </si>
  <si>
    <t>I am interested to learn</t>
  </si>
  <si>
    <t>zerotoramana@gmail.com</t>
  </si>
  <si>
    <t>Vemuri Annapurnanda Rao, 6281260746</t>
  </si>
  <si>
    <t>Vemuri Annapurnanda Rao, 6281260747</t>
  </si>
  <si>
    <t>Haritasa, Athreyasa, N/A</t>
  </si>
  <si>
    <t>Sripada Srinivas</t>
  </si>
  <si>
    <t>Shivakumar Challa</t>
  </si>
  <si>
    <t xml:space="preserve">Vemuri Venkata Ramana, Vemuri Sravani </t>
  </si>
  <si>
    <t xml:space="preserve">Primary school student </t>
  </si>
  <si>
    <t>Spiritual progress</t>
  </si>
  <si>
    <t>Ayyalasomayajula</t>
  </si>
  <si>
    <t>ramanarayanapradeep@gmail.com</t>
  </si>
  <si>
    <t>Soorya Manoo</t>
  </si>
  <si>
    <t>Kondaveeti Sarma</t>
  </si>
  <si>
    <t>Atreyasa, Kousagisa, N/A</t>
  </si>
  <si>
    <t>Mandapaka Ramanarayana Pradeep Sarma</t>
  </si>
  <si>
    <t>School Student - 6th class</t>
  </si>
  <si>
    <t>Pooja, &amp; Suktams</t>
  </si>
  <si>
    <t xml:space="preserve">Please kindly register my son 🙏 </t>
  </si>
  <si>
    <t>gvbsvv@gmail.com</t>
  </si>
  <si>
    <t>Gampa</t>
  </si>
  <si>
    <t>Venkata Bala Subrahmanyam</t>
  </si>
  <si>
    <t xml:space="preserve">Raleigh </t>
  </si>
  <si>
    <t>kuchipudi Kashyap</t>
  </si>
  <si>
    <t>Srivatsa, Koundinyasa, Bharadwaja</t>
  </si>
  <si>
    <t>yajur</t>
  </si>
  <si>
    <t xml:space="preserve">telugu </t>
  </si>
  <si>
    <t xml:space="preserve">software engineer </t>
  </si>
  <si>
    <t>discipline and orderly  brahmin process</t>
  </si>
  <si>
    <t>bhaskar.prata@gmail.com</t>
  </si>
  <si>
    <t>Prata</t>
  </si>
  <si>
    <t>Raghavendra</t>
  </si>
  <si>
    <t>Raj Mallela,6158816536</t>
  </si>
  <si>
    <t>Raj Mallela,6158816537</t>
  </si>
  <si>
    <t>Haritasa, Kasyapasa, Koundinyasa</t>
  </si>
  <si>
    <t>Vaidiki velnadu</t>
  </si>
  <si>
    <t xml:space="preserve">Everything you have to offer about vedam </t>
  </si>
  <si>
    <t>suhruth.nelapatla@gmail.com</t>
  </si>
  <si>
    <t>Suhruth</t>
  </si>
  <si>
    <t>Sitaramaiah Nelapatla 908-307-6976</t>
  </si>
  <si>
    <t>Sitaramaiah Nelapatla 908-307-6977</t>
  </si>
  <si>
    <t>Bharadwajasa, Kashyapasa, N/A</t>
  </si>
  <si>
    <t xml:space="preserve">Krsna yajur vedam </t>
  </si>
  <si>
    <t>Financial Analyst</t>
  </si>
  <si>
    <t>Svadharma</t>
  </si>
  <si>
    <t>arumalladi@gmail.com</t>
  </si>
  <si>
    <t>Mulagala</t>
  </si>
  <si>
    <t>Avyay Karthik</t>
  </si>
  <si>
    <t>california</t>
  </si>
  <si>
    <t>n/a</t>
  </si>
  <si>
    <t>Bharatwaja, Haritasa, n/a</t>
  </si>
  <si>
    <t>krishna yajur veda</t>
  </si>
  <si>
    <t>english,telugu</t>
  </si>
  <si>
    <t>Satyanarayana Mulagala &amp; Aruna Malladi</t>
  </si>
  <si>
    <t>7th grade</t>
  </si>
  <si>
    <t>My kid already started learning ,we want it to be in a proper channel</t>
  </si>
  <si>
    <t>I do dwikala sandhyavandanam and also want to learn veda apart from my regular school work</t>
  </si>
  <si>
    <t>Suryansh</t>
  </si>
  <si>
    <t>Subrahmanya garu in India(Kramapati)-+919963932148</t>
  </si>
  <si>
    <t>Subrahmanya garu in India(Kramapati)-+919963932149</t>
  </si>
  <si>
    <t>Bharatawaja, Haritasa, n/a</t>
  </si>
  <si>
    <t>English,telugu</t>
  </si>
  <si>
    <t>English,Telugu</t>
  </si>
  <si>
    <t>10th grade</t>
  </si>
  <si>
    <t>I have been learning and want to do it as in a proper channel</t>
  </si>
  <si>
    <t>I want to gain more proficiency in it so that I am able to chant without a book</t>
  </si>
  <si>
    <t>dmaddhali@gmail.com</t>
  </si>
  <si>
    <t>Brahmins group</t>
  </si>
  <si>
    <t>Koundinyasa, Bharadwajasa, Sandilyasa</t>
  </si>
  <si>
    <t xml:space="preserve">Pooja vidhanam </t>
  </si>
  <si>
    <t>EXIT</t>
  </si>
  <si>
    <t>rvskarthik.2011@gmail.com</t>
  </si>
  <si>
    <t xml:space="preserve">Rekapalli </t>
  </si>
  <si>
    <t>Kutsasa, Bharatwajasa, Na</t>
  </si>
  <si>
    <t>RDMN SARMA</t>
  </si>
  <si>
    <t xml:space="preserve">High school student </t>
  </si>
  <si>
    <t xml:space="preserve">To learn our tridisions and customs </t>
  </si>
  <si>
    <t xml:space="preserve">Please take and open a batch as soon as possible mon and Thu </t>
  </si>
  <si>
    <t>kalidasmurthy@gmail.com</t>
  </si>
  <si>
    <t>Kalidas</t>
  </si>
  <si>
    <t>Srinivasa Murthy</t>
  </si>
  <si>
    <t>Atmaram Kavuri</t>
  </si>
  <si>
    <t>Sandilyasa, Haritasa, Bhardwajasa</t>
  </si>
  <si>
    <t>Consultant</t>
  </si>
  <si>
    <t xml:space="preserve">Spirituality </t>
  </si>
  <si>
    <t>Utilise the learning sanathana dharma</t>
  </si>
  <si>
    <t>balaaparnakavuri@gmail.com</t>
  </si>
  <si>
    <t>9441975657 Kavuri Atmaram</t>
  </si>
  <si>
    <t>9441975658 Kavuri Atmaram</t>
  </si>
  <si>
    <t>Koundinyasa, Gouthamasa, Brahmachari</t>
  </si>
  <si>
    <t>Bhattar</t>
  </si>
  <si>
    <t>Challa Raghavendra and Bala Aparna</t>
  </si>
  <si>
    <t>Vaishnav</t>
  </si>
  <si>
    <t xml:space="preserve">Student </t>
  </si>
  <si>
    <t>Belief in Veda vidya and that it takes one closer to paramathma</t>
  </si>
  <si>
    <t>satishmarella86@gmail.com</t>
  </si>
  <si>
    <t>Marella</t>
  </si>
  <si>
    <t>Satyamurthy</t>
  </si>
  <si>
    <t xml:space="preserve">Banda Chandrashekar </t>
  </si>
  <si>
    <t>Srivathasa</t>
  </si>
  <si>
    <t xml:space="preserve">Kasyapasa </t>
  </si>
  <si>
    <t xml:space="preserve">English Telugu </t>
  </si>
  <si>
    <t xml:space="preserve">Ganeshwara rao garu &amp; pushpavalli garu </t>
  </si>
  <si>
    <t xml:space="preserve">Private </t>
  </si>
  <si>
    <t xml:space="preserve">For nityakarma Pooja </t>
  </si>
  <si>
    <t>tachyoncolumbia@gmail.com</t>
  </si>
  <si>
    <t>Saathvik</t>
  </si>
  <si>
    <t>Mrs.Madhavi Pochimcherla</t>
  </si>
  <si>
    <t>Koundinyasa,Apnuvana</t>
  </si>
  <si>
    <t>Pradeep Manikonda, Deepali Sharma</t>
  </si>
  <si>
    <t>To uphold my dharma and guru shishya sampradaya</t>
  </si>
  <si>
    <t>pnnath1986@gmail.com</t>
  </si>
  <si>
    <t>Pydipati</t>
  </si>
  <si>
    <t>Narendranath</t>
  </si>
  <si>
    <t>Kavuri Atmaram</t>
  </si>
  <si>
    <t>Satamarshana, Bhaaradwajasa</t>
  </si>
  <si>
    <t>Business ( Shop Merchant)</t>
  </si>
  <si>
    <t>I got an opportunity to learn the Vedas and to get motivated in daily life.</t>
  </si>
  <si>
    <t>Thank you for giving me an opportunity to seek the knowledge.</t>
  </si>
  <si>
    <t>Pradeep</t>
  </si>
  <si>
    <t>Frisco, Texas</t>
  </si>
  <si>
    <t>Koundinyasa,Apnuvana,Salankayanasa</t>
  </si>
  <si>
    <t>Telugu,Hindi,English</t>
  </si>
  <si>
    <t>Quantitative Researcher</t>
  </si>
  <si>
    <t>To understand my dharma well enough to pass it on to the next generation</t>
  </si>
  <si>
    <t>jkk5140@gmail.com</t>
  </si>
  <si>
    <t>Kishore Kumar</t>
  </si>
  <si>
    <t>Subbaramaiah</t>
  </si>
  <si>
    <t>+919000426316</t>
  </si>
  <si>
    <t>Srivatsasa,kousika, Lohithanyasa</t>
  </si>
  <si>
    <t xml:space="preserve">AGM-Inventory Management </t>
  </si>
  <si>
    <t xml:space="preserve">Personal interest </t>
  </si>
  <si>
    <t>Intrested to learn vedam</t>
  </si>
  <si>
    <t>sarmamaganty58@gmail.com</t>
  </si>
  <si>
    <t xml:space="preserve">Maganty </t>
  </si>
  <si>
    <t>Gurunadha Subrahmanya Sarma</t>
  </si>
  <si>
    <t xml:space="preserve">Vijayawada </t>
  </si>
  <si>
    <t>Married,male, Kutsasa gotram,my wife n mother's gotram Bharadwajasa</t>
  </si>
  <si>
    <t xml:space="preserve">Not applicable </t>
  </si>
  <si>
    <t>Retd Bank Clerk</t>
  </si>
  <si>
    <t>I want to learn suktas etc with suswaram</t>
  </si>
  <si>
    <t>I am retd employee and wish  to learn with swaram.</t>
  </si>
  <si>
    <t>suryanandyala19@gmail.com</t>
  </si>
  <si>
    <t>Nandyala</t>
  </si>
  <si>
    <t>Suryanarayana</t>
  </si>
  <si>
    <t xml:space="preserve">VADLAMANI VENKATA RAMAM </t>
  </si>
  <si>
    <t>ATREYASA, KASYAPASA, KASYAPASA</t>
  </si>
  <si>
    <t>RETD BANK OFFICER (AGM)</t>
  </si>
  <si>
    <t>INTERESTED IN PRACTICING VEDA SUKTHAS</t>
  </si>
  <si>
    <t>I FEEL IT IS A VERY GOOD OPPORTUNITY TO LEARN SUKTHAS, VARIOUS POOJA VIDHI</t>
  </si>
  <si>
    <t>sid1990.sarma@gmail.com</t>
  </si>
  <si>
    <t>Bhairavajyosula</t>
  </si>
  <si>
    <t>Siddartha Sarma</t>
  </si>
  <si>
    <t>Suryanarayana Nandyala</t>
  </si>
  <si>
    <t>Gowthamasa, Koundinyasa, Athreyasa</t>
  </si>
  <si>
    <t xml:space="preserve">Telugu, Kannada, Tamil, Hindi, English </t>
  </si>
  <si>
    <t xml:space="preserve">Telugu,Kannada,Hindi, English </t>
  </si>
  <si>
    <t>I am very much interested in veda patanam and want to take our rich culture forward.</t>
  </si>
  <si>
    <t>srinivasj@sustainable-as.nl</t>
  </si>
  <si>
    <t>Jammalamadaka</t>
  </si>
  <si>
    <t>Burugula</t>
  </si>
  <si>
    <t>+31</t>
  </si>
  <si>
    <t>Alphen aan den Rijn</t>
  </si>
  <si>
    <t>Ravi Sankar Nori</t>
  </si>
  <si>
    <t>+919920027234</t>
  </si>
  <si>
    <t>My Gothram: Koundinyasa, My Mother's Gothram: Hari DasaMy Ex-Wife Gothram: Hari Dasa</t>
  </si>
  <si>
    <t>English, Hindi, Telugu, German</t>
  </si>
  <si>
    <t>English, German, very poor Telugu(takes time to read a sentence)</t>
  </si>
  <si>
    <t>Self-Employeed IT Consultant</t>
  </si>
  <si>
    <t>Personal Interest and being able to do properly pujas</t>
  </si>
  <si>
    <t>I am a Vaidiki Brahmin and 100% Vegeterian, do not smoke, do not drink Alcohol. I am suffering of Asthma which can effect telling long Mantras. I need small pause.</t>
  </si>
  <si>
    <t>singampallikiran7@outlook.com</t>
  </si>
  <si>
    <t>Singampalli</t>
  </si>
  <si>
    <t>Kiran Kumar</t>
  </si>
  <si>
    <t>Huston,  Texas</t>
  </si>
  <si>
    <t>Pavankumar Rayaprolu</t>
  </si>
  <si>
    <t>(646) 436-3710</t>
  </si>
  <si>
    <t xml:space="preserve">My self   ---Bharadwaja ,and My Mother---koundinyasa ,my -Wife -Kashyapasa </t>
  </si>
  <si>
    <t>Yejur Veeda</t>
  </si>
  <si>
    <t>The Vedas include powerful mantras and rituals that are believed to have spiritual and healing effects.</t>
  </si>
  <si>
    <t>somayaji69@yahoo.com</t>
  </si>
  <si>
    <t>Ganti</t>
  </si>
  <si>
    <t>Laxmana Somayajulu</t>
  </si>
  <si>
    <t xml:space="preserve">Tampa,Florida </t>
  </si>
  <si>
    <t>Earlier joined but couldn't continue</t>
  </si>
  <si>
    <t>+3144984345</t>
  </si>
  <si>
    <t>Vadhulasa, Kashyapasa, Gowthamasa</t>
  </si>
  <si>
    <t xml:space="preserve">Reiered Railway Employee </t>
  </si>
  <si>
    <t>Got an opportunity now to learn cleared myself from some responsibilities.</t>
  </si>
  <si>
    <t>Last year after enrollment I couldn't continue due to some family and time constraints given opportunity this time I will definitely learn by goddess Sarswathi Matha and with blessings if Guruvus.</t>
  </si>
  <si>
    <t>mypavan@yahoo.com</t>
  </si>
  <si>
    <t>Phaneendra tumu</t>
  </si>
  <si>
    <t>Bharadwaja , kashaypasa, koundiyasa</t>
  </si>
  <si>
    <t>Smartha</t>
  </si>
  <si>
    <t>Sanathnaa dharma</t>
  </si>
  <si>
    <t>gollapudi.subbarao@live.com</t>
  </si>
  <si>
    <t>Gollapudi</t>
  </si>
  <si>
    <t>Subbarao</t>
  </si>
  <si>
    <t>Koundanyasa, Nitindasa, Kousikasya</t>
  </si>
  <si>
    <t>telugu, english</t>
  </si>
  <si>
    <t>manager</t>
  </si>
  <si>
    <t>suktas and taitreeya aaranyakam</t>
  </si>
  <si>
    <t>msnmurty75@gmail.com</t>
  </si>
  <si>
    <t>Mangipudi</t>
  </si>
  <si>
    <t>Surya Narayana Murthy</t>
  </si>
  <si>
    <t>Krishna Prasad tumuluri</t>
  </si>
  <si>
    <t xml:space="preserve">దేవరాత, హరిత, ఆత్రేయ </t>
  </si>
  <si>
    <t xml:space="preserve">తెలుగు, ఇంగ్లీషు, </t>
  </si>
  <si>
    <t xml:space="preserve">Civil engineering </t>
  </si>
  <si>
    <t>Interest on veda</t>
  </si>
  <si>
    <t>jayendra.tangirala@gmail.com</t>
  </si>
  <si>
    <t>Tangirala</t>
  </si>
  <si>
    <t>Jayendranath</t>
  </si>
  <si>
    <t>Tumuluri Krishna Prasad</t>
  </si>
  <si>
    <t>Kutsasa Haritasa Kousikasa</t>
  </si>
  <si>
    <t xml:space="preserve">Self Employed </t>
  </si>
  <si>
    <t xml:space="preserve">Spiritual Growth and to Continue the legacy </t>
  </si>
  <si>
    <t>Traditional family associated with Kanchi Kamakoti Peetham. I am indeed fortunate enough to have witnessed four generations of peethadhipatis of the Kanchi mutt.</t>
  </si>
  <si>
    <t>reachbadari@gmail.com</t>
  </si>
  <si>
    <t>Badarinath</t>
  </si>
  <si>
    <t>Julakanti</t>
  </si>
  <si>
    <t xml:space="preserve">Campbell, California </t>
  </si>
  <si>
    <t>Venkata Vishruth Vachan</t>
  </si>
  <si>
    <t>Vyaghreswara Sastry</t>
  </si>
  <si>
    <t>Vadhulasa, bharadwaja, rathirasa</t>
  </si>
  <si>
    <t>Telugu, devanagari, english</t>
  </si>
  <si>
    <t>Commercial Operations</t>
  </si>
  <si>
    <t>Connect back to my roots (my grandfather was a veda pandit)</t>
  </si>
  <si>
    <t>moulitangirala65@gmail.com</t>
  </si>
  <si>
    <t>Chandra Mouleswar</t>
  </si>
  <si>
    <t>Hari Hara nadha sai</t>
  </si>
  <si>
    <t>Sri vatsasa, Bharadwajasa,  Bharadwajasa 1988</t>
  </si>
  <si>
    <t xml:space="preserve">LECTURER </t>
  </si>
  <si>
    <t xml:space="preserve">To recite Rudram and other Slokas for nitya puja without errors </t>
  </si>
  <si>
    <t>anirudh.challa7201@gmail.com</t>
  </si>
  <si>
    <t>Anirudh</t>
  </si>
  <si>
    <t>Kumar Challa</t>
  </si>
  <si>
    <t>Koundhinyasa, Vadulasa</t>
  </si>
  <si>
    <t>English &amp; Telugu</t>
  </si>
  <si>
    <t xml:space="preserve">for my parents </t>
  </si>
  <si>
    <t>vikhana.v.k@gmail.com</t>
  </si>
  <si>
    <t>Vedantam</t>
  </si>
  <si>
    <t>Homa Sreenivasa Naiyimish Acharya</t>
  </si>
  <si>
    <t>Hyderbad</t>
  </si>
  <si>
    <t>Rayaprolu Pavan Kumar</t>
  </si>
  <si>
    <t>+16464363710</t>
  </si>
  <si>
    <t>Atreyasa, Kashyapasa</t>
  </si>
  <si>
    <t>Vedantam Vikhanasa Kiran, Anantha Swetha</t>
  </si>
  <si>
    <t>School</t>
  </si>
  <si>
    <t>as a Brahmin, it's our right to learn</t>
  </si>
  <si>
    <t>bharadwaj.samavedam@gmail.com</t>
  </si>
  <si>
    <t>Bharadwaj</t>
  </si>
  <si>
    <t>S K Bharadwaj Samavedam</t>
  </si>
  <si>
    <t>Kasyapasa, Vadulasa, Haritasa</t>
  </si>
  <si>
    <t>I want learn and perform all my rituals with clarity of thought and enhance my spiritual knowledge. Embed in to my life style</t>
  </si>
  <si>
    <t xml:space="preserve">Sri GURUBHYO NAMAHA </t>
  </si>
  <si>
    <t>helloankrish@gmail.com</t>
  </si>
  <si>
    <t>Naga Krishna Prasad</t>
  </si>
  <si>
    <t xml:space="preserve">Jagarlapudi Surya Srikanth </t>
  </si>
  <si>
    <t>+91 99585 62369</t>
  </si>
  <si>
    <t>Interested to know and practice our rich vedic Culture, Rituals and heritage in meaningful manner</t>
  </si>
  <si>
    <t xml:space="preserve">Bharadwajasa, Kasyapasa </t>
  </si>
  <si>
    <t xml:space="preserve">Naga Krishna Prasad Ayachitula </t>
  </si>
  <si>
    <t xml:space="preserve">High School Student </t>
  </si>
  <si>
    <t xml:space="preserve">To know about vedic chanting </t>
  </si>
  <si>
    <t>Kandukuri</t>
  </si>
  <si>
    <t>Veda Rushi</t>
  </si>
  <si>
    <t xml:space="preserve">Krishna Yajur veda </t>
  </si>
  <si>
    <t>Telugu, English, Kannada</t>
  </si>
  <si>
    <t xml:space="preserve">Learn the vedic based chanting </t>
  </si>
  <si>
    <t>kvlnprasad@gmail.com</t>
  </si>
  <si>
    <t>Siva</t>
  </si>
  <si>
    <t>K Atmaram</t>
  </si>
  <si>
    <t>Gowthamasa</t>
  </si>
  <si>
    <t xml:space="preserve">K V L N Prasad, K Padmavathi Lavanya </t>
  </si>
  <si>
    <t xml:space="preserve">I Hava Intrested </t>
  </si>
  <si>
    <t>Very Good Oppertunity.</t>
  </si>
  <si>
    <t>krovi.srikanth@gmail.com</t>
  </si>
  <si>
    <t>Srikanth Sarma</t>
  </si>
  <si>
    <t xml:space="preserve">Nalgonda </t>
  </si>
  <si>
    <t xml:space="preserve">Bhaskar </t>
  </si>
  <si>
    <t>+1 (704) 724-7859</t>
  </si>
  <si>
    <t>Harithasa  Vadhulasa athreyasa</t>
  </si>
  <si>
    <t xml:space="preserve">Telugu Hindi English teacher </t>
  </si>
  <si>
    <t xml:space="preserve">Im very much interested in Sanarhana Dharma and it's practices </t>
  </si>
  <si>
    <t xml:space="preserve">I will strictly follow the rules and regulations </t>
  </si>
  <si>
    <t>vijay.akella0106@gmail.com</t>
  </si>
  <si>
    <t>Vijay</t>
  </si>
  <si>
    <t>Subba Rao Gollapudi</t>
  </si>
  <si>
    <t>Haritasa; Koundinyasa</t>
  </si>
  <si>
    <t>Director lean at Fortive Corporation</t>
  </si>
  <si>
    <t xml:space="preserve">Be able to perform Nitya karma </t>
  </si>
  <si>
    <t>Rekapalli</t>
  </si>
  <si>
    <t>Venkata Sai Karthik</t>
  </si>
  <si>
    <t xml:space="preserve">Madhira Surya Teja </t>
  </si>
  <si>
    <t>Kuthsasa, Bharadwajasa</t>
  </si>
  <si>
    <t xml:space="preserve">RDMN SARMA, R JYOTHI </t>
  </si>
  <si>
    <t xml:space="preserve">High school </t>
  </si>
  <si>
    <t>To learn veda and learn our traditionals</t>
  </si>
  <si>
    <t>Pls add batch on thu or wed</t>
  </si>
  <si>
    <t>sukumar.pisupati@gmail.com</t>
  </si>
  <si>
    <t>Pisupati</t>
  </si>
  <si>
    <t>Sukumar</t>
  </si>
  <si>
    <t>(818) 716-6683</t>
  </si>
  <si>
    <t>Bharadwajasa, Harithasa, Srivathsa</t>
  </si>
  <si>
    <t>Telugu,</t>
  </si>
  <si>
    <t xml:space="preserve">Sanatana Dharma acharana, vedam </t>
  </si>
  <si>
    <t>satishperius@gmail.com</t>
  </si>
  <si>
    <t>Peri</t>
  </si>
  <si>
    <t>Tejus</t>
  </si>
  <si>
    <t>Atlanta</t>
  </si>
  <si>
    <t>Satish Peri</t>
  </si>
  <si>
    <t>GOUTHAMASA</t>
  </si>
  <si>
    <t>KrishnaYajur Vedam</t>
  </si>
  <si>
    <t>High School</t>
  </si>
  <si>
    <t>Vedam Year 1</t>
  </si>
  <si>
    <t>pothamseshagiri@gmail.com</t>
  </si>
  <si>
    <t>Potham</t>
  </si>
  <si>
    <t>Seshagiri Rao</t>
  </si>
  <si>
    <t>Karthikeya</t>
  </si>
  <si>
    <t xml:space="preserve">Hindupur </t>
  </si>
  <si>
    <t xml:space="preserve">Nandyala Suryanarayana </t>
  </si>
  <si>
    <t xml:space="preserve">Harithasa </t>
  </si>
  <si>
    <t xml:space="preserve">Telugu Kannada  English </t>
  </si>
  <si>
    <t xml:space="preserve">Bank manager </t>
  </si>
  <si>
    <t xml:space="preserve">Vedas </t>
  </si>
  <si>
    <t xml:space="preserve">Kindly provide me opportunity </t>
  </si>
  <si>
    <t>krishna.navuduri@gmail.com</t>
  </si>
  <si>
    <t>Navuduri</t>
  </si>
  <si>
    <t>Boston</t>
  </si>
  <si>
    <t>Koundinyasa</t>
  </si>
  <si>
    <t xml:space="preserve">Follow sanathana dharma and grow spiritually </t>
  </si>
  <si>
    <t>haranathnandyala1@gmail.com</t>
  </si>
  <si>
    <t>Haranath</t>
  </si>
  <si>
    <t>Suryanarayana N</t>
  </si>
  <si>
    <t>Athreyasa, Gouthamasa, Kashypasa</t>
  </si>
  <si>
    <t>Telugu, English,Hindi,Kannada,Tamil</t>
  </si>
  <si>
    <t xml:space="preserve">Telugu,English, Kannada </t>
  </si>
  <si>
    <t>Working in private limited As GM</t>
  </si>
  <si>
    <t xml:space="preserve">Intrest </t>
  </si>
  <si>
    <t xml:space="preserve">Very Happy to Join in this class </t>
  </si>
  <si>
    <t>kpvsssavitriphani337@gmail.com</t>
  </si>
  <si>
    <t>Nagavalli kuppa</t>
  </si>
  <si>
    <t>Jamadagni,srivatsasa</t>
  </si>
  <si>
    <t>Telugu,English,Hindi</t>
  </si>
  <si>
    <t>Kota Raja sasi kumar, savitriphani</t>
  </si>
  <si>
    <t>High school Student</t>
  </si>
  <si>
    <t>To follow sanatana dharma</t>
  </si>
  <si>
    <t>Looking forward to learnt from guruvu garu</t>
  </si>
  <si>
    <t>PRAVEENKULKARNIS@GMAIL.COM</t>
  </si>
  <si>
    <t>Kulkarni</t>
  </si>
  <si>
    <t>Anudeep Burugula</t>
  </si>
  <si>
    <t>+1 609-937-0666</t>
  </si>
  <si>
    <t>KASHYAPASA - Srivatsasa - Haritasa</t>
  </si>
  <si>
    <t xml:space="preserve">Rigveda </t>
  </si>
  <si>
    <t>TELUGU KANNADA HINDI ENGLISH</t>
  </si>
  <si>
    <t xml:space="preserve"> IT Professional </t>
  </si>
  <si>
    <t xml:space="preserve">Practice My Heritage and Culture &amp; Propagate the same </t>
  </si>
  <si>
    <t>Thank You</t>
  </si>
  <si>
    <t>bvdileep@gmail.com</t>
  </si>
  <si>
    <t>Bommakanti</t>
  </si>
  <si>
    <t>Venkata Rama Sai Adithya Sharma</t>
  </si>
  <si>
    <t>Venkata Dileep Bommakanti</t>
  </si>
  <si>
    <t>ATREYASA, SRIVATSASA</t>
  </si>
  <si>
    <t>Venkat Dileep, Anusha</t>
  </si>
  <si>
    <t>School Student</t>
  </si>
  <si>
    <t>To perform Nitya Karmas</t>
  </si>
  <si>
    <t>raghurevanur@gmail.com</t>
  </si>
  <si>
    <t>Revanur</t>
  </si>
  <si>
    <t>Raghu Ram</t>
  </si>
  <si>
    <t>N Haranath</t>
  </si>
  <si>
    <t>Goutamasa, Kuchasa, Haritasa</t>
  </si>
  <si>
    <t>Took VRS as Bank Manager</t>
  </si>
  <si>
    <t>Interested in learning Veda</t>
  </si>
  <si>
    <t>Since daily doing Sandhyavandanam and Rudrabhishek interested to learn Vedas also.</t>
  </si>
  <si>
    <t>sathish12840@gmail.com</t>
  </si>
  <si>
    <t>Satyanarayana</t>
  </si>
  <si>
    <t xml:space="preserve">Banglore </t>
  </si>
  <si>
    <t>Vadhulasa,kondyanysa,bhradwaja</t>
  </si>
  <si>
    <t xml:space="preserve">Hindhi,English, Telugu,Kannada </t>
  </si>
  <si>
    <t>Hindhi,English, Telugu, Kannada</t>
  </si>
  <si>
    <t>Bank</t>
  </si>
  <si>
    <t xml:space="preserve">  I am interested </t>
  </si>
  <si>
    <t xml:space="preserve">I agree all the conditions </t>
  </si>
  <si>
    <t>sriharsha1980@gmail.com</t>
  </si>
  <si>
    <t>Devambhotla</t>
  </si>
  <si>
    <t>Sri Harsha Vardhan</t>
  </si>
  <si>
    <t>Chimmapudi venkata ramakrishna</t>
  </si>
  <si>
    <t>Bharadwajasa, Koundinyasa, Haritasa</t>
  </si>
  <si>
    <t>Suklayajurveda</t>
  </si>
  <si>
    <t xml:space="preserve">Test engineer </t>
  </si>
  <si>
    <t>Swara yukta mantram</t>
  </si>
  <si>
    <t>prasadsarma.jl@gmail.com</t>
  </si>
  <si>
    <t>Lakshmana Prasad</t>
  </si>
  <si>
    <t>Krishna Sai Ganugapati</t>
  </si>
  <si>
    <t>Koundinyasa, Sounakasa and Kousikasa</t>
  </si>
  <si>
    <t>Piritual Growth</t>
  </si>
  <si>
    <t>ramana.m.venkat@gmail.com</t>
  </si>
  <si>
    <t>Hyderabad - 500019</t>
  </si>
  <si>
    <t>Vamsee Krishna Mallachervu</t>
  </si>
  <si>
    <t>+919704157378</t>
  </si>
  <si>
    <t>Bharadwajasa; Koundinyasa; Harithasa</t>
  </si>
  <si>
    <t>Yakur veda</t>
  </si>
  <si>
    <t>Telugu; English and Hindi</t>
  </si>
  <si>
    <t>Bank Manager (Retired)</t>
  </si>
  <si>
    <t>Interested</t>
  </si>
  <si>
    <t>Interested in Vedic learning</t>
  </si>
  <si>
    <t>rkasturi_99@yahoo.com</t>
  </si>
  <si>
    <t>Kasturi</t>
  </si>
  <si>
    <t>Seymour</t>
  </si>
  <si>
    <t>Ravi Kiran</t>
  </si>
  <si>
    <t xml:space="preserve">Vaardhulasa, Harithasa, </t>
  </si>
  <si>
    <t xml:space="preserve">Self realization </t>
  </si>
  <si>
    <t>raghu.aluru2007@gmail.com</t>
  </si>
  <si>
    <t>Aluru</t>
  </si>
  <si>
    <t>Raghunath</t>
  </si>
  <si>
    <t>Harish sandilya</t>
  </si>
  <si>
    <t>Kashyapasa, Bharadwaja, Bharadwaja</t>
  </si>
  <si>
    <t>Accountent</t>
  </si>
  <si>
    <t>arohinikumar1202@gmail.com</t>
  </si>
  <si>
    <t>Murthinty</t>
  </si>
  <si>
    <t>Venkata Shivark</t>
  </si>
  <si>
    <t>Rohit Kumar Sharma</t>
  </si>
  <si>
    <t>CHITTOOR</t>
  </si>
  <si>
    <t>J L N MURTHY</t>
  </si>
  <si>
    <t>BHARADWAJASA</t>
  </si>
  <si>
    <t>YAJURVEDA</t>
  </si>
  <si>
    <t>TELUGU,ENGLISH,TAMIL</t>
  </si>
  <si>
    <t>TELUGU,ENGLISH</t>
  </si>
  <si>
    <t>WELFARE ASSISTANT</t>
  </si>
  <si>
    <t>I AM INTERESTED AND WANT TO FOLLOW BASIC SET OF RULES OF COMMUNITY</t>
  </si>
  <si>
    <t>I AM TEETOTALER AND I AM INTERESTED TO LEARN ALL THE DAILY RITUALS THAT NEEDS TO BE PRACTICED BY EVERY INDIVIDUAL OF THE COMMUNITY. I FEEL THIS GIVES ME IMMENSE PLEASURE AND PEACE.</t>
  </si>
  <si>
    <t>raghabk55@gmail.com</t>
  </si>
  <si>
    <t>Kachibhotla</t>
  </si>
  <si>
    <t>Bhaskar Lakshmi Narayana Murthy</t>
  </si>
  <si>
    <t>Huntersville</t>
  </si>
  <si>
    <t>SthithaDheesh Nelapatla</t>
  </si>
  <si>
    <t xml:space="preserve">Gouthamasa, Bharadwajasa, kaundinyasa </t>
  </si>
  <si>
    <t>Lead Consultant</t>
  </si>
  <si>
    <t>Want to increase my Vedic knowledge.</t>
  </si>
  <si>
    <t>raj.malakapalli@gmail.com</t>
  </si>
  <si>
    <t>Malakapalli</t>
  </si>
  <si>
    <t>Raj</t>
  </si>
  <si>
    <t>+1 (818) 876-2063</t>
  </si>
  <si>
    <t>Moudgalyasa, koundinyasa, athreyasa</t>
  </si>
  <si>
    <t>Krishna yajur</t>
  </si>
  <si>
    <t>Telugu , english</t>
  </si>
  <si>
    <t xml:space="preserve">Enjoy learning / reciting scriptures </t>
  </si>
  <si>
    <t>manipusuluri@gmail.com</t>
  </si>
  <si>
    <t>Pusuluri</t>
  </si>
  <si>
    <t>Maniteja</t>
  </si>
  <si>
    <t>Prabhakar Prabhala</t>
  </si>
  <si>
    <t>+1 (704) 294-3580</t>
  </si>
  <si>
    <t>Bhradawaja,kashyapasa,</t>
  </si>
  <si>
    <t>Asap</t>
  </si>
  <si>
    <t xml:space="preserve">Looking to learn vedam </t>
  </si>
  <si>
    <t>muralimohansharma52@gmail.com</t>
  </si>
  <si>
    <t>Bhyravajoshyula</t>
  </si>
  <si>
    <t>Murali Mohan Sarma</t>
  </si>
  <si>
    <t>B. Siddhartha Sarma</t>
  </si>
  <si>
    <t>Gouthamasa, Aathreyasa, Kaasyapasa</t>
  </si>
  <si>
    <t>Retired Personnel Officer, APSRTC..</t>
  </si>
  <si>
    <t>I am eager to learn.</t>
  </si>
  <si>
    <t>I will be happy and enjoy learning.</t>
  </si>
  <si>
    <t>dilipmahadeva@gmail.com</t>
  </si>
  <si>
    <t>Mahadevabatla</t>
  </si>
  <si>
    <t>Dileep Kumar</t>
  </si>
  <si>
    <t>SriVibha Muthyam</t>
  </si>
  <si>
    <t>Srivatsasa,Sandilyasa,Kasyapasa</t>
  </si>
  <si>
    <t xml:space="preserve"> N/A</t>
  </si>
  <si>
    <t>To Learn Mantras without mistakes and proper swaram</t>
  </si>
  <si>
    <t>gopaldhanwada@gmail.com</t>
  </si>
  <si>
    <t>Dhanwada</t>
  </si>
  <si>
    <t>Patri Muralidhar 5</t>
  </si>
  <si>
    <t xml:space="preserve">Sandilyasa Bharadwaja kowdinyasa </t>
  </si>
  <si>
    <t xml:space="preserve">Government High school teacher </t>
  </si>
  <si>
    <t xml:space="preserve">Interested to get the knowledge about vedas. </t>
  </si>
  <si>
    <t>vatanraghu@yahoo.com</t>
  </si>
  <si>
    <t>Chandrashekar</t>
  </si>
  <si>
    <t>Raghu</t>
  </si>
  <si>
    <t>+49</t>
  </si>
  <si>
    <t>Germany</t>
  </si>
  <si>
    <t>AVK</t>
  </si>
  <si>
    <t>‪+4917644460594‬</t>
  </si>
  <si>
    <t>Patiballa</t>
  </si>
  <si>
    <t>Vashista, Kashyapasa, Kashayapasa</t>
  </si>
  <si>
    <t>n/A</t>
  </si>
  <si>
    <t>Krishna Vamsee</t>
  </si>
  <si>
    <t>Kannada, Hindi, English</t>
  </si>
  <si>
    <t>HR Manager</t>
  </si>
  <si>
    <t>Duty and interest to go deep in this</t>
  </si>
  <si>
    <t>pavankulkarni03@gmail.com</t>
  </si>
  <si>
    <t>Praveen Kulkarni</t>
  </si>
  <si>
    <t>+1 (945) 213-0112</t>
  </si>
  <si>
    <t>KAASHYAPASA PARAASHARA HARITHASA</t>
  </si>
  <si>
    <t>RigVeda</t>
  </si>
  <si>
    <t>Telugu english Kannada</t>
  </si>
  <si>
    <t>Telugu English Kannada</t>
  </si>
  <si>
    <t>shringeri Jagadguru  and Sri shaaradamba grace would like to take this path and need to transform myself. Would like to perform myself  Mahanyasa poorvaka Rudrabhishekam at my home . This is my life time Goal .</t>
  </si>
  <si>
    <t>Kindly accept my application and grace me Rigveda gnyana</t>
  </si>
  <si>
    <t>phanindra.ganti@gmail.com</t>
  </si>
  <si>
    <t>Phanindra</t>
  </si>
  <si>
    <t>Los Altos</t>
  </si>
  <si>
    <t>Badarinath Ganti</t>
  </si>
  <si>
    <t>+16094685062</t>
  </si>
  <si>
    <t>Mine: Vadhulasa, Wife: Bharadwaja, Mother: Radhitarasa</t>
  </si>
  <si>
    <t>Software Enginnering Manager</t>
  </si>
  <si>
    <t>My grandfather was a Kramapathi. Learnt Vedam at Kakinada and brought up the family performing Smartha puja in Kharagpur. I need to get closer to my roots. Also want to be able to chant together with Gurus during puja programs at home and temples</t>
  </si>
  <si>
    <t>nvsandeepsharma@gmail.com</t>
  </si>
  <si>
    <t>Venkata Sandeep Sharma</t>
  </si>
  <si>
    <t>Nandyala Haranath Sharma</t>
  </si>
  <si>
    <t>Athreyasa, Bharadwajasa, Koundinyasa</t>
  </si>
  <si>
    <t>Telugu Hindi English Tamil Kannada</t>
  </si>
  <si>
    <t>Passion towards learning and inspiration from ancestors/family</t>
  </si>
  <si>
    <t>Excited to be part of this learning journey</t>
  </si>
  <si>
    <t>lanka.pavankarthik18@gmail.com</t>
  </si>
  <si>
    <t>Naga Pavan Karthik</t>
  </si>
  <si>
    <t>Bethanabaltla Kasi Vishwanath</t>
  </si>
  <si>
    <t>Kashyapasa, Haritasa, Haritasa</t>
  </si>
  <si>
    <t>Sr Process Manager</t>
  </si>
  <si>
    <t>I'm interested in learning Vedas for Self, and if needed for other people as well</t>
  </si>
  <si>
    <t xml:space="preserve">Hi, I would like to learn Vedas online and continue the knowledge we have from Vedas. Thank you. </t>
  </si>
  <si>
    <t>tpraveensharma@gmail.com</t>
  </si>
  <si>
    <t>Narasimha</t>
  </si>
  <si>
    <t>MAHANKALI SITARAMA SARMA GARU</t>
  </si>
  <si>
    <t>+91 9951753805</t>
  </si>
  <si>
    <t>KUTSASA, KAUNDINYASA</t>
  </si>
  <si>
    <t>TELUGU ENGLISH</t>
  </si>
  <si>
    <t>ENGLISH, HINDI</t>
  </si>
  <si>
    <t>VENKATA ANJANI SIVA RAMA KRISHNA PRAVEEN, SKANDA PADMA GAYATRI</t>
  </si>
  <si>
    <t>HIGH SCHOOL STUDENT</t>
  </si>
  <si>
    <t>CARRY THE VEDIC CULTURE TO FUTURE GENERATIONS (WANT TO CHANT NAMAKAM, CHAMAKAM DURING CHANDRAMOULEESWARA POOJA AT SRINGERI)</t>
  </si>
  <si>
    <t>praveen.tangirala@gmail.com</t>
  </si>
  <si>
    <t>Venkata Anjani Siva Rama Krishna Praveen</t>
  </si>
  <si>
    <t>KUTSASA, KAUNDINYASA, KAUSIKASA</t>
  </si>
  <si>
    <t>TELUGU HINDI ENGLISH</t>
  </si>
  <si>
    <t xml:space="preserve">CARRY THE VEDIC CULTURE TO FUTURE GENERATIONS </t>
  </si>
  <si>
    <t>madhu.akondi@gmail.com</t>
  </si>
  <si>
    <t>Akondi</t>
  </si>
  <si>
    <t>Madhusudanarao</t>
  </si>
  <si>
    <t>Potukuchi</t>
  </si>
  <si>
    <t>Sivateja</t>
  </si>
  <si>
    <t>Praveen Tangirala</t>
  </si>
  <si>
    <t xml:space="preserve"> 76187 32999</t>
  </si>
  <si>
    <t>Atreyasa, Bharadwaja , Bharadwajasa</t>
  </si>
  <si>
    <t>Right Veda</t>
  </si>
  <si>
    <t>Telugu, English,Kannada,Hindi</t>
  </si>
  <si>
    <t>Foundational Course</t>
  </si>
  <si>
    <t>haari06@gmail.com</t>
  </si>
  <si>
    <t>SAI LALITH CHAITANYA AMBATIPUDI</t>
  </si>
  <si>
    <t>Kousikasa, Srivatsasa</t>
  </si>
  <si>
    <t>Ambatipudi Lalith Chaitanya, Kandukuri Harika</t>
  </si>
  <si>
    <t>4th Class Student</t>
  </si>
  <si>
    <t>As per directive of Kanchi Swami varu, I would like to start my veda abhyasam and learn vedam properly from guruvu garu, starting with Sandhyavandanam</t>
  </si>
  <si>
    <t>kishorechandra.knl@gmail.com</t>
  </si>
  <si>
    <t>Gadiyaram</t>
  </si>
  <si>
    <t>Kishore Chandra</t>
  </si>
  <si>
    <t>Srivastasa</t>
  </si>
  <si>
    <t xml:space="preserve">Marketing </t>
  </si>
  <si>
    <t xml:space="preserve">To perform daily rituals </t>
  </si>
  <si>
    <t>ksudheerkumar23@gmail.com</t>
  </si>
  <si>
    <t>Kindamadugu</t>
  </si>
  <si>
    <t>Sudheer Kumar</t>
  </si>
  <si>
    <t>Phani sekhar sharma</t>
  </si>
  <si>
    <t xml:space="preserve">Bhartvajasa(student) Mithreyasa(wifes) </t>
  </si>
  <si>
    <t>Smartham</t>
  </si>
  <si>
    <t>Committed to learn Smartham with all the blessings of veda guru's....</t>
  </si>
  <si>
    <t>pvsspavankumar@gmail.com</t>
  </si>
  <si>
    <t>Mahankali Sitarama Sarma</t>
  </si>
  <si>
    <t>Bhardwajasa, Bhargavasa, Sandilyasa</t>
  </si>
  <si>
    <t xml:space="preserve">Telugu, English, Hindi, Tamil </t>
  </si>
  <si>
    <t xml:space="preserve">Working in private company </t>
  </si>
  <si>
    <t>Being a Brahmin, I would like to do Nithya Pooja and perform Vedic rituals wherever required.</t>
  </si>
  <si>
    <t>After Guropadesham by Sri Sringeri Bharathitheertha swamiji, my life changed a lot, and I wants to move towards spiritual aspects and stay connected to our Sanathana dharma in addition to performing my job in an MNC.</t>
  </si>
  <si>
    <t>gvsm66@gmail.com</t>
  </si>
  <si>
    <t>Gunturu</t>
  </si>
  <si>
    <t>Siva Kumar</t>
  </si>
  <si>
    <t xml:space="preserve">Online Search </t>
  </si>
  <si>
    <t>Srivatsasa, Koundinyasa, Goutamasa</t>
  </si>
  <si>
    <t>Penumarthi Niranjana</t>
  </si>
  <si>
    <t xml:space="preserve">Head (IT) </t>
  </si>
  <si>
    <t>Gundu Rama Murthy</t>
  </si>
  <si>
    <t>To preserve and propagate our heritage.</t>
  </si>
  <si>
    <t>srinivas.yerramilli@gmail.com</t>
  </si>
  <si>
    <t>Yerramilli</t>
  </si>
  <si>
    <t>Poorna Sashi</t>
  </si>
  <si>
    <t>Sammamish</t>
  </si>
  <si>
    <t>Muralidhar Patri</t>
  </si>
  <si>
    <t>Kousikasa, Bhaardwaajasa, Saunakasa</t>
  </si>
  <si>
    <t xml:space="preserve">Telugu, Hindi </t>
  </si>
  <si>
    <t>To understand and follow traditions</t>
  </si>
  <si>
    <t>mchalla10@yahoo.com</t>
  </si>
  <si>
    <t>Madhava</t>
  </si>
  <si>
    <t xml:space="preserve">Los Angeles </t>
  </si>
  <si>
    <t>Koundinyasa, Sandilyasa , Haritasa</t>
  </si>
  <si>
    <t xml:space="preserve">Telugu , English , Hindi </t>
  </si>
  <si>
    <t xml:space="preserve">IT consultant </t>
  </si>
  <si>
    <t xml:space="preserve">I did not get chance to learn when I was young or focused somewhere else. I want to learn now to perform my dharma now onwards </t>
  </si>
  <si>
    <t xml:space="preserve">Pranam to gurus who takes time in teaching Vedas. </t>
  </si>
  <si>
    <t>vasri.bhagavathi@gmail.com</t>
  </si>
  <si>
    <t>Bhagavathi</t>
  </si>
  <si>
    <t xml:space="preserve">KAKINADA </t>
  </si>
  <si>
    <t>JOSYABATLA PRASAD</t>
  </si>
  <si>
    <t>+1 (954) 328-3227</t>
  </si>
  <si>
    <t>KAPI GOTRAM, BHARADWAJASA, ATREYASA</t>
  </si>
  <si>
    <t>TELUGU, ENGLISH , HINDI</t>
  </si>
  <si>
    <t>TELUGU, ENGLISH, HINDI P</t>
  </si>
  <si>
    <t xml:space="preserve">Pvt Employee </t>
  </si>
  <si>
    <t xml:space="preserve">INTERESTED IN VEDAS &amp; HINDU SANTANA DHARMA </t>
  </si>
  <si>
    <t>thisishari51@gmail.com</t>
  </si>
  <si>
    <t>Veerubhotla</t>
  </si>
  <si>
    <t>Hari</t>
  </si>
  <si>
    <t>Pavan Kumar Nathavajhula</t>
  </si>
  <si>
    <t xml:space="preserve"> 91001 19679</t>
  </si>
  <si>
    <t>Koundinyasa, Haritasa, Bharadwajasa</t>
  </si>
  <si>
    <t>Krishan Yajur veda</t>
  </si>
  <si>
    <t>Telugu, English,Hindi</t>
  </si>
  <si>
    <t xml:space="preserve">Self interest </t>
  </si>
  <si>
    <t>myselftlnaditya@gmail.com</t>
  </si>
  <si>
    <t>Tln</t>
  </si>
  <si>
    <t>Narendranath Pydipati</t>
  </si>
  <si>
    <t>Bharadwajasa gothram and koundinyasa githram.</t>
  </si>
  <si>
    <t>Telugu, English and Japanese</t>
  </si>
  <si>
    <t>Telugu, Hindi, English, Sanskrit, Japanese</t>
  </si>
  <si>
    <t>Undergrad student</t>
  </si>
  <si>
    <t>vijayakumar.pv888@gmail.com</t>
  </si>
  <si>
    <t>Vattipalli</t>
  </si>
  <si>
    <t>Vijaya Kumar Sharma</t>
  </si>
  <si>
    <t xml:space="preserve">చిల్లా రామకృష్ణుడు </t>
  </si>
  <si>
    <t>కాశ్యపస, కౌండిన్యస, కౌండిన్యస</t>
  </si>
  <si>
    <t xml:space="preserve">కృష్ణ యజుర్వేదం తైత్తిరీయ శాఖా </t>
  </si>
  <si>
    <t xml:space="preserve">తెలుగు సంస్కృతం హిందీ ఇంగ్లీషు </t>
  </si>
  <si>
    <t>సంస్కృత బోధకః</t>
  </si>
  <si>
    <t>వేద స్వరమ</t>
  </si>
  <si>
    <t xml:space="preserve">వేద మంత్రాన్ సస్వరేణ వక్తుం ఇచ్ఛామి </t>
  </si>
  <si>
    <t>KCSekhar1962@gmail.com</t>
  </si>
  <si>
    <t>Chandra Sekhar</t>
  </si>
  <si>
    <t>Marti Sitaramanjaneya Sarma</t>
  </si>
  <si>
    <t>Kashyapasa</t>
  </si>
  <si>
    <t>Krishna Yajurvedda</t>
  </si>
  <si>
    <t>Retired Banker</t>
  </si>
  <si>
    <t>Bhagavadaaraadhana</t>
  </si>
  <si>
    <t>I want learn vedam and other rituals as I could not learn them at my young age due to my job and other family circumstances. My grand father was a Purohith.</t>
  </si>
  <si>
    <t>Mandagondi</t>
  </si>
  <si>
    <t>Ravi Krishna Sathwik</t>
  </si>
  <si>
    <t>prabhakarch1964@gmail.com</t>
  </si>
  <si>
    <t>Cherukupalli</t>
  </si>
  <si>
    <t>Prabhakar</t>
  </si>
  <si>
    <t>BAPATLA</t>
  </si>
  <si>
    <t>KUCHIPUDI LAKSHMI</t>
  </si>
  <si>
    <t>SAVUNIKASA,  MY WIFE GOTHRAM HARITHASA</t>
  </si>
  <si>
    <t>RET TEACHER</t>
  </si>
  <si>
    <t>1 ST SEMESTER</t>
  </si>
  <si>
    <t>I WANT GOOD VADA CLASS ROOM</t>
  </si>
  <si>
    <t>ramanjaneyavineethrv73@gmail.com</t>
  </si>
  <si>
    <t>Annavarapu</t>
  </si>
  <si>
    <t>Ramanjaneya Vineeth</t>
  </si>
  <si>
    <t xml:space="preserve">Guntur </t>
  </si>
  <si>
    <t xml:space="preserve">Vamsi Krishna Annavarapu </t>
  </si>
  <si>
    <t xml:space="preserve">My Gothram - Kuthasasa, Mother Gothram - Koundinyasa </t>
  </si>
  <si>
    <t xml:space="preserve">Vaidika sasthra ritya jeevanam gaduputaku, daivanni cherukone vidya gnanam guruvu dwara pondutaku mariyu nityakarma kramam thappakunda paatinchutaku. </t>
  </si>
  <si>
    <t>Guruvula aaseesulatho nerchukonataku siddhamu ga unnanu.</t>
  </si>
  <si>
    <t>trk1805@gmail.com</t>
  </si>
  <si>
    <t>Turlapati</t>
  </si>
  <si>
    <t>Ravali Krishna</t>
  </si>
  <si>
    <t xml:space="preserve">Bharadwaja, kasyapasa, koundinyasa </t>
  </si>
  <si>
    <t xml:space="preserve">TCS </t>
  </si>
  <si>
    <t>Interested in vedas for self development</t>
  </si>
  <si>
    <t>kalavss@gmail.com</t>
  </si>
  <si>
    <t>Kala</t>
  </si>
  <si>
    <t>Venkata Satya Subrahmanyam</t>
  </si>
  <si>
    <t>Rallabhandi Sridatta</t>
  </si>
  <si>
    <t>1.My Gothram Bharadwajasa ; 2. Mother's Gothram: Koundinyasa;  3. Wife's Gothram: Srivatsasa</t>
  </si>
  <si>
    <t>Telugu, Hindi and English Kannada</t>
  </si>
  <si>
    <t>Kala Venkatarama Suryanarayana Sarma, Kala Venkata Subbhadra Kumari</t>
  </si>
  <si>
    <t>Sales Manager</t>
  </si>
  <si>
    <t xml:space="preserve">Brahmana Kanisa nitya Kharmanushthana anugrahata </t>
  </si>
  <si>
    <t xml:space="preserve">I perform Sandhya Vandana daily and persform shodasopacharas in nitya pooja. Very much interested in learning Rudram ( Nammakam, Chamakam, Sree Suktam and Purusha Suktam) as a basic responsibility being born and brought up in a traditional Brahmin Family. </t>
  </si>
  <si>
    <t>dheeruymv1212@gmail.com</t>
  </si>
  <si>
    <t>Yerraguntla</t>
  </si>
  <si>
    <t>Muni Venkata Dheeraj Kumar</t>
  </si>
  <si>
    <t>Mahankali sitarama sarma</t>
  </si>
  <si>
    <t>Vashistasa, Bhaaradwaja, Bhaaradwaja</t>
  </si>
  <si>
    <t>Telugu, Hindi, Kannada, English</t>
  </si>
  <si>
    <t>To learn from traditional guru &amp; perform duties as per veda</t>
  </si>
  <si>
    <t>Kindly acknowledge &amp; Let me know from when can I start class</t>
  </si>
  <si>
    <t>chidare.aravind@zohomail.in</t>
  </si>
  <si>
    <t>Chidare</t>
  </si>
  <si>
    <t>Aravind Kumar</t>
  </si>
  <si>
    <t>I received this link from a brahmin community group</t>
  </si>
  <si>
    <t>Srivatsa,bharadwaja.gautamasa</t>
  </si>
  <si>
    <t>Telugu.English.hindi</t>
  </si>
  <si>
    <t>Telugu.english.hindi</t>
  </si>
  <si>
    <t>Venkata Satya Surya Abhiram</t>
  </si>
  <si>
    <t>To be aware of sanathana dharma and practice daily.</t>
  </si>
  <si>
    <t xml:space="preserve">ఇతర అలవాట్లు ఏమీ లేదు. రోజు sandhyavandanam chestanu. Colony temple lo seva chestaanu. ఏకాదశి patistanu.  Vishnu sahasram మరియూ గాయత్రి japam చేస్తాను. </t>
  </si>
  <si>
    <t>vpjonnalagedda@gmail.com</t>
  </si>
  <si>
    <t>Jonnalagedda</t>
  </si>
  <si>
    <t>Venkateshwara Prasad</t>
  </si>
  <si>
    <t>Raipur</t>
  </si>
  <si>
    <t>Got info from Sankara Sewa Samiti/BSPD Chandi Homam group</t>
  </si>
  <si>
    <t>Exactly don't know the person's name or number</t>
  </si>
  <si>
    <t>Kaundinyasa, Kashyapasa, Kapisa</t>
  </si>
  <si>
    <t>Rig Vedam, Ashwalayana Sutram, Shakala Shakha</t>
  </si>
  <si>
    <t>Hindi, English, Telugu</t>
  </si>
  <si>
    <t>Hindi, English, Telugu(not fluent)</t>
  </si>
  <si>
    <t>Accountant</t>
  </si>
  <si>
    <t>As I am born n brought up in a Brahmin family, I should know my traditions, my culture. I should be able to recite Veda mantras. Hence applying through this online portal</t>
  </si>
  <si>
    <t>Would love to learn</t>
  </si>
  <si>
    <t>ch.nani1961@gmail.com</t>
  </si>
  <si>
    <t>Venkateswara Sarma</t>
  </si>
  <si>
    <t>CHERUKUPALLI. PRABHAKAR</t>
  </si>
  <si>
    <t>Sownikasa</t>
  </si>
  <si>
    <t>Retired Teacher</t>
  </si>
  <si>
    <t>For intrest ji</t>
  </si>
  <si>
    <t>I am  one of the traditional family person. Iam interested to learn  sadhyavandanam and other krathus</t>
  </si>
  <si>
    <t>kondamarisreedhar@gmail.com</t>
  </si>
  <si>
    <t>Kondamari</t>
  </si>
  <si>
    <t>Sreedhar Rao</t>
  </si>
  <si>
    <t xml:space="preserve">Palamaner </t>
  </si>
  <si>
    <t>Aravinda Sai Kondamari</t>
  </si>
  <si>
    <t>+1 4806124302</t>
  </si>
  <si>
    <t xml:space="preserve">Moudgalyasa, Kasyapasa, Viswamitra </t>
  </si>
  <si>
    <t>Retired English Lecturer</t>
  </si>
  <si>
    <t>I want to be able to do Nithya Karmas and correct my Sandhyavandanam process</t>
  </si>
  <si>
    <t>My son joined this class and I have been trying to join for the past 8 months. I would like to have this opportunity.</t>
  </si>
  <si>
    <t>deekshitula@hotmail.com</t>
  </si>
  <si>
    <t>Deekshitula</t>
  </si>
  <si>
    <t>Phani Ram</t>
  </si>
  <si>
    <t>Manoj Kumar</t>
  </si>
  <si>
    <t>Bharadwajasa, Haritasa, Haritasa</t>
  </si>
  <si>
    <t>Telugu Hindi Kannada</t>
  </si>
  <si>
    <t>Telugu Hindi Sanskritam</t>
  </si>
  <si>
    <t>Engineering Manager</t>
  </si>
  <si>
    <t>Dharmic responsbility and life style</t>
  </si>
  <si>
    <t>My WhatsApp number is +91 9620891935, My USA number is +1 469 307 3895</t>
  </si>
  <si>
    <t>shreenik@gmail.com</t>
  </si>
  <si>
    <t>Kodavatiganti</t>
  </si>
  <si>
    <t>Frisco, TX (Dallas)</t>
  </si>
  <si>
    <t>818-876-2063</t>
  </si>
  <si>
    <t>Aditya Sri Krishna</t>
  </si>
  <si>
    <t>Srivatsasa (mine), Harithasa (Wife), Goutamasa (Mother)</t>
  </si>
  <si>
    <t>Do Nitya Anushtanam</t>
  </si>
  <si>
    <t>I have learnt some but need quick redo and move to advanced classes</t>
  </si>
  <si>
    <t>Venkatkarthik036@gmail.com</t>
  </si>
  <si>
    <t>Suravarapu</t>
  </si>
  <si>
    <t>Venkata Satya Karthik Varun Kumar</t>
  </si>
  <si>
    <t>Bhanu Chander Karanam</t>
  </si>
  <si>
    <t>Vaadhulasa, koundinyasa, Bhardwajasa</t>
  </si>
  <si>
    <t>Telugu,English,Hindi,Kannada</t>
  </si>
  <si>
    <t>Telugu,English, Hindi</t>
  </si>
  <si>
    <t xml:space="preserve">Passionate In vaidika Knowledge </t>
  </si>
  <si>
    <t>Looking Towards joining course and learn Veda</t>
  </si>
  <si>
    <t>saimadhav890@gmail.com</t>
  </si>
  <si>
    <t>Sai Madhav</t>
  </si>
  <si>
    <t>Samavedam Malleswarudu</t>
  </si>
  <si>
    <t>Harithasa, Kashyapasa, Kashyapasa</t>
  </si>
  <si>
    <t>product manager</t>
  </si>
  <si>
    <t>Coming from a vedic family, already learnt Namakam, Chamakam etc. I want to keep learning</t>
  </si>
  <si>
    <t>Alcohol in past. No longer.</t>
  </si>
  <si>
    <t>rajuvsv@gmail.com</t>
  </si>
  <si>
    <t>Venuturupalle</t>
  </si>
  <si>
    <t>Raju</t>
  </si>
  <si>
    <t>Apex</t>
  </si>
  <si>
    <t xml:space="preserve">కాశ్యపస కౌండిన్యాస భారత్వజ </t>
  </si>
  <si>
    <t>యజుర్వేద</t>
  </si>
  <si>
    <t>Telugu Hindi English Odia</t>
  </si>
  <si>
    <t xml:space="preserve">Out of interest </t>
  </si>
  <si>
    <t>balaramakrishnasreedhara@gmail.com</t>
  </si>
  <si>
    <t>Sreedhara</t>
  </si>
  <si>
    <t>Balarama Krishna</t>
  </si>
  <si>
    <t xml:space="preserve">Sistla venkata mallikarjuna kasyapa </t>
  </si>
  <si>
    <t>+1 470 272 5998</t>
  </si>
  <si>
    <t>శ్రీవత్సస... మౌద్గల్యస...వేదాంతం</t>
  </si>
  <si>
    <t>I am married 38 years back</t>
  </si>
  <si>
    <t>ఆపస్తంభ సూత్రః ...కృష్ణయజుర్వేద..వైదిక వెలనాడు</t>
  </si>
  <si>
    <t>Telugu. English, Hindi</t>
  </si>
  <si>
    <t>Sridhara Narayana Murthy Father, Sridhara Subbalakshmi</t>
  </si>
  <si>
    <t>Retired Indian Navy employee</t>
  </si>
  <si>
    <t>As it is my sampradaya samskruti</t>
  </si>
  <si>
    <t xml:space="preserve">Want to learn veda samskruti, sampradaya </t>
  </si>
  <si>
    <t>phani.govindaraju@gmail.com</t>
  </si>
  <si>
    <t>Govindaraju</t>
  </si>
  <si>
    <t>Venkata Phani Sankar</t>
  </si>
  <si>
    <t xml:space="preserve">Vamsee Mellacheruvu </t>
  </si>
  <si>
    <t>Bharadwaja, Haritasa, Kutsasa</t>
  </si>
  <si>
    <t xml:space="preserve">Swarayuktam </t>
  </si>
  <si>
    <t>Namaskaram Andi 🙏 Request you to please align me to Vedam 1.1 Atmaram garu batch. I have few learning experiences on sandhyavandanam, suktams, rudram.</t>
  </si>
  <si>
    <t>prasadvavilala@66gmail.com</t>
  </si>
  <si>
    <t>Vavilala</t>
  </si>
  <si>
    <t>Bapatla</t>
  </si>
  <si>
    <t>చెప్పు ప్రభాకర్ CH</t>
  </si>
  <si>
    <t>HARITHASA</t>
  </si>
  <si>
    <t>Rig vedaTELUGU</t>
  </si>
  <si>
    <t>PRAVATE JOB</t>
  </si>
  <si>
    <t>Learning veda intetest</t>
  </si>
  <si>
    <t>Interest in veda</t>
  </si>
  <si>
    <t>Aayansh</t>
  </si>
  <si>
    <t>vchandrasekhar.c@gmail.com</t>
  </si>
  <si>
    <t>Chandhrasekhar Rao</t>
  </si>
  <si>
    <t>M UMA MAHESWAR RAO</t>
  </si>
  <si>
    <t xml:space="preserve">BHARADWAJA KASYAPASA KASYAPASA </t>
  </si>
  <si>
    <t xml:space="preserve">TELUGU.  ENGLISH </t>
  </si>
  <si>
    <t xml:space="preserve">TELUGU ENGLISH </t>
  </si>
  <si>
    <t>RETIRED BANKER</t>
  </si>
  <si>
    <t>TO LEARN VEDAM</t>
  </si>
  <si>
    <t>I am committed to learn VEDA  respected Guruvugaru 🙏</t>
  </si>
  <si>
    <t>arunkumar.avancha@gmail.com</t>
  </si>
  <si>
    <t>Avancha</t>
  </si>
  <si>
    <t>Arun Kumar</t>
  </si>
  <si>
    <t>Chillarige Raghavendra Rao</t>
  </si>
  <si>
    <t>92474 65125</t>
  </si>
  <si>
    <t>Kashyapasa, Harithasa, Bharadwajasa</t>
  </si>
  <si>
    <t xml:space="preserve">Bank Employee </t>
  </si>
  <si>
    <t>Vedas are the divine knowledge that culls ignorance and the rule book for Dharma. Unfortunately I am just a brahmin by birth not by knowledge or vrithi. Atleast use this opportunity to move towards my swadharma.</t>
  </si>
  <si>
    <t>Looking forward for Guru anughraha</t>
  </si>
  <si>
    <t>cpavank@gmail.com</t>
  </si>
  <si>
    <t xml:space="preserve">Simi Valley </t>
  </si>
  <si>
    <t>Madhava Challa</t>
  </si>
  <si>
    <t xml:space="preserve">Bharadwajasa </t>
  </si>
  <si>
    <t xml:space="preserve">Awareness </t>
  </si>
  <si>
    <t>bollapragada@zohomail.in</t>
  </si>
  <si>
    <t>Bollapragada</t>
  </si>
  <si>
    <t>Vijayalaxmikantarao</t>
  </si>
  <si>
    <t xml:space="preserve">Bharadvaj Samavedam </t>
  </si>
  <si>
    <t>+91 87909 98177</t>
  </si>
  <si>
    <t>Aatreyasa,Koundinyasa, Sri Vatsa</t>
  </si>
  <si>
    <t xml:space="preserve">Telugu, Hindu, English </t>
  </si>
  <si>
    <t xml:space="preserve">IT Engineer </t>
  </si>
  <si>
    <t xml:space="preserve">to practice anustanam and learn keep the tradition </t>
  </si>
  <si>
    <t>Vamsee Mellachervu</t>
  </si>
  <si>
    <t xml:space="preserve">Bharadwajasa and Vasista </t>
  </si>
  <si>
    <t>English Telugu</t>
  </si>
  <si>
    <t xml:space="preserve"> Vamsee Mellachervu</t>
  </si>
  <si>
    <t>Middle School</t>
  </si>
  <si>
    <t>kssprasad90@gmail.com</t>
  </si>
  <si>
    <t>Srimannarayana Subrahmanya Prasad</t>
  </si>
  <si>
    <t xml:space="preserve">VIJAYAWADA </t>
  </si>
  <si>
    <t>Madduri Anil Kumar</t>
  </si>
  <si>
    <t>0016107724308</t>
  </si>
  <si>
    <t>Srivatchasa,  Bharadvajasa</t>
  </si>
  <si>
    <t>TELUGU,ENGLISH,HINDI</t>
  </si>
  <si>
    <t>RETIRED</t>
  </si>
  <si>
    <t>Wish to learn basic nitya naimittika karmalu for my atmonnati.</t>
  </si>
  <si>
    <t>I wish to learn Sanskrit so that I can study Vedanta granthas such as the "Bhagavad Gita and the Upanishads" for my spiritual upliftment.</t>
  </si>
  <si>
    <t>gudipatikiranb4u@gmail.com</t>
  </si>
  <si>
    <t>Durga Phani Kiran</t>
  </si>
  <si>
    <t>TDVS Phaneendra Krishna</t>
  </si>
  <si>
    <t>Kashyapasa,Koundinyasa,Bharadvaja</t>
  </si>
  <si>
    <t>Sama Veda</t>
  </si>
  <si>
    <t>I want to learn to gain knowledge about spirituality and I’m interested in our traditional teachings and want to understand them better</t>
  </si>
  <si>
    <t>venkat.finance.p@gmail.com</t>
  </si>
  <si>
    <t>Venkata Chalapathi</t>
  </si>
  <si>
    <t>Praveen Kulakarni</t>
  </si>
  <si>
    <t>Swayampakula</t>
  </si>
  <si>
    <t>GOWTHAMASA,SRIVATSASA,HARITASA</t>
  </si>
  <si>
    <t>Layakari</t>
  </si>
  <si>
    <t>Vedas are very pure which are directly originated from Brahma want to learn veda knowledge and become a better person and also want to teach the same to my kids and continue the legacy of our knowledge</t>
  </si>
  <si>
    <t>sai.d.prasad@gmail.com</t>
  </si>
  <si>
    <t>Devarakonda</t>
  </si>
  <si>
    <t>Sai Prasad</t>
  </si>
  <si>
    <t>Peoria</t>
  </si>
  <si>
    <t>Raghavaram Agasthyaraju</t>
  </si>
  <si>
    <t>(980) 253-9445</t>
  </si>
  <si>
    <t>I perform daily Sandhyavandana and Nitya pooja. In my house, we follow Suchi and Acharas as prescribed by elders. I want to further my spiritual journey by learning vedas and recite them on daily basis. My goal is to be able to perform Mahaanyasa Poorvaka Rudrabhishekam and Arunam at my home just like my grand father used to do.</t>
  </si>
  <si>
    <t>Sri Gurubhyo Namaha 🙏🏻</t>
  </si>
  <si>
    <t>phanisumansv@gmail.com</t>
  </si>
  <si>
    <t>Somayajula</t>
  </si>
  <si>
    <t>Naga Sai Kaushik</t>
  </si>
  <si>
    <t>+1 (346) 804-6591</t>
  </si>
  <si>
    <t>SHATAMARSHANA, HARIDASA</t>
  </si>
  <si>
    <t>TELUGU, ENGLISH</t>
  </si>
  <si>
    <t>SOMAYAJULA PHANI SUMAN, VANDANA</t>
  </si>
  <si>
    <t>INTERMEDIATE FIRST YEAR</t>
  </si>
  <si>
    <t>SANDHYAVANDANAM WITH PROPER INSTRUCTIONS</t>
  </si>
  <si>
    <t>CAN ATTEND ONE CLASS EVERY SUNDAY EVENING TO GAIN PROFICIENCY IN SANDHYA VANDANAM</t>
  </si>
  <si>
    <t>rama.krishna95@gmail.com</t>
  </si>
  <si>
    <t>Apex, NC 27502</t>
  </si>
  <si>
    <t>Balaji GAmpa</t>
  </si>
  <si>
    <t xml:space="preserve"> (302) 345-9014</t>
  </si>
  <si>
    <t>Koundinya, Bhardwaja and Haritasa</t>
  </si>
  <si>
    <t>Sanskrit, Hindi, Telugu, English, Kannada</t>
  </si>
  <si>
    <t>Project Manager</t>
  </si>
  <si>
    <t>I am doing now without swara all as i can read them but wants to  learn with Swaram</t>
  </si>
  <si>
    <t xml:space="preserve">Thank you to be strict on this to check all.  </t>
  </si>
  <si>
    <t>pawansastry47@gmail.com</t>
  </si>
  <si>
    <t>Srivatsa Gowtham</t>
  </si>
  <si>
    <t>+13468046591</t>
  </si>
  <si>
    <t>Srivatsasa, Bharadwajasa</t>
  </si>
  <si>
    <t>P V S N Pawan Sastry, P Mrudula</t>
  </si>
  <si>
    <t>Primary School</t>
  </si>
  <si>
    <t>Gaining Vedic knowledge , Doing Nithya Karma</t>
  </si>
  <si>
    <t>Arjun Krishna</t>
  </si>
  <si>
    <t>sridhartad@gmail.com</t>
  </si>
  <si>
    <t>Tadepalli</t>
  </si>
  <si>
    <t xml:space="preserve">Vamsee Mellachervu </t>
  </si>
  <si>
    <t>+91 97041 57378</t>
  </si>
  <si>
    <t>Haritass</t>
  </si>
  <si>
    <t>Telugu , Hindi</t>
  </si>
  <si>
    <t>raossml@gmail.com</t>
  </si>
  <si>
    <t>S S M L</t>
  </si>
  <si>
    <t>Lakshman Rao</t>
  </si>
  <si>
    <t xml:space="preserve"> sankhr</t>
  </si>
  <si>
    <t>Tondapi</t>
  </si>
  <si>
    <t xml:space="preserve">Nil </t>
  </si>
  <si>
    <t>Gothmis</t>
  </si>
  <si>
    <t xml:space="preserve">Krishna Yajur </t>
  </si>
  <si>
    <t>vshreenivassharma@gmail.com</t>
  </si>
  <si>
    <t>Vaidya</t>
  </si>
  <si>
    <t>Shreenivas Sharma</t>
  </si>
  <si>
    <t>Sangareddy</t>
  </si>
  <si>
    <t>Shreevatsasa,Koundinyasa,Koundinyasa</t>
  </si>
  <si>
    <t>Retired State Government Gazetted Officer</t>
  </si>
  <si>
    <t>Interested to learn Vedas since childhood but couldn't learn due to unavailability of Gurus</t>
  </si>
  <si>
    <t>raj.mukkavilli@gmail.com</t>
  </si>
  <si>
    <t>Mukkavilli</t>
  </si>
  <si>
    <t>Raghavendra Chemudupaty</t>
  </si>
  <si>
    <t>+91 80088 74235</t>
  </si>
  <si>
    <t xml:space="preserve">Self - Kaushikasa; Wife -Koundinyasa; Mother -Gautamasa </t>
  </si>
  <si>
    <t>Englsh, Sanskrit, Telugu</t>
  </si>
  <si>
    <t>N-A</t>
  </si>
  <si>
    <t xml:space="preserve">Management Consultant </t>
  </si>
  <si>
    <t xml:space="preserve">Learn to recite Vedic scriptures </t>
  </si>
  <si>
    <t>karthiky@yahoo.com</t>
  </si>
  <si>
    <t>Yamajala</t>
  </si>
  <si>
    <t>Nanda sai and Srimannaraayana garu</t>
  </si>
  <si>
    <t>9848344167/9849489908</t>
  </si>
  <si>
    <t>Bharadwajasa, Kashyapasa, Kashyapasa</t>
  </si>
  <si>
    <t xml:space="preserve">Engineering in PVT company </t>
  </si>
  <si>
    <t>This will needed for mental stability and peace.As a Brahmin I feel sorry my self  that I am un able to perform nitcha karma .so this is my top priority. I applied in last in march 2025 time frame but haven’t considered. Request to please consider me for coming up batch.</t>
  </si>
  <si>
    <t xml:space="preserve">Request to please give  me a opportunity to learn </t>
  </si>
  <si>
    <t>manthenasarat@gmail.com</t>
  </si>
  <si>
    <t>Manthena</t>
  </si>
  <si>
    <t>Sarat Chandra</t>
  </si>
  <si>
    <t>McKinney</t>
  </si>
  <si>
    <t>Raghavendra Varanasi</t>
  </si>
  <si>
    <t>My gothram - Athreyasa, Wife - Srivatsa, Mother - Haritasa</t>
  </si>
  <si>
    <t>Veda vidya as per tracks defined</t>
  </si>
  <si>
    <t>My Whatsapp number is +91 9916301199</t>
  </si>
  <si>
    <t>vmsnath@gmail.com</t>
  </si>
  <si>
    <t>Dharmapuri</t>
  </si>
  <si>
    <t>Vamsi</t>
  </si>
  <si>
    <t>KASHYAPASA, BHARADWAJA, BHARADWAJA</t>
  </si>
  <si>
    <t>Telugu, English, Hindi &amp; Oriya</t>
  </si>
  <si>
    <t xml:space="preserve">Private sector </t>
  </si>
  <si>
    <t>To learn vedas</t>
  </si>
  <si>
    <t xml:space="preserve">Kindly give me opportunity to learn vedas </t>
  </si>
  <si>
    <t>krishpera@gmail.com</t>
  </si>
  <si>
    <t>Pera</t>
  </si>
  <si>
    <t>Krishna Prasad Tumuluri</t>
  </si>
  <si>
    <t>Koundinyasa, Hairtasa, Bharadwajasa</t>
  </si>
  <si>
    <t>Retired… CXO roles in technology consulting companies for over 30 years. Currently teaching at Business schools and writing Books.</t>
  </si>
  <si>
    <t>Vedas and vedangas</t>
  </si>
  <si>
    <t xml:space="preserve">Thank you </t>
  </si>
  <si>
    <t>sritel@hotmail.com</t>
  </si>
  <si>
    <t>Telikepalli</t>
  </si>
  <si>
    <t>Srikant</t>
  </si>
  <si>
    <t>Irving</t>
  </si>
  <si>
    <t>Kashyapasa, Bharadwajasa, Kaundinyasa</t>
  </si>
  <si>
    <t>Same as above</t>
  </si>
  <si>
    <t>Just to know the right way of doing these things and uphold dharma</t>
  </si>
  <si>
    <t>VED-03</t>
  </si>
  <si>
    <t>sivasu.chavali@gmail.com</t>
  </si>
  <si>
    <t>Venkata Siva Subrahmanyam</t>
  </si>
  <si>
    <t>Jagarlapudi Surya Venkata Srikanth</t>
  </si>
  <si>
    <t>Penumarthy Niranjana</t>
  </si>
  <si>
    <t>celina</t>
  </si>
  <si>
    <t>Ram malladi</t>
  </si>
  <si>
    <t>Bharadwajasa Gothram(mine); Wife’s (Harithasa) and Mother’s (Srivathsasa Gothram)</t>
  </si>
  <si>
    <t>bkaladhar@gmail.com</t>
  </si>
  <si>
    <t>Brahmanapally</t>
  </si>
  <si>
    <t>Kaladhar</t>
  </si>
  <si>
    <t>Dallas,Texas</t>
  </si>
  <si>
    <t>Srivatsasa, NA, Bharadwajasa</t>
  </si>
  <si>
    <t>Interest in learning Vedas and Santana Dharma, daily practices and pass it to next generation</t>
  </si>
  <si>
    <t>dendukurisomanath@gmail.com</t>
  </si>
  <si>
    <t>Dendukuri</t>
  </si>
  <si>
    <t>Somanath</t>
  </si>
  <si>
    <t xml:space="preserve">Warangal </t>
  </si>
  <si>
    <t xml:space="preserve">Self </t>
  </si>
  <si>
    <t>Yaskasa and gouthamasa (mother's) bharadwaja (wife)</t>
  </si>
  <si>
    <t xml:space="preserve">Principal </t>
  </si>
  <si>
    <t xml:space="preserve">Make myself to learn veda etc </t>
  </si>
  <si>
    <t xml:space="preserve">If i am. Permitted iam blessed </t>
  </si>
  <si>
    <t>kasirajuujwalsaishanmukh@gmail.com</t>
  </si>
  <si>
    <t xml:space="preserve">Kasiraju </t>
  </si>
  <si>
    <t>Ujwal Sai Shanmukh</t>
  </si>
  <si>
    <t>t krishna prasad</t>
  </si>
  <si>
    <t>bharadwajasa, koundinyasa</t>
  </si>
  <si>
    <t>telugu, english, hindi</t>
  </si>
  <si>
    <t>telugu, english,  hindi</t>
  </si>
  <si>
    <t>student</t>
  </si>
  <si>
    <t>i want to learn veda</t>
  </si>
  <si>
    <t>shyamsharmavr1@gmail.com</t>
  </si>
  <si>
    <t>Mahadevabhatla</t>
  </si>
  <si>
    <t>Shyam Sunder Sharma</t>
  </si>
  <si>
    <t>Mahadevabatla Dileep Kumar</t>
  </si>
  <si>
    <t>Shrivachasa, Bharadwaja, Kasyapasa</t>
  </si>
  <si>
    <t>To learn and gain knowledge as per guru parampara with proper swaram and perform Anutashanam as suggested by gurus</t>
  </si>
  <si>
    <t>t.madhavi85@gmail.com</t>
  </si>
  <si>
    <t xml:space="preserve">Pavan Kumar Nathavajhula </t>
  </si>
  <si>
    <t>Athreyasa,Koundinyasa</t>
  </si>
  <si>
    <t>Krishna Yajurveda Sakha</t>
  </si>
  <si>
    <t xml:space="preserve">Satya Murthy, Madhavi </t>
  </si>
  <si>
    <t xml:space="preserve">Foundational course </t>
  </si>
  <si>
    <t xml:space="preserve">I'm committed to complete my course </t>
  </si>
  <si>
    <t xml:space="preserve">Athreyasa Koundinyasa </t>
  </si>
  <si>
    <t xml:space="preserve">Krishna Yajurveda Sakha </t>
  </si>
  <si>
    <t xml:space="preserve">Willing to learn </t>
  </si>
  <si>
    <t>ivlnrao@gmail.com</t>
  </si>
  <si>
    <t>Inguva</t>
  </si>
  <si>
    <t>Moddali Sarada</t>
  </si>
  <si>
    <t>Saunakasa, Bharadwajasa, Bharadwajasa</t>
  </si>
  <si>
    <t xml:space="preserve">Telugu, Hindi, english </t>
  </si>
  <si>
    <t xml:space="preserve">pvt employee </t>
  </si>
  <si>
    <t>Arunam, swahyaya brahmanam</t>
  </si>
  <si>
    <t>lalithmahankali@gmail.com</t>
  </si>
  <si>
    <t>Mahankali</t>
  </si>
  <si>
    <t>Venkata Lalith Kumar Sharma</t>
  </si>
  <si>
    <t>bangalore</t>
  </si>
  <si>
    <t xml:space="preserve">Kamesh </t>
  </si>
  <si>
    <t>92989 03940</t>
  </si>
  <si>
    <t>Kutsasa, Haritasa , bharadwaja</t>
  </si>
  <si>
    <t>Sandhya vadhanam</t>
  </si>
  <si>
    <t>adrusta1997@gmail.com</t>
  </si>
  <si>
    <t>Rudravarapu</t>
  </si>
  <si>
    <t>Adrusta Deepak</t>
  </si>
  <si>
    <t>Gantasala</t>
  </si>
  <si>
    <t>Agasthya</t>
  </si>
  <si>
    <t xml:space="preserve">Mallella Lalitha Kameshwar </t>
  </si>
  <si>
    <t xml:space="preserve">Bharadwajasa, Harithasa </t>
  </si>
  <si>
    <t>Niyogi</t>
  </si>
  <si>
    <t xml:space="preserve">Debt valuation Analyst </t>
  </si>
  <si>
    <t xml:space="preserve">I would like to learn and practice the authentic &amp; Tradition methods of our Dharma </t>
  </si>
  <si>
    <t>jpurnima6@gmail.com</t>
  </si>
  <si>
    <t>T krishna prasad</t>
  </si>
  <si>
    <t>Haritasa, koundinyasa</t>
  </si>
  <si>
    <t xml:space="preserve">AVS Harish, Purnima </t>
  </si>
  <si>
    <t xml:space="preserve">Secondary school student </t>
  </si>
  <si>
    <t xml:space="preserve">To know our dharma </t>
  </si>
  <si>
    <t>sreenivasvs@gmail.com</t>
  </si>
  <si>
    <t>Rochester MI</t>
  </si>
  <si>
    <t>Chandra Malladi</t>
  </si>
  <si>
    <t>248 972 6166</t>
  </si>
  <si>
    <t>Bhaaradwajasa,  Vaadhulasa</t>
  </si>
  <si>
    <t>Telugu, hindi, samskrutam, english</t>
  </si>
  <si>
    <t xml:space="preserve">Sreenivas Vedula,  Madhusalini Saripalle </t>
  </si>
  <si>
    <t xml:space="preserve">Elementary school student </t>
  </si>
  <si>
    <t xml:space="preserve">Famiky tradition </t>
  </si>
  <si>
    <t>Sreenivas</t>
  </si>
  <si>
    <t>248 982 6166</t>
  </si>
  <si>
    <t>Bhaaradwajasa, Vaadhulasa, Aatreyasa</t>
  </si>
  <si>
    <t xml:space="preserve">Telugu,  hindi, english </t>
  </si>
  <si>
    <t xml:space="preserve">Telugu,  hindi,  english </t>
  </si>
  <si>
    <t xml:space="preserve">Program Manager </t>
  </si>
  <si>
    <t xml:space="preserve">Continuation of learning </t>
  </si>
  <si>
    <t xml:space="preserve">Learnt for some time before. Classes stopped as the teacher had other commitments </t>
  </si>
  <si>
    <t>ramesh.dharmapuri@gmail.com</t>
  </si>
  <si>
    <t>Ramesh Kumar</t>
  </si>
  <si>
    <t>Westfield, IN</t>
  </si>
  <si>
    <t>Mavuduru Uma Maheswar Rao</t>
  </si>
  <si>
    <t>+91 94371 76540</t>
  </si>
  <si>
    <t>Kashayapasa (mine), Shatamarshana(spouse),Koundinyasa(mother)</t>
  </si>
  <si>
    <t>Software employees</t>
  </si>
  <si>
    <t>To continue our tradition as brahmin</t>
  </si>
  <si>
    <t xml:space="preserve">Thank you for teaching classes </t>
  </si>
  <si>
    <t>ravitadi@gmail.com</t>
  </si>
  <si>
    <t>Tadikonda</t>
  </si>
  <si>
    <t>Ravikumar</t>
  </si>
  <si>
    <t xml:space="preserve">Knoxville </t>
  </si>
  <si>
    <t>Sri Rama Krishna Adusumalli</t>
  </si>
  <si>
    <t>1-704-620-8527</t>
  </si>
  <si>
    <t>Bharadwajasa , Kausikasa, Koundinyasa</t>
  </si>
  <si>
    <t>Krishna  Yajur Veda</t>
  </si>
  <si>
    <t>Telugu , Devanagari</t>
  </si>
  <si>
    <t xml:space="preserve"> Software Engineer</t>
  </si>
  <si>
    <t>I want to have a correct swara while chanting Pancha Sukatam</t>
  </si>
  <si>
    <t>ogiralanagaraju@gmail.com</t>
  </si>
  <si>
    <t>Ogirala</t>
  </si>
  <si>
    <t>Nagaraju Sharma</t>
  </si>
  <si>
    <t>Nadendla Ravi shankar</t>
  </si>
  <si>
    <t>Harithasa, Yasakasa</t>
  </si>
  <si>
    <t>Telugu hindi english</t>
  </si>
  <si>
    <t>To do rituals and to follow our dharma</t>
  </si>
  <si>
    <t>gsrao4712@yahoo.co.in</t>
  </si>
  <si>
    <t>Ghadiyaram</t>
  </si>
  <si>
    <t>Gobburu</t>
  </si>
  <si>
    <t>Vishnu Sreevardhan</t>
  </si>
  <si>
    <t xml:space="preserve">GVSM Sivakumar </t>
  </si>
  <si>
    <t>+91 76759 04456</t>
  </si>
  <si>
    <t xml:space="preserve">Haritasa Srivastava gowtamasa </t>
  </si>
  <si>
    <t xml:space="preserve">For learning day today mantra </t>
  </si>
  <si>
    <t>vakula03@gmail.com</t>
  </si>
  <si>
    <t>Rajkumar Malkapalli</t>
  </si>
  <si>
    <t>+1 (248) 797-8940</t>
  </si>
  <si>
    <t>Vasista, Koundinya</t>
  </si>
  <si>
    <t>English, Telugu, Kannada, Hindi</t>
  </si>
  <si>
    <t>Bhasker Rao Keely</t>
  </si>
  <si>
    <t xml:space="preserve">I think it’s my duty to learn as a Brahmin </t>
  </si>
  <si>
    <t>Thank you!!</t>
  </si>
  <si>
    <t>bhaskerrao.keely@gmail.com</t>
  </si>
  <si>
    <t>Bhasker Rao</t>
  </si>
  <si>
    <t>Vasista, Koundinya, Bharadwaja</t>
  </si>
  <si>
    <t>Engineer-Aviation</t>
  </si>
  <si>
    <t>For spiritual guidance and philosophical insights in the very existence.</t>
  </si>
  <si>
    <t>Thank you</t>
  </si>
  <si>
    <t>kanth.ec@gmail.com</t>
  </si>
  <si>
    <t>Ivln Rao</t>
  </si>
  <si>
    <t>+91 88975 07683</t>
  </si>
  <si>
    <t>Gautamasa, Bharadwajasa</t>
  </si>
  <si>
    <t>Srikanth Puranam</t>
  </si>
  <si>
    <t>7 class</t>
  </si>
  <si>
    <t>Please enroll my kid and me.</t>
  </si>
  <si>
    <t>gururaj.bakshi@gmail.com</t>
  </si>
  <si>
    <t>Bakshi</t>
  </si>
  <si>
    <t>Gururaj</t>
  </si>
  <si>
    <t xml:space="preserve">Bhagyanagar / Hyderabad </t>
  </si>
  <si>
    <t>Aravind Chidare</t>
  </si>
  <si>
    <t>Bhaaradwajasa, Kaashyapasa</t>
  </si>
  <si>
    <t>Telugu,Hindi, English</t>
  </si>
  <si>
    <t xml:space="preserve">HR </t>
  </si>
  <si>
    <t>For my betterment and enlightnment</t>
  </si>
  <si>
    <t>Looking forward for begining of the clases</t>
  </si>
  <si>
    <t>allurmanoj@gmail.com</t>
  </si>
  <si>
    <t>Sai Manoj</t>
  </si>
  <si>
    <t>Kashyapasa, Salankayanasa, Kousikasa</t>
  </si>
  <si>
    <t>Interested in gaining vedic knowledge.</t>
  </si>
  <si>
    <t>Thank you for establishing the veda pathashala and providing online classes. This will help a lot of people like me who do not have accessibility to attend the classes in person.</t>
  </si>
  <si>
    <t>krsastry312@gmail.com</t>
  </si>
  <si>
    <t>Kodukulla</t>
  </si>
  <si>
    <t>Ramasastry</t>
  </si>
  <si>
    <t>Visakhapatanam</t>
  </si>
  <si>
    <t>Mokkapati Adiseshu</t>
  </si>
  <si>
    <t>+91 99892 77757</t>
  </si>
  <si>
    <t>Gowthamasa, Srivatsasa, Kausikasa</t>
  </si>
  <si>
    <t>IT SOFTWARE PROFESSIONAL</t>
  </si>
  <si>
    <t>To do Sandhya Vandanam and also be eligible any Mantra Deeksha</t>
  </si>
  <si>
    <t>santoshkumar.mallela@gmail.com</t>
  </si>
  <si>
    <t>Santosh Kumar</t>
  </si>
  <si>
    <t xml:space="preserve">Mallela Lalitha Kameshwar </t>
  </si>
  <si>
    <t>Kousikasa, Haritasa</t>
  </si>
  <si>
    <t>Krishna yajurvedam</t>
  </si>
  <si>
    <t>SME in optum global solutions</t>
  </si>
  <si>
    <t>Surya Abhiram</t>
  </si>
  <si>
    <t>My brother is learning vedas and he is also encouraging me to learn. I also have interest in learning vedas.</t>
  </si>
  <si>
    <t>Jagarlapudi Surya Abhiram</t>
  </si>
  <si>
    <t>sasikumarcheruvu63@gmail.com</t>
  </si>
  <si>
    <t>Sasi Kumar</t>
  </si>
  <si>
    <t xml:space="preserve">Bharadwaja , kasyapasa, kasyapasa </t>
  </si>
  <si>
    <t xml:space="preserve">Bank Manager </t>
  </si>
  <si>
    <t xml:space="preserve">To get knowledge n keep up the sanatana dharma </t>
  </si>
  <si>
    <t>Dharmo Rakshati Rakshitaha</t>
  </si>
  <si>
    <t>Hari.Loke@gmail.com</t>
  </si>
  <si>
    <t>Loke</t>
  </si>
  <si>
    <t>FRISCO,TX</t>
  </si>
  <si>
    <t>RAM</t>
  </si>
  <si>
    <t>KASHYAPASA, BHARAVAJYASA, KOUNDINYASA</t>
  </si>
  <si>
    <t>ENGLISH, HINDI, TELUGU</t>
  </si>
  <si>
    <t>SOFTWARE</t>
  </si>
  <si>
    <t>PRONOUNCIATION AND CONTINUE TO DEEPEN THE SPIRITUAL PATH</t>
  </si>
  <si>
    <t>RSRAO26@GMAIL.COM</t>
  </si>
  <si>
    <t>Rambhatla</t>
  </si>
  <si>
    <t>Hari haranadha sai,  Hari hara Khetram Gandhinagar ,SBH Colony</t>
  </si>
  <si>
    <t xml:space="preserve"> 98483 44167</t>
  </si>
  <si>
    <t>Haritasha, Koundinyasya, Vadhulasa</t>
  </si>
  <si>
    <t>I am Married</t>
  </si>
  <si>
    <t>Hindi, English, Oriya( can speak Telugu fluently as it is my mother tongue but can not read as I have studied in Hindi &amp; Oriya medium in my Child Hold)</t>
  </si>
  <si>
    <t>Bank Manager at SBI, Hyderabad, Abids</t>
  </si>
  <si>
    <t xml:space="preserve">joining as a fresher </t>
  </si>
  <si>
    <t>I regularly visit to Sri Hari Hara Khetram, at Gandhinagar, SBH Colony Hyderabad. Want to learn . I will try my level best to learn all topics with keen interest. I can understand Telugu Medium of Learning. But will read same books in Hindi and Practise.</t>
  </si>
  <si>
    <t>sreepada@hotmail.com</t>
  </si>
  <si>
    <t>Sreepada</t>
  </si>
  <si>
    <t xml:space="preserve">Frisco Texas </t>
  </si>
  <si>
    <t>BATS</t>
  </si>
  <si>
    <t>Kausikasa , Koundinyasa and Koundinyasa</t>
  </si>
  <si>
    <t xml:space="preserve">Telugu , Hindi and English </t>
  </si>
  <si>
    <t>Telugu , Hindi and Englis</t>
  </si>
  <si>
    <t xml:space="preserve">IT manager </t>
  </si>
  <si>
    <t xml:space="preserve">Passion and interest </t>
  </si>
  <si>
    <t>venkatakompella3@gmail.com</t>
  </si>
  <si>
    <t>T Krishna Prasad</t>
  </si>
  <si>
    <t>Vedam, Sukthalu, Upanishads, Mahanyasam</t>
  </si>
  <si>
    <t>Want to lean to chant Rudra, sukthas etc., to chant on regular basis</t>
  </si>
  <si>
    <t>callprakash@gmail.com</t>
  </si>
  <si>
    <t>Prakash</t>
  </si>
  <si>
    <t>Damodharam T</t>
  </si>
  <si>
    <t>Kousikasa, Srivathsasa, Gargeyasa</t>
  </si>
  <si>
    <t xml:space="preserve">Telugu,  English,  kannada </t>
  </si>
  <si>
    <t>Telugu,  English</t>
  </si>
  <si>
    <t>Mahanyasam and Agnihothram</t>
  </si>
  <si>
    <t>I Wanted to  learn Mahanyasam, nithya agnohothram along with sukthams</t>
  </si>
  <si>
    <t>cvnmdr@gmail.com</t>
  </si>
  <si>
    <t>Venkata Narasimha Murthy</t>
  </si>
  <si>
    <t>Mynampati Subbaramaiah</t>
  </si>
  <si>
    <t>Parasarasha  Kashyapasa Koushika</t>
  </si>
  <si>
    <t>Telugu Hindi Tamil Bengali English</t>
  </si>
  <si>
    <t>Telugu Hindi Bengali English</t>
  </si>
  <si>
    <t>Chief Cardiologist</t>
  </si>
  <si>
    <t xml:space="preserve">Vedas Pathanam </t>
  </si>
  <si>
    <t xml:space="preserve">Never smoke never took non veg Doing Daily sandhya vandanam and Puja </t>
  </si>
  <si>
    <t>gokul.s.vadapalli@gmail.com</t>
  </si>
  <si>
    <t>Vadapalli</t>
  </si>
  <si>
    <t>Gokul</t>
  </si>
  <si>
    <t>Kamasamudram</t>
  </si>
  <si>
    <t>Pavan Kumar Mamidipalli</t>
  </si>
  <si>
    <t>Rishi Subhanshu</t>
  </si>
  <si>
    <t>Kasyapasa, Haritasa, Kaushikasya</t>
  </si>
  <si>
    <t>Hindi, Telugu</t>
  </si>
  <si>
    <t>Hindi</t>
  </si>
  <si>
    <t>CA</t>
  </si>
  <si>
    <t>punugu@gmail.com</t>
  </si>
  <si>
    <t>Punugu</t>
  </si>
  <si>
    <t>Mohan</t>
  </si>
  <si>
    <t>Brisbane</t>
  </si>
  <si>
    <t>Tekuru Damodaram</t>
  </si>
  <si>
    <t>+91 82971 84888</t>
  </si>
  <si>
    <t>Athreya, Lohitasa, Kaushika</t>
  </si>
  <si>
    <t>Telugu, Tamil, Hindi, English</t>
  </si>
  <si>
    <t xml:space="preserve">IT Consultant </t>
  </si>
  <si>
    <t>Nithyanustas, stotras, pujas, Vedas, etc</t>
  </si>
  <si>
    <t>ksskarthik@gmail.com</t>
  </si>
  <si>
    <t>Kalle</t>
  </si>
  <si>
    <t>Shiva Sai Karthik</t>
  </si>
  <si>
    <t>Oswego</t>
  </si>
  <si>
    <t>Aditya Sharma</t>
  </si>
  <si>
    <t>Harithasa, Saalankayasa, Bharadwaja</t>
  </si>
  <si>
    <t>Vedam with all basics &amp; proficiency</t>
  </si>
  <si>
    <t>Thank you for brining this up. Looking forward for a great opportunity to learn.</t>
  </si>
  <si>
    <t>bhargav.sumanam@gmail.com</t>
  </si>
  <si>
    <t>Sumanam</t>
  </si>
  <si>
    <t>Krishna Bhargav</t>
  </si>
  <si>
    <t>Seshagiri Nivarthi</t>
  </si>
  <si>
    <t>+19802293255</t>
  </si>
  <si>
    <t>1. Vathulasa 2 Srivatsa 3 Bharadwaja</t>
  </si>
  <si>
    <t>Mahanyasam, Arunam, narayanopanishad</t>
  </si>
  <si>
    <t>damayant@gmail.com</t>
  </si>
  <si>
    <t>Sunkara</t>
  </si>
  <si>
    <t>Damayant</t>
  </si>
  <si>
    <t>Dallas, Texas, US</t>
  </si>
  <si>
    <t>Malladi Karthik</t>
  </si>
  <si>
    <t>My - Srivatsasa, Wife’s - Bharadwaja and Mother’s - Bharadwaja</t>
  </si>
  <si>
    <t>Yajur Veda (6000 Niyogi)</t>
  </si>
  <si>
    <t>English, Hindi and Telugu</t>
  </si>
  <si>
    <t xml:space="preserve">As a Brahmin i want to have profound knowledge in vedic philosophy. </t>
  </si>
  <si>
    <t>akella.prasad@gmail.com</t>
  </si>
  <si>
    <t>Vara Prasad</t>
  </si>
  <si>
    <t>Melbourne</t>
  </si>
  <si>
    <t>Narsimha Rao Kompella</t>
  </si>
  <si>
    <t>+919160645566</t>
  </si>
  <si>
    <t>Harithasa,Srivatsa, Goutamasa</t>
  </si>
  <si>
    <t>1-Will join Adult batch and help the child do Home Work</t>
  </si>
  <si>
    <t>Suktams, Rudram, Vedam and Vendanta Study</t>
  </si>
  <si>
    <t>Narasimha Rao Kompella</t>
  </si>
  <si>
    <t>+91 9160645566</t>
  </si>
  <si>
    <t>Harithasa, Srivatsa</t>
  </si>
  <si>
    <t>Akella Vara Prasad &amp; Akella Alivelu</t>
  </si>
  <si>
    <t>Suktams, Vedam</t>
  </si>
  <si>
    <t>pothukuchirsnh@gmail.com</t>
  </si>
  <si>
    <t>Ravikant</t>
  </si>
  <si>
    <t>+34</t>
  </si>
  <si>
    <t>Barcelona</t>
  </si>
  <si>
    <t>Revanth Pothukuchi</t>
  </si>
  <si>
    <t>+1 (425) 375-6070</t>
  </si>
  <si>
    <t>Srivatsasa, koundinyasa, Haritasa</t>
  </si>
  <si>
    <t>I have only recently started to realize value of sandhyavandanam and want to expand my knowledge of nitya karmas along with other veda suktas</t>
  </si>
  <si>
    <t>hanumanthsrinivas60@gmail.com</t>
  </si>
  <si>
    <t>Hanumanth</t>
  </si>
  <si>
    <t>Bhanu chandar karanam</t>
  </si>
  <si>
    <t>Moudgalasya,Bharadwajasa</t>
  </si>
  <si>
    <t>Yejurveda</t>
  </si>
  <si>
    <t>Telugu,hindi,english</t>
  </si>
  <si>
    <t>Powerplant (Asst.Manager)</t>
  </si>
  <si>
    <t>Want to know sanathana dharma</t>
  </si>
  <si>
    <t>As a bramhin I want to learn sanatana dharma</t>
  </si>
  <si>
    <t>ganeshaditya@gmail.com</t>
  </si>
  <si>
    <t>Atluri</t>
  </si>
  <si>
    <t>Kapothi Ganesh Aditya</t>
  </si>
  <si>
    <t>Kotamraju</t>
  </si>
  <si>
    <t>346-804-6591</t>
  </si>
  <si>
    <t>Kaasyapasa, Bharadwajasa, Gowthamasa</t>
  </si>
  <si>
    <t>Structural Engineer</t>
  </si>
  <si>
    <t>Want to have some basic understanding of rituals to better understand the purpose, and build from there to understand the concepts in vedas.</t>
  </si>
  <si>
    <t>naveeninbharat@gmail.com</t>
  </si>
  <si>
    <t>Vemulapati</t>
  </si>
  <si>
    <t>Naveen</t>
  </si>
  <si>
    <t>Nellore</t>
  </si>
  <si>
    <t>469-954-5338</t>
  </si>
  <si>
    <t>Srivatsasa / Bharadwaja / Koundinyasya</t>
  </si>
  <si>
    <t>Want to spend most of my rest of life time in spiritual activities and learnings. Very impressed with the Syllubus and I have more than 20 plus colleagues who are part of this program and I can see the benefit very clearly. The only reason that I got delayed in enrollment is because I want to commit my time towards serious learning.  Now I can allot this time and hence want to learn.</t>
  </si>
  <si>
    <t xml:space="preserve">Sree Gurubhyo Namaha.  I want to spend decent time to upscale my skills though my learnings are ok. I can rate 5 out of 10 on a scale of 10 for the swaras and 9 out of 10 Dosha rahita Uchaarana for many slokas that i learned in last 7 plus years.  I really want to utilize my time to learn more and get more realized towards self.  I have moved to India for good about 3 months back after spending 25 years in USA.  However I will be visiting there once a year or twice depending on the need.  Currently I took retirement and want to spend less on Materialistic and more on Spiritual. </t>
  </si>
  <si>
    <t>gunnups@gmail.com</t>
  </si>
  <si>
    <t>Naga Gowthama Sarma</t>
  </si>
  <si>
    <t>Cincinnati, OH</t>
  </si>
  <si>
    <t>Srikanth Goruganta</t>
  </si>
  <si>
    <t>+1 4083293168</t>
  </si>
  <si>
    <t>Bharadwaja (mine), Haritasa (my wife's), Atreyasa (my mother's before her marriage)</t>
  </si>
  <si>
    <t>Telugu, devanagari, English</t>
  </si>
  <si>
    <t>Research Scientist</t>
  </si>
  <si>
    <t>I learned guru mukhuta a few sooktams and rudram for a year or so, 2 decades ago. I have been chanting and performing abhishekams and sandhyavandanam. But I do know that I make lots of mistakes in my swaram. I want to unlearn and learn from start from a guru and be part of the community. Next objective is to follow swadharma and be a live example to my young son.</t>
  </si>
  <si>
    <t>Thank you for this opportunity. Looking forward to be a good sishya!</t>
  </si>
  <si>
    <t>+1 (408) 329 3168</t>
  </si>
  <si>
    <t>Bharadwaja (self), Haritasa (mother's before her marriage)</t>
  </si>
  <si>
    <t>Naga Gowthama Sarma &amp; Sri Divya Mylavarapu</t>
  </si>
  <si>
    <t>Elementary school student</t>
  </si>
  <si>
    <t>Had Upanayanam this year. Had been doing nitya sandhyavandanam learned from my father. I want to learn with svaram and with no mistakes. I also want to be initiated into other nitya karma and vedaadhyanam as I completed Upakarma as well.</t>
  </si>
  <si>
    <t>Thank you for the opportunity. I want to be in the kids exclusive class or in the same class as my father, who is enrolling at the same time.</t>
  </si>
  <si>
    <t>mysuryasita@hotmail.com</t>
  </si>
  <si>
    <t>Bharadwajasa (Mine), Atreyasa (Wife's), Koushikasa (Mother's)</t>
  </si>
  <si>
    <t>Retired bank manager</t>
  </si>
  <si>
    <t>I couldn't learn young and want to learn now and make good use of my retired life time.</t>
  </si>
  <si>
    <t>usha048691@gmail.com</t>
  </si>
  <si>
    <t>Vemuri Annapoornananda rao</t>
  </si>
  <si>
    <t>62812 60746</t>
  </si>
  <si>
    <t xml:space="preserve">Vadhulasa, kustasa </t>
  </si>
  <si>
    <t xml:space="preserve">S.rk sai, Usha cheela </t>
  </si>
  <si>
    <t xml:space="preserve">School student </t>
  </si>
  <si>
    <t>3-Will NOT be able to join Adult batch. But will sit with child during class and Home Work</t>
  </si>
  <si>
    <t xml:space="preserve">Because it is our sanatana dharma to learn vedas for a Brahmin </t>
  </si>
  <si>
    <t>FRISCO</t>
  </si>
  <si>
    <t>Vamsi Mellacheruvu</t>
  </si>
  <si>
    <t>Harithasa, Sandilyasa, Kashyapasa</t>
  </si>
  <si>
    <t>All nitya karmas</t>
  </si>
  <si>
    <t>harshasnist@gmail.com</t>
  </si>
  <si>
    <t>Vernon Hills</t>
  </si>
  <si>
    <t>Adithya Sarma Volicherla</t>
  </si>
  <si>
    <t>Harithasa</t>
  </si>
  <si>
    <t>Sadhana, Bhakthi, Mukthi</t>
  </si>
  <si>
    <t>saimouli.93@gmail.com</t>
  </si>
  <si>
    <t>Eswara Sai Mouli</t>
  </si>
  <si>
    <t>Hari Subhramanyam Veeerubotla</t>
  </si>
  <si>
    <t>+91 91775 20607</t>
  </si>
  <si>
    <t>Haritasa, Bharadwajasa, Srivatsasa</t>
  </si>
  <si>
    <t>Kotumraju</t>
  </si>
  <si>
    <t>Bharavi</t>
  </si>
  <si>
    <t>My reason is discipline. I’ve become more aware now, and I want to perform rituals with understanding and sincerity.</t>
  </si>
  <si>
    <t>krishnavyasvaranasi@gmail.com</t>
  </si>
  <si>
    <t>Krishna Vyas</t>
  </si>
  <si>
    <t xml:space="preserve">T Krishna Prasad </t>
  </si>
  <si>
    <t>+91 98858 88814</t>
  </si>
  <si>
    <t>Koundinyasa, Swatantrakapisa, Atreyasa</t>
  </si>
  <si>
    <t xml:space="preserve">IT ENGINEER </t>
  </si>
  <si>
    <t xml:space="preserve">Foundational to Advance lessons </t>
  </si>
  <si>
    <t>krishnachaitanyasistla@rediffmail.com</t>
  </si>
  <si>
    <t>Krishna Chaitanya</t>
  </si>
  <si>
    <t>Kasyapa sistla</t>
  </si>
  <si>
    <t>+1 (470) 272-5998</t>
  </si>
  <si>
    <t xml:space="preserve">Kasyapasa , gowthamasa, aathreyasa </t>
  </si>
  <si>
    <t xml:space="preserve">NBFC </t>
  </si>
  <si>
    <t>I am very much interested</t>
  </si>
  <si>
    <t xml:space="preserve">My father is working as poojari at Ramalayam .. i also want to learn Samatham .Kindly do the needful </t>
  </si>
  <si>
    <t>IVLN Rao</t>
  </si>
  <si>
    <t>Telugu Hindi Engliah</t>
  </si>
  <si>
    <t>Pvt employee</t>
  </si>
  <si>
    <t xml:space="preserve">To gain Knowledge </t>
  </si>
  <si>
    <t>db200665@gmail.com</t>
  </si>
  <si>
    <t>Annavajjhala</t>
  </si>
  <si>
    <t xml:space="preserve">Gouripeddi vijayakumara sarma </t>
  </si>
  <si>
    <t>Sandilyasa, Koundinyasa, Moudaglyasa</t>
  </si>
  <si>
    <t>Telugu, English, Hindi, sanskrit</t>
  </si>
  <si>
    <t>Retired teacher</t>
  </si>
  <si>
    <t>Being Brahmin i feel it is my responsibility to have vveda sparsha.. Already learning some sukthams online.. But want to better myself</t>
  </si>
  <si>
    <t>I feel blessed to be disciple to the gurus of this organization</t>
  </si>
  <si>
    <t>Ram Krishna Sai</t>
  </si>
  <si>
    <t xml:space="preserve">Vemuri Annapoornananda rao </t>
  </si>
  <si>
    <t xml:space="preserve"> 62812 60746</t>
  </si>
  <si>
    <t>Vadhulasa, kustasa, kutsasa</t>
  </si>
  <si>
    <t xml:space="preserve">Because it is our dharma to learn </t>
  </si>
  <si>
    <t>hari.akella@gmail.com</t>
  </si>
  <si>
    <t>Venkata Surya Harish</t>
  </si>
  <si>
    <t>Krishna Tumuluri</t>
  </si>
  <si>
    <t>Haritasa, koundinyasa, koushikasa</t>
  </si>
  <si>
    <t>Government employee</t>
  </si>
  <si>
    <t>My dharma</t>
  </si>
  <si>
    <t>vedula.dhruva@gmail.com</t>
  </si>
  <si>
    <t>Dhruva</t>
  </si>
  <si>
    <t>Lafeyette</t>
  </si>
  <si>
    <t>Krishna Vedula</t>
  </si>
  <si>
    <t>Bharadwajasa, Kutsasa</t>
  </si>
  <si>
    <t>College student</t>
  </si>
  <si>
    <t>Suktams</t>
  </si>
  <si>
    <t>My father is in track 4</t>
  </si>
  <si>
    <t>murthyvnemani@gmail.com</t>
  </si>
  <si>
    <t>Nemani</t>
  </si>
  <si>
    <t>Simi Valley, California</t>
  </si>
  <si>
    <t>Malladhi Ramprasad (Ram)</t>
  </si>
  <si>
    <t>Maganti</t>
  </si>
  <si>
    <t>Nithundhilasa, Mother: Bharadwajasa, Wife: Bharadwajasa</t>
  </si>
  <si>
    <t>Venkata Siva Subrahamanya Abhinava Charan</t>
  </si>
  <si>
    <t>Software Development Manager</t>
  </si>
  <si>
    <t xml:space="preserve">As part of Sanathana Dharma follower, Swdhyayam is key thing, learning never ends. I want to lean and travel in this path for ever. </t>
  </si>
  <si>
    <t xml:space="preserve">I am really grateful to SLMTS Veda pathasala and looking forward to begin my journey. Thank you </t>
  </si>
  <si>
    <t>chaitanyabk175@gmail.com</t>
  </si>
  <si>
    <t>Bhagavathi Srinivas</t>
  </si>
  <si>
    <t>My gothram Kapi, My Mothers gothram before marriage Bhardwajasa</t>
  </si>
  <si>
    <t>My interest in learning the Vedas comes from a deep desire to understand life, dharma, and inner truth.</t>
  </si>
  <si>
    <t>kanakagirivrao@gmail.com</t>
  </si>
  <si>
    <t>Kanakagiri</t>
  </si>
  <si>
    <t>Venkatarao</t>
  </si>
  <si>
    <t>Savitrukumar</t>
  </si>
  <si>
    <t>+91 92466 94449</t>
  </si>
  <si>
    <t>Kashyapasa,Bhardwaja,Aathresa</t>
  </si>
  <si>
    <t xml:space="preserve">Married </t>
  </si>
  <si>
    <t xml:space="preserve">Samavedha </t>
  </si>
  <si>
    <t xml:space="preserve">Advocate </t>
  </si>
  <si>
    <t xml:space="preserve">perform nithya Sandhya Vandanam </t>
  </si>
  <si>
    <t>Interest for join</t>
  </si>
  <si>
    <t>madhaveswer@gmail.com</t>
  </si>
  <si>
    <t>Gentela</t>
  </si>
  <si>
    <t>Madhaveswer</t>
  </si>
  <si>
    <t>Raju Venuturupalle</t>
  </si>
  <si>
    <t>Telugu, Hindi, and English</t>
  </si>
  <si>
    <t>Mechanical Engineer</t>
  </si>
  <si>
    <t xml:space="preserve">I never had any formal learning in Vedas. I have been chanting Sukta's, Rudram by following in YouTube for the past several years. I make mistakes and thought I should learn from Authentic sources. Mainly I want to understand the meaning of Vedam/Shlokam/Mantram that I have been chanting for so long.  </t>
  </si>
  <si>
    <t xml:space="preserve">Thank you very much for providing this course. </t>
  </si>
  <si>
    <t>rajasasikumarkota@yahoo.com</t>
  </si>
  <si>
    <t>Raja Sasi Kumar</t>
  </si>
  <si>
    <t>Kuppa Naga valli</t>
  </si>
  <si>
    <t xml:space="preserve">JAMADAGNI SRIVATSASA </t>
  </si>
  <si>
    <t>SENIOR MANAGER IN PSU</t>
  </si>
  <si>
    <t>TO continue the legacy of our dharma and traditions.</t>
  </si>
  <si>
    <t>Looking forward to learn from eminent guruvarenyas</t>
  </si>
  <si>
    <t>polamraju.sainithin@gmail.com</t>
  </si>
  <si>
    <t>Polamraju</t>
  </si>
  <si>
    <t>Sai Nithin</t>
  </si>
  <si>
    <t>Bharadwajasa(Mine), sri vatsasa</t>
  </si>
  <si>
    <t>Telugu, English, Hind</t>
  </si>
  <si>
    <t>I want to learn Sandhyavandanam as top priority</t>
  </si>
  <si>
    <t>sailathacm@gmail.com</t>
  </si>
  <si>
    <t>Chaganty</t>
  </si>
  <si>
    <t>Saidutt Chaitanya</t>
  </si>
  <si>
    <t>Glastonbury</t>
  </si>
  <si>
    <t xml:space="preserve">Ravi kiran </t>
  </si>
  <si>
    <t>+91 91 77751 693</t>
  </si>
  <si>
    <t>Atreyasa, Bharadwajasa</t>
  </si>
  <si>
    <t xml:space="preserve">Krishna yajura Vedam </t>
  </si>
  <si>
    <t>English. Can understand lil telugu</t>
  </si>
  <si>
    <t>Brahmar and Sailatha</t>
  </si>
  <si>
    <t>10 grade</t>
  </si>
  <si>
    <t xml:space="preserve">To learn about our nitya karma </t>
  </si>
  <si>
    <t>haripriya.chodavarapu@gmail.com</t>
  </si>
  <si>
    <t>Ravikanth tadepalli</t>
  </si>
  <si>
    <t>Gorthi Ravi Shankar, Gorthi Haripriya</t>
  </si>
  <si>
    <t>Yathin Chandra</t>
  </si>
  <si>
    <t xml:space="preserve">To bind to my roots and follow my Dharmic practices </t>
  </si>
  <si>
    <t>pvbharatkumar@yahoo.co.in</t>
  </si>
  <si>
    <t>Pinnelli</t>
  </si>
  <si>
    <t>Venkata Bharat Kumar</t>
  </si>
  <si>
    <t xml:space="preserve">Goutham Sharma Mylavarapu </t>
  </si>
  <si>
    <t>+1 (513) 560-1785</t>
  </si>
  <si>
    <t>Srivastava, Bharadwaj, Athreyasa</t>
  </si>
  <si>
    <t xml:space="preserve">Telugu, English, kannada &amp; Hindi </t>
  </si>
  <si>
    <t xml:space="preserve">Telugu &amp; English </t>
  </si>
  <si>
    <t xml:space="preserve">Professor </t>
  </si>
  <si>
    <t xml:space="preserve">Personal Intrest </t>
  </si>
  <si>
    <t xml:space="preserve">I am committed to learn </t>
  </si>
  <si>
    <t>pawankalyansankara2002@gamil.com</t>
  </si>
  <si>
    <t>Marti</t>
  </si>
  <si>
    <t>Pawan Kalyan</t>
  </si>
  <si>
    <t>hyderabad</t>
  </si>
  <si>
    <t xml:space="preserve">Rallabandi sri datta sharma </t>
  </si>
  <si>
    <t>Harithasa, Sandilyasa</t>
  </si>
  <si>
    <t>I Feel this is my duty to devote myself by learning my Dharma and lead a meaningful life ahead.</t>
  </si>
  <si>
    <t>I dedicate myself, by putting everything into learning. I request you to kindly acknowledge my request. Very auspicious to this opportunity 🙏</t>
  </si>
  <si>
    <t>pramod.vattem@gmail.com</t>
  </si>
  <si>
    <t>Vattem</t>
  </si>
  <si>
    <t>Pramod</t>
  </si>
  <si>
    <t>Gudivada</t>
  </si>
  <si>
    <t>Samavedam bharat</t>
  </si>
  <si>
    <t>Koundinyasa, bharadwajasa</t>
  </si>
  <si>
    <t>Telugu,English,Tamil,Hindi</t>
  </si>
  <si>
    <t xml:space="preserve">Software QA Engineer </t>
  </si>
  <si>
    <t>For swadharma acharana</t>
  </si>
  <si>
    <t>gantiseenu@gmail.com</t>
  </si>
  <si>
    <t>JLN MURTHY</t>
  </si>
  <si>
    <t>Vaathulasa, Nitindulasa, Bharadwaja</t>
  </si>
  <si>
    <t>Junior Accounts Officer</t>
  </si>
  <si>
    <t>I am spiritual person. Regularly i do Nithya pooja with stotrams. I used to follow some veda channels. Hence, I got interested in vedam.</t>
  </si>
  <si>
    <t>anirudh.tumuluri@hotmail.com</t>
  </si>
  <si>
    <t>Tumuluri</t>
  </si>
  <si>
    <t>Harithasa, Bharadwajasa, Kashyapasa</t>
  </si>
  <si>
    <t>Telugu, Tamil, Hindi, English, Sanskrit (Intermediate level)</t>
  </si>
  <si>
    <t>Sanskrit/Hindi, English</t>
  </si>
  <si>
    <t>Family Business - Investment Management</t>
  </si>
  <si>
    <t xml:space="preserve">वेदो रक्षति रक्षितः। It is my duty to learn veda and help propogate it to the next generation. I also want to further develop my spiritual side, which I believe will act as an anchor in my life. </t>
  </si>
  <si>
    <t>I will ensure to give my best towards this course</t>
  </si>
  <si>
    <t>grpatwari@gmail.com</t>
  </si>
  <si>
    <t>Patwari</t>
  </si>
  <si>
    <t>Gajanan Rao</t>
  </si>
  <si>
    <t>PMP Sharma</t>
  </si>
  <si>
    <t xml:space="preserve">Srivastasa-Koushikasa-Bhardwajasa </t>
  </si>
  <si>
    <t>Shukla Yajur Veda</t>
  </si>
  <si>
    <t>Telugu, Hindi,English,Marathi</t>
  </si>
  <si>
    <t>Telugu, English, Hindi, Marathi</t>
  </si>
  <si>
    <t>To be into our tradition with Vedam slokas n do our puja</t>
  </si>
  <si>
    <t>Krishnakart36ik@gmail.com</t>
  </si>
  <si>
    <t>Srikrishna Karteek</t>
  </si>
  <si>
    <t>Sai manoj aluru</t>
  </si>
  <si>
    <t>+919032502528</t>
  </si>
  <si>
    <t>Koundinyasa,Bharatwaja,Kasyapasa</t>
  </si>
  <si>
    <t>Shukla yejurveda</t>
  </si>
  <si>
    <t>I want to be part of guru parampara, and I want to learn what ever guru intends to teach me.</t>
  </si>
  <si>
    <t>Sri Teja Burra</t>
  </si>
  <si>
    <t>I'm passionate about Vedic literature and I want to learn the pronunciation of mantras properly with blessings of guru and jagatgurus.</t>
  </si>
  <si>
    <t>saiabhinav2004@gmail.com</t>
  </si>
  <si>
    <t>Sravana</t>
  </si>
  <si>
    <t>Frisco, tx</t>
  </si>
  <si>
    <t>Srkant Telikepalli</t>
  </si>
  <si>
    <t>Bharadwajasa, Kasyapasa, Moudgalyasa</t>
  </si>
  <si>
    <t>Yujur Veda</t>
  </si>
  <si>
    <t>For puja rituals</t>
  </si>
  <si>
    <t>mnathavajhula@gmail.com</t>
  </si>
  <si>
    <t>Nathavajhula</t>
  </si>
  <si>
    <t>Madhav Srinivas</t>
  </si>
  <si>
    <t>Kasyapasa, koundinyasa</t>
  </si>
  <si>
    <t>Krishna yajur shaka</t>
  </si>
  <si>
    <t>I want to complete all 72 pannas of Krishna yajur vedam, taking my father as inspiration who is already under track 3</t>
  </si>
  <si>
    <t>I am eagerly looking forward to a batch allocation so I can start learning as soon as possible. I already perform sandhya vandanam and brahma yagnam everyday and would like to learn more</t>
  </si>
  <si>
    <t>mohanduvvuri@gmail.com</t>
  </si>
  <si>
    <t>San Ramon</t>
  </si>
  <si>
    <t>Kalyan Duvvuri</t>
  </si>
  <si>
    <t xml:space="preserve">Married Male Student - Athreyasa, Wife's (Ayyalasomayajula), Mother's before marriage (Evani). </t>
  </si>
  <si>
    <t>Telugu, English &amp; Hindi</t>
  </si>
  <si>
    <t>Learn more about Hindu Vedas and try to perform duties forefathers as much as possible in current days</t>
  </si>
  <si>
    <t>kvaditya05@gmail.com</t>
  </si>
  <si>
    <t>Karanam (Kaipa)</t>
  </si>
  <si>
    <t>Venkata Aditya</t>
  </si>
  <si>
    <t>+1 (980) 229-3255</t>
  </si>
  <si>
    <t>Koundinyasa, Kasyapasa, Bharadwajasa</t>
  </si>
  <si>
    <t>I am interested to learn Vedic culture and give it next Generations</t>
  </si>
  <si>
    <t>Please help me with more details</t>
  </si>
  <si>
    <t>phani.konduru@gmail.com</t>
  </si>
  <si>
    <t>Konduru</t>
  </si>
  <si>
    <t>Phani</t>
  </si>
  <si>
    <t>Shadilyasa, Vasishta, Bharadwaj</t>
  </si>
  <si>
    <t>I would like to learn Upanishads, Arunam and Mahanyasam guru moolaka</t>
  </si>
  <si>
    <t>rakesh.nid@gmail.com</t>
  </si>
  <si>
    <t>Marupaka</t>
  </si>
  <si>
    <t>Rakesh</t>
  </si>
  <si>
    <t xml:space="preserve">GVSM Siva Kumar </t>
  </si>
  <si>
    <t>76759 04456</t>
  </si>
  <si>
    <t>Parashara, Koundinyasa, Kashyapasa</t>
  </si>
  <si>
    <t xml:space="preserve">Telugu, Tamil, Marathi, Kannada, Hindi, English, Malayalam, Gujarati </t>
  </si>
  <si>
    <t xml:space="preserve">English, Hindi, Telugu, Tamil, Kannada, Marathi </t>
  </si>
  <si>
    <t>Private Job</t>
  </si>
  <si>
    <t xml:space="preserve">Grandfather was a Vedic scholar at agraharam, Manthani and I wish to continue to legacy </t>
  </si>
  <si>
    <t xml:space="preserve">I was a guest faculty and project guide at IITH, NID, NIFT and wish to help proliferate Vedic philosophy to next generations, when I can </t>
  </si>
  <si>
    <t>nagendrabandaru27@gmail.com</t>
  </si>
  <si>
    <t>Bandaru</t>
  </si>
  <si>
    <t>Nagendra</t>
  </si>
  <si>
    <t>Raj Kumar Malakapalli</t>
  </si>
  <si>
    <t xml:space="preserve">Software engineers </t>
  </si>
  <si>
    <t>Vedam and smartham</t>
  </si>
  <si>
    <t>sreenivas.tarigoppula@gmail.com</t>
  </si>
  <si>
    <t>Tarigoppula</t>
  </si>
  <si>
    <t xml:space="preserve">Chitta </t>
  </si>
  <si>
    <t>Achyutha Krishna Murthy</t>
  </si>
  <si>
    <t>Bellevue</t>
  </si>
  <si>
    <t>Venkatasobharani Tarigoppula</t>
  </si>
  <si>
    <t>Harithasa, Jamadagni, Jamadagni</t>
  </si>
  <si>
    <t>For daily prayer</t>
  </si>
  <si>
    <t>Sriman</t>
  </si>
  <si>
    <t>Haritasa, Jamadagni</t>
  </si>
  <si>
    <t>English, Telugu, Hindi, Spanish</t>
  </si>
  <si>
    <t>Sreenivas Tarigoppula, Venkatasobharani</t>
  </si>
  <si>
    <t>avpavankumar024@gmail.com</t>
  </si>
  <si>
    <t>Aka</t>
  </si>
  <si>
    <t>Venkata Pavan Kumar</t>
  </si>
  <si>
    <t>Nagendra Bandaru</t>
  </si>
  <si>
    <t>+12145781067</t>
  </si>
  <si>
    <t>Athreyasa, Vadhulasa, Gowthamasa</t>
  </si>
  <si>
    <t xml:space="preserve">Out of interest and immense respect </t>
  </si>
  <si>
    <t>Im 100 percent committed and im very eager to learn. I can chant rudram in suswaram (learnt in presence of guru)</t>
  </si>
  <si>
    <t>ayithikowndinya@gmail.com</t>
  </si>
  <si>
    <t>Ayithi</t>
  </si>
  <si>
    <t>Kowndinya</t>
  </si>
  <si>
    <t>Pavan Kumar aka</t>
  </si>
  <si>
    <t>koundinyasa,</t>
  </si>
  <si>
    <t>Yahurveda</t>
  </si>
  <si>
    <t xml:space="preserve">VERY MUCH INTERESTED </t>
  </si>
  <si>
    <t>thunderboltprathith@gmail.com</t>
  </si>
  <si>
    <t>Gudimanchi</t>
  </si>
  <si>
    <t>Ananya Guru Prathith Sharma</t>
  </si>
  <si>
    <t xml:space="preserve">BHANU MURTHY GUDIMANCHI </t>
  </si>
  <si>
    <t>Gowthamasa, Srivatsasa</t>
  </si>
  <si>
    <t xml:space="preserve">Hindi , english </t>
  </si>
  <si>
    <t xml:space="preserve">Bhanu Murthy Gudimanchi , Venkata Soujanya Gudimanchi </t>
  </si>
  <si>
    <t xml:space="preserve">Inter 2nd year completed </t>
  </si>
  <si>
    <t xml:space="preserve">I have high interest towards my culture and i want to connect my culture to science for that i need to learn mantras </t>
  </si>
  <si>
    <t>jee.lalitha@gmail.com</t>
  </si>
  <si>
    <t xml:space="preserve">Secunderabad </t>
  </si>
  <si>
    <t>Salagrama Sudheer</t>
  </si>
  <si>
    <t>+91 86886 03168</t>
  </si>
  <si>
    <t>Telugu, Hindi, Sanskrit, English</t>
  </si>
  <si>
    <t>Mutnuru Venkata Satya Surya Ramesh, Lalitha</t>
  </si>
  <si>
    <t xml:space="preserve">To know about the rich culture and traditions of our community, and learn the sacred scriptures of our ancient society. </t>
  </si>
  <si>
    <t>layakuppa@gmail.com</t>
  </si>
  <si>
    <t xml:space="preserve">Ajay swayampakula </t>
  </si>
  <si>
    <t xml:space="preserve">Kasyapasa, koundinyasa </t>
  </si>
  <si>
    <t>Telugu english</t>
  </si>
  <si>
    <t xml:space="preserve">Harish swayampakula, Layakari Kuppa </t>
  </si>
  <si>
    <t xml:space="preserve">Sandhyavandanam nithya pooja sookthalu manthra pushpam </t>
  </si>
  <si>
    <t xml:space="preserve">Let me know when the batch is starting </t>
  </si>
  <si>
    <t>lasyakuppa@gmail.com</t>
  </si>
  <si>
    <t>Siva Karthik</t>
  </si>
  <si>
    <t>Lasya Priya Kandukuri</t>
  </si>
  <si>
    <t>Srivatsasa, Koundinyasa</t>
  </si>
  <si>
    <t>Narasimha Kiran Kandukuri, Lasya Priya Kandukuri</t>
  </si>
  <si>
    <t>Middle school student</t>
  </si>
  <si>
    <t>To know our roots and learn vedam</t>
  </si>
  <si>
    <t xml:space="preserve">Narasimha Kiran Kandukuri , Lasya Priya Kandukuri </t>
  </si>
  <si>
    <t>To know our roots and to learn vedam</t>
  </si>
  <si>
    <t>vaibhavkumarguduri@gmail.com</t>
  </si>
  <si>
    <t>Guduri</t>
  </si>
  <si>
    <t>Vaibhav</t>
  </si>
  <si>
    <t>Chakravarthy Panchagnula</t>
  </si>
  <si>
    <t>+1 (630) 849-1111</t>
  </si>
  <si>
    <t xml:space="preserve">Kaushikasa - Mine | Srivatsasa - Mother's </t>
  </si>
  <si>
    <t>UI/UX designer</t>
  </si>
  <si>
    <t>Higher veda learnings like suktas, rudram and more</t>
  </si>
  <si>
    <t xml:space="preserve">I have no smoking, alcohol, meat consumption habits. I am very much interested to learn, although I'm a slow learner. </t>
  </si>
  <si>
    <t>ksreelekha7018@gmail.com</t>
  </si>
  <si>
    <t>Hari charan</t>
  </si>
  <si>
    <t>Athreyasa, Srivatsasa</t>
  </si>
  <si>
    <t>Vamsidhar julakanti, Sreelekha karanam</t>
  </si>
  <si>
    <t>kiranip2021@gmail.com</t>
  </si>
  <si>
    <t>Voruganti</t>
  </si>
  <si>
    <t>Kiran</t>
  </si>
  <si>
    <t>Chaitanya from Bangalore</t>
  </si>
  <si>
    <t>+91 99634 46073</t>
  </si>
  <si>
    <t>Koundinya, Bharadwaja, Vadhulasa</t>
  </si>
  <si>
    <t xml:space="preserve">Telugu, Tamil, english </t>
  </si>
  <si>
    <t xml:space="preserve">To do anustanam and parayana in home </t>
  </si>
  <si>
    <t>Interested in joining the class</t>
  </si>
  <si>
    <t>krishnamokkapati@gmail.com</t>
  </si>
  <si>
    <t>Mokkapati</t>
  </si>
  <si>
    <t>Srirama Chandra Murthy</t>
  </si>
  <si>
    <t>Sitarama anjaneyulu</t>
  </si>
  <si>
    <t>Harithasa,koundinyasa</t>
  </si>
  <si>
    <t>Mokkapati purushothama venkata krishna</t>
  </si>
  <si>
    <t>remellaabhiram447@gmail.com</t>
  </si>
  <si>
    <t>Sivaramakrishna Pochimcherla</t>
  </si>
  <si>
    <t>+1 (972) 795-9925</t>
  </si>
  <si>
    <t>Mother's - Harithasa, Self - Kousikasa</t>
  </si>
  <si>
    <t>Functional Analyst</t>
  </si>
  <si>
    <t>1. Honor and respect our Gods, Rishis', ancestors' and elders' sacrifices for us. 2. Work on traditional aspects of a Brahmana's life based on the vows taken during Upanayanam.</t>
  </si>
  <si>
    <t>pawansekhar676@gmail.com</t>
  </si>
  <si>
    <t>Pawan Sekhar</t>
  </si>
  <si>
    <t>Bharadwaj, Haritasa</t>
  </si>
  <si>
    <t>IT employee</t>
  </si>
  <si>
    <t>To continue legacy of the family as a native Brahmin</t>
  </si>
  <si>
    <t>saianudeep@gmail.com</t>
  </si>
  <si>
    <t xml:space="preserve">McKinney </t>
  </si>
  <si>
    <t>Raghavendra varanasi</t>
  </si>
  <si>
    <t>+1-6024053283</t>
  </si>
  <si>
    <t>Koundinyasa and parasara</t>
  </si>
  <si>
    <t>English and telugu</t>
  </si>
  <si>
    <t>Anudeep Burugula, Venkata Haritha Pawani Valluri</t>
  </si>
  <si>
    <t>Rushi Runam and Chittasuddhi</t>
  </si>
  <si>
    <t>praveen.m.adivi@gmail.com</t>
  </si>
  <si>
    <t>Adivi</t>
  </si>
  <si>
    <t xml:space="preserve">Toronto </t>
  </si>
  <si>
    <t xml:space="preserve">Na </t>
  </si>
  <si>
    <t>Sankhyanasa, kasyapasa, koundinyasa</t>
  </si>
  <si>
    <t>Telugu Hindi and wnglishy</t>
  </si>
  <si>
    <t>What ever you can teach</t>
  </si>
  <si>
    <t>I have self taught my self some suktams, Vishnu shashram etc / Learnt about our Pathashala via some Brahmin group in Toronta, Canada - Kasyapa</t>
  </si>
  <si>
    <t>anirudhkaushik965@gmail.com</t>
  </si>
  <si>
    <t>Guda</t>
  </si>
  <si>
    <t>Anirudh Kaushik</t>
  </si>
  <si>
    <t>Goutham sarma Mylavarapu</t>
  </si>
  <si>
    <t>Kaushikasa, Bharadwaja</t>
  </si>
  <si>
    <t>raviefh@gmail.com</t>
  </si>
  <si>
    <t>Ravi</t>
  </si>
  <si>
    <t>+1 (214) 713-2695</t>
  </si>
  <si>
    <t>Kasyapa, Haritasa, Haritasa</t>
  </si>
  <si>
    <t>Telugu &amp; English</t>
  </si>
  <si>
    <t>IT manager</t>
  </si>
  <si>
    <t>Want to learn about vedas and smartha</t>
  </si>
  <si>
    <t>venkatagiridhar@gmail.com</t>
  </si>
  <si>
    <t>Chebolu</t>
  </si>
  <si>
    <t>Venkata Giridhar Sharma</t>
  </si>
  <si>
    <t>Sri Srinivas Sripada</t>
  </si>
  <si>
    <t>Telugu, Tamil, English</t>
  </si>
  <si>
    <t>Senior Manager, Deloitte</t>
  </si>
  <si>
    <t>Nitya Karma, veda swasthi</t>
  </si>
  <si>
    <t>Thank you for this great opportunity. I have a 3 year old son and this will help me steer him towards vedac dharma and way of life.</t>
  </si>
  <si>
    <t>rvrmurty65@gmail.com</t>
  </si>
  <si>
    <t>Rejeti</t>
  </si>
  <si>
    <t>Venkataramana</t>
  </si>
  <si>
    <t>TEKKALI, SRIKAKULAM DST.</t>
  </si>
  <si>
    <t xml:space="preserve">MAVUDURU UMAMAHESWARA RAO </t>
  </si>
  <si>
    <t xml:space="preserve">UPAMANYASA, KOWNDINYASA, BHARADWAJA </t>
  </si>
  <si>
    <t xml:space="preserve">UPAMANYASA, BHARADWAJA </t>
  </si>
  <si>
    <t xml:space="preserve">Yejurveda </t>
  </si>
  <si>
    <t xml:space="preserve">School Assistant ( English) in High school </t>
  </si>
  <si>
    <t xml:space="preserve">To do powrohityam </t>
  </si>
  <si>
    <t>Very happy to join this group..</t>
  </si>
  <si>
    <t>ark011962@gmail.com</t>
  </si>
  <si>
    <t>Annavajhala</t>
  </si>
  <si>
    <t>Radhakrishna</t>
  </si>
  <si>
    <t>Sripurapu Srinivas</t>
  </si>
  <si>
    <t>Harithasa, Bgardwajasa. Kousikasa</t>
  </si>
  <si>
    <t>Passinate about sanatana dharma and vedas</t>
  </si>
  <si>
    <t>Shall look forward for learning through Guru mukha</t>
  </si>
  <si>
    <t>surya1988@gmail.com</t>
  </si>
  <si>
    <t>Dawsonville</t>
  </si>
  <si>
    <t>Kasyapa, kondinyasa, koundinyasa</t>
  </si>
  <si>
    <t>Telugu,  english</t>
  </si>
  <si>
    <t>ramesh.rallapalli@gmail.com</t>
  </si>
  <si>
    <t>Rallapalli</t>
  </si>
  <si>
    <t>Ramesh</t>
  </si>
  <si>
    <t>Manalapan</t>
  </si>
  <si>
    <t>Naveen Vemulapati</t>
  </si>
  <si>
    <t>+1 (510) 366-6736</t>
  </si>
  <si>
    <t xml:space="preserve">Srivatsasa </t>
  </si>
  <si>
    <t xml:space="preserve">Director </t>
  </si>
  <si>
    <t xml:space="preserve">I did not get an opportunity during my chains good days but during Covid days I learned Sandyavandanm with Mudras from my guruvigaru. Started doing Nithya Sandhya and learned Laghunyasam, namakam chamakam and sukthas . I participate when ever there is a maha Rudram and feel very grateful . I wanted to learn Arunaam too. I feel association with this will give life long opportunity and meet fellow like minded Brahmins to have a satsang </t>
  </si>
  <si>
    <t>ckandibanda@gmail.com</t>
  </si>
  <si>
    <t>Kandibanda</t>
  </si>
  <si>
    <t>Chaitanya</t>
  </si>
  <si>
    <t>Lohitasa, Bharadwajasa, Bhargavasa</t>
  </si>
  <si>
    <t xml:space="preserve">Personal interest and passion to learn vedas. </t>
  </si>
  <si>
    <t>challa.prsd@gmail.com</t>
  </si>
  <si>
    <t>Nagendra Prasad</t>
  </si>
  <si>
    <t>Ganesha vamsidhar</t>
  </si>
  <si>
    <t>From a common whatsup group</t>
  </si>
  <si>
    <t>Koundinyasa, Srivatsasa, Srivatsasa</t>
  </si>
  <si>
    <t>Telugu, English, Hindi, Tamil</t>
  </si>
  <si>
    <t>Railway Officer, South Central Railway</t>
  </si>
  <si>
    <t>My swadharma</t>
  </si>
  <si>
    <t>Very much thankful for conducting such course to teach swadharmanustam</t>
  </si>
  <si>
    <t>sarma.pilaka@gmail.com</t>
  </si>
  <si>
    <t>Pilaka</t>
  </si>
  <si>
    <t>Venkata Subrahmanyeswara Sarma</t>
  </si>
  <si>
    <t>KARANAM BHANU CHANDAR</t>
  </si>
  <si>
    <t xml:space="preserve">Telugu, Hindi and English </t>
  </si>
  <si>
    <t>Retired Bank Officer</t>
  </si>
  <si>
    <t>To Learn Nitya Karma</t>
  </si>
  <si>
    <t>I committed to learn Nitya Karma Anushtanams</t>
  </si>
  <si>
    <t>sushmitha.t@gmail.com</t>
  </si>
  <si>
    <t>Rishvik</t>
  </si>
  <si>
    <t>Sushmitha Tadepalli</t>
  </si>
  <si>
    <t>Sevanakasya</t>
  </si>
  <si>
    <t>Krishna yajur Veda</t>
  </si>
  <si>
    <t xml:space="preserve">Venugopal cherukupalli, sushmitha cherukupalli </t>
  </si>
  <si>
    <t xml:space="preserve">Connect to god, being grounded </t>
  </si>
  <si>
    <t>pavankanuri666@gmail.com</t>
  </si>
  <si>
    <t>Kanuri</t>
  </si>
  <si>
    <t>M V Ramana</t>
  </si>
  <si>
    <t>Koundinyasa, Bharadwajasa  &amp; Harithasa</t>
  </si>
  <si>
    <t>I am very much interested in learning veda. Learnt sandhyavandanam and performing it daily. Would like to learn veda</t>
  </si>
  <si>
    <t xml:space="preserve">Eager to learn veda </t>
  </si>
  <si>
    <t>venkata10222@gmail.com</t>
  </si>
  <si>
    <t xml:space="preserve">KCDT </t>
  </si>
  <si>
    <t>Athreyasa Bharadwajasa Sripada</t>
  </si>
  <si>
    <t>English Telugu Hindi Tamil</t>
  </si>
  <si>
    <t>English Telugu Hindi</t>
  </si>
  <si>
    <t>shivarampujyam@gmail.com</t>
  </si>
  <si>
    <t>Pujyam</t>
  </si>
  <si>
    <t>Shiva Ram</t>
  </si>
  <si>
    <t>Teja</t>
  </si>
  <si>
    <t>+91 96188 36050</t>
  </si>
  <si>
    <t>Parasara,bhardwajasa,bharadwajasa</t>
  </si>
  <si>
    <t>Parasara, bharadwajasa</t>
  </si>
  <si>
    <t xml:space="preserve">Annapurna </t>
  </si>
  <si>
    <t>Pancha suktas, all poojas</t>
  </si>
  <si>
    <t>gsubramanyam95@gmail.com</t>
  </si>
  <si>
    <t>G</t>
  </si>
  <si>
    <t>Hosur</t>
  </si>
  <si>
    <t>MV Ramana</t>
  </si>
  <si>
    <t>Vaishta, Bhardwaj, Kashyap</t>
  </si>
  <si>
    <t>Telugu, English,Tamil, Kannada</t>
  </si>
  <si>
    <t xml:space="preserve">I want to learn Veda with meaning and follow spritual and our traditional </t>
  </si>
  <si>
    <t>m.kumarvenkata@gmail.com</t>
  </si>
  <si>
    <t>Srivatsa Kumar</t>
  </si>
  <si>
    <t>Received message in kcdaa trust group</t>
  </si>
  <si>
    <t>Srivathsasa, gouthamasa ,  kausikasa</t>
  </si>
  <si>
    <t>Telugu, english hindi</t>
  </si>
  <si>
    <t>Suktam, smartam , vedam</t>
  </si>
  <si>
    <t>I want to learn, did not get an opportunity in my childhood. Weekend class గురుముఖతః I am available.</t>
  </si>
  <si>
    <t>sivaprasuna@gmail.com</t>
  </si>
  <si>
    <t>Desabhotla</t>
  </si>
  <si>
    <t>Venkata Siva Subbarao</t>
  </si>
  <si>
    <t>ANITA  AYELA</t>
  </si>
  <si>
    <t>+1 (425) 394-2260</t>
  </si>
  <si>
    <t>SRIVATSASA, BHARADWAJA, KASHYAPASA</t>
  </si>
  <si>
    <t xml:space="preserve">TELUGU, KANNADA, TAMIL, HINDI, ENGLISH </t>
  </si>
  <si>
    <t xml:space="preserve">TELUGU,  HINDI,  ENGLISH </t>
  </si>
  <si>
    <t xml:space="preserve">RETD NUCLEAR ENERGY CONSULTANT </t>
  </si>
  <si>
    <t>TO FOLLOW AND UNDERSTAND OUR SANATANA DHARMA</t>
  </si>
  <si>
    <t xml:space="preserve">Looking forward to Ubhaya Swami's Anugraham and Kataksham to learn </t>
  </si>
  <si>
    <t>srinivasponduri66@gmail.com</t>
  </si>
  <si>
    <t>Ponduri</t>
  </si>
  <si>
    <t>Murali krishna Kalaga</t>
  </si>
  <si>
    <t>Gauthamasa  Srivatsada Srivatsasa</t>
  </si>
  <si>
    <t>Bank Manager</t>
  </si>
  <si>
    <t xml:space="preserve">To perform vedik kratus like yagna yagas </t>
  </si>
  <si>
    <t>Need to learn vedokta procedures for yagna yagas as per agama sastra</t>
  </si>
  <si>
    <t>srinigitam@hotmail.com</t>
  </si>
  <si>
    <t>Chintapalli</t>
  </si>
  <si>
    <t>Sripathi Neti</t>
  </si>
  <si>
    <t>+1 248 229 6058</t>
  </si>
  <si>
    <t>Electrical engineer</t>
  </si>
  <si>
    <t>Rudrani, Namkam, Chamakam, Purusha suktam, Arunam</t>
  </si>
  <si>
    <t>svaddadi100@gmail.com</t>
  </si>
  <si>
    <t>Vaddadi</t>
  </si>
  <si>
    <t>+44</t>
  </si>
  <si>
    <t>United Kingdom</t>
  </si>
  <si>
    <t>SRINIVAS VADDADI</t>
  </si>
  <si>
    <t>+447466292031</t>
  </si>
  <si>
    <t>Harithasa, Kasyapasa</t>
  </si>
  <si>
    <t>To fulfill duties as a Brahmin</t>
  </si>
  <si>
    <t>Would be happy if I get a chance to learn with Guru</t>
  </si>
  <si>
    <t>chphani2014@gmail.com</t>
  </si>
  <si>
    <t>Phanindrakumar</t>
  </si>
  <si>
    <t xml:space="preserve">Charlotte </t>
  </si>
  <si>
    <t>+1 (248) 229-6058</t>
  </si>
  <si>
    <t>My Gothram - Haritasa, Mothers Gothram - koundinyasa</t>
  </si>
  <si>
    <t>Helps me with mental health and spiritual wellbeing.</t>
  </si>
  <si>
    <t xml:space="preserve">Sandhya vandanam lo -  Sankalpam lo tappulu avutunnayi guruvugaru — mudralu nerchukovali mee classes dwara. </t>
  </si>
  <si>
    <t>srnmani@gmail.com</t>
  </si>
  <si>
    <t>M V RAMANA</t>
  </si>
  <si>
    <t>NITHUNDILASA, KOUNDINYASA,  KUTHSISA</t>
  </si>
  <si>
    <t xml:space="preserve">Telugu, english, Hindi </t>
  </si>
  <si>
    <t>Private job</t>
  </si>
  <si>
    <t>Much interested in sanatana dharma</t>
  </si>
  <si>
    <t xml:space="preserve">To divert mind from daily worries and to perform regular pujas to jaganmatha </t>
  </si>
  <si>
    <t>rvv.nagasai@gmail.com</t>
  </si>
  <si>
    <t>Rudrabhatla</t>
  </si>
  <si>
    <t>Veera Venkata Naga Sai</t>
  </si>
  <si>
    <t xml:space="preserve"> Chennai</t>
  </si>
  <si>
    <t>Veera Venkata NagaSai Rudrabhatla</t>
  </si>
  <si>
    <t>Kashyapasa,Haritasa,Kashyapasa</t>
  </si>
  <si>
    <t>English telugu</t>
  </si>
  <si>
    <t>I believe I will attain mental peace by learning this</t>
  </si>
  <si>
    <t>Looking eagerly to join the classes</t>
  </si>
  <si>
    <t>bharadwajkallepalli97@gmail.com</t>
  </si>
  <si>
    <t>Surya Bharadwaj</t>
  </si>
  <si>
    <t>Bharadwaja, koundinyasa</t>
  </si>
  <si>
    <t xml:space="preserve">Private employee </t>
  </si>
  <si>
    <t>Sandhyavamdanam, smidhadanam(agni kaaryam)</t>
  </si>
  <si>
    <t>avrao@irdai.gov.in</t>
  </si>
  <si>
    <t>Appanabhotla</t>
  </si>
  <si>
    <t>Venkateswara Rao</t>
  </si>
  <si>
    <t>Kavuri Aparna</t>
  </si>
  <si>
    <t>Harithasa, Kasyapasa, Sandilyasa</t>
  </si>
  <si>
    <t>General Manager in IRDAI</t>
  </si>
  <si>
    <t>I love Veda chanting and would like to practice this after my retirement (within 2yrs)</t>
  </si>
  <si>
    <t>In the next two years I want to complete some semisters</t>
  </si>
  <si>
    <t>vvssubbarao@gmail.com</t>
  </si>
  <si>
    <t>Vadlapatla</t>
  </si>
  <si>
    <t>Venkata Satya Subbarao</t>
  </si>
  <si>
    <t xml:space="preserve">Krishna Gopal </t>
  </si>
  <si>
    <t>+91 94948 58601</t>
  </si>
  <si>
    <t>Srivtsasa ,atreyasa, Koudinyasa</t>
  </si>
  <si>
    <t xml:space="preserve">Telugu , English, Hindi, Kannada </t>
  </si>
  <si>
    <t xml:space="preserve">To acquire the highest spritual knowledge </t>
  </si>
  <si>
    <t>saisitaramrachapudi59@gmail.com</t>
  </si>
  <si>
    <t>Rachapudi</t>
  </si>
  <si>
    <t>Kumara Srimanarayana Sai Sitaram</t>
  </si>
  <si>
    <t>Chirala</t>
  </si>
  <si>
    <t xml:space="preserve">Bhanu </t>
  </si>
  <si>
    <t>91 92901 03468</t>
  </si>
  <si>
    <t>Kausikasa , bharadwaja</t>
  </si>
  <si>
    <t>Telugu, english,</t>
  </si>
  <si>
    <t>Rachapudi Kalyani bharathi, Rachapudi srinivasa siva subrahmanyam</t>
  </si>
  <si>
    <t xml:space="preserve">Student at Bapatla engeneering college </t>
  </si>
  <si>
    <t xml:space="preserve">To know our real ancient Vedic knowledge and it will help in my research purpose </t>
  </si>
  <si>
    <t xml:space="preserve">Kamakshi amma </t>
  </si>
  <si>
    <t>narayanprasadsapkota1@gmail.com</t>
  </si>
  <si>
    <t>Sapkota</t>
  </si>
  <si>
    <t>Narayan Prasad</t>
  </si>
  <si>
    <t>Vaddoara</t>
  </si>
  <si>
    <t>Narayan Prasad Sapkota</t>
  </si>
  <si>
    <t>Meenakshi Devi Pacchalla</t>
  </si>
  <si>
    <t>Koundinyasa,  Atreyasa, Vasisthasa</t>
  </si>
  <si>
    <t>Telugu, Hindi, Nepali, Gujarati and English</t>
  </si>
  <si>
    <t>Telugu,, Hindi, Nepali, Gujarati and English</t>
  </si>
  <si>
    <t>Telecom Engineer</t>
  </si>
  <si>
    <t>I am a Brahmin.</t>
  </si>
  <si>
    <t>अस्य सत्रस्य विषये ज्ञात्वा मम महान् आनन्दः अभवत्। अहं स्वयमेव सम्यक् अधीयिष्यामि, तथा सन्तुष्टे सति मम बालकानपि सहभागीकरिष्यामि।</t>
  </si>
  <si>
    <t>ponnurumanoj8@gmail.com</t>
  </si>
  <si>
    <t>Ponnuru</t>
  </si>
  <si>
    <t>Manoj Sharma</t>
  </si>
  <si>
    <t xml:space="preserve">Chirala Andhrapradesh </t>
  </si>
  <si>
    <t>Ravuri Phani Maruthi Sharma</t>
  </si>
  <si>
    <t>91 8374555970</t>
  </si>
  <si>
    <t>Kashyapasa,Koudinyasa</t>
  </si>
  <si>
    <t>sistlabalasa.i123@gmail.com</t>
  </si>
  <si>
    <t>Bala Sai Krishna</t>
  </si>
  <si>
    <t>Bhanuchandar</t>
  </si>
  <si>
    <t>Koundinyasa, Atreyasa</t>
  </si>
  <si>
    <t xml:space="preserve">Tourism executive </t>
  </si>
  <si>
    <t>What ever guruvugaaru thinks right to me</t>
  </si>
  <si>
    <t xml:space="preserve">Kindly put me morning batches </t>
  </si>
  <si>
    <t>vgollapudi@gmail.com</t>
  </si>
  <si>
    <t>+91 92901 03468</t>
  </si>
  <si>
    <t>Koundinyasa, Srivatsasa, Harithasa</t>
  </si>
  <si>
    <t>Pancha sukthams etc</t>
  </si>
  <si>
    <t>Gayathrai namaha</t>
  </si>
  <si>
    <t>karnam.krishnarao@gmail.com</t>
  </si>
  <si>
    <t>Karnam</t>
  </si>
  <si>
    <t>Krishna Rao</t>
  </si>
  <si>
    <t>Arvind chidare</t>
  </si>
  <si>
    <t>Bharatvajasa</t>
  </si>
  <si>
    <t>Bharatwajasa</t>
  </si>
  <si>
    <t>Rugvedam</t>
  </si>
  <si>
    <t xml:space="preserve">Bharath dynamics limited </t>
  </si>
  <si>
    <t>I am constructing shivalayam. So I have to perform Abhishekam with namachamakam etc</t>
  </si>
  <si>
    <t>bujjigadu24@gmail.com</t>
  </si>
  <si>
    <t>Vemakoti</t>
  </si>
  <si>
    <t>Anil Kumar</t>
  </si>
  <si>
    <t xml:space="preserve">VISHAKHAPATNAM </t>
  </si>
  <si>
    <t>MAVUDURU UMA MAHESWAR</t>
  </si>
  <si>
    <t>Gouthmsya, Athryasa,shatmaysya,</t>
  </si>
  <si>
    <t>N A</t>
  </si>
  <si>
    <t>Arama dravida</t>
  </si>
  <si>
    <t xml:space="preserve">Telugu , english </t>
  </si>
  <si>
    <t>Bank staff</t>
  </si>
  <si>
    <t>Vedic class with postive vibrations and mindfullness</t>
  </si>
  <si>
    <t>We are strict and traditional bramhin family.</t>
  </si>
  <si>
    <t>medury@gmail.com</t>
  </si>
  <si>
    <t>Medury</t>
  </si>
  <si>
    <t>Ram Kalyan</t>
  </si>
  <si>
    <t>Bhagyanagarm (Hyderabad)</t>
  </si>
  <si>
    <t>Koushikasa (mine), Srivataasa (wife's before marriage), Bharawadaja (mother's before her marriage)</t>
  </si>
  <si>
    <t>Telugu, Hindi, Odiya, Kannada, English</t>
  </si>
  <si>
    <t>Wealth Manager</t>
  </si>
  <si>
    <t>Swadhyayam</t>
  </si>
  <si>
    <t>Dhanyosmi</t>
  </si>
  <si>
    <t>krishnavamsee643@gmail.com</t>
  </si>
  <si>
    <t>Mellacheruvu Vamsee Krishna</t>
  </si>
  <si>
    <t>Kashyapasa , Bharadwajasa</t>
  </si>
  <si>
    <t>Patiballa Venkata Naga Rajagopal , Patiballa Radha</t>
  </si>
  <si>
    <t>For going towards shanatana dharmam</t>
  </si>
  <si>
    <t>Will be waiting for a quick reply and excited to learn.</t>
  </si>
  <si>
    <t>tenjarlasatya@gmail.com</t>
  </si>
  <si>
    <t>Satya Gopala Krishna Murthy</t>
  </si>
  <si>
    <t xml:space="preserve">Hari veerubhotla </t>
  </si>
  <si>
    <t xml:space="preserve">Atreyasa,Koundiyasa,Harithasa  respectively </t>
  </si>
  <si>
    <t>N//A</t>
  </si>
  <si>
    <t>Track 1</t>
  </si>
  <si>
    <t>pramodh396@gmail.com</t>
  </si>
  <si>
    <t>Pingali</t>
  </si>
  <si>
    <t>Pramodh</t>
  </si>
  <si>
    <t>Purnachandra Karanam</t>
  </si>
  <si>
    <t>Gautamasa, Kaushikasa, Haritasa</t>
  </si>
  <si>
    <t xml:space="preserve">Want to perform Nitya aradhana and follow dharmic lifestyle and teach same to my kids. </t>
  </si>
  <si>
    <t xml:space="preserve">This is a great opportunity to be able to learn Guru Mukha patam. Please consider my request veda classes. Waiting for opportunity since past two years. I have learned Sandhyavandanam from KC Das Trust from Guru Kalvakolanu Sri Ramachandra Murthy garu. </t>
  </si>
  <si>
    <t>mjanakiram88@gmail.com</t>
  </si>
  <si>
    <t>Madugula</t>
  </si>
  <si>
    <t>Janakiram</t>
  </si>
  <si>
    <t>Malikarjun Prathiba</t>
  </si>
  <si>
    <t xml:space="preserve">Athreyasa (mine) Srivatsa Gotram (mother) </t>
  </si>
  <si>
    <t xml:space="preserve">Did the job and left that job. </t>
  </si>
  <si>
    <t>I want to become smarth purohit</t>
  </si>
  <si>
    <t xml:space="preserve">I want learn with guru mukatha with swaras a stractured learning. </t>
  </si>
  <si>
    <t>nagpanyamkkl@gmail.com</t>
  </si>
  <si>
    <t>Panyam</t>
  </si>
  <si>
    <t>Relative</t>
  </si>
  <si>
    <t xml:space="preserve">Nagaraju Lakshmi </t>
  </si>
  <si>
    <t>College</t>
  </si>
  <si>
    <t xml:space="preserve">Good </t>
  </si>
  <si>
    <t>msrk1947@gmail.com</t>
  </si>
  <si>
    <t>Sri Ravi Krishna</t>
  </si>
  <si>
    <t>Mallikarjuna K</t>
  </si>
  <si>
    <t>Devarathasa, Kasyapasa</t>
  </si>
  <si>
    <t xml:space="preserve">To Perform daily rituals </t>
  </si>
  <si>
    <t>adiglad@gmail.com</t>
  </si>
  <si>
    <t>Namuduri</t>
  </si>
  <si>
    <t>RAMAYAMPET</t>
  </si>
  <si>
    <t>Siva kumar garu</t>
  </si>
  <si>
    <t>Koundinyasa , Kasyapasa</t>
  </si>
  <si>
    <t>Telugu,  English , Hindi</t>
  </si>
  <si>
    <t>Solar Plant Manager</t>
  </si>
  <si>
    <t>To respect our culture</t>
  </si>
  <si>
    <t>Jaya Jaya Sankar Hara Hara Sankara</t>
  </si>
  <si>
    <t>msoumitri@gmail.com</t>
  </si>
  <si>
    <t>Soumitri</t>
  </si>
  <si>
    <t>Srinivas Sripada</t>
  </si>
  <si>
    <t>(647)404-1774</t>
  </si>
  <si>
    <t>Harita, Kaundinya, Bharadwaja</t>
  </si>
  <si>
    <t xml:space="preserve">Telugu, Hindi, Oriya, English </t>
  </si>
  <si>
    <t xml:space="preserve">Project Manager </t>
  </si>
  <si>
    <t>Set example to my children to follow</t>
  </si>
  <si>
    <t xml:space="preserve">Haritasa, Koundinyasa </t>
  </si>
  <si>
    <t xml:space="preserve">Soumitri Venkata Murthinty </t>
  </si>
  <si>
    <t xml:space="preserve">Middle School Student </t>
  </si>
  <si>
    <t>Parent enrolled me</t>
  </si>
  <si>
    <t>Sri Gurubhyo Namah</t>
  </si>
  <si>
    <t>krishnarampalli9@gmail.com</t>
  </si>
  <si>
    <t>Rampalli</t>
  </si>
  <si>
    <t>+1 (469) 954-5338</t>
  </si>
  <si>
    <t xml:space="preserve">Aatreyasa, Koundinyasa, Kashyapasa </t>
  </si>
  <si>
    <t>To perform my duties and teach my kids</t>
  </si>
  <si>
    <t>kappagantusrinivas72@gmail.com</t>
  </si>
  <si>
    <t>Kapppagantu</t>
  </si>
  <si>
    <t>Srinivas Sharma</t>
  </si>
  <si>
    <t>Puranam Supriya</t>
  </si>
  <si>
    <t>Kowsikasa, Bharadhvaja, Bharadhvaja</t>
  </si>
  <si>
    <t>Private Company Accounts</t>
  </si>
  <si>
    <t>Very much interest to do pooja</t>
  </si>
  <si>
    <t xml:space="preserve">Very much interest to learn </t>
  </si>
  <si>
    <t>tumunagesh@gmail.com</t>
  </si>
  <si>
    <t>Nagesh</t>
  </si>
  <si>
    <t>Shiva Kumar Challa</t>
  </si>
  <si>
    <t>Aniruddha Pochimcherla</t>
  </si>
  <si>
    <t>Hartford</t>
  </si>
  <si>
    <t>+12488852409</t>
  </si>
  <si>
    <t>Self - Parasara, Wife - Haritasa, Mother - (telugu Bramin, don't know gotram, I will ask and find out)</t>
  </si>
  <si>
    <t>Sanskrit, Vedas</t>
  </si>
  <si>
    <t>duvvuri@gmail.com</t>
  </si>
  <si>
    <t>Raghava</t>
  </si>
  <si>
    <t>(512) 666-8624</t>
  </si>
  <si>
    <t>Atreyasa, kowsikasa, kowsikasa</t>
  </si>
  <si>
    <t>Rudram</t>
  </si>
  <si>
    <t>rameshperi@gmail.com</t>
  </si>
  <si>
    <t>Ramesh (Rama Chander Rao)</t>
  </si>
  <si>
    <t>Giridhar Chebrolu</t>
  </si>
  <si>
    <t>(647) 403-1548</t>
  </si>
  <si>
    <t>1, Goutamasa, Koundinyasa</t>
  </si>
  <si>
    <t>I have been performing pooja with the basic knowledge I have and would like to continue with some advance learning as we have saligrama at home</t>
  </si>
  <si>
    <t>cbrahmar@gmail.com</t>
  </si>
  <si>
    <t>Brahmar</t>
  </si>
  <si>
    <t xml:space="preserve">Glastonbury </t>
  </si>
  <si>
    <t xml:space="preserve">Shri Ravikiran sharma </t>
  </si>
  <si>
    <t>+9177751693</t>
  </si>
  <si>
    <t>Atreyas, Bhardwaja, Gowtamasa</t>
  </si>
  <si>
    <t>English Devnagari</t>
  </si>
  <si>
    <t xml:space="preserve">Gain knowledge, vedam itself is the gain. </t>
  </si>
  <si>
    <t>mahankali.venkat9@gmail.com</t>
  </si>
  <si>
    <t>Venkatasanthosh</t>
  </si>
  <si>
    <t xml:space="preserve">Lalith Kumar </t>
  </si>
  <si>
    <t>Kutsasa, Kashyapasa, Baradwaja</t>
  </si>
  <si>
    <t xml:space="preserve">To learn completely with correct procedure </t>
  </si>
  <si>
    <t>Kondamadugu</t>
  </si>
  <si>
    <t>+91 9966016096</t>
  </si>
  <si>
    <t>Bharadwaja, Maitreyasa , haritasa</t>
  </si>
  <si>
    <t xml:space="preserve">To take my sanatana darma forward and to share the knowledge to the younger people </t>
  </si>
  <si>
    <t xml:space="preserve">Waiting to join the class and committed to learn </t>
  </si>
  <si>
    <t>syeleswarapu@gmail.com</t>
  </si>
  <si>
    <t>Sankar Prasad</t>
  </si>
  <si>
    <t>Prabhala Prabhakar Sastry</t>
  </si>
  <si>
    <t>(704) 294-3580</t>
  </si>
  <si>
    <t>Koushikasa, Bharadwaja, Bharadwaja</t>
  </si>
  <si>
    <t>To learn and practice nitya karma in a proper way</t>
  </si>
  <si>
    <t>sri.ashwinsharma@gmail.com</t>
  </si>
  <si>
    <t>Srirambatla</t>
  </si>
  <si>
    <t>Ashwin Sharma</t>
  </si>
  <si>
    <t>CHANDRASHEKHAR</t>
  </si>
  <si>
    <t>KOUNDINYASA, KASHYAPASA, BHARDVAJASA</t>
  </si>
  <si>
    <t>SELF EMPLOYED</t>
  </si>
  <si>
    <t>PASSIONATE ABOUT VEDAM</t>
  </si>
  <si>
    <t>Punyamurtula</t>
  </si>
  <si>
    <t>Jay Shanmukha</t>
  </si>
  <si>
    <t>syellajosyula@gmail.com</t>
  </si>
  <si>
    <t>Yellajosyula</t>
  </si>
  <si>
    <t>Surprise, Arizona</t>
  </si>
  <si>
    <t>Kausikasa, Bharadwajasa, Haritasa gothrams</t>
  </si>
  <si>
    <t>To learn all about Yajur Vedam and the relevant procedures which would help get me close to Lalithamma, and to follow the traditions properly.</t>
  </si>
  <si>
    <t>anvithsharma319@gmail.com</t>
  </si>
  <si>
    <t>Anvith</t>
  </si>
  <si>
    <t xml:space="preserve">Jagitial </t>
  </si>
  <si>
    <t xml:space="preserve">NYARAMBHATLA KOUSHIK </t>
  </si>
  <si>
    <t>+91 88854 41567</t>
  </si>
  <si>
    <t xml:space="preserve">Iam not married </t>
  </si>
  <si>
    <t>Kanvasa , Bharadwajasa</t>
  </si>
  <si>
    <t xml:space="preserve">VISHWANATHAM SHARMA ,LAXMI SOWJANYA </t>
  </si>
  <si>
    <t>2-Already know Vedam Guru-Mukhata. Will help the child do Home Work</t>
  </si>
  <si>
    <t>FOR TO CONTINUE SANATANA VAIDIKA DHARMAM</t>
  </si>
  <si>
    <t>father is priest and grandfather (father side) is agriculture but he has also great in thus sampradaya</t>
  </si>
  <si>
    <t>madupukoushik5@gmail.com</t>
  </si>
  <si>
    <t>Madupu</t>
  </si>
  <si>
    <t>Koushik</t>
  </si>
  <si>
    <t>Ramakanth</t>
  </si>
  <si>
    <t>Vadhulasa</t>
  </si>
  <si>
    <t>To perform dharma</t>
  </si>
  <si>
    <t>raghavasai.32@gmail.com</t>
  </si>
  <si>
    <t>Pathibandla</t>
  </si>
  <si>
    <t>Raghava Sai</t>
  </si>
  <si>
    <t>Bharadwajasa, harithasa, harithasa</t>
  </si>
  <si>
    <t>Marketing</t>
  </si>
  <si>
    <t>To perform vedic dharma</t>
  </si>
  <si>
    <t>msubramanyam.email.me@gmail.com</t>
  </si>
  <si>
    <t xml:space="preserve">Nizamabad </t>
  </si>
  <si>
    <t>Srikrishna karteek Marripati</t>
  </si>
  <si>
    <t>Koundinyasa,Bharatvajasa,Kasyapasa</t>
  </si>
  <si>
    <t xml:space="preserve">Retired Govt officer </t>
  </si>
  <si>
    <t>I want to learn Vedic literature to self enlightenment and higher purpose and to promote this culture to my fraternity.</t>
  </si>
  <si>
    <t>tondapikrishna22@gmail.com</t>
  </si>
  <si>
    <t xml:space="preserve">Mudivarthi Seshasai </t>
  </si>
  <si>
    <t>My Gotram: Bharadwajasa; My Mother Gotram : Srivatsasa</t>
  </si>
  <si>
    <t xml:space="preserve">Father's name: T.Srinivasa Murthy ; Mother's name: T. Krishnaveni </t>
  </si>
  <si>
    <t>To acquire spiritual knowledge.</t>
  </si>
  <si>
    <t xml:space="preserve">Sri Gurubhyo Namaha ; Spoke to Students mother - Smt Krishnaveni garu </t>
  </si>
  <si>
    <t>bhargavsai113@gmail.com</t>
  </si>
  <si>
    <t>Garudadri</t>
  </si>
  <si>
    <t>Venkata Sai Bhargav</t>
  </si>
  <si>
    <t>Alluru Sai Manoj</t>
  </si>
  <si>
    <t>Srivatsasa, kasyapasa, kousikasa</t>
  </si>
  <si>
    <t>I will do daily sandhya vandanam. I want to learn more levels of vedam. Kindly help me.</t>
  </si>
  <si>
    <t>muralikrishna.kalaga@gmail.com</t>
  </si>
  <si>
    <t>Kalaga</t>
  </si>
  <si>
    <t>V N Murali Krishna</t>
  </si>
  <si>
    <t>Kalaga V N Murali Krishna</t>
  </si>
  <si>
    <t xml:space="preserve">Harithasa, srivastasa, Goutamasa </t>
  </si>
  <si>
    <t>For daily chanting at home</t>
  </si>
  <si>
    <t>From KCDT Whatsapp Group</t>
  </si>
  <si>
    <t>suri3672@gmail.com</t>
  </si>
  <si>
    <t>Suryanarayana Murthy</t>
  </si>
  <si>
    <t>Hariyana,  kasyapas, steevatsasa</t>
  </si>
  <si>
    <t>Retired Bank manager</t>
  </si>
  <si>
    <t>Vedam with svaram</t>
  </si>
  <si>
    <t xml:space="preserve">I am interested to learn vedas </t>
  </si>
  <si>
    <t>suryaponnada@outlook.com</t>
  </si>
  <si>
    <t>Surya Ponnada</t>
  </si>
  <si>
    <t>Haritasa</t>
  </si>
  <si>
    <t>He is 7 years 2 months old and upanayana sanskaram completed. Wanted to teach him Sandyavandanam and vedam to raise him with good values</t>
  </si>
  <si>
    <t>vinodkurma@gmail.com</t>
  </si>
  <si>
    <t>Kurma</t>
  </si>
  <si>
    <t>Vinod Kumar</t>
  </si>
  <si>
    <t>Krishna rao karnam</t>
  </si>
  <si>
    <t xml:space="preserve">Kashyapasa Harithasa Harithasa </t>
  </si>
  <si>
    <t xml:space="preserve">Telugu marathi kannada hindi English </t>
  </si>
  <si>
    <t xml:space="preserve">Telugu marathi hindi English </t>
  </si>
  <si>
    <t xml:space="preserve">Business </t>
  </si>
  <si>
    <t>Passion n devotional</t>
  </si>
  <si>
    <t>Constructed temple. Need to learn more to perform all rituals systematically n swara yuktha</t>
  </si>
  <si>
    <t>vasistaphani@yahoo.com</t>
  </si>
  <si>
    <t>Sarvepalli</t>
  </si>
  <si>
    <t>Vasista Phani</t>
  </si>
  <si>
    <t>Melbourne australia</t>
  </si>
  <si>
    <t xml:space="preserve">Sridhar, scientist in isro </t>
  </si>
  <si>
    <t>Bharadwaja, gowthamasa</t>
  </si>
  <si>
    <t>Srivathsasa , kuchasa</t>
  </si>
  <si>
    <t>Yanur veda</t>
  </si>
  <si>
    <t>To be in spiritual path, participate in Brahmin Vedic community chanting events in australia</t>
  </si>
  <si>
    <t>My brother in law attends every month Chandu homam and Sridhar sir referred me to register for the classes</t>
  </si>
  <si>
    <t>rajendra.sanivarapu@gmail.com</t>
  </si>
  <si>
    <t>Sanivarapu</t>
  </si>
  <si>
    <t>Yajva</t>
  </si>
  <si>
    <t xml:space="preserve">Remella Madhu Prakash </t>
  </si>
  <si>
    <t>+91 91607 50001</t>
  </si>
  <si>
    <t xml:space="preserve">Koundinyasa, Srivatsasa </t>
  </si>
  <si>
    <t xml:space="preserve">Rajendra Sanivarapu </t>
  </si>
  <si>
    <t xml:space="preserve">Suktam </t>
  </si>
  <si>
    <t>mvnrkarthimeya@gmail.com</t>
  </si>
  <si>
    <t>Bhardwajasa, Satamarshna</t>
  </si>
  <si>
    <t>Subbaramaiah, Haritha</t>
  </si>
  <si>
    <t>Interested in learning Vedas</t>
  </si>
  <si>
    <t>arunkpannala@gmail.com</t>
  </si>
  <si>
    <t xml:space="preserve">Posted in a Brahmin community WhatsApp group </t>
  </si>
  <si>
    <t>Self..KOUNDINYASA, wife's..KASYAPASA Mothers before marriage..BHARADWAJA</t>
  </si>
  <si>
    <t xml:space="preserve">Government </t>
  </si>
  <si>
    <t xml:space="preserve">To improve close to Aadyatmika chintana and to share myself from present understanding to next level. </t>
  </si>
  <si>
    <t>spoke with Janakamma garu in person .I work at POSTOFFICE Gandhi Nagar .. Adjacent to veda patashala..In one of the Brahmin community WhatsApp Group..one community member posted the information..</t>
  </si>
  <si>
    <t>anish.mynampati@gmail.com</t>
  </si>
  <si>
    <t>Anish</t>
  </si>
  <si>
    <t>Valiveti</t>
  </si>
  <si>
    <t>Akshath</t>
  </si>
  <si>
    <t>Valiveti Akshath</t>
  </si>
  <si>
    <t xml:space="preserve">Subbaramaiah, Haritha </t>
  </si>
  <si>
    <t>Interested in learning Vedam</t>
  </si>
  <si>
    <t>machiraju.vidya@gmail.com</t>
  </si>
  <si>
    <t>Machiraju</t>
  </si>
  <si>
    <t>Venkata Raghunath</t>
  </si>
  <si>
    <t>Cleveland</t>
  </si>
  <si>
    <t>Srinivas Siripurapu</t>
  </si>
  <si>
    <t>+91 93919 44044</t>
  </si>
  <si>
    <t>Sandilyasa, Bharadwajasa, Bharadwajasa</t>
  </si>
  <si>
    <t>Telugu, Devanagari, English</t>
  </si>
  <si>
    <t>To gain merit, inner purity , connection to God, Guru and Dharma.</t>
  </si>
  <si>
    <t>subrahmanyakattamuri@gmail.com</t>
  </si>
  <si>
    <t>Kattamuri</t>
  </si>
  <si>
    <t>Subrahmanya Prasad</t>
  </si>
  <si>
    <t>Jersey City</t>
  </si>
  <si>
    <t>Madhu Prakash Remella</t>
  </si>
  <si>
    <t>+919160750001</t>
  </si>
  <si>
    <t xml:space="preserve">Kasyapasa, kausikasa, kausikasa </t>
  </si>
  <si>
    <t>Telugu , English and hindi</t>
  </si>
  <si>
    <t xml:space="preserve">Telugu and English </t>
  </si>
  <si>
    <t xml:space="preserve">Vedam basics </t>
  </si>
  <si>
    <t>sdganeshsham@gmail.com</t>
  </si>
  <si>
    <t>Dahagam</t>
  </si>
  <si>
    <t>Shamsunder</t>
  </si>
  <si>
    <t>SHAMSUNDER DAHAGAM</t>
  </si>
  <si>
    <t>SRIVATSASA.  KOUNDINYASA, KASHYAPASA</t>
  </si>
  <si>
    <t>TELUGU. HINDI, ENGLISH</t>
  </si>
  <si>
    <t xml:space="preserve">PRIVATE EMPLOYEE </t>
  </si>
  <si>
    <t>I AM INTERESTED IN LEARNING VEDAS</t>
  </si>
  <si>
    <t>Grandfather some Vedam, Father laukika. Family confirmed. Native Andhra</t>
  </si>
  <si>
    <t>chaitu.tvr@gmail.com</t>
  </si>
  <si>
    <t>Tellapuri</t>
  </si>
  <si>
    <t>Venkata Krishna Chaitanya</t>
  </si>
  <si>
    <t xml:space="preserve">KOILKUNTLA </t>
  </si>
  <si>
    <t xml:space="preserve">PHANI SEKHAR SHARMA </t>
  </si>
  <si>
    <t>99660 16096</t>
  </si>
  <si>
    <t>BHARADWAJASA, VISHWAMITRA,KASHYAPASA</t>
  </si>
  <si>
    <t>Telugu, hindi</t>
  </si>
  <si>
    <t>Purohitham</t>
  </si>
  <si>
    <t xml:space="preserve">This is top priority for me </t>
  </si>
  <si>
    <t>acssvnp@gmail.com</t>
  </si>
  <si>
    <t>SIRIPURAPU SRINIVAS GARU</t>
  </si>
  <si>
    <t>93919 44044</t>
  </si>
  <si>
    <t>My Gothram - Kousikasa; Wife Gothram - Sandilyasa; Mother Gothram - Harithasa</t>
  </si>
  <si>
    <t>To learn Vedas</t>
  </si>
  <si>
    <t>nvsubrahmanyam@gmail.com</t>
  </si>
  <si>
    <t>Narayanam</t>
  </si>
  <si>
    <t>Venkata Subrahmanyam</t>
  </si>
  <si>
    <t>Bharath Kumar pinnelli</t>
  </si>
  <si>
    <t>Koundinyasa, Athreyasa, Athreyasa</t>
  </si>
  <si>
    <t xml:space="preserve">Bharath Kumar Pinnelli </t>
  </si>
  <si>
    <t>sundargarimella@gmail.com</t>
  </si>
  <si>
    <t>Garimella</t>
  </si>
  <si>
    <t>Sundar</t>
  </si>
  <si>
    <t>Sandalyasa, Bharadwajasa, Haritasa</t>
  </si>
  <si>
    <t>Yajur Veda l</t>
  </si>
  <si>
    <t>Sandhyavadam &amp; Rudra Nammaka chammakam and Arunam</t>
  </si>
  <si>
    <t>Sudhir Salagrama</t>
  </si>
  <si>
    <t xml:space="preserve">Koundinyasa, Bharadwajasa </t>
  </si>
  <si>
    <t xml:space="preserve">MVSS Ramesh </t>
  </si>
  <si>
    <t>4-Will NOT be able to join Adult batch as well as cannot help my child do Home Work. Need Teacher help.</t>
  </si>
  <si>
    <t>To learn our rich culture and traditions, and be a good boy.</t>
  </si>
  <si>
    <t>I request to provide english or hindi copy of mantras, suktas or any other material.</t>
  </si>
  <si>
    <t>VED-07</t>
  </si>
  <si>
    <t>dineshl@hotmail.com</t>
  </si>
  <si>
    <t>Laxmanan</t>
  </si>
  <si>
    <t>Dinesh</t>
  </si>
  <si>
    <t>Chinna Guruvu Garu</t>
  </si>
  <si>
    <t>Secunderabad</t>
  </si>
  <si>
    <t>Bhanu chander karanam</t>
  </si>
  <si>
    <t>+91 9290103468</t>
  </si>
  <si>
    <t>Srivatsa, Bharadwaja</t>
  </si>
  <si>
    <t>Tamil, HIndi, Telugu, English</t>
  </si>
  <si>
    <t>Hindi, Telugu, English</t>
  </si>
  <si>
    <t>Private Sector Employee</t>
  </si>
  <si>
    <t>Vedas as per my gothram</t>
  </si>
  <si>
    <t>Gorugantu</t>
  </si>
  <si>
    <t>Saaketh</t>
  </si>
  <si>
    <t>tcmrbi@gmail.com</t>
  </si>
  <si>
    <t>Gorugantu Saaketh</t>
  </si>
  <si>
    <t>Tadigadapa</t>
  </si>
  <si>
    <t>Chandra Mohan</t>
  </si>
  <si>
    <t>Ambadipudi Sekhar</t>
  </si>
  <si>
    <t>+91 97015 62945</t>
  </si>
  <si>
    <t>Harithasa; Bharadwajasa; Bharadwajasa</t>
  </si>
  <si>
    <t xml:space="preserve">Haritasa, Bharadwajasa, Bharadwajasa </t>
  </si>
  <si>
    <t>Rama Subrahmanya Sastry</t>
  </si>
  <si>
    <t xml:space="preserve">Bank officer </t>
  </si>
  <si>
    <t>My father was a purohit. I settled in government service. Hence, now after retirement, I intend to continue our legacy.</t>
  </si>
  <si>
    <t>I have a strong desire to learn Rudram, Namakam, Chamakam, Mantra pushpam</t>
  </si>
  <si>
    <t>nadendla486@gmail.com</t>
  </si>
  <si>
    <t>Ravi sankar Nadendla</t>
  </si>
  <si>
    <t>Kashyapasa, Bhardwaja</t>
  </si>
  <si>
    <t>Nageswara rao</t>
  </si>
  <si>
    <t xml:space="preserve">For follow our tradition </t>
  </si>
  <si>
    <t>Want to follow our tradition and do pooja daily in our home with Veda mantras .</t>
  </si>
  <si>
    <t>ravirks956@gmail.com</t>
  </si>
  <si>
    <t>Ravi Kiran Mahankali</t>
  </si>
  <si>
    <t>Harithasa , Swatantrakapi</t>
  </si>
  <si>
    <t>Mandagondi Chandra Sekhar, Mandagondi Kalyani</t>
  </si>
  <si>
    <t>Nityakarma sandhyavandanam etc</t>
  </si>
  <si>
    <t>varaprasad.kota@gmail.com</t>
  </si>
  <si>
    <t>Sri Venkata Ramana Konduri</t>
  </si>
  <si>
    <t>+919848369594</t>
  </si>
  <si>
    <t>Koundinyasa, Gautamasa</t>
  </si>
  <si>
    <t>Guru Shankara Sasha Vara Prasad Kota</t>
  </si>
  <si>
    <t>It is our dharma and duty</t>
  </si>
  <si>
    <t>vinay.bharadwaj365@gmail.com</t>
  </si>
  <si>
    <t>Vinay Bharadwaj</t>
  </si>
  <si>
    <t>Karanam Venkata Aditya</t>
  </si>
  <si>
    <t>Bharadwaja, Kashyapasa, Parasara</t>
  </si>
  <si>
    <t xml:space="preserve">I am passionate about our culture and traditions and want to spread as best as I can. Unless I follow in my generation, I can't take this forward to next generations. Our traditions have to be preserved and protected.  </t>
  </si>
  <si>
    <t>ambatipudisridhar@gmail.com</t>
  </si>
  <si>
    <t>Sri Ravikiran Garu</t>
  </si>
  <si>
    <t>+91 91777 51693</t>
  </si>
  <si>
    <t>Kousikasa, Kashyapasa,Haritasa</t>
  </si>
  <si>
    <t>Program Manager</t>
  </si>
  <si>
    <t>I get happiness and Joy when i recite or listen vedas, sukhtam with proper uccharana.I have been initiated into many but did not undergo the rigorous correction and testing process-I want to close the gap</t>
  </si>
  <si>
    <t>patiballa9999@gmail.com</t>
  </si>
  <si>
    <t>Venkata Naga Rajagopal</t>
  </si>
  <si>
    <t>Kashyapasa , Bharadwajasa , Haritasa</t>
  </si>
  <si>
    <t>Rudram , Namakam , Chamakam.</t>
  </si>
  <si>
    <t>...</t>
  </si>
  <si>
    <t>seshendra.vemuri@gmail.com</t>
  </si>
  <si>
    <t>Sadananda Ramabhi Rakshith</t>
  </si>
  <si>
    <t>Nanduri</t>
  </si>
  <si>
    <t>Varun Aditya</t>
  </si>
  <si>
    <t>MAGANTI SUBRAHMANYA MANI KUMAR</t>
  </si>
  <si>
    <t>Nanduri Varun Aditya</t>
  </si>
  <si>
    <t>HARITHASA, KOUNDINYASA</t>
  </si>
  <si>
    <t>YUJUR VEDA</t>
  </si>
  <si>
    <t>VEMURI SESHENDRA, VEMURI SAI SRAVANI</t>
  </si>
  <si>
    <t>I want to learn the Vedas because they teach good values, like telling the truth, respecting others, and living a happy life. They also have beautiful chants that help me focus and feel calm. I want to learn them to become a better person.</t>
  </si>
  <si>
    <t>nistala.santoshkumar93@gmail.com</t>
  </si>
  <si>
    <t>Nistala</t>
  </si>
  <si>
    <t>Vijaya lakshmi kantha rao</t>
  </si>
  <si>
    <t>Haritasa, Koundinyasa, Bhardwajasa</t>
  </si>
  <si>
    <t>vedam</t>
  </si>
  <si>
    <t>topellamurty@gmail.com</t>
  </si>
  <si>
    <t xml:space="preserve">Hyderabad, Telangana T.Sankara Srikrishna </t>
  </si>
  <si>
    <t xml:space="preserve">T Sankara Srikrishna </t>
  </si>
  <si>
    <t>Kausika, Kaundinya, Kaundinya</t>
  </si>
  <si>
    <t xml:space="preserve">Sanskrit, Telugu, Hindi, English </t>
  </si>
  <si>
    <t xml:space="preserve">All courses </t>
  </si>
  <si>
    <t>I wish to join because I want to learn whole of krishna yajurveda to be able to recite in my home regularly.</t>
  </si>
  <si>
    <t>sankarasrikrishnat@gmail.com</t>
  </si>
  <si>
    <t>Topella</t>
  </si>
  <si>
    <t>Sankara Srikrishna</t>
  </si>
  <si>
    <t>Kaushikasa, Athreyasa, Koundinyasa</t>
  </si>
  <si>
    <t>To perform some or the other Veda Pathanam everyday during Devatarchana.</t>
  </si>
  <si>
    <t>I may be unable to wear traditional dress sometimes when I am outside, but when at home I will 100% wear traditional attire.</t>
  </si>
  <si>
    <t>viratsutha123@gmail.com</t>
  </si>
  <si>
    <t>R</t>
  </si>
  <si>
    <t>Saikiran</t>
  </si>
  <si>
    <t>Pavagada</t>
  </si>
  <si>
    <t>Phani Shankar</t>
  </si>
  <si>
    <t>Kashyapa, Bharadwaja</t>
  </si>
  <si>
    <t>Kannada, Telugu</t>
  </si>
  <si>
    <t>Kannada</t>
  </si>
  <si>
    <t>Solar Technician</t>
  </si>
  <si>
    <t>Devatharchana, Sukthas,Rudra Namaka Chamaka</t>
  </si>
  <si>
    <t>sriramvangara@gmail.com</t>
  </si>
  <si>
    <t>Vangara</t>
  </si>
  <si>
    <t>Cumming</t>
  </si>
  <si>
    <t>Vedula Krishna</t>
  </si>
  <si>
    <t>Bharadwajasa, kousikasa, Kapi</t>
  </si>
  <si>
    <t>Consulting Manager</t>
  </si>
  <si>
    <t>Getting to my roots</t>
  </si>
  <si>
    <t>klvns@yahoo.com</t>
  </si>
  <si>
    <t>Kaipa</t>
  </si>
  <si>
    <t>Lakshmi Venkata Narasimha Sarma</t>
  </si>
  <si>
    <t xml:space="preserve">K Aditya </t>
  </si>
  <si>
    <t>+917601050990</t>
  </si>
  <si>
    <t>Koundinyasa, Srivastasa, Haritasa</t>
  </si>
  <si>
    <t xml:space="preserve">My dream </t>
  </si>
  <si>
    <t>v.syam04@gmail.com</t>
  </si>
  <si>
    <t>Venuturupalli</t>
  </si>
  <si>
    <t>Syam</t>
  </si>
  <si>
    <t>Penumarthy</t>
  </si>
  <si>
    <t>Jaigeeshavya Vasishta</t>
  </si>
  <si>
    <t>Raju Venuturupalli</t>
  </si>
  <si>
    <t>919 249 8849</t>
  </si>
  <si>
    <t>Kasyapasa, Bhardwaja, Bhardwaja</t>
  </si>
  <si>
    <t xml:space="preserve">To learn and practice guru mukha without doshas, also to get mental discipline </t>
  </si>
  <si>
    <t>kalyan359@gmail.com</t>
  </si>
  <si>
    <t>Kalyan Chandra</t>
  </si>
  <si>
    <t>Haristasa, Sri Vatsasa, Kasyapasa</t>
  </si>
  <si>
    <t>Quants manager</t>
  </si>
  <si>
    <t xml:space="preserve">Self development and Happiness </t>
  </si>
  <si>
    <t>Please let me know if you need anything. Thanks for the opportunity.</t>
  </si>
  <si>
    <t>dasikapa1@gmail.com</t>
  </si>
  <si>
    <t>Dasika</t>
  </si>
  <si>
    <t>Srinivasa Pavan</t>
  </si>
  <si>
    <t>WAXHAW</t>
  </si>
  <si>
    <t>Mine - Swatantrakapisa, wife's - Kasyapasa, Mom's-Haritasa</t>
  </si>
  <si>
    <t>Business Operations</t>
  </si>
  <si>
    <t>Performing Rudra Abhishekam for the past 7 and learned chanting Rudra Namakam &amp; Chamakam. Want to build upon that.</t>
  </si>
  <si>
    <t>reachrajeshwar@gmail.com</t>
  </si>
  <si>
    <t>Pallerla</t>
  </si>
  <si>
    <t>Rajeshwar Rao</t>
  </si>
  <si>
    <t xml:space="preserve">Guruvulu Sri Pochimcherla Sivarama krishna garu </t>
  </si>
  <si>
    <t>Jamadagni srivatsasa, koundinyasa, koundinyasa</t>
  </si>
  <si>
    <t xml:space="preserve">Not working anymore </t>
  </si>
  <si>
    <t xml:space="preserve">Because Veda's are the essence of life, and I'm so much interested to learn &amp; practice them in my daily life. Want to deep dive into this auspicious spiritual path. I'm grateful to Pochimcherla sivarama krishna guruvu garu for giving this wonderful opportunity 🙏 </t>
  </si>
  <si>
    <t xml:space="preserve">Morning hours are my preferred timings for this class. Thanking you 🙏 </t>
  </si>
  <si>
    <t>sharadatata@gmail.com</t>
  </si>
  <si>
    <t xml:space="preserve">Little Elm </t>
  </si>
  <si>
    <t xml:space="preserve">Sharada Tata </t>
  </si>
  <si>
    <t>Koundinyasa, Athreyasa</t>
  </si>
  <si>
    <t xml:space="preserve">Padmakar Ayyalasomayajula, Sharada Tata </t>
  </si>
  <si>
    <t>Learn to understand vedic culture and bestow it's benefits</t>
  </si>
  <si>
    <t>klrao53@gmail.com</t>
  </si>
  <si>
    <t>Kutchalakanti</t>
  </si>
  <si>
    <t>Laxman Rao</t>
  </si>
  <si>
    <t xml:space="preserve">Chennai and Hyderabad </t>
  </si>
  <si>
    <t>PMP Sharma garu</t>
  </si>
  <si>
    <t>1)Mouna Bhargavasa 2) Vashishtha 3)Vashishtha</t>
  </si>
  <si>
    <t>Telugu, English , Hindi</t>
  </si>
  <si>
    <t>Retired Sr. Scientific Officer. Power Olant, SCCL</t>
  </si>
  <si>
    <t xml:space="preserve">Interest to learn and to gain knowledge </t>
  </si>
  <si>
    <t>I will be thankful if given opportunity to learn Vedam</t>
  </si>
  <si>
    <t>vishdish30@gmail.com</t>
  </si>
  <si>
    <t>+1 (631) 512-1073</t>
  </si>
  <si>
    <t>Vaishnav- Harithasa Mothers-Bharadvāja</t>
  </si>
  <si>
    <t>Keshava, Shilpa</t>
  </si>
  <si>
    <t>To preserve our culture</t>
  </si>
  <si>
    <t>Don’t know telegu so would want to be taught in English</t>
  </si>
  <si>
    <t>pochims@gmail.com</t>
  </si>
  <si>
    <t>Pochimcherla</t>
  </si>
  <si>
    <t>Siva Rama Krishna</t>
  </si>
  <si>
    <t>Austin, USA</t>
  </si>
  <si>
    <t>Prabhala</t>
  </si>
  <si>
    <t>Sai Vivek</t>
  </si>
  <si>
    <t>xpochim@gmail.com</t>
  </si>
  <si>
    <t>Aniruddha</t>
  </si>
  <si>
    <t>Austin USA</t>
  </si>
  <si>
    <t>Siva and Madhavi Pochimcherla</t>
  </si>
  <si>
    <t>skambatipudi05@gmail.com</t>
  </si>
  <si>
    <t>San Diego, CA, USA</t>
  </si>
  <si>
    <t xml:space="preserve">Prabhu &amp; Radhika Ambatipudi </t>
  </si>
  <si>
    <t>Kaushikasa</t>
  </si>
  <si>
    <t>rpambatipudi@gmail.com</t>
  </si>
  <si>
    <t>Prabhu</t>
  </si>
  <si>
    <t>San Diego, U.S.A</t>
  </si>
  <si>
    <t>Pochimcherla Sivaram</t>
  </si>
  <si>
    <t>kishoregsp@yahoo.com</t>
  </si>
  <si>
    <t>Kishore</t>
  </si>
  <si>
    <t>Houston, TX, USA</t>
  </si>
  <si>
    <t>Siva Pochimcherla</t>
  </si>
  <si>
    <t>Saandilyasa</t>
  </si>
  <si>
    <t>sashikanth.pochimcharla@gmail.com</t>
  </si>
  <si>
    <t>Pochimcharla</t>
  </si>
  <si>
    <t>Hyderabad India</t>
  </si>
  <si>
    <t>Sasikanth and Lakshmi</t>
  </si>
  <si>
    <t>anildoranala@gmail.com</t>
  </si>
  <si>
    <t>Doranala</t>
  </si>
  <si>
    <t xml:space="preserve">USA - Virginia </t>
  </si>
  <si>
    <t>Vaadhulasa</t>
  </si>
  <si>
    <t>Shriketh</t>
  </si>
  <si>
    <t>USA -  Virginia</t>
  </si>
  <si>
    <t>Nagabharathi &amp; Anil Doranala</t>
  </si>
  <si>
    <t>vivek.s.prabhala@gmail.com</t>
  </si>
  <si>
    <t>Columbus, OH, USA</t>
  </si>
  <si>
    <t>Bharadwajasa, Koundinyasa</t>
  </si>
  <si>
    <t>rampochincherla@gmail.com</t>
  </si>
  <si>
    <t>Pochincherla</t>
  </si>
  <si>
    <t>Anantha Ramakrishna</t>
  </si>
  <si>
    <t>Seattle, WA, USA in PST</t>
  </si>
  <si>
    <t>shivamanas23@gmail.com</t>
  </si>
  <si>
    <t>Shiva Manas</t>
  </si>
  <si>
    <t>Mother: Radhika Ambatipudi; Father: Prabhu Ambatipudi</t>
  </si>
  <si>
    <t>praveena.chaturvedula@gmail.com</t>
  </si>
  <si>
    <t>Chaturvedula</t>
  </si>
  <si>
    <t>Sahishnu</t>
  </si>
  <si>
    <t>Hyderabad, India</t>
  </si>
  <si>
    <t xml:space="preserve">C. V. Chakrapani/ Praveena </t>
  </si>
  <si>
    <t>Kaasyapasa</t>
  </si>
  <si>
    <t>dr.dvrbda@gmail.com</t>
  </si>
  <si>
    <t>suryam1353@gmail.com</t>
  </si>
  <si>
    <t>smsreedhark@gmail.com</t>
  </si>
  <si>
    <t>Murali Sreedhar</t>
  </si>
  <si>
    <t>nvsrama@hotmail.com</t>
  </si>
  <si>
    <t>Siddharth</t>
  </si>
  <si>
    <t xml:space="preserve">Hyderbad </t>
  </si>
  <si>
    <t>N. V S Rama Krishna, N Rama</t>
  </si>
  <si>
    <t xml:space="preserve">Nitindula </t>
  </si>
  <si>
    <t>polamraju.sriman@gmail.com</t>
  </si>
  <si>
    <t>Srimannarayana</t>
  </si>
  <si>
    <t>rssgeetha27@gmail.com</t>
  </si>
  <si>
    <t>Rallabandi</t>
  </si>
  <si>
    <t>Aaryan Swaroop</t>
  </si>
  <si>
    <t xml:space="preserve">Father : R.S.Srinivas ; Mother : R.S.S.Geetha </t>
  </si>
  <si>
    <t>Devachandra</t>
  </si>
  <si>
    <t>srkrishna51@yahoo.com</t>
  </si>
  <si>
    <t>Sangubhotla</t>
  </si>
  <si>
    <t xml:space="preserve">Hyderabad,India </t>
  </si>
  <si>
    <t>Sankhyayana</t>
  </si>
  <si>
    <t>vnpkumart@gmail.com</t>
  </si>
  <si>
    <t>Venkata Naga Purnananda Kumar</t>
  </si>
  <si>
    <t>somayajulumangipudi@gmail.com</t>
  </si>
  <si>
    <t>Somayajulu</t>
  </si>
  <si>
    <t>Devarathasa</t>
  </si>
  <si>
    <t>chillasri@gmail.com</t>
  </si>
  <si>
    <t>Chilla</t>
  </si>
  <si>
    <t>Srivatsasa</t>
  </si>
  <si>
    <t>ramkam63@yahoo.com</t>
  </si>
  <si>
    <t>Guthina</t>
  </si>
  <si>
    <t>Snt Ramarao</t>
  </si>
  <si>
    <t>sarma.mandalika@gmail.com</t>
  </si>
  <si>
    <t>Mandalika</t>
  </si>
  <si>
    <t>Venkata Subrahmanya Sarma</t>
  </si>
  <si>
    <t xml:space="preserve">Hyderabad, India </t>
  </si>
  <si>
    <t>Aathreyesa</t>
  </si>
  <si>
    <t>mvijayasaradhi@gmail.com</t>
  </si>
  <si>
    <t>Mudumba</t>
  </si>
  <si>
    <t>Vijayasaradhi</t>
  </si>
  <si>
    <t>vijaya2saradhi@yahoo.com</t>
  </si>
  <si>
    <t>Saketha Sisir</t>
  </si>
  <si>
    <t>Dr m Vijayasaradhi and Dr g Sujatha</t>
  </si>
  <si>
    <t>nvsramakanth@gmail.com</t>
  </si>
  <si>
    <t>Venkata Sai Rama Krishna</t>
  </si>
  <si>
    <t>Nitindula</t>
  </si>
  <si>
    <t>upendrakrishna.p@gmail.com</t>
  </si>
  <si>
    <t>Upendra</t>
  </si>
  <si>
    <t>viswanath1310@gmail.com</t>
  </si>
  <si>
    <t>Viswanath</t>
  </si>
  <si>
    <t>Lakshmi Maanas</t>
  </si>
  <si>
    <t>Kumar, (Late) Anusha</t>
  </si>
  <si>
    <t>prabhakar.jv@gmail.com</t>
  </si>
  <si>
    <t>Veera Prabhakar</t>
  </si>
  <si>
    <t>Slough, United Kingdom</t>
  </si>
  <si>
    <t>Subrahmanya Sarma Mandalika</t>
  </si>
  <si>
    <t>Kaushikasa, Sandilyasa</t>
  </si>
  <si>
    <t>tadimetirao@gmail.com</t>
  </si>
  <si>
    <t>Tadimeti</t>
  </si>
  <si>
    <t>Seetapati Rao</t>
  </si>
  <si>
    <t xml:space="preserve">San Diego, USA </t>
  </si>
  <si>
    <t>cnlkrao@gmail.com</t>
  </si>
  <si>
    <t>Kameswara Rao</t>
  </si>
  <si>
    <t/>
  </si>
  <si>
    <t>prabhakar.cheedella@gmail.com</t>
  </si>
  <si>
    <t>Vamaraju</t>
  </si>
  <si>
    <t>Chedella</t>
  </si>
  <si>
    <t>Hariharanadhasai</t>
  </si>
  <si>
    <t>Krishna Prasad.Tumuluri</t>
  </si>
  <si>
    <t xml:space="preserve">Bharadwajasa, Haritasa </t>
  </si>
  <si>
    <t>kamesh.cherukupalli@gmail.com</t>
  </si>
  <si>
    <t>Sownika</t>
  </si>
  <si>
    <t>vpavankumarmachiraju@gmail.com</t>
  </si>
  <si>
    <t>Venkatapavankumar</t>
  </si>
  <si>
    <t>mvks72@rediffmail.com</t>
  </si>
  <si>
    <t>Venkata Krishna Subrahmanyam</t>
  </si>
  <si>
    <t>mcsekharudu@gmail.com</t>
  </si>
  <si>
    <t>Chandrasekharudu</t>
  </si>
  <si>
    <t>ratnamkamesh4545@gmail.com</t>
  </si>
  <si>
    <t>Kakinada, Andhra Pradesh</t>
  </si>
  <si>
    <t>Brother of Mandalika Sarma</t>
  </si>
  <si>
    <t>Aathreyasa</t>
  </si>
  <si>
    <t>narayanan1178@gmail.com</t>
  </si>
  <si>
    <t>Amurthapuri</t>
  </si>
  <si>
    <t>Jaithra Narayanan</t>
  </si>
  <si>
    <t>Bharathi and narayanan</t>
  </si>
  <si>
    <t>watersolutions9@gmail.com</t>
  </si>
  <si>
    <t>Badampudi</t>
  </si>
  <si>
    <t>Sri Sanjay</t>
  </si>
  <si>
    <t>Kakinada, India</t>
  </si>
  <si>
    <t>Sri Sanjay Badampudi</t>
  </si>
  <si>
    <t>Kasyapasa, Parasara Gothram</t>
  </si>
  <si>
    <t>Surya Padmaja Badampudi, Pala sankara Satya Bhaskara Sarma Badampudi</t>
  </si>
  <si>
    <t>8th grade Student</t>
  </si>
  <si>
    <t>srikrishna.bvlnm@gmail.com</t>
  </si>
  <si>
    <t>Balajapalli</t>
  </si>
  <si>
    <t>V S Sriram Kumar</t>
  </si>
  <si>
    <t xml:space="preserve">Vijayalakshmi and Srikrishna </t>
  </si>
  <si>
    <t>Bhamidipalli</t>
  </si>
  <si>
    <t>Krishna Gopal</t>
  </si>
  <si>
    <t>Guttina s n t Ramarao</t>
  </si>
  <si>
    <t>Bharadwaja, Srivatsa</t>
  </si>
  <si>
    <t>KRISHNA GOPAL BHAMIDIPALLI</t>
  </si>
  <si>
    <t>Technician in HAL</t>
  </si>
  <si>
    <t>rushilbhogaraju@gmail.com</t>
  </si>
  <si>
    <t>Bhogaraju</t>
  </si>
  <si>
    <t>Sai Rushil</t>
  </si>
  <si>
    <t>Naga Swarith</t>
  </si>
  <si>
    <t>GR</t>
  </si>
  <si>
    <t>Vasanthi and Praveen</t>
  </si>
  <si>
    <t>Siripurapu Srinivasa Rao</t>
  </si>
  <si>
    <t>Madduri Rajendra Prasad</t>
  </si>
  <si>
    <t>duttalurirao@gmail.com</t>
  </si>
  <si>
    <t>Duttaluru</t>
  </si>
  <si>
    <t>Govindavajala</t>
  </si>
  <si>
    <t>Venkata Bapiraju</t>
  </si>
  <si>
    <t>grsmurthy@gmail.com</t>
  </si>
  <si>
    <t>GRS</t>
  </si>
  <si>
    <t>Hyderabad, india</t>
  </si>
  <si>
    <t>Gunturi</t>
  </si>
  <si>
    <t>Veera Venkata Surya Narayana Murthy</t>
  </si>
  <si>
    <t>Kakinda, Andhra Pradesh</t>
  </si>
  <si>
    <t>Cousin of Mandalika Sarma</t>
  </si>
  <si>
    <t>ananthjonnalagadda690@gmail.com</t>
  </si>
  <si>
    <t>Jonnalagadda</t>
  </si>
  <si>
    <t>Pattabhiram Karthik</t>
  </si>
  <si>
    <t>JV Ramagopal,Rajyalakshmi</t>
  </si>
  <si>
    <t>kndng22@gmail.com</t>
  </si>
  <si>
    <t>Kalpagur</t>
  </si>
  <si>
    <t>Hyderabad and india</t>
  </si>
  <si>
    <t xml:space="preserve">World brahamin society </t>
  </si>
  <si>
    <t>raghu.kannamadakala@gmail.com</t>
  </si>
  <si>
    <t>Kannamadakala</t>
  </si>
  <si>
    <t>Ramakrishna Nemani</t>
  </si>
  <si>
    <t>Srivatsasa, Shatamarshana</t>
  </si>
  <si>
    <t>k.sakethkrishna@gmail.com</t>
  </si>
  <si>
    <t>Saketh Krishna</t>
  </si>
  <si>
    <t>Hyderabad,India.</t>
  </si>
  <si>
    <t>K.chandra sekar,k.subhadra</t>
  </si>
  <si>
    <t>kalpagursrinivasrao@gmail.com</t>
  </si>
  <si>
    <t>Kondanagaru</t>
  </si>
  <si>
    <t>lksurya1975@gmail.com</t>
  </si>
  <si>
    <t>Lolla</t>
  </si>
  <si>
    <t>Surya Kiran</t>
  </si>
  <si>
    <t>India</t>
  </si>
  <si>
    <t>Sri.Sriman Narayana polam raju garu</t>
  </si>
  <si>
    <t>Koundinyasa, Sandilya</t>
  </si>
  <si>
    <t>mandalika53@yahoo.com</t>
  </si>
  <si>
    <t>Annapurna Sri Sai Srirama</t>
  </si>
  <si>
    <t>Kasimkota, Andhrapradesh</t>
  </si>
  <si>
    <t>Brother's Son of Mandalika Sarma</t>
  </si>
  <si>
    <t>Babayya of Mandalika Sarma</t>
  </si>
  <si>
    <t>Visakhapatnam. Andhra pradesh</t>
  </si>
  <si>
    <t>sarma.mas@gmail.com</t>
  </si>
  <si>
    <t>Annapurna Satya Prasad</t>
  </si>
  <si>
    <t>NO-INFO</t>
  </si>
  <si>
    <t>M V S Sarma</t>
  </si>
  <si>
    <t>annapurnamandalika66@gmail.com</t>
  </si>
  <si>
    <t>Annapurna</t>
  </si>
  <si>
    <t>M v s sarma</t>
  </si>
  <si>
    <t>murthy8881.mandalika@gmail.com</t>
  </si>
  <si>
    <t>Gopala Krishna Murthy</t>
  </si>
  <si>
    <t>ikcmleo@gmail.com</t>
  </si>
  <si>
    <t>Medicherla</t>
  </si>
  <si>
    <t>nishtala.vlnm@gmail.com</t>
  </si>
  <si>
    <t>Nishtala</t>
  </si>
  <si>
    <t>Friend of Mandalika Sarma</t>
  </si>
  <si>
    <t>gnanasidhartha002@gmail.com</t>
  </si>
  <si>
    <t>Nucherla</t>
  </si>
  <si>
    <t>Gnana Sidhartha</t>
  </si>
  <si>
    <t>H K Madhusudhan Rao Garu, Ananthapuram</t>
  </si>
  <si>
    <t>Srivatsasa, Srivatsasa</t>
  </si>
  <si>
    <t xml:space="preserve">Student - Horticulture </t>
  </si>
  <si>
    <t>srinivaas1966@gmail.com</t>
  </si>
  <si>
    <t>Palaparthi</t>
  </si>
  <si>
    <t>Srinivasarao</t>
  </si>
  <si>
    <t>peyyety2@gmail.com</t>
  </si>
  <si>
    <t>Peyyety</t>
  </si>
  <si>
    <t>anupama.prabhala@gmail.com</t>
  </si>
  <si>
    <t>Vikas</t>
  </si>
  <si>
    <t>Mumbai, India</t>
  </si>
  <si>
    <t>Balaram and Anupama Prabhala</t>
  </si>
  <si>
    <t>anu1973apr@gmail.com</t>
  </si>
  <si>
    <t>Balaram</t>
  </si>
  <si>
    <t>phani007.ramachandruni@gmail.com</t>
  </si>
  <si>
    <t>Ramachandruni</t>
  </si>
  <si>
    <t>Hyderabad,India</t>
  </si>
  <si>
    <t>prasadrsrk76@gmail.com</t>
  </si>
  <si>
    <t>S R K Prasad</t>
  </si>
  <si>
    <t xml:space="preserve">Mogallur </t>
  </si>
  <si>
    <t>R Viswanadharao R Seshamma</t>
  </si>
  <si>
    <t>R.P.Srinivas, R.T.Udayalakshmi</t>
  </si>
  <si>
    <t>saraswathula5@gmail.com</t>
  </si>
  <si>
    <t>Venkata Ramakrishna Tarun</t>
  </si>
  <si>
    <t>RATNASREE &amp; SATYAKUMAR SARASWATHULA</t>
  </si>
  <si>
    <t>saripalli_bokaro@yahoo.co.in</t>
  </si>
  <si>
    <t>Suryanarayan Murty</t>
  </si>
  <si>
    <t>Siddarth</t>
  </si>
  <si>
    <t>saiprasadsistla@gmail.com</t>
  </si>
  <si>
    <t>Gandhinagar,  India</t>
  </si>
  <si>
    <t>surabhimallik@gmail.com</t>
  </si>
  <si>
    <t>Surabhi</t>
  </si>
  <si>
    <t>Mallikharjuna</t>
  </si>
  <si>
    <t xml:space="preserve">Kanigiri. </t>
  </si>
  <si>
    <t>Vinupamula Ramakrishna  sarma</t>
  </si>
  <si>
    <t>kisnamyhero@gmail.com</t>
  </si>
  <si>
    <t>Krishnateja Sharma</t>
  </si>
  <si>
    <t>narasimhamapo@gmail.com</t>
  </si>
  <si>
    <t>Venkata Narasimham</t>
  </si>
  <si>
    <t>Nellore AP</t>
  </si>
  <si>
    <t>Polamraju Srima Narayana Hyderabad</t>
  </si>
  <si>
    <t>kptumuluri@gmail.com</t>
  </si>
  <si>
    <t>Krishna Prasad</t>
  </si>
  <si>
    <t>venki.vadla@gmail.com</t>
  </si>
  <si>
    <t>Vadla</t>
  </si>
  <si>
    <t>BANGALORE</t>
  </si>
  <si>
    <t>Madhusudan Rao</t>
  </si>
  <si>
    <t>Vishwamitra, Vishwamitra</t>
  </si>
  <si>
    <t>udai.valluru@gmail.com</t>
  </si>
  <si>
    <t>Valluru</t>
  </si>
  <si>
    <t>Udai Sai</t>
  </si>
  <si>
    <t>v_chakry@yahoo.com</t>
  </si>
  <si>
    <t>Vangipurapu</t>
  </si>
  <si>
    <t>Kalyana Chakravarti</t>
  </si>
  <si>
    <t>Sai Pranav</t>
  </si>
  <si>
    <t>vvrmurthy789@gmail.com</t>
  </si>
  <si>
    <t>Vemuri Venkata Ramana Murthy</t>
  </si>
  <si>
    <t>buzzvish@gmail.com</t>
  </si>
  <si>
    <t>Yanamandra</t>
  </si>
  <si>
    <t>Vishwanath</t>
  </si>
  <si>
    <t>+65</t>
  </si>
  <si>
    <t>Singapore</t>
  </si>
  <si>
    <t>sharat09@gmail.com</t>
  </si>
  <si>
    <t>Adavikolanu</t>
  </si>
  <si>
    <t>Dallas USA</t>
  </si>
  <si>
    <t>makkaraju@yahoo.com</t>
  </si>
  <si>
    <t>Akkaraju</t>
  </si>
  <si>
    <t>Madhusudhan</t>
  </si>
  <si>
    <t>Siva Pochimcherla garu</t>
  </si>
  <si>
    <t>murali.balijepally@yahoo.com</t>
  </si>
  <si>
    <t>Balijepally</t>
  </si>
  <si>
    <t>Austin TX</t>
  </si>
  <si>
    <t>Gautamasa</t>
  </si>
  <si>
    <t>kumar.challa@gmail.com</t>
  </si>
  <si>
    <t>Austin, TX USA</t>
  </si>
  <si>
    <t>jchallapalli2011@gmail.com</t>
  </si>
  <si>
    <t>Jogeswar</t>
  </si>
  <si>
    <t>vikas.dinavahi@gmail.com</t>
  </si>
  <si>
    <t>Raghavendra Vikas</t>
  </si>
  <si>
    <t>prasad.gvsrk@gmail.com</t>
  </si>
  <si>
    <t>Gudlavalleti</t>
  </si>
  <si>
    <t>abhishekkesanapalli@gmail.com</t>
  </si>
  <si>
    <t>Kesanapalli</t>
  </si>
  <si>
    <t>Austin, Texas, USA</t>
  </si>
  <si>
    <t xml:space="preserve">Gannavaram Maruthi </t>
  </si>
  <si>
    <t xml:space="preserve">Srivatsasa, Srivatyasa </t>
  </si>
  <si>
    <t>sgandluri2000@yahoo.com</t>
  </si>
  <si>
    <t>Gandluri</t>
  </si>
  <si>
    <t>Dallas, TX</t>
  </si>
  <si>
    <t>Thru Pravara vedika</t>
  </si>
  <si>
    <t>Aathreyesa, Kasyapasa</t>
  </si>
  <si>
    <t>k_rameshwar@hotmail.com</t>
  </si>
  <si>
    <t>Kramadhati</t>
  </si>
  <si>
    <t>Venkata Rameshwar</t>
  </si>
  <si>
    <t>KOUNDINYASA, SRIVATSASA, SALAVATSASA</t>
  </si>
  <si>
    <t>skuppamtu@gmail.com</t>
  </si>
  <si>
    <t>Northville, Michigan, USA</t>
  </si>
  <si>
    <t>srikanth.gorugantu@gmail.com</t>
  </si>
  <si>
    <t xml:space="preserve">Austin, USA </t>
  </si>
  <si>
    <t>chandra.malladi@gmail.com</t>
  </si>
  <si>
    <t>Chandra</t>
  </si>
  <si>
    <t>Novi, MI, USA</t>
  </si>
  <si>
    <t>emailmouli@gmail.com</t>
  </si>
  <si>
    <t>Padmasolala</t>
  </si>
  <si>
    <t>Keshav</t>
  </si>
  <si>
    <t>Dallas TX</t>
  </si>
  <si>
    <t>Chandramouli &amp; Pallavi</t>
  </si>
  <si>
    <t>Raghav</t>
  </si>
  <si>
    <t>sm.rayaprolu@gmail.com</t>
  </si>
  <si>
    <t>Irving, TX, USA</t>
  </si>
  <si>
    <t>Siva Pochemcharla</t>
  </si>
  <si>
    <t>srikommu@yahoo.com</t>
  </si>
  <si>
    <t>Kommu</t>
  </si>
  <si>
    <t>St. Louis, USA</t>
  </si>
  <si>
    <t>gmaruthis@yahoo.com</t>
  </si>
  <si>
    <t>Gannavaram</t>
  </si>
  <si>
    <t>Maruthi</t>
  </si>
  <si>
    <t>Austin, Texas</t>
  </si>
  <si>
    <t>Atreyasa</t>
  </si>
  <si>
    <t>English, Telugu, Sanskrit, Hindi</t>
  </si>
  <si>
    <t>veerananduri2@gmail.com</t>
  </si>
  <si>
    <t>Veera</t>
  </si>
  <si>
    <t xml:space="preserve">Austin &amp; USA </t>
  </si>
  <si>
    <t>nageshren@gmail.com</t>
  </si>
  <si>
    <t>Renduchintala</t>
  </si>
  <si>
    <t>Detroit, USA</t>
  </si>
  <si>
    <t>svkm@hotmail.com</t>
  </si>
  <si>
    <t>Surada</t>
  </si>
  <si>
    <t>Venkata Krishna</t>
  </si>
  <si>
    <t>srikrishnakanth@gmail.com</t>
  </si>
  <si>
    <t>Srikrishnakanth</t>
  </si>
  <si>
    <t>Boston,USA</t>
  </si>
  <si>
    <t>phanikowshik4u@gmail.com</t>
  </si>
  <si>
    <t>Alavakonda</t>
  </si>
  <si>
    <t>Bangalore, India</t>
  </si>
  <si>
    <t>Working in Bio Con, as Senior Manager</t>
  </si>
  <si>
    <t>tula1976@yahoo.co.in</t>
  </si>
  <si>
    <t>Amarvadi</t>
  </si>
  <si>
    <t>Kaushal</t>
  </si>
  <si>
    <t>Mahankali Ravikiran Garu</t>
  </si>
  <si>
    <t>Harithasa, Kousikasa</t>
  </si>
  <si>
    <t>Shailaja kumari &amp; Arunkumar</t>
  </si>
  <si>
    <t>lalith_as@yahoo.com</t>
  </si>
  <si>
    <t>Sai Lalith Chaitanya</t>
  </si>
  <si>
    <t>Srikanth Kommu</t>
  </si>
  <si>
    <t>Kaushikasa, Bharadwajasa</t>
  </si>
  <si>
    <t>Hardware Engineer, Bangalore</t>
  </si>
  <si>
    <t>harishsandilya@gmail.com</t>
  </si>
  <si>
    <t>Avadhanam</t>
  </si>
  <si>
    <t>Harish Sandilya</t>
  </si>
  <si>
    <t>Saandilyasa, Harithasa</t>
  </si>
  <si>
    <t>Novartis, Data Engineer</t>
  </si>
  <si>
    <t>sapra8484@gmail.com</t>
  </si>
  <si>
    <t>Buddhavarapu</t>
  </si>
  <si>
    <t>Sai Prashanth</t>
  </si>
  <si>
    <t>Sharath A</t>
  </si>
  <si>
    <t>Kashyapasa, Koundinyasa</t>
  </si>
  <si>
    <t>Devanagiri</t>
  </si>
  <si>
    <t>IT Audit</t>
  </si>
  <si>
    <t>manikanta94ch@gmail.com</t>
  </si>
  <si>
    <t>Chillara</t>
  </si>
  <si>
    <t>Manikanta</t>
  </si>
  <si>
    <t>Guntur</t>
  </si>
  <si>
    <t>WhatsApp group</t>
  </si>
  <si>
    <t>Koundinyasa, Haritasa</t>
  </si>
  <si>
    <t xml:space="preserve">Panchayat Secretary, Pattipadu </t>
  </si>
  <si>
    <t>ds.prithvi09@gmail.com</t>
  </si>
  <si>
    <t>Darvemula</t>
  </si>
  <si>
    <t>Satya Prithvi</t>
  </si>
  <si>
    <t>Chavali kameswara rao</t>
  </si>
  <si>
    <t>Vani Aparna Chavali &amp;  Srinivasa Phani</t>
  </si>
  <si>
    <t>8th Class</t>
  </si>
  <si>
    <t>suryam_davuluru@yahoo.co.in</t>
  </si>
  <si>
    <t>Davuluru</t>
  </si>
  <si>
    <t>Venkata Sree Rama Suryam</t>
  </si>
  <si>
    <t>CHAVALI KAMESWARA RAO</t>
  </si>
  <si>
    <t>Gautamasa, BHARADWAJA</t>
  </si>
  <si>
    <t>Retd. Canara Bank manager</t>
  </si>
  <si>
    <t>gaya3mahesh@gmail.com</t>
  </si>
  <si>
    <t>Gayatri Mahesh</t>
  </si>
  <si>
    <t>Bharadwajasa, Kaushikasa</t>
  </si>
  <si>
    <t>1. Xperi software company, 2 children</t>
  </si>
  <si>
    <t>Gayatri Mahesh Devarakonda</t>
  </si>
  <si>
    <t>Bharadwaja, Gargeya</t>
  </si>
  <si>
    <t>Renuka and Gayatri Mahesh Devarakonda</t>
  </si>
  <si>
    <t>4th standard student</t>
  </si>
  <si>
    <t>gannavaramsreekanth@yahoo.com</t>
  </si>
  <si>
    <t>Karthikeyan</t>
  </si>
  <si>
    <t>Maruthi Gannavaram</t>
  </si>
  <si>
    <t>Srivatsasa, Bharadwaja</t>
  </si>
  <si>
    <t>Inter second year</t>
  </si>
  <si>
    <t>gvvnharish@hotmail.com</t>
  </si>
  <si>
    <t>Tummuluri Krishna Prasad</t>
  </si>
  <si>
    <t>Kaundinya, Kaasyapa</t>
  </si>
  <si>
    <t>Harish Gantasala, Naga Harini Gantasala</t>
  </si>
  <si>
    <t>7th grade student</t>
  </si>
  <si>
    <t>garladinne.vijay@gmail.com</t>
  </si>
  <si>
    <t>Garladinne</t>
  </si>
  <si>
    <t>Vijay Bhaskar</t>
  </si>
  <si>
    <t>Chandrasekhar Adusumilli</t>
  </si>
  <si>
    <t>Income tax dept. Kawadiguda</t>
  </si>
  <si>
    <t>3r5attry@gmail.com</t>
  </si>
  <si>
    <t>Ghantasala</t>
  </si>
  <si>
    <t>Sistla sai prasad</t>
  </si>
  <si>
    <t>Gowtamasa, Kowsikasa</t>
  </si>
  <si>
    <t>muralighantasala@gmail.com</t>
  </si>
  <si>
    <t>Muralidhar</t>
  </si>
  <si>
    <t>Hyderabad , India</t>
  </si>
  <si>
    <t>BSPD</t>
  </si>
  <si>
    <t>Accounts</t>
  </si>
  <si>
    <t>neerajasarma330@gmail.com</t>
  </si>
  <si>
    <t>Aswanidath Madgula</t>
  </si>
  <si>
    <t>Kousikasa, Srivathasasa</t>
  </si>
  <si>
    <t>Neeraja, Sreedhar Sarma</t>
  </si>
  <si>
    <t>4th Grade</t>
  </si>
  <si>
    <t>suryanarayana.2011@gmail.com</t>
  </si>
  <si>
    <t>Goparaju</t>
  </si>
  <si>
    <t>Chavali Kameswara rao</t>
  </si>
  <si>
    <t>Koundinyasa, Koundinyasa</t>
  </si>
  <si>
    <t>Retired bank officer</t>
  </si>
  <si>
    <t>gortymuralidhar123@gmail.com</t>
  </si>
  <si>
    <t>Gorty</t>
  </si>
  <si>
    <t>Hyderabad lndia</t>
  </si>
  <si>
    <t>Vyomanath</t>
  </si>
  <si>
    <t>Haritasa, Bhradwaja</t>
  </si>
  <si>
    <t>Telugu Hindi english</t>
  </si>
  <si>
    <t>Advocate</t>
  </si>
  <si>
    <t>pawankumarjayanthi@gmail.com</t>
  </si>
  <si>
    <t>Santhosh</t>
  </si>
  <si>
    <t>Raman am a jayanthi</t>
  </si>
  <si>
    <t>koushikasa, Kounddinysa</t>
  </si>
  <si>
    <t>Krishna ya but veda</t>
  </si>
  <si>
    <t>Pawan Kumar jayanthi</t>
  </si>
  <si>
    <t>10the grade student</t>
  </si>
  <si>
    <t>jc.jonnalagadda@gmail.com</t>
  </si>
  <si>
    <t>Sriram Mandalika</t>
  </si>
  <si>
    <t>Koundinyasa, Srivatsasa</t>
  </si>
  <si>
    <t xml:space="preserve">TCS HR </t>
  </si>
  <si>
    <t>jnvsravankumar@gmail.com</t>
  </si>
  <si>
    <t>Sravan Kumar</t>
  </si>
  <si>
    <t>Veera Nanduri</t>
  </si>
  <si>
    <t>Assistant professor in CS in KITS engg</t>
  </si>
  <si>
    <t>vijju17@gmail.com</t>
  </si>
  <si>
    <t>Josyam</t>
  </si>
  <si>
    <t>Vijay Kumar</t>
  </si>
  <si>
    <t>Kutsasa, Koundinyasa</t>
  </si>
  <si>
    <t>Working in Bio Pharma field, Hyderabad.</t>
  </si>
  <si>
    <t>lakshminarayana423@gmail.com</t>
  </si>
  <si>
    <t>Sri Lakshmi Narayana Sharma</t>
  </si>
  <si>
    <t>Annappa Somayajulu Mangipudi</t>
  </si>
  <si>
    <t>Bharadwajasa, HARITHASA</t>
  </si>
  <si>
    <t>Employed in the pharma industry</t>
  </si>
  <si>
    <t>rabbuathisbest@gmail.com</t>
  </si>
  <si>
    <t>Kalapatapu</t>
  </si>
  <si>
    <t>Srinaga Bharath Chandra</t>
  </si>
  <si>
    <t>SrimanNarayana garu and Venkat garu</t>
  </si>
  <si>
    <t>Srivatsasa, Kaushikasa</t>
  </si>
  <si>
    <t>Automobile Engr, Pune</t>
  </si>
  <si>
    <t>prashanthi.kalluri@gmail.com</t>
  </si>
  <si>
    <t>Kalluri</t>
  </si>
  <si>
    <t>Sriram Dhanvi</t>
  </si>
  <si>
    <t>HYDERABAD,INDIA</t>
  </si>
  <si>
    <t>Sundari</t>
  </si>
  <si>
    <t>Kounsinyass, Bharadwasa</t>
  </si>
  <si>
    <t>English, hindi</t>
  </si>
  <si>
    <t>Prashanthi kalluri shrikant kalluri</t>
  </si>
  <si>
    <t>6th class</t>
  </si>
  <si>
    <t>Kasiraju</t>
  </si>
  <si>
    <t>Sai Shanmukh Ujwal</t>
  </si>
  <si>
    <t>Bspd</t>
  </si>
  <si>
    <t>Bharadwaj, Kowndinyasa</t>
  </si>
  <si>
    <t>Krishna yajurved</t>
  </si>
  <si>
    <t>Above 18 years</t>
  </si>
  <si>
    <t>Engineering</t>
  </si>
  <si>
    <t>kumaraswamylic@gmail.com</t>
  </si>
  <si>
    <t>Kumaraswamy</t>
  </si>
  <si>
    <t>Shyam. (My Home Jewel) Madinaguda</t>
  </si>
  <si>
    <t>Kasyapasa, Bharadwajasa</t>
  </si>
  <si>
    <t>Krishnayajurveda</t>
  </si>
  <si>
    <t>Telugu&amp; English</t>
  </si>
  <si>
    <t>praneethkavuluru@gmail.com</t>
  </si>
  <si>
    <t>Kavuluru</t>
  </si>
  <si>
    <t>Sistla venkata Narasimha sastry</t>
  </si>
  <si>
    <t>Haritasa, Srivatsasa</t>
  </si>
  <si>
    <t>Devanagari</t>
  </si>
  <si>
    <t>Sajana and Venkata Sivannarayana Kavuluru</t>
  </si>
  <si>
    <t>vyomanath@gmail.com</t>
  </si>
  <si>
    <t>Venkata Vyomanath</t>
  </si>
  <si>
    <t>Prabhakar cheedendla</t>
  </si>
  <si>
    <t>Kaasyapasa, Harithasa</t>
  </si>
  <si>
    <t>bhaskar8ks@gmail.com</t>
  </si>
  <si>
    <t>Srinivasa Bhaskar</t>
  </si>
  <si>
    <t>PRABHAKAR CHEEDELLA</t>
  </si>
  <si>
    <t>Kaasyapasa, HARITHASA</t>
  </si>
  <si>
    <t>dlsurekha@gmail.com</t>
  </si>
  <si>
    <t>Vallabh Sriram</t>
  </si>
  <si>
    <t xml:space="preserve">Hyderabad india </t>
  </si>
  <si>
    <t>Kaasyapasa, Srivastasa</t>
  </si>
  <si>
    <t>kvramana.iob@gmail.com</t>
  </si>
  <si>
    <t>Rajesh from USA</t>
  </si>
  <si>
    <t>Haritasa, Bhaaradwajasa</t>
  </si>
  <si>
    <t>Sai Ruthwik</t>
  </si>
  <si>
    <t>Harithasa, Koundinasaya</t>
  </si>
  <si>
    <t>Krishna Yajur Veda Taittariya Shaka</t>
  </si>
  <si>
    <t>Venkata Sri Sailaja</t>
  </si>
  <si>
    <t>5 /grade Student</t>
  </si>
  <si>
    <t>sudha81feb@gmail.com</t>
  </si>
  <si>
    <t>Lakkaraji</t>
  </si>
  <si>
    <t>Venkata Krishna Koushik</t>
  </si>
  <si>
    <t>Gorthi prasoona</t>
  </si>
  <si>
    <t>Koushikasa, Koundinuasa</t>
  </si>
  <si>
    <t>Sudha Rani Raghavendra Lakkaraju</t>
  </si>
  <si>
    <t>5th class student</t>
  </si>
  <si>
    <t>lollayashwanth@gmail.com</t>
  </si>
  <si>
    <t>Yashwanth</t>
  </si>
  <si>
    <t>Surya Kiran Lolla</t>
  </si>
  <si>
    <t>Koundinyasa, Kausika</t>
  </si>
  <si>
    <t>aswanidath2009@gmail.com</t>
  </si>
  <si>
    <t>Madgula</t>
  </si>
  <si>
    <t>Aswanidath</t>
  </si>
  <si>
    <t>Aathreyesa, Vasistha</t>
  </si>
  <si>
    <t>Pharma HR , Hyd</t>
  </si>
  <si>
    <t>aditya.mahankali@gmail.com</t>
  </si>
  <si>
    <t>Mahankali Ravi Kiran Sarma</t>
  </si>
  <si>
    <t>Kutsasa, Atreyasa</t>
  </si>
  <si>
    <t>Aditya Mahankali</t>
  </si>
  <si>
    <t>ramanamalladi76@gmail.com</t>
  </si>
  <si>
    <t>Hyderabad, INDIA</t>
  </si>
  <si>
    <t>MURALI GARU</t>
  </si>
  <si>
    <t>HARITHASA, HHARITHASA</t>
  </si>
  <si>
    <t>YAJURVEDA TAITTARIYA SHAKA</t>
  </si>
  <si>
    <t>TELUGU, HINDI</t>
  </si>
  <si>
    <t>manepallisivanagababu@gmail.com</t>
  </si>
  <si>
    <t>Manepalli</t>
  </si>
  <si>
    <t>Sameer</t>
  </si>
  <si>
    <t>Yanam,india</t>
  </si>
  <si>
    <t>Sameer Manepalli</t>
  </si>
  <si>
    <t>Bharadwajasa, Parasara gotram</t>
  </si>
  <si>
    <t>Mother name: Surya Kalavathi Manepalli , Father name: Satya Surya Siva Naga babu</t>
  </si>
  <si>
    <t>9th grade student</t>
  </si>
  <si>
    <t>Rama Surya Pranith</t>
  </si>
  <si>
    <t>Venkata Naga any Radha , somayajulu</t>
  </si>
  <si>
    <t>radhadhulipala@gmail.com</t>
  </si>
  <si>
    <t>From BSPD group</t>
  </si>
  <si>
    <t>Kowndinyasa, Haritasa</t>
  </si>
  <si>
    <t>Dhulipa Radha &amp; Manikonda Uma Maheswar</t>
  </si>
  <si>
    <t>7th class</t>
  </si>
  <si>
    <t>dineshmantripragada@gmail.com</t>
  </si>
  <si>
    <t>Mantripragada</t>
  </si>
  <si>
    <t>Pemmaraju Aasish Sharma</t>
  </si>
  <si>
    <t>Aathreyasa, Bharadwaja</t>
  </si>
  <si>
    <t xml:space="preserve">Ministry of Defence </t>
  </si>
  <si>
    <t>mokaralanagaraju@gmail.com</t>
  </si>
  <si>
    <t>Mokarala</t>
  </si>
  <si>
    <t>Mallikarjuna Nagaraju</t>
  </si>
  <si>
    <t>Sridhar garu</t>
  </si>
  <si>
    <t>Haritasa, Kuthusasa</t>
  </si>
  <si>
    <t>Was working with Genpact</t>
  </si>
  <si>
    <t>mokaralanataraju51@gmail.com</t>
  </si>
  <si>
    <t>Nataraju</t>
  </si>
  <si>
    <t>Ramakanth Narayanam</t>
  </si>
  <si>
    <t>Haritasa, Kuthasha</t>
  </si>
  <si>
    <t xml:space="preserve">Vendor Management </t>
  </si>
  <si>
    <t>adiseshu.mokkapati@gmail.com</t>
  </si>
  <si>
    <t>Adiseshu</t>
  </si>
  <si>
    <t>Sistla Sai Prasad</t>
  </si>
  <si>
    <t>Haritasa, Koundinyasa</t>
  </si>
  <si>
    <t>Insurance contracts</t>
  </si>
  <si>
    <t>vishnuchittan.m@gmail.com</t>
  </si>
  <si>
    <t>Mudrakartha</t>
  </si>
  <si>
    <t>Sri Advaytha Simha</t>
  </si>
  <si>
    <t>Anantapur</t>
  </si>
  <si>
    <t>Mudrakartha Vishnu chittan</t>
  </si>
  <si>
    <t>Kowshika, Paraasara</t>
  </si>
  <si>
    <t>M. Vishnu Chittan</t>
  </si>
  <si>
    <t>Vishnu Chittan</t>
  </si>
  <si>
    <t>Kaushikasa, Koundinyasa</t>
  </si>
  <si>
    <t>Kearney Analytics, In Bangalore</t>
  </si>
  <si>
    <t>radhika812@gmail.com</t>
  </si>
  <si>
    <t>Nanduru</t>
  </si>
  <si>
    <t>Sai Yajwin</t>
  </si>
  <si>
    <t>Hariharanath Sai Vamaraju</t>
  </si>
  <si>
    <t>Kausikasa, Harithasa</t>
  </si>
  <si>
    <t>Father name: Raja Sekhar Nanduru, Mother : Radhika</t>
  </si>
  <si>
    <t>nvskrao1959@gmail.com</t>
  </si>
  <si>
    <t>Venkata Satya Krishna Rao</t>
  </si>
  <si>
    <t>Haritasa, Bharadwaja</t>
  </si>
  <si>
    <t>Retired from Navy</t>
  </si>
  <si>
    <t>balaram.nistala@gmail.com</t>
  </si>
  <si>
    <t>Venkata Satya Balaram</t>
  </si>
  <si>
    <t>Nistala Venkata Satya Krishna Rao</t>
  </si>
  <si>
    <t>praneethsharma27@gmail.com</t>
  </si>
  <si>
    <t>Praneeth Sharma</t>
  </si>
  <si>
    <t>Website</t>
  </si>
  <si>
    <t>Aathreyesa, Vardhulasa</t>
  </si>
  <si>
    <t>IT professiona, Mindtree</t>
  </si>
  <si>
    <t>aasish.sharma20@gmail.com</t>
  </si>
  <si>
    <t>Pemmaraju</t>
  </si>
  <si>
    <t>Aasish Sharma</t>
  </si>
  <si>
    <t>Valluru Uday Sai</t>
  </si>
  <si>
    <t>Bharadwajasa, Kanvasa</t>
  </si>
  <si>
    <t>Works for Ops team in Statestreet</t>
  </si>
  <si>
    <t>pendyalajmr@gmail.com</t>
  </si>
  <si>
    <t>Pendyala</t>
  </si>
  <si>
    <t>Jagan Mohana Ramu</t>
  </si>
  <si>
    <t>Detroit, Michigan</t>
  </si>
  <si>
    <t>Koundinyasa, Harithasa</t>
  </si>
  <si>
    <t>Tech Mahindra, Sr Systems Analyst</t>
  </si>
  <si>
    <t>abhirampendyala0807@gmail.com</t>
  </si>
  <si>
    <t>Gangaraju Nanduri</t>
  </si>
  <si>
    <t>Koundinyasa, Haridasa</t>
  </si>
  <si>
    <t>Krishna Yejurveda</t>
  </si>
  <si>
    <t>Ramu Pendyala , Sravani Pendyala</t>
  </si>
  <si>
    <t>11th grade student</t>
  </si>
  <si>
    <t>penumarthyrani@gmail.com</t>
  </si>
  <si>
    <t>GOLLAKOTA VASAVI</t>
  </si>
  <si>
    <t>KOUNDINYA, KASHYAPA</t>
  </si>
  <si>
    <t>KRISHNA YAJURVEDA</t>
  </si>
  <si>
    <t>NAGARANI and. NIRANJANA PENUMARTHY</t>
  </si>
  <si>
    <t>STUDENT, VIII CLASS</t>
  </si>
  <si>
    <t>rajagopalpvn@gmail.com</t>
  </si>
  <si>
    <t>Pillalamarri</t>
  </si>
  <si>
    <t>kameswararao cherukupalli</t>
  </si>
  <si>
    <t>Kaushikasa, Koudinyasa</t>
  </si>
  <si>
    <t>Works in Citi Bank</t>
  </si>
  <si>
    <t>plalitha1957@gmail.com</t>
  </si>
  <si>
    <t>Hruthik Roshan</t>
  </si>
  <si>
    <t>Lalitha</t>
  </si>
  <si>
    <t>Gauthamasya, Srivathsasa</t>
  </si>
  <si>
    <t>Pingali lalitha</t>
  </si>
  <si>
    <t>10th grade studentpla</t>
  </si>
  <si>
    <t>harishprasadp@gmail.com</t>
  </si>
  <si>
    <t>Popuri</t>
  </si>
  <si>
    <t>Harish Prasad</t>
  </si>
  <si>
    <t>Prashanthi Kalluri</t>
  </si>
  <si>
    <t>Bharadwajasa, Kasyapasa</t>
  </si>
  <si>
    <t>TeluguTelugu</t>
  </si>
  <si>
    <t>Harish Prasad Popuri</t>
  </si>
  <si>
    <t>koundinya.sri@gmail.com</t>
  </si>
  <si>
    <t>Venkat Sai Kamesh Sri Krishna Souri</t>
  </si>
  <si>
    <t>GOPAL</t>
  </si>
  <si>
    <t>KOUNDINYASA, Bharadwaja</t>
  </si>
  <si>
    <t>POTHARJU JYOTHIRMAYEE, POTHARAJU VENKATA NARADA SRI KOUNDINYA</t>
  </si>
  <si>
    <t>PRIVATE JOB MANAGER</t>
  </si>
  <si>
    <t>p.rajalingamgari@gmail.com</t>
  </si>
  <si>
    <t>Rajalingamgari</t>
  </si>
  <si>
    <t>Venkata Satyanarayana Vara Prasad</t>
  </si>
  <si>
    <t>Corvallis, Oregon, USA</t>
  </si>
  <si>
    <t>Kashyapasa, Sri Vathsasa</t>
  </si>
  <si>
    <t>Graduate Student</t>
  </si>
  <si>
    <t>harisumanth@gmail.com</t>
  </si>
  <si>
    <t>Rajanampalli</t>
  </si>
  <si>
    <t>Hari Sumanth</t>
  </si>
  <si>
    <t>Srivatsasa, Bhardhwaja</t>
  </si>
  <si>
    <t>Software Employee in Tech Mahindra</t>
  </si>
  <si>
    <t>kaushik.sairam@gmail.com</t>
  </si>
  <si>
    <t>Ratnagiri</t>
  </si>
  <si>
    <t>Krishna Kaushik</t>
  </si>
  <si>
    <t>Kaushikasa, Baradwajasa</t>
  </si>
  <si>
    <t>svvs.sudhir@gmail.com</t>
  </si>
  <si>
    <t>Salagrama</t>
  </si>
  <si>
    <t>Sudhir</t>
  </si>
  <si>
    <t>whatsappchannel</t>
  </si>
  <si>
    <t>Vasishtasa, Bharadwaja</t>
  </si>
  <si>
    <t>surya.sannidhi@gmail.com</t>
  </si>
  <si>
    <t>Sannidhi</t>
  </si>
  <si>
    <t>HYDERABAD, INDIA</t>
  </si>
  <si>
    <t>GOOGLE SEARCH</t>
  </si>
  <si>
    <t>Srivatsasa, KASYAPASA</t>
  </si>
  <si>
    <t>OFFICE MANAGER FOR A PRIVATE COMANY</t>
  </si>
  <si>
    <t>revathig1026@gmail.com</t>
  </si>
  <si>
    <t>Sai Pavan</t>
  </si>
  <si>
    <t>My teacher</t>
  </si>
  <si>
    <t>Bharadwajasa, Kousigasa</t>
  </si>
  <si>
    <t>Revathi siva kameswari vamsee krishna</t>
  </si>
  <si>
    <t>Test.engineer</t>
  </si>
  <si>
    <t>kaushiksripada2007@gmail.com</t>
  </si>
  <si>
    <t>Chandigarh, India</t>
  </si>
  <si>
    <t>Kaushik Sripada</t>
  </si>
  <si>
    <t>Kaushikasa, Vardulasa</t>
  </si>
  <si>
    <t>Deepa Sripada and Ramasastry Sripada</t>
  </si>
  <si>
    <t>9th Grade Student</t>
  </si>
  <si>
    <t>devachandra.swayampakula@gmail.com</t>
  </si>
  <si>
    <t>SITARAM MAHANKALI</t>
  </si>
  <si>
    <t>KASYAPASA, BHARADWAJA</t>
  </si>
  <si>
    <t>STUDENT</t>
  </si>
  <si>
    <t>ajayswayampakula@gmail.com</t>
  </si>
  <si>
    <t>Ajay Kumar</t>
  </si>
  <si>
    <t>KASYAPASA, BHARADWAJASA</t>
  </si>
  <si>
    <t>KRISHNA YAJUE VEDA</t>
  </si>
  <si>
    <t>PUROHITH</t>
  </si>
  <si>
    <t>raots.2009@gmail.com</t>
  </si>
  <si>
    <t>Tummalapalli</t>
  </si>
  <si>
    <t>Employed in Govt - ITO</t>
  </si>
  <si>
    <t>tumu.vrk@gmail.com</t>
  </si>
  <si>
    <t>Vijaya Bhaskar Garladinne</t>
  </si>
  <si>
    <t>Parasara, Bharadwajasa</t>
  </si>
  <si>
    <t>Journalist. Involved in lot of Dharmic activities</t>
  </si>
  <si>
    <t>san.v.kum@gmail.com</t>
  </si>
  <si>
    <t>Vachaspati</t>
  </si>
  <si>
    <t>Sanjay</t>
  </si>
  <si>
    <t>Hindupur, India</t>
  </si>
  <si>
    <t>Vishwamitra, Aatreyasa</t>
  </si>
  <si>
    <t>Hardware company</t>
  </si>
  <si>
    <t>saiswara92@gmail.com</t>
  </si>
  <si>
    <t>Sai Swaroop</t>
  </si>
  <si>
    <t>Banglore</t>
  </si>
  <si>
    <t>Vishwamitra, Atreyasa</t>
  </si>
  <si>
    <t>Software Company</t>
  </si>
  <si>
    <t>rkbs.vadapallisai@gmail.com</t>
  </si>
  <si>
    <t>Bhaskara Rao</t>
  </si>
  <si>
    <t>NARSIPATNAM</t>
  </si>
  <si>
    <t>Mandalika sarma</t>
  </si>
  <si>
    <t>Kaasyapasa, Atreyasa</t>
  </si>
  <si>
    <t>1. Gayatri college Lecturer/</t>
  </si>
  <si>
    <t>nar321321@gmail.com</t>
  </si>
  <si>
    <t>Venkata Karthikeya Narayan</t>
  </si>
  <si>
    <t>Ravikiran Mahankali</t>
  </si>
  <si>
    <t>Kasyapasa, Koundinyasa</t>
  </si>
  <si>
    <t>kmvadrevu58@gmail.com</t>
  </si>
  <si>
    <t>Vadrevu</t>
  </si>
  <si>
    <t>Krishna Mohan</t>
  </si>
  <si>
    <t>Sridar</t>
  </si>
  <si>
    <t>Parashara, Koundinya</t>
  </si>
  <si>
    <t>Retired from Singereni colleries</t>
  </si>
  <si>
    <t>sai97.vamaraju@gmail.com</t>
  </si>
  <si>
    <t>Udai Sai Valluru</t>
  </si>
  <si>
    <t>Bharadwajasa, Parasara</t>
  </si>
  <si>
    <t>M. Tech and taking up a job shortly</t>
  </si>
  <si>
    <t>chandu8.varanasi@gmail.com</t>
  </si>
  <si>
    <t>Vidyaaditya</t>
  </si>
  <si>
    <t>Raviteja</t>
  </si>
  <si>
    <t>Harithasa, Vaardhulasa</t>
  </si>
  <si>
    <t>Varanasi Chandana varanasi shivakumar</t>
  </si>
  <si>
    <t>9th grade</t>
  </si>
  <si>
    <t>varanasi.somanath@gmail.com</t>
  </si>
  <si>
    <t>Ramakrishna Somanath</t>
  </si>
  <si>
    <t>Kommu Dakshinamurthy</t>
  </si>
  <si>
    <t>Gautamasa, Bhardwajasa</t>
  </si>
  <si>
    <t>Krishna yajur vedu</t>
  </si>
  <si>
    <t>Hindi, Sanskrit</t>
  </si>
  <si>
    <t>It industry</t>
  </si>
  <si>
    <t>vskiran19in@gmail.com</t>
  </si>
  <si>
    <t>Vellanki</t>
  </si>
  <si>
    <t>Vellanki Karteek</t>
  </si>
  <si>
    <t>Koundinyasa, SriVatsasa</t>
  </si>
  <si>
    <t>kpatnam@gmail.com</t>
  </si>
  <si>
    <t>Sri Guru Charan</t>
  </si>
  <si>
    <t>Vellanki Kiran</t>
  </si>
  <si>
    <t>KOUNDINYASA, Sri Vatsasa</t>
  </si>
  <si>
    <t>vkartheek1990@gmail.com</t>
  </si>
  <si>
    <t>Karthikeya Sarma</t>
  </si>
  <si>
    <t>Penukonda</t>
  </si>
  <si>
    <t>Junior Lawyer</t>
  </si>
  <si>
    <t>ushakalyani555@gmail.com</t>
  </si>
  <si>
    <t>Yelepavanam</t>
  </si>
  <si>
    <t>Sai Aryan Sharma</t>
  </si>
  <si>
    <t xml:space="preserve">Y v srikar </t>
  </si>
  <si>
    <t>Salavatsasa, BHARADWAJASA</t>
  </si>
  <si>
    <t>sreerama.adusumilli@gmail.com</t>
  </si>
  <si>
    <t>Adusumilli</t>
  </si>
  <si>
    <t>Sree Rama Krishna</t>
  </si>
  <si>
    <t>Fortmill, Charlotte</t>
  </si>
  <si>
    <t>Sai Pavan Kumar (brother)</t>
  </si>
  <si>
    <t>Haritasa, Bharadwajasa</t>
  </si>
  <si>
    <t>Bank of America, Leadership Position</t>
  </si>
  <si>
    <t>saipavan@gmail.com</t>
  </si>
  <si>
    <t>Pravara Vedika (Naga Madugula)</t>
  </si>
  <si>
    <t>Bank of America, Technical Position</t>
  </si>
  <si>
    <t>akellavenkat.hyd@gmail.com</t>
  </si>
  <si>
    <t>Venkateswar Rao</t>
  </si>
  <si>
    <t>Raleigh, North Carolina</t>
  </si>
  <si>
    <t>Pravara vedika</t>
  </si>
  <si>
    <t>Haritasa, Kousigasa</t>
  </si>
  <si>
    <t>Cisco IT</t>
  </si>
  <si>
    <t>ravibhag@yahoo.com</t>
  </si>
  <si>
    <t>Bhagavathula</t>
  </si>
  <si>
    <t>Naperville, IL, USA</t>
  </si>
  <si>
    <t>Sree Rama Krishna Adusumilli</t>
  </si>
  <si>
    <t>Saandilyasa, Bharadwajasa</t>
  </si>
  <si>
    <t>Chicago, IT Job, Devatarchana by Tatagaru</t>
  </si>
  <si>
    <t>laxmi_bhamidipati@yahoo.com</t>
  </si>
  <si>
    <t>Bhamidipati</t>
  </si>
  <si>
    <t>Laxmi Narasimha Kameswara Sreenivas</t>
  </si>
  <si>
    <t>Siva Pochimcharla</t>
  </si>
  <si>
    <t>Gaargeyasa, Koundinyasa</t>
  </si>
  <si>
    <t>Accountant, CPA</t>
  </si>
  <si>
    <t>balamouli@gmail.com</t>
  </si>
  <si>
    <t>Burla</t>
  </si>
  <si>
    <t>Balendu Mouli</t>
  </si>
  <si>
    <t>Bharadwajasa, Kowdanyasya</t>
  </si>
  <si>
    <t>Intel</t>
  </si>
  <si>
    <t>devakidevi.p@gmail.com</t>
  </si>
  <si>
    <t>Chennapragada</t>
  </si>
  <si>
    <t>Sreevishnu Teja Pranav</t>
  </si>
  <si>
    <t>Bhardawajasa, Haritasa</t>
  </si>
  <si>
    <t>Devaki devi palepu</t>
  </si>
  <si>
    <t>adendukuri@gmail.com</t>
  </si>
  <si>
    <t>Arun</t>
  </si>
  <si>
    <t>Murali Balijepalli</t>
  </si>
  <si>
    <t>Yaasakasa, Gouthamasa</t>
  </si>
  <si>
    <t>sastry48@gmail.com</t>
  </si>
  <si>
    <t>Dhavala</t>
  </si>
  <si>
    <t>Sridhar Sastry</t>
  </si>
  <si>
    <t>Vaadhulasa, Koundinyasa</t>
  </si>
  <si>
    <t>AT&amp;T, Principle SE</t>
  </si>
  <si>
    <t>Mayukh</t>
  </si>
  <si>
    <t>Raghavendra Dinavahi</t>
  </si>
  <si>
    <t>Haritasa, Athreyasa</t>
  </si>
  <si>
    <t>mahesh_ganti@yahoo.com</t>
  </si>
  <si>
    <t>Umamahesh</t>
  </si>
  <si>
    <t>Siva Pochamcherla</t>
  </si>
  <si>
    <t>Vaadhulasa, Bharadwaja</t>
  </si>
  <si>
    <t>venkatesh.gh2@gmail.com</t>
  </si>
  <si>
    <t>Cary, North Carolina</t>
  </si>
  <si>
    <t>Sri Gurubhyo Namaha group</t>
  </si>
  <si>
    <t>Kanva, Kashyapa</t>
  </si>
  <si>
    <t>kmgobburu@gmail.com</t>
  </si>
  <si>
    <t>Bharadwajasa, Koundinasya</t>
  </si>
  <si>
    <t>Independent consulting</t>
  </si>
  <si>
    <t>nageshgollapudi@msn.com</t>
  </si>
  <si>
    <t>Bellevue WA PST</t>
  </si>
  <si>
    <t>Narsimhakumar Sista</t>
  </si>
  <si>
    <t>Accenture, Program Management</t>
  </si>
  <si>
    <t>Austin, TX, USA</t>
  </si>
  <si>
    <t>Srivatsasa, Atreyasa</t>
  </si>
  <si>
    <t>Srikanth Gorugantu, Aditya Valli Duvvuri</t>
  </si>
  <si>
    <t>prasad_jsp@yahoo.com</t>
  </si>
  <si>
    <t>Josyabhatla</t>
  </si>
  <si>
    <t>Weston, USA</t>
  </si>
  <si>
    <t>Pravara Vedika</t>
  </si>
  <si>
    <t>Aathreyesa, Bharadwaja</t>
  </si>
  <si>
    <t>Citi Group, Warangal. 2 sons - college</t>
  </si>
  <si>
    <t>krishna.inf6@gmail.com</t>
  </si>
  <si>
    <t>Kolluri</t>
  </si>
  <si>
    <t>Aneesh</t>
  </si>
  <si>
    <t>Leander</t>
  </si>
  <si>
    <t>Krishna Kolluri</t>
  </si>
  <si>
    <t>Bharadwajasa, haritasa</t>
  </si>
  <si>
    <t>Krishna Yajurveda taittariya</t>
  </si>
  <si>
    <t>Krishna Mohan Kolluri</t>
  </si>
  <si>
    <t>Electronic Arts</t>
  </si>
  <si>
    <t>kommven@gmail.com</t>
  </si>
  <si>
    <t>Venkata Raghu</t>
  </si>
  <si>
    <t>Dallas, USA</t>
  </si>
  <si>
    <t>Siva Rama Krishna pochimcherla</t>
  </si>
  <si>
    <t>Kaasyapasa, Bharadwaja</t>
  </si>
  <si>
    <t>IT Corporate USAA San Antonio</t>
  </si>
  <si>
    <t>nareshmahavadi@gmail.com</t>
  </si>
  <si>
    <t>Mahavadi</t>
  </si>
  <si>
    <t>Nageshwara potukuchi</t>
  </si>
  <si>
    <t>Gautamasa, Srivatsasa</t>
  </si>
  <si>
    <t>Fidelity Investments, DBA</t>
  </si>
  <si>
    <t>smangalampalli@yahoo.com</t>
  </si>
  <si>
    <t>Mangalampalli</t>
  </si>
  <si>
    <t>Sambasiva</t>
  </si>
  <si>
    <t>Orlando, USA</t>
  </si>
  <si>
    <t>Pravara vedika whatsapp group</t>
  </si>
  <si>
    <t>Haritasa, Sandilya</t>
  </si>
  <si>
    <t>Fedex IT</t>
  </si>
  <si>
    <t>sasidhar.mannava@gmail.com</t>
  </si>
  <si>
    <t>Sasidhar</t>
  </si>
  <si>
    <t>Troy, Michigan</t>
  </si>
  <si>
    <t>Venkatachalam</t>
  </si>
  <si>
    <t>Gautamasa, Vaadhulasa</t>
  </si>
  <si>
    <t>Grew up in Tenali.  TCS IT</t>
  </si>
  <si>
    <t>umeshmo@hotmail.com</t>
  </si>
  <si>
    <t>Mokate</t>
  </si>
  <si>
    <t>Umesh</t>
  </si>
  <si>
    <t>Seattle, USA</t>
  </si>
  <si>
    <t>Nageshwarakumar Potukuchi</t>
  </si>
  <si>
    <t>Bharadwajasa, don't know</t>
  </si>
  <si>
    <t>Devnagari only</t>
  </si>
  <si>
    <t>IT professional +  teaches highschool math</t>
  </si>
  <si>
    <t>Srivatsasa, Harithasa</t>
  </si>
  <si>
    <t>Devanagari, English</t>
  </si>
  <si>
    <t>Veera Nanduri, Neelima Nanduri</t>
  </si>
  <si>
    <t>9th Grade</t>
  </si>
  <si>
    <t>dheeshn@gmail.com</t>
  </si>
  <si>
    <t>Sthitadheesh</t>
  </si>
  <si>
    <t xml:space="preserve">Austin, Texas USA </t>
  </si>
  <si>
    <t>Maruti Gannavaram</t>
  </si>
  <si>
    <t>Bhaaradhvaajasa, Kaashyapasa</t>
  </si>
  <si>
    <t>Devanagari, Telugu</t>
  </si>
  <si>
    <t>snuthalapati@gmail.com</t>
  </si>
  <si>
    <t>Mouli</t>
  </si>
  <si>
    <t>Aatreyasa, Srivatsasa</t>
  </si>
  <si>
    <t>pendyalark@gmail.com</t>
  </si>
  <si>
    <t>Chicago, USA</t>
  </si>
  <si>
    <t>Ramu Pendyala</t>
  </si>
  <si>
    <t>Koundinyasa, Sri Vatsasa</t>
  </si>
  <si>
    <t>Accenture</t>
  </si>
  <si>
    <t>spingali@gmail.com</t>
  </si>
  <si>
    <t>Srihari</t>
  </si>
  <si>
    <t>Bharadwajasa, Bharadwajasa</t>
  </si>
  <si>
    <t>Working in General Motors</t>
  </si>
  <si>
    <t>pogaru@duck.com</t>
  </si>
  <si>
    <t>Pogaru</t>
  </si>
  <si>
    <t>Raghavendra Santosh</t>
  </si>
  <si>
    <t>AUSTIN, TEXAS, USA</t>
  </si>
  <si>
    <t>SRIKANTH GORUGANTU</t>
  </si>
  <si>
    <t>Product Engineer at CC Robotics</t>
  </si>
  <si>
    <t>nkp1014@gmail.com</t>
  </si>
  <si>
    <t>Nageshwara Kumar</t>
  </si>
  <si>
    <t>Adusumilli Sai Pavan Kumar</t>
  </si>
  <si>
    <t>TMobile, Product Manager</t>
  </si>
  <si>
    <t>ujwal.punya@gmail.com</t>
  </si>
  <si>
    <t>Ujwal</t>
  </si>
  <si>
    <t>Boston, USA</t>
  </si>
  <si>
    <t>Kowsikasa, Gautamasa</t>
  </si>
  <si>
    <t>Telugu and Devanagari</t>
  </si>
  <si>
    <t>Research Technician</t>
  </si>
  <si>
    <t>rayaprolupavankumar@gmail.com</t>
  </si>
  <si>
    <t>Katy,United States</t>
  </si>
  <si>
    <t>Kameswara Rao Cherukupalli</t>
  </si>
  <si>
    <t>Athreyasa, Harithasa</t>
  </si>
  <si>
    <t>Program Manager/ Account Manager</t>
  </si>
  <si>
    <t>nsaripalle@gmail.com</t>
  </si>
  <si>
    <t>Saripalle</t>
  </si>
  <si>
    <t>Varthulasa, Bhardwaja</t>
  </si>
  <si>
    <t>Financing, IT</t>
  </si>
  <si>
    <t>rahulsista762@gmail.com</t>
  </si>
  <si>
    <t>Sista</t>
  </si>
  <si>
    <t>Rahul</t>
  </si>
  <si>
    <t>Redmond, WA, USA</t>
  </si>
  <si>
    <t>Narasimha Kumar Sista</t>
  </si>
  <si>
    <t>Going to college, under grad 3rd year</t>
  </si>
  <si>
    <t>yesvnn@gmail.com</t>
  </si>
  <si>
    <t xml:space="preserve">Wipro </t>
  </si>
  <si>
    <t>ravi.somag@gmail.com</t>
  </si>
  <si>
    <t>Somaghatta</t>
  </si>
  <si>
    <t>Plainsboro, NJ, USA. EST</t>
  </si>
  <si>
    <t>Chandra Sekhar Malladi</t>
  </si>
  <si>
    <t>Gautamasa, Moudhgalesya</t>
  </si>
  <si>
    <t>syamug@gmail.com</t>
  </si>
  <si>
    <t>Telakapalli</t>
  </si>
  <si>
    <t>Krishna S</t>
  </si>
  <si>
    <t>Atlanta, GA, USA</t>
  </si>
  <si>
    <t>Shiva ram garu</t>
  </si>
  <si>
    <t>Sandilya, Lohithasa</t>
  </si>
  <si>
    <t>English, little telugu</t>
  </si>
  <si>
    <t>Syamala, Ravi</t>
  </si>
  <si>
    <t>Rising 11 grade</t>
  </si>
  <si>
    <t>Atlanta, GA USA</t>
  </si>
  <si>
    <t>Sree Dattareya</t>
  </si>
  <si>
    <t>Saandilyasa, Kasyapasa</t>
  </si>
  <si>
    <t>Doctor</t>
  </si>
  <si>
    <t>amal.sastry@gmail.com</t>
  </si>
  <si>
    <t>Amal</t>
  </si>
  <si>
    <t>Minneapolis, USA</t>
  </si>
  <si>
    <t>Haritasa, Gautamisa</t>
  </si>
  <si>
    <t>Avinash Sastry, Srilakshmi Sastry</t>
  </si>
  <si>
    <t>sidd.sastry@gmail.com</t>
  </si>
  <si>
    <t>Siddhardha</t>
  </si>
  <si>
    <t>avaliveti@gmail.com</t>
  </si>
  <si>
    <t>Plano TX USA</t>
  </si>
  <si>
    <t>Radhika Ambatipudi</t>
  </si>
  <si>
    <t>Gautamasa, Haritasa</t>
  </si>
  <si>
    <t>Naga Pratibha Vempati, Aswani Kumar Valiveti</t>
  </si>
  <si>
    <t>dakshina.murthy@gmail.com</t>
  </si>
  <si>
    <t>The Woodlands, TX, USA</t>
  </si>
  <si>
    <t>Laxmi Bhamidipati</t>
  </si>
  <si>
    <t>Gowthamasa, Harithasa</t>
  </si>
  <si>
    <t>Sunitha Valiveti, Dakshinamurthy Valiveti</t>
  </si>
  <si>
    <t>Research</t>
  </si>
  <si>
    <t>aavankayala@gmail.com</t>
  </si>
  <si>
    <t>Vankayala</t>
  </si>
  <si>
    <t>Ashwin Athreya</t>
  </si>
  <si>
    <t>Lynnwood, USA</t>
  </si>
  <si>
    <t>RK Pochincherla</t>
  </si>
  <si>
    <t>Atreyasa, Koundinyasa</t>
  </si>
  <si>
    <t>svelamuri1@gmail.com</t>
  </si>
  <si>
    <t>Velamuri</t>
  </si>
  <si>
    <t>KYV Taittiriya</t>
  </si>
  <si>
    <t>pveluri@gmail.com</t>
  </si>
  <si>
    <t>Veluri</t>
  </si>
  <si>
    <t xml:space="preserve">Charlotte, USA </t>
  </si>
  <si>
    <t>Pavan Adusumilli</t>
  </si>
  <si>
    <t>Bank of America</t>
  </si>
  <si>
    <t>nsammu@gmail.com</t>
  </si>
  <si>
    <t>Ammu</t>
  </si>
  <si>
    <t>Nrusimham</t>
  </si>
  <si>
    <t>Ammu Jayaprakash</t>
  </si>
  <si>
    <t>Vadhulasa, Koundinyasa</t>
  </si>
  <si>
    <t>Software professional</t>
  </si>
  <si>
    <t>lakshmikanth2001@gmail.com</t>
  </si>
  <si>
    <t>Ayyadevara</t>
  </si>
  <si>
    <t>Lakshmikanth</t>
  </si>
  <si>
    <t>Ayyadevara lakshmikanth sharma</t>
  </si>
  <si>
    <t>bharthvagasa gothram, gauthamasa gothram, N/A</t>
  </si>
  <si>
    <t>telugu,english,hindhi</t>
  </si>
  <si>
    <t>Software developer</t>
  </si>
  <si>
    <t>nagendra.ayyagari@gmail.com</t>
  </si>
  <si>
    <t>Nagender Kumar</t>
  </si>
  <si>
    <t>Koundinya sagotram, Vadhula sagotram</t>
  </si>
  <si>
    <t>Krishna Yajurvediya Taittariya Shakha</t>
  </si>
  <si>
    <t>Telugu, Devanagari</t>
  </si>
  <si>
    <t>lalithsharan@gmail.com</t>
  </si>
  <si>
    <t>Lalith Sharan</t>
  </si>
  <si>
    <t>Suryanarayana velamuri</t>
  </si>
  <si>
    <t>Parasara, Lohita, Srivatsa</t>
  </si>
  <si>
    <t>urwithsantosh007@gmail.com</t>
  </si>
  <si>
    <t>Bhagavatula</t>
  </si>
  <si>
    <t>INDIA</t>
  </si>
  <si>
    <t>R K V PAVAN KUMAR</t>
  </si>
  <si>
    <t>SANDILYASA, Bharadwaja</t>
  </si>
  <si>
    <t>VADIKA VELNADU</t>
  </si>
  <si>
    <t>satya2884@gmail.com</t>
  </si>
  <si>
    <t>C.gopal</t>
  </si>
  <si>
    <t>Sandilyasa, Kowndinyasa, Gowtamasa</t>
  </si>
  <si>
    <t>Telugu, devanagari</t>
  </si>
  <si>
    <t>Lecturer</t>
  </si>
  <si>
    <t>bsbabu5820@gmail.com</t>
  </si>
  <si>
    <t>Srinivas Babu</t>
  </si>
  <si>
    <t>M V KRISHNA MADDURI</t>
  </si>
  <si>
    <t>BHARADWAJASA, KASYAPASA, HARITASA</t>
  </si>
  <si>
    <t>TEACHER</t>
  </si>
  <si>
    <t>shrikanta79@gmail.com</t>
  </si>
  <si>
    <t>Tejas</t>
  </si>
  <si>
    <t>Chandrashekhar malladi</t>
  </si>
  <si>
    <t>Bharadwaja, Koushika</t>
  </si>
  <si>
    <t>Padmavathi V and Aswathanarayana BN</t>
  </si>
  <si>
    <t>Ayurveda Doctor</t>
  </si>
  <si>
    <t>pramodbpk@gmail.com</t>
  </si>
  <si>
    <t>Bhavaraju</t>
  </si>
  <si>
    <t>Pavan Kumar pothuri</t>
  </si>
  <si>
    <t>Srivatsa, Koundinysa, Koundinysa</t>
  </si>
  <si>
    <t>IT Manager</t>
  </si>
  <si>
    <t>Venkata Dileep</t>
  </si>
  <si>
    <t>Atreyasa, Srivatsasa</t>
  </si>
  <si>
    <t>Venkata Rama Sai Pavan Sharma</t>
  </si>
  <si>
    <t>B N V G S Anusha, Venkata Dileep Bommakanti</t>
  </si>
  <si>
    <t>4th Grade Student</t>
  </si>
  <si>
    <t>onlytoadithya@gmail.com</t>
  </si>
  <si>
    <t>Srinivas Sesha</t>
  </si>
  <si>
    <t>Garimella Ramesh</t>
  </si>
  <si>
    <t>Harithasa, Srivatsasa</t>
  </si>
  <si>
    <t>Yajurveds</t>
  </si>
  <si>
    <t>Satyavathi and Jagan Mohan</t>
  </si>
  <si>
    <t>Business Head - International Sales</t>
  </si>
  <si>
    <t>malavika.nandula@gmail.com</t>
  </si>
  <si>
    <t>Koundinyasa, Gouthamasa, N/A</t>
  </si>
  <si>
    <t>Malavika Rani Nandula Srinivas Venkata Challa</t>
  </si>
  <si>
    <t>sivaram.chv@gmail.com</t>
  </si>
  <si>
    <t>Chamarthi</t>
  </si>
  <si>
    <t>Venkata Sivaram Babu</t>
  </si>
  <si>
    <t>WHATSUP GROUP</t>
  </si>
  <si>
    <t>ATRAYASA, KASYAPASA, KOUSIKASA</t>
  </si>
  <si>
    <t>MARKETING MANAGER</t>
  </si>
  <si>
    <t xml:space="preserve">Peesapati Mallikarjuna Sharma </t>
  </si>
  <si>
    <t>Cherukupally Kameshwar Rao</t>
  </si>
  <si>
    <t>chavalics@hotmail.com</t>
  </si>
  <si>
    <t>Surya Srinivas</t>
  </si>
  <si>
    <t>Chandrasekhar Jonnalagadda</t>
  </si>
  <si>
    <t>Kaushika, Harithasa</t>
  </si>
  <si>
    <t>Ktishna Yajur Veda</t>
  </si>
  <si>
    <t>Devanagiri, Telugu</t>
  </si>
  <si>
    <t>Surya Chavali</t>
  </si>
  <si>
    <t>IT Services</t>
  </si>
  <si>
    <t>satya.chi@gmail.com</t>
  </si>
  <si>
    <t>Satya</t>
  </si>
  <si>
    <t>HYDERABAD, India</t>
  </si>
  <si>
    <t>Parasara, Bhardwaj</t>
  </si>
  <si>
    <t>N.A.</t>
  </si>
  <si>
    <t>Software Engineer, Bangalore</t>
  </si>
  <si>
    <t>mohansharma13@gmail.com</t>
  </si>
  <si>
    <t>Chirivelly</t>
  </si>
  <si>
    <t>Miryalaguda</t>
  </si>
  <si>
    <t>Ajay ji</t>
  </si>
  <si>
    <t>Kasypasa, Vasista</t>
  </si>
  <si>
    <t>Balakrishna sharma</t>
  </si>
  <si>
    <t>chirravurisekhar@gmail.com</t>
  </si>
  <si>
    <t>Chirravuri</t>
  </si>
  <si>
    <t>Ramachandra Sekhar</t>
  </si>
  <si>
    <t>Srinivasa Rao Tummalapalli</t>
  </si>
  <si>
    <t>Sreevatsasa, Gargeyasa</t>
  </si>
  <si>
    <t>వయస్సు 49 సంవత్సరాలు</t>
  </si>
  <si>
    <t>Government Job</t>
  </si>
  <si>
    <t>c.v.k.sreevatsa123@gmail.com</t>
  </si>
  <si>
    <t>Venkata Krishna Sreevatsa</t>
  </si>
  <si>
    <t>Sekhar Chirravuri</t>
  </si>
  <si>
    <t xml:space="preserve">Sreevatsasa, Bharadwajasa, NA </t>
  </si>
  <si>
    <t>Telugu మాతృభాష</t>
  </si>
  <si>
    <t>Telugu తెలుగు</t>
  </si>
  <si>
    <t>Studying</t>
  </si>
  <si>
    <t>akdixit1986@gmail.com</t>
  </si>
  <si>
    <t>Dixit</t>
  </si>
  <si>
    <t>Alok Kumar</t>
  </si>
  <si>
    <t>Through WhatsApp group</t>
  </si>
  <si>
    <t>Bharadwaj, Upmanyu</t>
  </si>
  <si>
    <t>Not known</t>
  </si>
  <si>
    <t>Hindi, English, Sanskrit</t>
  </si>
  <si>
    <t>Income Tax Officer</t>
  </si>
  <si>
    <t>krishnacse.dusi@gmail.com</t>
  </si>
  <si>
    <t>Dusi</t>
  </si>
  <si>
    <t>Venkata Siva Rama Krishna</t>
  </si>
  <si>
    <t>Maruti Sasidhar Gannavaram</t>
  </si>
  <si>
    <t>Koundinyasa Gothram, Radhitharasa, Kashyapa</t>
  </si>
  <si>
    <t>nskc2011@gmail.com</t>
  </si>
  <si>
    <t>KADAPA</t>
  </si>
  <si>
    <t>GOBBURU VISHNU SREEVARDHAN</t>
  </si>
  <si>
    <t>Kousikasa, Koudinyasa</t>
  </si>
  <si>
    <t>VENKATA SUBBAIAH MEHER LALITHA</t>
  </si>
  <si>
    <t>7 th class student</t>
  </si>
  <si>
    <t>gudarag@gmail.com</t>
  </si>
  <si>
    <t>Kameshwar Rao Cherukupalli</t>
  </si>
  <si>
    <t>Harithasa, Kondinyasa, N/A</t>
  </si>
  <si>
    <t>Raghu Guda, Haindavi Guds</t>
  </si>
  <si>
    <t>5TH grade student</t>
  </si>
  <si>
    <t>dgpprasad@gmail.com</t>
  </si>
  <si>
    <t>Gundepudi</t>
  </si>
  <si>
    <t>Durga Prasad</t>
  </si>
  <si>
    <t>Bharadwaja, Srivatshasa, N/A</t>
  </si>
  <si>
    <t>bhargavi.gundimeda@gmail.com</t>
  </si>
  <si>
    <t>Gundimeda</t>
  </si>
  <si>
    <t>Anagha Hrudaya Sarma</t>
  </si>
  <si>
    <t>Kotamraju srinivasa sarma</t>
  </si>
  <si>
    <t>Kanwasa, Parasara, Kanwasa</t>
  </si>
  <si>
    <t>English hindi sanskrit</t>
  </si>
  <si>
    <t>Seetaramanjaneyulu, Bhargavi</t>
  </si>
  <si>
    <t>srikanthjsv@gmail.com</t>
  </si>
  <si>
    <t>BENGALURU</t>
  </si>
  <si>
    <t>SISTLA SAI PRASAD</t>
  </si>
  <si>
    <t>KOUNDINYASA, KOUSIKASA, N/A</t>
  </si>
  <si>
    <t>TELUGU,HINDI,ENGLISH</t>
  </si>
  <si>
    <t>HINDI, ENGLISH</t>
  </si>
  <si>
    <t>JAGARLAPUDI SURYA VENKATA SRIKANTH</t>
  </si>
  <si>
    <t>6TH GRADE</t>
  </si>
  <si>
    <t>Surya Venkata Srikanth</t>
  </si>
  <si>
    <t>SISTLA SAIPRASAD GARU</t>
  </si>
  <si>
    <t>KOUNDINYASA, KOUSIKASA, KOUSIKASA</t>
  </si>
  <si>
    <t>TELUGU, HINDI,ENGLISH</t>
  </si>
  <si>
    <t>ENGINEER</t>
  </si>
  <si>
    <t>jammalamadakasrinivasu8@gmail.com</t>
  </si>
  <si>
    <t>Srinivasu</t>
  </si>
  <si>
    <t>Pamarru</t>
  </si>
  <si>
    <t>Panchagnula Upendra Krishna</t>
  </si>
  <si>
    <t>Koundinyasa, Bharadhvajasa, Haridasa</t>
  </si>
  <si>
    <t>usha.rajyalakshmi@gmail.com</t>
  </si>
  <si>
    <t>Nanda Kumar</t>
  </si>
  <si>
    <t>chennai</t>
  </si>
  <si>
    <t>Swaroop Darbha</t>
  </si>
  <si>
    <t>Kaundinyasa, Sandilyasa, N/A</t>
  </si>
  <si>
    <t>Spoken Language: Telugu</t>
  </si>
  <si>
    <t>Usha Naga Rajyalakshmi Jonnalagadda, Raja Sekhar Jonnalagadda</t>
  </si>
  <si>
    <t>Student, 3rd class</t>
  </si>
  <si>
    <t>kashyapkvh.cbit@gmail.com</t>
  </si>
  <si>
    <t>K V H</t>
  </si>
  <si>
    <t>Kotamraju venkata Ranganatha Rao</t>
  </si>
  <si>
    <t>Kasyapa, Bharadwaja, NA</t>
  </si>
  <si>
    <t>2nd year Undergraduate Degree student</t>
  </si>
  <si>
    <t>kh.pavan984@gmail.com</t>
  </si>
  <si>
    <t>Khandavilli</t>
  </si>
  <si>
    <t>Venkat Bommakanti</t>
  </si>
  <si>
    <t>Product Manager</t>
  </si>
  <si>
    <t>kommu17@gmail.com</t>
  </si>
  <si>
    <t>Ravishankar Venkata</t>
  </si>
  <si>
    <t>Amritsar</t>
  </si>
  <si>
    <t>Kasyapasa, Koundinyasa, N/A</t>
  </si>
  <si>
    <t>Assistant Professor</t>
  </si>
  <si>
    <t>skonduri1956@gmail.com</t>
  </si>
  <si>
    <t>Rama Murthy Konduri</t>
  </si>
  <si>
    <t>Harathasa, Bharadwajasa</t>
  </si>
  <si>
    <t>Telygu</t>
  </si>
  <si>
    <t>Retired Bank officer</t>
  </si>
  <si>
    <t>bhaskarkota09@gmail.com</t>
  </si>
  <si>
    <t>Sethurama Bhaskar</t>
  </si>
  <si>
    <t>Krishna Prasad Toomuluri</t>
  </si>
  <si>
    <t>Bharadwaja, Haritasa</t>
  </si>
  <si>
    <t>callranganath@gmail.com</t>
  </si>
  <si>
    <t>Venkata Ranganatha Rao</t>
  </si>
  <si>
    <t>Kotamraju Srinivasa Sarma</t>
  </si>
  <si>
    <t>Kasyapa, Srivatsa, Bharadwaja</t>
  </si>
  <si>
    <t>Financial Advisor</t>
  </si>
  <si>
    <t>srinu_kotamraju@yahoo.co.in</t>
  </si>
  <si>
    <t>Hanumath Shanmukh</t>
  </si>
  <si>
    <t>Garladinbe Vijaya Bhaskar</t>
  </si>
  <si>
    <t>Kasyapa, Bharadwaja</t>
  </si>
  <si>
    <t>Krishna Yajur Veda taittariya Shaka</t>
  </si>
  <si>
    <t>Kanaka Durga / and Kotamraju Venkata Srinivasa Sarma</t>
  </si>
  <si>
    <t>6th class studying</t>
  </si>
  <si>
    <t>Srinivasa Sarma</t>
  </si>
  <si>
    <t>Garledinna Vijaya Bhaskar</t>
  </si>
  <si>
    <t>KASYAPA, BHARADWAJA</t>
  </si>
  <si>
    <t>Incometax department</t>
  </si>
  <si>
    <t>medhanshsharma@gmail.com</t>
  </si>
  <si>
    <t>Kotaru</t>
  </si>
  <si>
    <t>Bommakanti dileep</t>
  </si>
  <si>
    <t>Kaundinya, Kasyapasa</t>
  </si>
  <si>
    <t>Kotaru Sameera, kotaru raghunath sarma</t>
  </si>
  <si>
    <t>2nd class</t>
  </si>
  <si>
    <t>Raghunatha Sarma</t>
  </si>
  <si>
    <t>Bommakanti Dileep</t>
  </si>
  <si>
    <t>Kaundinya, Kaushikasa</t>
  </si>
  <si>
    <t>sastrykothuri@gmail.com</t>
  </si>
  <si>
    <t>Kothuri</t>
  </si>
  <si>
    <t>Venkata Rajeswara Sastry</t>
  </si>
  <si>
    <t>Ayyappa</t>
  </si>
  <si>
    <t>RATHITARASA, KOUNDINYASA</t>
  </si>
  <si>
    <t>Telugu, Hindi</t>
  </si>
  <si>
    <t>swathi.kvh@gmail.com</t>
  </si>
  <si>
    <t>Srinivas kotumraju</t>
  </si>
  <si>
    <t>కష్యపసా, కౌండిన్య, Bhramachary</t>
  </si>
  <si>
    <t>Satyanarayana sarma</t>
  </si>
  <si>
    <t>naveen8697@gmail.com</t>
  </si>
  <si>
    <t>venkata vyomanath kommu</t>
  </si>
  <si>
    <t>Kodinysaya, Harithasa, Bardhwaja</t>
  </si>
  <si>
    <t>Naveen Kumar</t>
  </si>
  <si>
    <t>Private</t>
  </si>
  <si>
    <t>ravisankar_kurada@yahoo.com</t>
  </si>
  <si>
    <t>Ravi Shankar</t>
  </si>
  <si>
    <t>Whatsapp</t>
  </si>
  <si>
    <t>Srivatsasa, Lohitasa, Koundinyasa</t>
  </si>
  <si>
    <t>.</t>
  </si>
  <si>
    <t>Ravi Sankar</t>
  </si>
  <si>
    <t>muralikrishna.madhira@gmail.com</t>
  </si>
  <si>
    <t>Surya Teja</t>
  </si>
  <si>
    <t>Hyderabad IST</t>
  </si>
  <si>
    <t>Swayampakula Deva chandra</t>
  </si>
  <si>
    <t>Athreyasa, Bharadvajasa</t>
  </si>
  <si>
    <t>Madhira Sridevi, Madhira Murali krishana</t>
  </si>
  <si>
    <t>Journalist</t>
  </si>
  <si>
    <t>subrahmanyam011@gmail.com</t>
  </si>
  <si>
    <t>Sitaramanjeneyulu T</t>
  </si>
  <si>
    <t>Kutshasa / Kauchsa, Koundanyasha /Koundanyasha, Brahmachari. NA.</t>
  </si>
  <si>
    <t>Krushna yajur veda</t>
  </si>
  <si>
    <t>English,hindi</t>
  </si>
  <si>
    <t>visweswararaomba@gmail.com</t>
  </si>
  <si>
    <t>Visweswara</t>
  </si>
  <si>
    <t>Sarma Mandalika</t>
  </si>
  <si>
    <t>Athreysa, Harithasa</t>
  </si>
  <si>
    <t>mvvwork25@gmail.com</t>
  </si>
  <si>
    <t>Sri Teja</t>
  </si>
  <si>
    <t>Mellacheruvu Sri Phani Venkata Krishna</t>
  </si>
  <si>
    <t>Koundinyasa, Kasyapasa, N/A</t>
  </si>
  <si>
    <t>Telugu, Sanskrit, Hindi, English</t>
  </si>
  <si>
    <t>marthi.somnath@gmail.com</t>
  </si>
  <si>
    <t>Marthi</t>
  </si>
  <si>
    <t>Somnath</t>
  </si>
  <si>
    <t>POCHIMCHARLA VENKATA SASHIKANTH</t>
  </si>
  <si>
    <t>Harithasa, Koundinyasa, Koundinyasa</t>
  </si>
  <si>
    <t>TELUGU, HINDI, TAMIL, ENGLISH</t>
  </si>
  <si>
    <t>VICE PRESIDENT- DEFENSE &amp; AEROSPACE</t>
  </si>
  <si>
    <t>sri.phani.krishna@gmail.com</t>
  </si>
  <si>
    <t>Sri Phani Venkata Krishna</t>
  </si>
  <si>
    <t>Received in a group in Whatsapp long back</t>
  </si>
  <si>
    <t>Telugu &amp; Hindi</t>
  </si>
  <si>
    <t>Telugu &amp; Devanagari</t>
  </si>
  <si>
    <t>Superintendent in Hyderabad water dept.</t>
  </si>
  <si>
    <t>sarma.mln@gmail.com</t>
  </si>
  <si>
    <t>Mydukuru</t>
  </si>
  <si>
    <t>Anantha Guru Sukruth</t>
  </si>
  <si>
    <t>Srivardhan</t>
  </si>
  <si>
    <t>Haritasa, Bharadvajasa</t>
  </si>
  <si>
    <t>Yajusakha</t>
  </si>
  <si>
    <t>M. Lakshmi Narasimha Sarma K. SUJATHA</t>
  </si>
  <si>
    <t>kdheeraj1997@gmail.com</t>
  </si>
  <si>
    <t>Krishna Dheeraj</t>
  </si>
  <si>
    <t>Pavan kumar rayaprolu</t>
  </si>
  <si>
    <t>Kowndinaysa, Athreyasa Gotham</t>
  </si>
  <si>
    <t>pavankumar.parimi@gmail.com</t>
  </si>
  <si>
    <t>Parimi</t>
  </si>
  <si>
    <t>Hari hara natha Sai Vamaraju</t>
  </si>
  <si>
    <t>Haritasa, Bharthwajasa, Koundinyasa</t>
  </si>
  <si>
    <t>Yagurveda</t>
  </si>
  <si>
    <t>Deputy Manager</t>
  </si>
  <si>
    <t>acsrkrishna@gmail.com</t>
  </si>
  <si>
    <t>Peddada</t>
  </si>
  <si>
    <t>Santosh Radha Krishna</t>
  </si>
  <si>
    <t>Gowthamasa, Kaspasayasa</t>
  </si>
  <si>
    <t>Krishna yajur Veda taittariya shaka</t>
  </si>
  <si>
    <t>Telugu and Hindi</t>
  </si>
  <si>
    <t>Profession / Advocate</t>
  </si>
  <si>
    <t>subramanyeshwar@gmail.com</t>
  </si>
  <si>
    <t>Gyaneshwar Subramanyeshwar</t>
  </si>
  <si>
    <t>Radha krishna Peddada</t>
  </si>
  <si>
    <t>Gowthamasa, Kasapasya</t>
  </si>
  <si>
    <t>Poojari</t>
  </si>
  <si>
    <t>pavan.pvj@gmail.com</t>
  </si>
  <si>
    <t>Pothuri</t>
  </si>
  <si>
    <t>Dileep Bommakanti</t>
  </si>
  <si>
    <t>Kaundinyasa, Kasyapasa</t>
  </si>
  <si>
    <t>shanker.ramabhotla@gmail.com</t>
  </si>
  <si>
    <t>Ramabhotla</t>
  </si>
  <si>
    <t>Bhima Shanker</t>
  </si>
  <si>
    <t>Sridhar Murali</t>
  </si>
  <si>
    <t>Harithasa, Athreyasa, Bharadwajasa</t>
  </si>
  <si>
    <t>I run a school</t>
  </si>
  <si>
    <t>srinirampalli@yahoo.com</t>
  </si>
  <si>
    <t>Atreyasa, Kousikasa</t>
  </si>
  <si>
    <t>Was working in a IT company</t>
  </si>
  <si>
    <t>rishi.b.remani@gmail.com</t>
  </si>
  <si>
    <t>Remani</t>
  </si>
  <si>
    <t>Rushi Bharadwaj</t>
  </si>
  <si>
    <t>Smt P Sri Janaki garu</t>
  </si>
  <si>
    <t>Bharadwajasa, Bharadwajasa, N/A</t>
  </si>
  <si>
    <t>Rama Raghavendra &amp; Radhika</t>
  </si>
  <si>
    <t>rama.remani@gmail.com</t>
  </si>
  <si>
    <t>Rama Raghavendra</t>
  </si>
  <si>
    <t>Smt. P Sri Janaki garu</t>
  </si>
  <si>
    <t>Bharadwajasa, Harithasa, Bharadwajasa</t>
  </si>
  <si>
    <t>GST Practitioner</t>
  </si>
  <si>
    <t>remani.srinivas@gmail.com</t>
  </si>
  <si>
    <t>Konduri Rama Murty</t>
  </si>
  <si>
    <t>Bharadwajasa, Sathamarshana</t>
  </si>
  <si>
    <t>Assistant General Manager, SBI</t>
  </si>
  <si>
    <t>rsv.remani@gmail.com</t>
  </si>
  <si>
    <t>Satya Venkata Ramana</t>
  </si>
  <si>
    <t>Hyderabad, India,</t>
  </si>
  <si>
    <t>My brother Srinivas</t>
  </si>
  <si>
    <t>Not under18</t>
  </si>
  <si>
    <t>Prvate job</t>
  </si>
  <si>
    <t>Sarabu</t>
  </si>
  <si>
    <t>Bharavi Sharma</t>
  </si>
  <si>
    <t>JAGTIAL</t>
  </si>
  <si>
    <t>SRIDHAR KURUGANTI</t>
  </si>
  <si>
    <t>BHARADWAJASA, HARITHASA, KOUNDINYASA</t>
  </si>
  <si>
    <t>CIVIL ENGINEER</t>
  </si>
  <si>
    <t>srsastry1@gmail.com</t>
  </si>
  <si>
    <t>Sastry</t>
  </si>
  <si>
    <t>Srirama</t>
  </si>
  <si>
    <t>Bharadwaja, Srivathsasa, Harithasa</t>
  </si>
  <si>
    <t>Banking Job</t>
  </si>
  <si>
    <t>kappagantula.suma@gmail.com</t>
  </si>
  <si>
    <t>Avyukth</t>
  </si>
  <si>
    <t>Kappagantula Suryanarayana</t>
  </si>
  <si>
    <t>Vadhulasa, Kasyapasa</t>
  </si>
  <si>
    <t>Sista Suma Sista Sairam</t>
  </si>
  <si>
    <t>seshagiriraot82@gmail.com</t>
  </si>
  <si>
    <t>Tallapraggada</t>
  </si>
  <si>
    <t>HYDERABAD TELANGANA STATE INDIA</t>
  </si>
  <si>
    <t>Seen in whats app group</t>
  </si>
  <si>
    <t>BHARADWAJASA, KOUNDINYASA</t>
  </si>
  <si>
    <t>GROUP-B OFFICER CENTRAL GOVT.</t>
  </si>
  <si>
    <t>sreeharsha.t@gmail.com</t>
  </si>
  <si>
    <t>Sriharsha</t>
  </si>
  <si>
    <t>Bharadwajasa, Haritasa</t>
  </si>
  <si>
    <t>tvrkishore@gmail.com</t>
  </si>
  <si>
    <t>Rama Kishore</t>
  </si>
  <si>
    <t>Raghunath sarma</t>
  </si>
  <si>
    <t>Parashara, Kasyapasa</t>
  </si>
  <si>
    <t>tvsg3@yahoo.com</t>
  </si>
  <si>
    <t>Ganesh</t>
  </si>
  <si>
    <t>Chennai, India</t>
  </si>
  <si>
    <t>Harithasa, Koundinyasa</t>
  </si>
  <si>
    <t>Telugu, Hindi, Sanskrit</t>
  </si>
  <si>
    <t>Wealth Management</t>
  </si>
  <si>
    <t>mythilivibhav@gmail.com</t>
  </si>
  <si>
    <t>Turaga</t>
  </si>
  <si>
    <t>Nagabushana Sri Varen</t>
  </si>
  <si>
    <t>Sounakasa, Bharadwajasa</t>
  </si>
  <si>
    <t>Krishna Yaju shakha</t>
  </si>
  <si>
    <t>T. Mythili, T.P.Prasanth</t>
  </si>
  <si>
    <t>Narasimha Sri Vibhav</t>
  </si>
  <si>
    <t>Devchandra</t>
  </si>
  <si>
    <t>sgssrini10@gmail.com</t>
  </si>
  <si>
    <t>Vangala</t>
  </si>
  <si>
    <t>Pravallika Niraghatam  (mother sir name Kautha))</t>
  </si>
  <si>
    <t>Srivatsasa gothram, Mother parents-Baradvajasa gothram, Wife parents gothram - haritasa</t>
  </si>
  <si>
    <t>vishnutejayadavalli@gmail.com</t>
  </si>
  <si>
    <t>Vishnu Teja</t>
  </si>
  <si>
    <t>Someswar sharma</t>
  </si>
  <si>
    <t>Kasyapasa, Kaushik, Not married</t>
  </si>
  <si>
    <t>Someswera sharma</t>
  </si>
  <si>
    <t>Architect</t>
  </si>
  <si>
    <t>gvsbhaskar1977@gmail.com</t>
  </si>
  <si>
    <t>Ganduri</t>
  </si>
  <si>
    <t>Venkata Subramani Bhaskar</t>
  </si>
  <si>
    <t>Hong kong</t>
  </si>
  <si>
    <t>Kommuru vyomanath</t>
  </si>
  <si>
    <t>ram170674@gmail.com</t>
  </si>
  <si>
    <t>Ramesh Sarma</t>
  </si>
  <si>
    <t>Wapp</t>
  </si>
  <si>
    <t>Sandilyasa, Bharadwaja</t>
  </si>
  <si>
    <t>Sr Manager</t>
  </si>
  <si>
    <t>agoteti8@gmail.com</t>
  </si>
  <si>
    <t>Goteti</t>
  </si>
  <si>
    <t>Ashwini Kumar</t>
  </si>
  <si>
    <t>+971</t>
  </si>
  <si>
    <t>Dubai</t>
  </si>
  <si>
    <t>Bharadwaja, Koundinyasa</t>
  </si>
  <si>
    <t>kdv.sarma@gmail.com</t>
  </si>
  <si>
    <t>Durga Veerabhadra Sarma</t>
  </si>
  <si>
    <t>+968</t>
  </si>
  <si>
    <t>Muscat</t>
  </si>
  <si>
    <t>Ayyappa Bhavani sankaram</t>
  </si>
  <si>
    <t>Rathitara, Koundinyasa</t>
  </si>
  <si>
    <t>Krishna Yajur veda taittariya</t>
  </si>
  <si>
    <t>Project controller</t>
  </si>
  <si>
    <t>vgchin@gmail.com</t>
  </si>
  <si>
    <t>Chintakunta</t>
  </si>
  <si>
    <t>Pranay</t>
  </si>
  <si>
    <t>Nagavalli Keerthana</t>
  </si>
  <si>
    <t>Srivathsa, Vashishta, N/A</t>
  </si>
  <si>
    <t>Devsnagari</t>
  </si>
  <si>
    <t>10th Grade Student</t>
  </si>
  <si>
    <t>keerthana.ravuluri@gmail.com</t>
  </si>
  <si>
    <t>Adhrith</t>
  </si>
  <si>
    <t>Chandrasekhar Malladi</t>
  </si>
  <si>
    <t>Srivatsasa, Vasishtasa</t>
  </si>
  <si>
    <t>Keerthana Ravuluri, Mallikarjuna Chintakunta</t>
  </si>
  <si>
    <t>Student - grade 2</t>
  </si>
  <si>
    <t>Student -4th grade</t>
  </si>
  <si>
    <t>vidmutyam@gmail.com</t>
  </si>
  <si>
    <t>Deshpande</t>
  </si>
  <si>
    <t>Houston, TX USA</t>
  </si>
  <si>
    <t>Bharadwaja, Sandilyasa</t>
  </si>
  <si>
    <t>Krishna Yayur Veda</t>
  </si>
  <si>
    <t>Kiran Deshpande ,Vidya Deshpande</t>
  </si>
  <si>
    <t>kirru72@hotmail.com</t>
  </si>
  <si>
    <t>Houston, Texas, USA</t>
  </si>
  <si>
    <t>Srisenani</t>
  </si>
  <si>
    <t>Raghavendra Vikas Dinavahi</t>
  </si>
  <si>
    <t>Harithasa, Athreyasa, NA</t>
  </si>
  <si>
    <t>Vikas and Deepa</t>
  </si>
  <si>
    <t>3rd grade student</t>
  </si>
  <si>
    <t>arunchaitanya@gmail.com</t>
  </si>
  <si>
    <t>Gangavarapu</t>
  </si>
  <si>
    <t>Murari</t>
  </si>
  <si>
    <t>Kumar Sista</t>
  </si>
  <si>
    <t>Kausikasa, Vagdhoolasa</t>
  </si>
  <si>
    <t>Lakshmi Lavanya Kasturi, Arun Chaitanya Gangavarapu</t>
  </si>
  <si>
    <t>2nd grade</t>
  </si>
  <si>
    <t>Kesava</t>
  </si>
  <si>
    <t>katy</t>
  </si>
  <si>
    <t>Siva Rama Krishna Pochimcherla</t>
  </si>
  <si>
    <t>Sandilya, Koundinya, n/a</t>
  </si>
  <si>
    <t>english</t>
  </si>
  <si>
    <t>Kishore Garimella</t>
  </si>
  <si>
    <t>2reachvenkat@gmail.com</t>
  </si>
  <si>
    <t>Ghatti</t>
  </si>
  <si>
    <t>Mytreyasa, Haritasa</t>
  </si>
  <si>
    <t>gudlavalleti.j@gmail.com</t>
  </si>
  <si>
    <t>Jitendra</t>
  </si>
  <si>
    <t>Prasad Gudlavalleti</t>
  </si>
  <si>
    <t>Koundinyasa, Koundinyasa, N/A</t>
  </si>
  <si>
    <t>Sivaram Pochincharla annaya</t>
  </si>
  <si>
    <t>Koundinyasa, Kousikasa, Haritasa</t>
  </si>
  <si>
    <t>seshu.vennalakanti@gmail.com</t>
  </si>
  <si>
    <t>Charan Sai Ram</t>
  </si>
  <si>
    <t>Swathi Kothamraju</t>
  </si>
  <si>
    <t>Kaundinyasa, Haritasa, NA</t>
  </si>
  <si>
    <t>Krishna Yakut Veda</t>
  </si>
  <si>
    <t>Kameshwar Rao, Seshu</t>
  </si>
  <si>
    <t>8th Grade</t>
  </si>
  <si>
    <t>srilalithaa@gmail.com</t>
  </si>
  <si>
    <t>Mankala</t>
  </si>
  <si>
    <t>Shriyansh</t>
  </si>
  <si>
    <t>USA</t>
  </si>
  <si>
    <t>Mohan Rao</t>
  </si>
  <si>
    <t>Kowshikasa, Koundinyasa</t>
  </si>
  <si>
    <t>Lalitha Mankala, Srikanth Mankal</t>
  </si>
  <si>
    <t>chaitu.y2k4@gmail.com</t>
  </si>
  <si>
    <t>Mulugu</t>
  </si>
  <si>
    <t>Srikanth Gorugantu</t>
  </si>
  <si>
    <t>Koundenesya, Sandilesya</t>
  </si>
  <si>
    <t>venkata.nandigama@gmail.com</t>
  </si>
  <si>
    <t>Nandigama</t>
  </si>
  <si>
    <t>Venkata Muktheswara Rao</t>
  </si>
  <si>
    <t>United States</t>
  </si>
  <si>
    <t>Sitaram Jonnalagadda</t>
  </si>
  <si>
    <t>Moudgalyasa, Srivatsakr</t>
  </si>
  <si>
    <t>Telugu, devanagari (less)</t>
  </si>
  <si>
    <t>Sathvik</t>
  </si>
  <si>
    <t>Pravallika Niraghatam</t>
  </si>
  <si>
    <t>English(main) and Telugu</t>
  </si>
  <si>
    <t>Pavan Kumar Niraghatam and Pravallika Niraghatam</t>
  </si>
  <si>
    <t>sudesh.pillutla@gmail.com</t>
  </si>
  <si>
    <t>Pilluta</t>
  </si>
  <si>
    <t>Sudhesh</t>
  </si>
  <si>
    <t>Srivatsa, Kousika, Koundinya</t>
  </si>
  <si>
    <t>English, Telugu, Devanagari</t>
  </si>
  <si>
    <t>srachapudi@gmail.com</t>
  </si>
  <si>
    <t>pavan rayaprolu</t>
  </si>
  <si>
    <t>kousikasa, bardwaja, atreyasa</t>
  </si>
  <si>
    <t>telugu English</t>
  </si>
  <si>
    <t>IT director</t>
  </si>
  <si>
    <t>sramaraju@yahoo.com</t>
  </si>
  <si>
    <t>Ramaraju</t>
  </si>
  <si>
    <t>Lohitasa, Koundinyasa, Haritasa</t>
  </si>
  <si>
    <t>me.sam.consultant@gmail.com</t>
  </si>
  <si>
    <t>Samaresh</t>
  </si>
  <si>
    <t>Kausikasa, Not sure on this one as I need to check with my mom. I can check and revert later if that's ok, Kashyapa</t>
  </si>
  <si>
    <t>Unemployed for now as waiting for work permit</t>
  </si>
  <si>
    <t>snmp1997@gmail.com</t>
  </si>
  <si>
    <t>Sudhee</t>
  </si>
  <si>
    <t>Subrahmanya</t>
  </si>
  <si>
    <t>Kaundinya, Kaushika</t>
  </si>
  <si>
    <t>Telugu, Sanskrit, Kannada, hindi</t>
  </si>
  <si>
    <t>Devanagari, Kannada</t>
  </si>
  <si>
    <t>Software manager</t>
  </si>
  <si>
    <t>Sthitadheesh Nelapatla</t>
  </si>
  <si>
    <t>Koundinya, Haritasa, N/A</t>
  </si>
  <si>
    <t>Velamuri Suryanarayana Murty, Malladi Lakshmi Narasamma</t>
  </si>
  <si>
    <t>12th Grade Student</t>
  </si>
  <si>
    <t>venkataraghuram.vepa@gmail.com</t>
  </si>
  <si>
    <t>Vepa</t>
  </si>
  <si>
    <t>Venkata Raghuram</t>
  </si>
  <si>
    <t>AUSTIN</t>
  </si>
  <si>
    <t>SuryaSrinivas Jagarlapudi</t>
  </si>
  <si>
    <t>KAUNDINYASA, HARITASA, BHARADWAJA</t>
  </si>
  <si>
    <t>ch.venkatkrishna@gmail.com</t>
  </si>
  <si>
    <t>Cheemalakonda</t>
  </si>
  <si>
    <t>Farmington hills</t>
  </si>
  <si>
    <t>Jonnalagadda Sitapathi</t>
  </si>
  <si>
    <t>Software Manager</t>
  </si>
  <si>
    <t>nataraj_ja@yahoo.com</t>
  </si>
  <si>
    <t>Janapaty</t>
  </si>
  <si>
    <t>EST, Waxhaw , Union</t>
  </si>
  <si>
    <t>Only English</t>
  </si>
  <si>
    <t>Srujana Janapaty,. Nataraj Janapaty</t>
  </si>
  <si>
    <t>Nataraj</t>
  </si>
  <si>
    <t>ayyappa.sankaram@gmail.com</t>
  </si>
  <si>
    <t>Ayyappa Bhavani Sankaram</t>
  </si>
  <si>
    <t>Ottawa, Canada</t>
  </si>
  <si>
    <t>Radhitharasa, Koundinyasa</t>
  </si>
  <si>
    <t>Konaseema dravidulu</t>
  </si>
  <si>
    <t>sreenadh@hotmail.com</t>
  </si>
  <si>
    <t>Kundurthy</t>
  </si>
  <si>
    <t>Sreenadh</t>
  </si>
  <si>
    <t>Novi</t>
  </si>
  <si>
    <t>Pavan Adusumalli</t>
  </si>
  <si>
    <t>Bharadwajasa, Haritasa, Koundinyasa</t>
  </si>
  <si>
    <t>Yakut veda</t>
  </si>
  <si>
    <t>Telugu,Hindi, english</t>
  </si>
  <si>
    <t>iitd.raghu@gmail.com</t>
  </si>
  <si>
    <t>DETROIT</t>
  </si>
  <si>
    <t>MUKTESWAR NANDIGAMA</t>
  </si>
  <si>
    <t>KOUNDINYASA, SREEVATSASA, SREEVATSASA</t>
  </si>
  <si>
    <t>TELUGU, ENGLISH, SANSKRIT (ELEMENTARY)</t>
  </si>
  <si>
    <t>SOFTWARE CONSULTANT</t>
  </si>
  <si>
    <t>sitaramanelapatla@gmail.com</t>
  </si>
  <si>
    <t>Sitaramaiah</t>
  </si>
  <si>
    <t>East Windsor</t>
  </si>
  <si>
    <t>Bharadwajasa, Haritasa, Kasyapasa</t>
  </si>
  <si>
    <t>Suwanee</t>
  </si>
  <si>
    <t>SATISH PERI</t>
  </si>
  <si>
    <t>Gouthamasa, Vadhulasa, Vadhulasa</t>
  </si>
  <si>
    <t>Telugu english Hindi</t>
  </si>
  <si>
    <t>prab.contact@gmail.com</t>
  </si>
  <si>
    <t>Prabhakara</t>
  </si>
  <si>
    <t>Charlotte, NC, usa</t>
  </si>
  <si>
    <t>Sai adusumill</t>
  </si>
  <si>
    <t>Bharadhwajasa, Koundinyasa</t>
  </si>
  <si>
    <t>Finance manager</t>
  </si>
  <si>
    <t>Aswani</t>
  </si>
  <si>
    <t>Falls Church VA, USA</t>
  </si>
  <si>
    <t>Self, my son is enrolled last year</t>
  </si>
  <si>
    <t>Gauthama, Srivatsa</t>
  </si>
  <si>
    <t>Telugu/devnagari</t>
  </si>
  <si>
    <t>Biotechnology</t>
  </si>
  <si>
    <t>devarakonda.surya@gmail.com</t>
  </si>
  <si>
    <t>Kirkland, USA</t>
  </si>
  <si>
    <t>Harithasa, Kapisa</t>
  </si>
  <si>
    <t>SW Architect</t>
  </si>
  <si>
    <t>paddu19@gmail.com</t>
  </si>
  <si>
    <t>Konidena</t>
  </si>
  <si>
    <t>Ishaan</t>
  </si>
  <si>
    <t>Rocklin</t>
  </si>
  <si>
    <t>Venugopal chintakunta</t>
  </si>
  <si>
    <t>Kaundinya, Vasishta, N/A</t>
  </si>
  <si>
    <t>Padma Bitrakanti and Kiran Konidena</t>
  </si>
  <si>
    <t>meetsuryam@gmail.com</t>
  </si>
  <si>
    <t>Kausthub</t>
  </si>
  <si>
    <t>Bothell, USA</t>
  </si>
  <si>
    <t>ASHWIN VANKAYALA</t>
  </si>
  <si>
    <t>Subbalakshmi, Suryanarayana</t>
  </si>
  <si>
    <t>aditya_anilbabu@live.com</t>
  </si>
  <si>
    <t>Nagesh gollapudi</t>
  </si>
  <si>
    <t>Kousikasa, Kasyapasa</t>
  </si>
  <si>
    <t>Telugu , hindi</t>
  </si>
  <si>
    <t>Director of Engineering</t>
  </si>
  <si>
    <t>veeturiphanikumar@gmail.com</t>
  </si>
  <si>
    <t>Veeturi</t>
  </si>
  <si>
    <t>BELLEVUE</t>
  </si>
  <si>
    <t>Ram Pochemcharla</t>
  </si>
  <si>
    <t>Telugu, Kannada</t>
  </si>
  <si>
    <t>Phani Kumar Veeturi</t>
  </si>
  <si>
    <t>Software Professional</t>
  </si>
  <si>
    <t>bharat.csu@gmail.com</t>
  </si>
  <si>
    <t>Vyakaranam</t>
  </si>
  <si>
    <t>Bharat</t>
  </si>
  <si>
    <t>Redmond, USA</t>
  </si>
  <si>
    <t>Ramakrishna garu</t>
  </si>
  <si>
    <t>Bharadwajasa, Srivatsasa</t>
  </si>
  <si>
    <t>Research engineer</t>
  </si>
  <si>
    <t>raviganti01@gmail.com</t>
  </si>
  <si>
    <t>Folsom</t>
  </si>
  <si>
    <t>VS Oruganti</t>
  </si>
  <si>
    <t>Vadhulasha, Bhardwaj, Bhardwaj</t>
  </si>
  <si>
    <t>Krushna Yajur veda Sakha</t>
  </si>
  <si>
    <t>Enterprise Architect</t>
  </si>
  <si>
    <t>sreeharibw@gmail.com</t>
  </si>
  <si>
    <t>Sreehari Krishna</t>
  </si>
  <si>
    <t>PORTLAND</t>
  </si>
  <si>
    <t>Bhavani Kuppa</t>
  </si>
  <si>
    <t>Koundinyasa, gargeya gotram, Sandilyasa</t>
  </si>
  <si>
    <t>Telugu, English, (Some hindi)</t>
  </si>
  <si>
    <t>Sreehari Krsihna</t>
  </si>
  <si>
    <t>Software Engineering</t>
  </si>
  <si>
    <t>vyaghryoruganti@gmail.com</t>
  </si>
  <si>
    <t>Oruganti</t>
  </si>
  <si>
    <t>Vyaghreswara</t>
  </si>
  <si>
    <t>Ayyappa Bhavanisankaram Kothuri</t>
  </si>
  <si>
    <t>Koundinyasa, Ratheetarasa, Bharadwaja</t>
  </si>
  <si>
    <t>kaushik8apr@gmail.com</t>
  </si>
  <si>
    <t>Livermore</t>
  </si>
  <si>
    <t>Shiva Rama Krishna</t>
  </si>
  <si>
    <t>Kaushikasa, Gowthamasa, NA</t>
  </si>
  <si>
    <t>Kaushik Punyamurtula</t>
  </si>
  <si>
    <t>3rd Grade</t>
  </si>
  <si>
    <t>alurusrikanth@gmail.com</t>
  </si>
  <si>
    <t>Chetlapalli Sridhar</t>
  </si>
  <si>
    <t>Kashyapa, Haritasa, Srivatsa</t>
  </si>
  <si>
    <t>Telugu, Hindi, English, Tamil, Marathi</t>
  </si>
  <si>
    <t>IT Delivery Manager</t>
  </si>
  <si>
    <t>vamsikrishnavk09@gmail.com</t>
  </si>
  <si>
    <t>Vamsi Krishna</t>
  </si>
  <si>
    <t>Erlangen, Germany</t>
  </si>
  <si>
    <t>Manikanta Chillara (SGB - SV - YajurTelugu WA group)</t>
  </si>
  <si>
    <t>Kutsasa, Koundanyasya, NA</t>
  </si>
  <si>
    <t>Yajur veda (Krishna)</t>
  </si>
  <si>
    <t>SCM Digitalization Engineer</t>
  </si>
  <si>
    <t>a.bharadvaj@gmail.com</t>
  </si>
  <si>
    <t>Anumula</t>
  </si>
  <si>
    <t>Kamesh</t>
  </si>
  <si>
    <t>Bharadwajasa, Koundinyasa, Harithasa</t>
  </si>
  <si>
    <t>rameshbulusu@gmail.com</t>
  </si>
  <si>
    <t>Bulusu</t>
  </si>
  <si>
    <t>Goutamasa, Bhardwajasa, Sandalyasa</t>
  </si>
  <si>
    <t>hirankumar2003@gmail.com</t>
  </si>
  <si>
    <t>Chandrakanti</t>
  </si>
  <si>
    <t>Santhosh Kumar</t>
  </si>
  <si>
    <t>Warangal</t>
  </si>
  <si>
    <t>Ch santhosh kumar</t>
  </si>
  <si>
    <t>Srivatsasa, Athreyasa, Parashara</t>
  </si>
  <si>
    <t>Yajurveda vidika smartha</t>
  </si>
  <si>
    <t>Admin</t>
  </si>
  <si>
    <t>ch_sridhar_66@yahoo.com</t>
  </si>
  <si>
    <t>Chetlapalli</t>
  </si>
  <si>
    <t>Sridhar Sarma</t>
  </si>
  <si>
    <t>Delhi</t>
  </si>
  <si>
    <t>శ్రీ గ రిమెళ్ళ రమేష్</t>
  </si>
  <si>
    <t>Bhardwajasa, Koundinaysa, Kasyapasa</t>
  </si>
  <si>
    <t>Sukla yajurveda, katyana sutram</t>
  </si>
  <si>
    <t>Telugu, Hindi, English, kannada</t>
  </si>
  <si>
    <t>Accounts officer in govt of NCT delhi</t>
  </si>
  <si>
    <t>cvn.aditya@gmail.com</t>
  </si>
  <si>
    <t>Vijaya Naga Aditya</t>
  </si>
  <si>
    <t>Malladi srinivasa pavan giri</t>
  </si>
  <si>
    <t>Bharadwaja, Kaundinyasa, Kashyapasa</t>
  </si>
  <si>
    <t>Senior thermal engineer</t>
  </si>
  <si>
    <t>sailajach008@gmail.com</t>
  </si>
  <si>
    <t>Mahankali kiran sharma</t>
  </si>
  <si>
    <t>Kaasyapasa, Harithasa, Bramhachari</t>
  </si>
  <si>
    <t>Private Employee</t>
  </si>
  <si>
    <t>ghantasala2008@gmail.com</t>
  </si>
  <si>
    <t>Vijaya Bhaskar</t>
  </si>
  <si>
    <t>VISAKHAPATNAM</t>
  </si>
  <si>
    <t>RAGHU GHANTASALA</t>
  </si>
  <si>
    <t>GOUTHAMASA, Kasyapasa, HARITASA</t>
  </si>
  <si>
    <t>Gowdicharla</t>
  </si>
  <si>
    <t>Mahankali prasanna lakshmi</t>
  </si>
  <si>
    <t>Business (running a pooja store)</t>
  </si>
  <si>
    <t>gvsbms@gmail.com</t>
  </si>
  <si>
    <t>Bhanu Murthy</t>
  </si>
  <si>
    <t>Sivaramkrishna Tatavarthi</t>
  </si>
  <si>
    <t>Gouthamasa, Kaushikasa, Srivatsasa</t>
  </si>
  <si>
    <t>Private Job in Software</t>
  </si>
  <si>
    <t>Kedar Kritinand</t>
  </si>
  <si>
    <t>Phanibushan sastry</t>
  </si>
  <si>
    <t>Kutsasa, Kasyapasa, Kasyapasa</t>
  </si>
  <si>
    <t>Yajurvedham</t>
  </si>
  <si>
    <t>Vijay kumar</t>
  </si>
  <si>
    <t>5th grade</t>
  </si>
  <si>
    <t>kalavivek97@gmail.com</t>
  </si>
  <si>
    <t>Vivek</t>
  </si>
  <si>
    <t>Bulusu Ramesh</t>
  </si>
  <si>
    <t>Bharadwaja, Goutamasa, Koundinyasa</t>
  </si>
  <si>
    <t>Sales</t>
  </si>
  <si>
    <t>haipurna@gmail.com</t>
  </si>
  <si>
    <t>Purnachandra</t>
  </si>
  <si>
    <t>KARANAM BHANUCHANDER</t>
  </si>
  <si>
    <t>BHARADVAJA GOTRAM, SRIVATSASA GOTRAM, VASISTA GOTRAM</t>
  </si>
  <si>
    <t>YAJUR VEDAM</t>
  </si>
  <si>
    <t>Siva Ganesh Kartikeya Pranav</t>
  </si>
  <si>
    <t>Mallikarjun Kasibhatta (father), SGB group.</t>
  </si>
  <si>
    <t>Koundinyasa, Kashyapa, N/A</t>
  </si>
  <si>
    <t>MALLIKARJUN KASIBHATTA</t>
  </si>
  <si>
    <t>5th Grade student</t>
  </si>
  <si>
    <t>cubedesignstudio6@gmail.com</t>
  </si>
  <si>
    <t>Kuchibhatla</t>
  </si>
  <si>
    <t>Savitru Kumar</t>
  </si>
  <si>
    <t>BHANU</t>
  </si>
  <si>
    <t>SRIVATSASA, BHARADWAJASA, BHARADWAJASA</t>
  </si>
  <si>
    <t>KRISHNA YAJURVEDA SAKHA</t>
  </si>
  <si>
    <t>TELUGU,HINDI, ENGLISH</t>
  </si>
  <si>
    <t>SAIBABU</t>
  </si>
  <si>
    <t>ARCHITECT</t>
  </si>
  <si>
    <t>sandhyabharatula@gmail.com</t>
  </si>
  <si>
    <t>Ganesha Vamsidhar</t>
  </si>
  <si>
    <t>Kuppa syam sunder sarma</t>
  </si>
  <si>
    <t>కౌండిన్యస, శ్రీవత్సస, Brahmachari</t>
  </si>
  <si>
    <t>Kuppa sri krishna chaitanya, sandhya</t>
  </si>
  <si>
    <t>6th grade student</t>
  </si>
  <si>
    <t>krishnachaitanyakuppa@gmail.com</t>
  </si>
  <si>
    <t>Krishna Sashank</t>
  </si>
  <si>
    <t>10th class student</t>
  </si>
  <si>
    <t>Venkata Satya Vijay Kommaraju</t>
  </si>
  <si>
    <t>General Manager BSNL Retired</t>
  </si>
  <si>
    <t>తూములూరి కృష్ణ ప్రసాద్</t>
  </si>
  <si>
    <t>కృష్ణ యాజర్వేద</t>
  </si>
  <si>
    <t>ప్రైవేట్</t>
  </si>
  <si>
    <t>sasimeduri@gmail.com</t>
  </si>
  <si>
    <t>Siva Skandia Pradyumna</t>
  </si>
  <si>
    <t>Sashikanth Meduri</t>
  </si>
  <si>
    <t>Kousikasa, Kasyapasa, NA</t>
  </si>
  <si>
    <t>Sashikanth, Lalitha</t>
  </si>
  <si>
    <t>2nd Grade Student</t>
  </si>
  <si>
    <t xml:space="preserve">Mellacheruvu </t>
  </si>
  <si>
    <t>Venkata Radhakkrishna Murthy</t>
  </si>
  <si>
    <t>Telugu, English &amp;Hindi</t>
  </si>
  <si>
    <t>Deputy Secretary to Government, A.P. Secretariat, Amaravati</t>
  </si>
  <si>
    <t>pavann12@gmail.com</t>
  </si>
  <si>
    <t>Kasyapasa, Bharadwaj, Koundinyasa</t>
  </si>
  <si>
    <t>Krishna yaju sakha</t>
  </si>
  <si>
    <t>IT software Engineer</t>
  </si>
  <si>
    <t>Raghu Ghantasala</t>
  </si>
  <si>
    <t>Inter 2nd year</t>
  </si>
  <si>
    <t>santhi.nukala@gmail.com</t>
  </si>
  <si>
    <t>Shanmukha Srirama Krishna</t>
  </si>
  <si>
    <t>Surya kiran</t>
  </si>
  <si>
    <t>Aatreyasa, Koundinyasa, N/A</t>
  </si>
  <si>
    <t>Nukala Durga Subramanyam and Nukala Santhi Mathi</t>
  </si>
  <si>
    <t>7th Grade Student</t>
  </si>
  <si>
    <t>balu.fic@gmail.com</t>
  </si>
  <si>
    <t>Harithasa, Lohithasa, Srivathsasa</t>
  </si>
  <si>
    <t>Banking</t>
  </si>
  <si>
    <t>niranjanapenumarthy@gmail.com</t>
  </si>
  <si>
    <t>Niranjana</t>
  </si>
  <si>
    <t>VASISHTA PENUMARTHY</t>
  </si>
  <si>
    <t>KOUNDINYASA, KASHYAPASA, KASHYAPASA</t>
  </si>
  <si>
    <t>ADVOCATE</t>
  </si>
  <si>
    <t>Manikanta Chillara</t>
  </si>
  <si>
    <t>Dr P Venkateswara Rao</t>
  </si>
  <si>
    <t>Analog Design Engineer</t>
  </si>
  <si>
    <t>susarla.subbarao@gmail.com</t>
  </si>
  <si>
    <t>Susarla</t>
  </si>
  <si>
    <t>Venkat Subbarao</t>
  </si>
  <si>
    <t>Kondaveeti Rama Sharma</t>
  </si>
  <si>
    <t>Haritasa, Kasyapasa, Kasyapasa</t>
  </si>
  <si>
    <t>Retired from Indian Railways</t>
  </si>
  <si>
    <t>Annapurna Nanda Rao</t>
  </si>
  <si>
    <t>Konduri Venkata Ramana</t>
  </si>
  <si>
    <t>Retired Railway Employee</t>
  </si>
  <si>
    <t>vennetisravan@gmail.com</t>
  </si>
  <si>
    <t>Venneti</t>
  </si>
  <si>
    <t>Hari Haranatha Sai</t>
  </si>
  <si>
    <t>Venneti Lalitha</t>
  </si>
  <si>
    <t>7Th</t>
  </si>
  <si>
    <t>vsumanthkumar@gmail.com</t>
  </si>
  <si>
    <t>Venukadasula</t>
  </si>
  <si>
    <t>Sumanth Sharma</t>
  </si>
  <si>
    <t>Koundinyasa , కౌండిన్యస, శ్రీవత్సస, కౌశికస, Koushikasa</t>
  </si>
  <si>
    <t>Krishna Yaujurveda</t>
  </si>
  <si>
    <t>Manager at Bank of America</t>
  </si>
  <si>
    <t>jalajaravikanth@gmail.com</t>
  </si>
  <si>
    <t>Vishnubhotla</t>
  </si>
  <si>
    <t>Got it from Whatsapp Forward from Our Mahanyasam Group</t>
  </si>
  <si>
    <t>Bharadwajasa, Kaundinyasa, Kausikasa</t>
  </si>
  <si>
    <t>Telugu,Enlgish,Hindi</t>
  </si>
  <si>
    <t>Senior Program Manager - Nokia</t>
  </si>
  <si>
    <t>Anudeep</t>
  </si>
  <si>
    <t>Mckinney</t>
  </si>
  <si>
    <t>Naveen Janardhan</t>
  </si>
  <si>
    <t>Koundinyasa, Bharadwajasa, Parasara</t>
  </si>
  <si>
    <t>Technical Account Manager</t>
  </si>
  <si>
    <t>sivaininfy@gmail.com</t>
  </si>
  <si>
    <t>Satya Siva Kumar</t>
  </si>
  <si>
    <t>Hari Charan Karanam</t>
  </si>
  <si>
    <t>Koundinyasa, Bharadwaja, Haritasa</t>
  </si>
  <si>
    <t>Telugi, English</t>
  </si>
  <si>
    <t>phani.srikar@gmail.com</t>
  </si>
  <si>
    <t>Chodavarapu</t>
  </si>
  <si>
    <t>Phani Srikar</t>
  </si>
  <si>
    <t>Bharadwajasa, Koundinya Gothram, Haritasa</t>
  </si>
  <si>
    <t>divakar.j@gmail.com</t>
  </si>
  <si>
    <t>Divakar</t>
  </si>
  <si>
    <t>Krishna Mohan Gobburu</t>
  </si>
  <si>
    <t>Shandilya, Koundinyasa, bharadwajasa</t>
  </si>
  <si>
    <t>harickaranam@gmail.com</t>
  </si>
  <si>
    <t>Rajshekhar Kesiraju</t>
  </si>
  <si>
    <t>Srivatsa, Bharadwaja, Kaushika</t>
  </si>
  <si>
    <t>Telugu, English, Hindia</t>
  </si>
  <si>
    <t>Solution Architect</t>
  </si>
  <si>
    <t>vasu.moparthy@gmail.com</t>
  </si>
  <si>
    <t>Moparthy</t>
  </si>
  <si>
    <t>father</t>
  </si>
  <si>
    <t>kaasyapasa, Koundinyasa, N/A</t>
  </si>
  <si>
    <t>Vasudeva Moparthy</t>
  </si>
  <si>
    <t>sagarparasarmk@gmail.com</t>
  </si>
  <si>
    <t>Mudunuri</t>
  </si>
  <si>
    <t>Kshera Sagar Parasar</t>
  </si>
  <si>
    <t>Mckinney,Texas</t>
  </si>
  <si>
    <t>What'sApp Link in the Group.</t>
  </si>
  <si>
    <t>Parasara, Bharadwajasa, Kasyapasa</t>
  </si>
  <si>
    <t>Teugu, English</t>
  </si>
  <si>
    <t>Senior Delivery Manager (IT)</t>
  </si>
  <si>
    <t>ragvalki@yahoo.com</t>
  </si>
  <si>
    <t>Vasu Moparthy</t>
  </si>
  <si>
    <t>Bharadwajasa, Kowndinyasa, Kasyapasa</t>
  </si>
  <si>
    <t>Telugu, Hindi, Tamil and English</t>
  </si>
  <si>
    <t>N/</t>
  </si>
  <si>
    <t>kundurthy@gmail.com</t>
  </si>
  <si>
    <t>Morris Plains</t>
  </si>
  <si>
    <t>Sreenadh Kundurthy</t>
  </si>
  <si>
    <t>Bharadwajasa, Harithasa, Kasyapasa</t>
  </si>
  <si>
    <t>kalyanisiva@gmail.com</t>
  </si>
  <si>
    <t>Mallavarapu</t>
  </si>
  <si>
    <t>Ramakrishna Adusumilli</t>
  </si>
  <si>
    <t>Sounakasa, Haritasa, Bharadwajasa</t>
  </si>
  <si>
    <t>Telugu, Hindi, English. Can speak Tamil also</t>
  </si>
  <si>
    <t>SVP, IT Audit Consultant</t>
  </si>
  <si>
    <t>tnarasimhasastry@gmail.com</t>
  </si>
  <si>
    <t>Narasimha Sastry</t>
  </si>
  <si>
    <t>Dayton</t>
  </si>
  <si>
    <t>Kalyan Chakravarthy</t>
  </si>
  <si>
    <t>Kasyapasa, Harirhasa, Athreyasa</t>
  </si>
  <si>
    <t>Telugu Hindi and English</t>
  </si>
  <si>
    <t>krishna.vedula@gmail.com</t>
  </si>
  <si>
    <t>Bharadwaja, Vardulasa, Kutsasa</t>
  </si>
  <si>
    <t>Cto</t>
  </si>
  <si>
    <t>sravankumardv@gmail.com</t>
  </si>
  <si>
    <t>Dharmabotla</t>
  </si>
  <si>
    <t>Venkata Sravan Kumar</t>
  </si>
  <si>
    <t>Seethapati Meduri</t>
  </si>
  <si>
    <t>Kasyapa, Bharadawaja, Koundinya</t>
  </si>
  <si>
    <t>dvsrkrao@gmail.com</t>
  </si>
  <si>
    <t>Diduvanu</t>
  </si>
  <si>
    <t>Venkata Satya Radhakrishna Rao</t>
  </si>
  <si>
    <t>Rama Krishna garu and Vijay Kommaraju</t>
  </si>
  <si>
    <t>Pootimaashasa, Haritasa, Haritasa</t>
  </si>
  <si>
    <t>IT Employee</t>
  </si>
  <si>
    <t>ckompella@gmail.com</t>
  </si>
  <si>
    <t>Chandramouli</t>
  </si>
  <si>
    <t>Kompella Venkata Krishna Sastry</t>
  </si>
  <si>
    <t>Kaasyapasa, Harithasa, Harithasa</t>
  </si>
  <si>
    <t>sastrykvp@gmail.com</t>
  </si>
  <si>
    <t>Dublin</t>
  </si>
  <si>
    <t>Harithasa, Bharadwajasa, Koundinyasa</t>
  </si>
  <si>
    <t>Lakshmi, Subrahmanyam</t>
  </si>
  <si>
    <t>SDM</t>
  </si>
  <si>
    <t>sasankmvs@gmail.com</t>
  </si>
  <si>
    <t>Shashank</t>
  </si>
  <si>
    <t>PLEASANTON</t>
  </si>
  <si>
    <t>HEMA SAI LAKSHMI</t>
  </si>
  <si>
    <t>HARITASA, BHARADWAJA, AGASYASA</t>
  </si>
  <si>
    <t>IT PROFESSIONAL</t>
  </si>
  <si>
    <t>lalitsantoshpannala@gmail.com</t>
  </si>
  <si>
    <t>Lalitsantosh</t>
  </si>
  <si>
    <t>Koundinyasa, Bharadwasa, N/A</t>
  </si>
  <si>
    <t>Sreekar Karthik</t>
  </si>
  <si>
    <t>Aditya Pillalamarri</t>
  </si>
  <si>
    <t>Kousikasa, Koundinyasa, n/a</t>
  </si>
  <si>
    <t>Nageshwara Kumar Potukuchi</t>
  </si>
  <si>
    <t>Srivathsa, Harithasa, N/A</t>
  </si>
  <si>
    <t>Nageshwara Kumar Potukuchi, Sirisha Potukuchi</t>
  </si>
  <si>
    <t>4th grade student</t>
  </si>
  <si>
    <t>sastryakella59@gmail.com</t>
  </si>
  <si>
    <t>Surya Narayana Sastry</t>
  </si>
  <si>
    <t>Ch.Rama Krishna, 8978416077</t>
  </si>
  <si>
    <t>Harithasa, Devaraatasa, Devaraatasa</t>
  </si>
  <si>
    <t>తెలుగు హిందీ english</t>
  </si>
  <si>
    <t>సంస్కృతం తెలుగు హిందీ english</t>
  </si>
  <si>
    <t>Rtd rly engineer</t>
  </si>
  <si>
    <t>Agnivaivasyasa, Koundanyasa, Bardwajsa</t>
  </si>
  <si>
    <t>Telugu ,Hindi,English</t>
  </si>
  <si>
    <t>raghavendrac81@gmail.com</t>
  </si>
  <si>
    <t>Chemudupati</t>
  </si>
  <si>
    <t>Bhanu Sankar</t>
  </si>
  <si>
    <t>Koundinyasa, Kaushikasa, Kausikasa</t>
  </si>
  <si>
    <t>raghu.namtech@gmail.com</t>
  </si>
  <si>
    <t>Raghunadh</t>
  </si>
  <si>
    <t>KASYAPA SISTLA</t>
  </si>
  <si>
    <t>BHARADWAJASA, SRI VATSA SA, HARITASA</t>
  </si>
  <si>
    <t>BUSINESS MANAGER</t>
  </si>
  <si>
    <t>luckysrav1980@gmail.com</t>
  </si>
  <si>
    <t>Venkata Surya Lakshmana Rao</t>
  </si>
  <si>
    <t>Guttina Sri Naga Taraka Rama Rao</t>
  </si>
  <si>
    <t>Srivatsasa, Haritasa, Aatreyasa</t>
  </si>
  <si>
    <t>dbharadwaz@gmail.com</t>
  </si>
  <si>
    <t>Bharadwaz</t>
  </si>
  <si>
    <t>kousikasa, kasyapasa, koundinyasa</t>
  </si>
  <si>
    <t>dravisri@gmail.com</t>
  </si>
  <si>
    <t>Darlapudi</t>
  </si>
  <si>
    <t>Ravindranath</t>
  </si>
  <si>
    <t>Vadodara</t>
  </si>
  <si>
    <t>Sri M Umamaheswar Rao (T3.1-Gruhastha-SLMTS)</t>
  </si>
  <si>
    <t>Bhardwaja, Kasyapa, Atreya</t>
  </si>
  <si>
    <t>Telugu/English and Hindi</t>
  </si>
  <si>
    <t>Telugu / English and Hindi</t>
  </si>
  <si>
    <t>Logistic Manager.</t>
  </si>
  <si>
    <t>kpayya@gmail.com</t>
  </si>
  <si>
    <t>Iyer</t>
  </si>
  <si>
    <t>Seshadri</t>
  </si>
  <si>
    <t>Phani sharma</t>
  </si>
  <si>
    <t>srivatsa, vishwamitra, nitrupa kashyapa</t>
  </si>
  <si>
    <t>tamil, telugu</t>
  </si>
  <si>
    <t>telugu, hindi, english</t>
  </si>
  <si>
    <t>Medical rep</t>
  </si>
  <si>
    <t>AGM-Inventory Management</t>
  </si>
  <si>
    <t>kvrsprasad31@gmail.com</t>
  </si>
  <si>
    <t>K</t>
  </si>
  <si>
    <t>Venkata Ramana Satya Prasad</t>
  </si>
  <si>
    <t>Siripurapu శ్రీనివాస్ garu, +91 93919 44044</t>
  </si>
  <si>
    <t>Koundinyasa, Kasyapasa, Sandilyasa</t>
  </si>
  <si>
    <t>English తెలుగు, కన్నడ, tamil, hindi</t>
  </si>
  <si>
    <t>తెలుగు, కన్నడ, hindi, english</t>
  </si>
  <si>
    <t>Worked in a company as a manager</t>
  </si>
  <si>
    <t>justforsantosh@gmail.com</t>
  </si>
  <si>
    <t>Santosh</t>
  </si>
  <si>
    <t>Bharadwaja, Harithasa, N/A</t>
  </si>
  <si>
    <t>Software Professional @ Accenture</t>
  </si>
  <si>
    <t>karthikdingo@gmail.com</t>
  </si>
  <si>
    <t>Aparna daita</t>
  </si>
  <si>
    <t>Bharadwajasa, Haritasa, Kashyapasa</t>
  </si>
  <si>
    <t>Yajirveda</t>
  </si>
  <si>
    <t>Caterer</t>
  </si>
  <si>
    <t>atmaramkavuri@gmail.com</t>
  </si>
  <si>
    <t>J Lakshmi Narasimha Murthy</t>
  </si>
  <si>
    <t>Gowthama, Harithasa, Bharadwaja</t>
  </si>
  <si>
    <t>AGM Retired SBI</t>
  </si>
  <si>
    <t>siri.latha@gmail.com</t>
  </si>
  <si>
    <t>Vishnuteja</t>
  </si>
  <si>
    <t>Srinivas Konduri</t>
  </si>
  <si>
    <t>Harithasa, Koushikasa, N/A</t>
  </si>
  <si>
    <t>Telugu, Hindi, English, Sanskrit</t>
  </si>
  <si>
    <t>Shri Srinivas Konduri, Smt. Sreelatha Konduri</t>
  </si>
  <si>
    <t>Sameera</t>
  </si>
  <si>
    <t>Surya Prasad</t>
  </si>
  <si>
    <t>Kashyap Kuchipudi</t>
  </si>
  <si>
    <t>Kasyapasa, Srivatsasa, Bharadwajasa</t>
  </si>
  <si>
    <t>Retired Hydro Geologist</t>
  </si>
  <si>
    <t>krrish.kalyan@gmail.com</t>
  </si>
  <si>
    <t>Seshagiri Sastry</t>
  </si>
  <si>
    <t>Shandilyasa, Bharadwaja, Koundinyasa</t>
  </si>
  <si>
    <t>Yujurveda</t>
  </si>
  <si>
    <t>Telugu, english, hindi and Kannada</t>
  </si>
  <si>
    <t>mamidipallipavankumar@gmail.com</t>
  </si>
  <si>
    <t>Mamidipalli</t>
  </si>
  <si>
    <t>Haritasa, Kasyapasa, Gouthamasa</t>
  </si>
  <si>
    <t>saisanjay.marla@gmail.com</t>
  </si>
  <si>
    <t>Sai Sanjay Kumar Sharma</t>
  </si>
  <si>
    <t>Marla Satish Kumar</t>
  </si>
  <si>
    <t>Bhardawajasa, Harithsa, Gouthamasa</t>
  </si>
  <si>
    <t>anjaneyulumsr1960@gmail.com</t>
  </si>
  <si>
    <t>Seetaramanjaneyulu</t>
  </si>
  <si>
    <t>Srivastasa, Yaskasa, Koundinyasa</t>
  </si>
  <si>
    <t>Not Applicable</t>
  </si>
  <si>
    <t>Retired Bank AGM</t>
  </si>
  <si>
    <t>narayan.muthyam@gmail.com</t>
  </si>
  <si>
    <t>Narayan Rao</t>
  </si>
  <si>
    <t>Shubhaprada Muthyam, Spouse</t>
  </si>
  <si>
    <t>Sandilyasa, Srivatsasa, Srivatsasa</t>
  </si>
  <si>
    <t>shiva.mutya@gmail.com</t>
  </si>
  <si>
    <t>Mutya</t>
  </si>
  <si>
    <t>Shiva Rajesh</t>
  </si>
  <si>
    <t>B Chandrasekhar 9849639880</t>
  </si>
  <si>
    <t>Koundinaysa, Gargeyasa, Srivatysa</t>
  </si>
  <si>
    <t>nsandeepsharma@gmail.com</t>
  </si>
  <si>
    <t>Nimmagadda</t>
  </si>
  <si>
    <t>Sandeep Sharma</t>
  </si>
  <si>
    <t>Nirmal</t>
  </si>
  <si>
    <t>Harithasa,koundinyasa, koundinyasa.</t>
  </si>
  <si>
    <t>Rugvedha</t>
  </si>
  <si>
    <t>Telugu hindhi</t>
  </si>
  <si>
    <t>Archaka</t>
  </si>
  <si>
    <t>ravikumar.nistala@gmail.com</t>
  </si>
  <si>
    <t>Harithasa, Srivastava, Lohitasa</t>
  </si>
  <si>
    <t>girinivarthi@gmail.com</t>
  </si>
  <si>
    <t>Nivarthi</t>
  </si>
  <si>
    <t>Rama Krishna Murthy</t>
  </si>
  <si>
    <t>Seshagiri NIVARTHI</t>
  </si>
  <si>
    <t>Bharadwajasa, Koundinyasa, Kasyapasa</t>
  </si>
  <si>
    <t>pmpsarma@gmail.com</t>
  </si>
  <si>
    <t>Peesapati</t>
  </si>
  <si>
    <t>Mallikharjuna Purushottama</t>
  </si>
  <si>
    <t>Sri Kalidasu Srinivasa Rao</t>
  </si>
  <si>
    <t>Gouthamasa, Haritasa, bharadwajasa</t>
  </si>
  <si>
    <t>Telugu, English &amp; Hindi, Sanskrit</t>
  </si>
  <si>
    <t>rcravi505@gmail.com</t>
  </si>
  <si>
    <t>Putrevu</t>
  </si>
  <si>
    <t>Ramachandra Ravi</t>
  </si>
  <si>
    <t>Bharadwaja, Bharadwaja, Harithasa</t>
  </si>
  <si>
    <t>Banker</t>
  </si>
  <si>
    <t>Saketh</t>
  </si>
  <si>
    <t>ramakrishnuduchilla@gmail.com</t>
  </si>
  <si>
    <t>Ramakrishnudu</t>
  </si>
  <si>
    <t>V. Annapurnananda Rao</t>
  </si>
  <si>
    <t>Srivatsasa, Yaskasa, Harithasa</t>
  </si>
  <si>
    <t>Rtd. Railways Station Master</t>
  </si>
  <si>
    <t>rnjosyula@gmail.com</t>
  </si>
  <si>
    <t>Senior project manager,</t>
  </si>
  <si>
    <t>prakashremella@gmail.com</t>
  </si>
  <si>
    <t>Madhu Prakash</t>
  </si>
  <si>
    <t>Kousikasa, Haridasa, Koundinyasa</t>
  </si>
  <si>
    <t>IT Consultanat</t>
  </si>
  <si>
    <t>canadaibm10@gmail.com</t>
  </si>
  <si>
    <t>Madhu Prakash Remella, Sri Vidhya Vinuta</t>
  </si>
  <si>
    <t>High School Student (grade 8)</t>
  </si>
  <si>
    <t>satapasthichiranjeevi@gmail.com</t>
  </si>
  <si>
    <t>Satapathi</t>
  </si>
  <si>
    <t>Chiranjeevi</t>
  </si>
  <si>
    <t>Srikaulam</t>
  </si>
  <si>
    <t>M. Uma maheswarm</t>
  </si>
  <si>
    <t>Savarnasya, Baradvajasa, N/A</t>
  </si>
  <si>
    <t>Telugu. English</t>
  </si>
  <si>
    <t>Local purohit</t>
  </si>
  <si>
    <t>ravikrishna.sistla@gmail.com</t>
  </si>
  <si>
    <t>Ravikrishna</t>
  </si>
  <si>
    <t>Kasyapa Sistla</t>
  </si>
  <si>
    <t>Kasyapasa, Srivatsasa, Kountinyasa</t>
  </si>
  <si>
    <t>Working in TCS</t>
  </si>
  <si>
    <t>sadityak6@gmail.com</t>
  </si>
  <si>
    <t>Aditya Koundinya</t>
  </si>
  <si>
    <t>Kattamuri Ramakrishna</t>
  </si>
  <si>
    <t>Koundinyasa, Harithasa, N/A</t>
  </si>
  <si>
    <t>Self Employee</t>
  </si>
  <si>
    <t>surisivaramaprasad@gmail.com</t>
  </si>
  <si>
    <t>Suri</t>
  </si>
  <si>
    <t>Sivarama Prasad</t>
  </si>
  <si>
    <t>Surisivarama prasad</t>
  </si>
  <si>
    <t>Bharadwaja, Kashyapa, Kasyapasaya</t>
  </si>
  <si>
    <t>S L N sastry</t>
  </si>
  <si>
    <t>Sri vatsasa, Bharadwajasa, Bharadwajasa 1988</t>
  </si>
  <si>
    <t>LECTURER</t>
  </si>
  <si>
    <t>uppuluri.pradeep@gmail.com</t>
  </si>
  <si>
    <t>Uppuluri</t>
  </si>
  <si>
    <t>Shankar Datta</t>
  </si>
  <si>
    <t>U pradeep kumar</t>
  </si>
  <si>
    <t>Kashyap, Bharadwaj, NA</t>
  </si>
  <si>
    <t>Marati ,Telugu ,hindi ,english</t>
  </si>
  <si>
    <t>Grade 5</t>
  </si>
  <si>
    <t>Telugu English Hindi Bangla</t>
  </si>
  <si>
    <t>vmssharma@gmail.com</t>
  </si>
  <si>
    <t>Madhava Subramanya</t>
  </si>
  <si>
    <t>Venuka dasu Sumant Kumar</t>
  </si>
  <si>
    <t>Shrivatsasa</t>
  </si>
  <si>
    <t>Telugu,English and Hindi</t>
  </si>
  <si>
    <t>Venakadasula Sumanth Kumar</t>
  </si>
  <si>
    <t>Koundinyasa, Shrivatsasa</t>
  </si>
  <si>
    <t>Telugu,Hindi and English</t>
  </si>
  <si>
    <t>English, Hindi and Telugu with difficulty</t>
  </si>
  <si>
    <t>Varanasi Madhava Subramanya Sharma</t>
  </si>
  <si>
    <t>sumankumarvas@gmail.com</t>
  </si>
  <si>
    <t>Vasalamarri</t>
  </si>
  <si>
    <t>Suman Sarma</t>
  </si>
  <si>
    <t>Vamaraju Hari Hara Nadha Sai</t>
  </si>
  <si>
    <t>Bharadwajasa, No idea, Koundinyasa</t>
  </si>
  <si>
    <t>Telugu, Hindi, Tamil, English</t>
  </si>
  <si>
    <t>raghu.venukadasula@gmail.com</t>
  </si>
  <si>
    <t>Vishakapatnam</t>
  </si>
  <si>
    <t>Sumanth Venukadasula</t>
  </si>
  <si>
    <t>koundinyasa, bharadwajasa, Harithasa</t>
  </si>
  <si>
    <t>Lead project</t>
  </si>
  <si>
    <t>satyanarayana.vinjamoori@gmail.com</t>
  </si>
  <si>
    <t>Vinjamoori</t>
  </si>
  <si>
    <t>Satyanarayana Srinivas</t>
  </si>
  <si>
    <t>Muralidhar 94913 82756</t>
  </si>
  <si>
    <t>Goutamasa, Koundinyasa, Haritasa</t>
  </si>
  <si>
    <t>HR</t>
  </si>
  <si>
    <t>yramesh1959@gmail.com</t>
  </si>
  <si>
    <t>Ramesh Babu</t>
  </si>
  <si>
    <t>Mr. Bhairav, 6262282808</t>
  </si>
  <si>
    <t>Saunakasa, Bharadwajasa, Kausikasa</t>
  </si>
  <si>
    <t>Telugu, English, Tamil</t>
  </si>
  <si>
    <t>School Teacher</t>
  </si>
  <si>
    <t>chilukurims@gmail.com</t>
  </si>
  <si>
    <t>Madhavsrikanth</t>
  </si>
  <si>
    <t>-</t>
  </si>
  <si>
    <t>Harithasa, Vardhulasa, Kasyapasa</t>
  </si>
  <si>
    <t>sailushagorthy@gmail.com</t>
  </si>
  <si>
    <t>Anand Krishna</t>
  </si>
  <si>
    <t>Chitkala kolachina</t>
  </si>
  <si>
    <t>Koundinyasa, Bhaaradwajasa, N/a</t>
  </si>
  <si>
    <t>English, telugu</t>
  </si>
  <si>
    <t>Ananthapavan kumar gorthy, sailusha gorthy</t>
  </si>
  <si>
    <t>ksnaveen100@gmail.com</t>
  </si>
  <si>
    <t>Kakarla</t>
  </si>
  <si>
    <t>Srilakshmi</t>
  </si>
  <si>
    <t>Devarathasa, Srivatsasa, Bharadvajasa</t>
  </si>
  <si>
    <t>Telugu, Kannada, Hindi, English</t>
  </si>
  <si>
    <t>aravind.k9795@gmail.com</t>
  </si>
  <si>
    <t>Aravinda Sai</t>
  </si>
  <si>
    <t>Rakesh Viparla</t>
  </si>
  <si>
    <t>Moudgalyasa, Kasyapasa, N/A</t>
  </si>
  <si>
    <t>pickravi@gmail.com</t>
  </si>
  <si>
    <t>Kuchibhotla</t>
  </si>
  <si>
    <t>Little elm, Tx</t>
  </si>
  <si>
    <t>Vasu Moparthy— +1 (469) 236-1274</t>
  </si>
  <si>
    <t>Sri vatsas, Unonown, Gouthamasa</t>
  </si>
  <si>
    <t>Yakut Veda</t>
  </si>
  <si>
    <t>rfmalladi@gmail.com</t>
  </si>
  <si>
    <t>Ramprasad</t>
  </si>
  <si>
    <t>Praveena Sadhu</t>
  </si>
  <si>
    <t>Kaushikasa, Kaundinyasa, Kaundinyasa</t>
  </si>
  <si>
    <t>Yajurvada</t>
  </si>
  <si>
    <t>Telugu, English,Sanskrit</t>
  </si>
  <si>
    <t>IT Mgmt.</t>
  </si>
  <si>
    <t>srmellac@gmail.com</t>
  </si>
  <si>
    <t>Srikanth Tejaswi</t>
  </si>
  <si>
    <t>Hari Charan From Austin</t>
  </si>
  <si>
    <t>Bharadwajasa, Kousikasa, Maharachala</t>
  </si>
  <si>
    <t>manojkumarpanchagnula@gmail.com</t>
  </si>
  <si>
    <t>Bhramin Association Texas</t>
  </si>
  <si>
    <t>adivgruham@gmail.com</t>
  </si>
  <si>
    <t>Remella Madhu Prakash</t>
  </si>
  <si>
    <t>Bhradwajasa, Chikitasa, Parasara</t>
  </si>
  <si>
    <t>Trlugu</t>
  </si>
  <si>
    <t>Sogtware Engineer</t>
  </si>
  <si>
    <t>srinath.vemuri@gmail.com</t>
  </si>
  <si>
    <t>Srikant Mellacheruvu</t>
  </si>
  <si>
    <t>Srinath Vemuri</t>
  </si>
  <si>
    <t>Haritasa, Srivatsasa, NA</t>
  </si>
  <si>
    <t>Telugu, English, some Hindi/Sanskrit</t>
  </si>
  <si>
    <t>Srinath &amp; Krishna Archana Vemuri</t>
  </si>
  <si>
    <t>3rd grade</t>
  </si>
  <si>
    <t>Srinath</t>
  </si>
  <si>
    <t>Haritasa, Atreyasa, SriVatsa</t>
  </si>
  <si>
    <t>Telugu, Sanskrit, English</t>
  </si>
  <si>
    <t>Physician</t>
  </si>
  <si>
    <t>adroitperson37@gmail.com</t>
  </si>
  <si>
    <t>Viparla</t>
  </si>
  <si>
    <t>Deepak gurujada</t>
  </si>
  <si>
    <t>Koundinyasa, Moundgalysa, Bhartvajasa</t>
  </si>
  <si>
    <t>Yagur veda</t>
  </si>
  <si>
    <t>gampavani@gmail.com</t>
  </si>
  <si>
    <t>Venkata Gampa</t>
  </si>
  <si>
    <t>Srivatsa, Bhardwaja, N/A</t>
  </si>
  <si>
    <t>Venkata Gampa vijayavani Vajjaha</t>
  </si>
  <si>
    <t>ajayjv@gmail.com</t>
  </si>
  <si>
    <t>Jillellamudi</t>
  </si>
  <si>
    <t>Ajay</t>
  </si>
  <si>
    <t>Novi MI</t>
  </si>
  <si>
    <t>Mukthesh Nandigama</t>
  </si>
  <si>
    <t>Bharadwajasa, Kaushika, Srivatsa</t>
  </si>
  <si>
    <t>Senior Director - Data Analytics</t>
  </si>
  <si>
    <t>madhusudan.kousik@gmail.com</t>
  </si>
  <si>
    <t>Kappaganthula</t>
  </si>
  <si>
    <t>Madhusudan Kousik</t>
  </si>
  <si>
    <t>Srinivas Pasumarthi</t>
  </si>
  <si>
    <t>Kousikasa, Haritasa, Koundinyasa</t>
  </si>
  <si>
    <t>rk_kattamuri@yahoo.com</t>
  </si>
  <si>
    <t>Marlton</t>
  </si>
  <si>
    <t>WhatsApp flyer</t>
  </si>
  <si>
    <t>Kasyapasa, Haritasa, Koundinyasa</t>
  </si>
  <si>
    <t>Security Manager</t>
  </si>
  <si>
    <t>mamta.teddy@gmail.com</t>
  </si>
  <si>
    <t>Mugu</t>
  </si>
  <si>
    <t>Sanford</t>
  </si>
  <si>
    <t>Praneeth Uppalapati</t>
  </si>
  <si>
    <t>Koindinyasa</t>
  </si>
  <si>
    <t>Santhosh mugu</t>
  </si>
  <si>
    <t>High school kid</t>
  </si>
  <si>
    <t>Kasyapa</t>
  </si>
  <si>
    <t>Alpharetta</t>
  </si>
  <si>
    <t>Challa Kumar/Challa Aditya</t>
  </si>
  <si>
    <t>Kasyapasa, Stivatsasa, Gouthamasa</t>
  </si>
  <si>
    <t>seshunivarthi@gmail.com</t>
  </si>
  <si>
    <t>Seshagiri</t>
  </si>
  <si>
    <t>Bharadwajasa, Salankayanasa, Sandilyasa</t>
  </si>
  <si>
    <t>rallabhandi@gmail.com</t>
  </si>
  <si>
    <t>Sammamish WA</t>
  </si>
  <si>
    <t>Koundinyasa, Bharadwaja, Don't know</t>
  </si>
  <si>
    <t>I'm not registering for thise unnder 13</t>
  </si>
  <si>
    <t>phaniraj1987@gmail.com</t>
  </si>
  <si>
    <t>Narayanam Phani Raju Sharma</t>
  </si>
  <si>
    <t>Subramanym - 9866789741</t>
  </si>
  <si>
    <t>Koundiyasa , Agastyasa</t>
  </si>
  <si>
    <t>Koudinyasa, Agastayasa</t>
  </si>
  <si>
    <t xml:space="preserve">As a son born in Brahmin family , interested to learn vedas as to follow our tradition and for my own interests </t>
  </si>
  <si>
    <t xml:space="preserve">Koilkuntla </t>
  </si>
  <si>
    <t xml:space="preserve">K PHANI SEKHAR SHARMA </t>
  </si>
  <si>
    <t xml:space="preserve"> 99660 16096</t>
  </si>
  <si>
    <t xml:space="preserve">BHARADWAJASA,VISHWAMITRA,KASHYAPASA </t>
  </si>
  <si>
    <t xml:space="preserve">Telugu,hindi </t>
  </si>
  <si>
    <t xml:space="preserve">Purohitham </t>
  </si>
  <si>
    <t xml:space="preserve">I'm doing purohitham it's mandatory to improve my self </t>
  </si>
  <si>
    <t xml:space="preserve">It's very important to me </t>
  </si>
  <si>
    <t>kalaga.murthy61@gmail.com</t>
  </si>
  <si>
    <t>Venkata Sreeramachandramurthy</t>
  </si>
  <si>
    <t>Kalaga Murali Krishna</t>
  </si>
  <si>
    <t>Harithasa, Koundinyasa, Kasyapasa</t>
  </si>
  <si>
    <t>To know our dharma</t>
  </si>
  <si>
    <t>I will attend the classes and achieve my goal.</t>
  </si>
  <si>
    <t>dsmuralimohqn@gmail.com</t>
  </si>
  <si>
    <t xml:space="preserve">Dasika </t>
  </si>
  <si>
    <t xml:space="preserve">Srinivasa Murali Mohan </t>
  </si>
  <si>
    <t>Aparna kavuri</t>
  </si>
  <si>
    <t>Swathanthra Kapisa gothram, Koundinya, Bradvaj8</t>
  </si>
  <si>
    <t>Engliahu telugu ⁴Hindi</t>
  </si>
  <si>
    <t>Manager i</t>
  </si>
  <si>
    <t>ravi.rudrabhatla@gmail.com</t>
  </si>
  <si>
    <t>Vinayaka Ravi Teja</t>
  </si>
  <si>
    <t>Rudrabhatla V V Naga Sai</t>
  </si>
  <si>
    <t>+91-9440612380</t>
  </si>
  <si>
    <t>Kashyapasa,Kousikasa Vishwamitra,Kashyapasa</t>
  </si>
  <si>
    <t xml:space="preserve">Telugu,Hindi, English </t>
  </si>
  <si>
    <t>Engineer and Team Lead</t>
  </si>
  <si>
    <t>Deeply interested and influenced with the meanings of the Slokas and Mantras with meanings. I understand some bit of Astrology too,so I want to correlate with the Mantras.</t>
  </si>
  <si>
    <t>raghavdeep@gmail.com</t>
  </si>
  <si>
    <t>Raviprolu</t>
  </si>
  <si>
    <t>Raghavendra Deepak</t>
  </si>
  <si>
    <t>Shravan Kumar Vemuri</t>
  </si>
  <si>
    <t>+919177393167</t>
  </si>
  <si>
    <t xml:space="preserve">Athreyasa, Bharadwajasa, Bhradwajasa </t>
  </si>
  <si>
    <t>Software Eng</t>
  </si>
  <si>
    <t>I want to learn the Vedas and raise higher in life</t>
  </si>
  <si>
    <t>Perform Nithya Sandhyavandanam learnt from KC Das Trust but for last one month</t>
  </si>
  <si>
    <t>pavmadh@gmail.com</t>
  </si>
  <si>
    <t>Purushotham</t>
  </si>
  <si>
    <t>Marepalli Kishore</t>
  </si>
  <si>
    <t xml:space="preserve">Koundinyasa, Kasyapasa, Kasyapasa </t>
  </si>
  <si>
    <t>Retired from Bank service</t>
  </si>
  <si>
    <t>Out of self interest</t>
  </si>
  <si>
    <t xml:space="preserve">I am very much interested to complete full syllabus under your guidance/teaching with suswaram/uchcharana </t>
  </si>
  <si>
    <t>cheelasarita@gmail.com</t>
  </si>
  <si>
    <t>Surya Karthikeya</t>
  </si>
  <si>
    <t>Damodaram Tekuru Vedam Guruvugaru</t>
  </si>
  <si>
    <t>Gautamasa,kutsyasa</t>
  </si>
  <si>
    <t xml:space="preserve">Telugu,hindi,english </t>
  </si>
  <si>
    <t>Cheela sarita,peri naresh</t>
  </si>
  <si>
    <t>To know about vedas and our santana dharma.</t>
  </si>
  <si>
    <t xml:space="preserve">This is a good  opportunity  for the kids to learn  in this digital world.it is very impressive </t>
  </si>
  <si>
    <t>perinareshca@gmail.com</t>
  </si>
  <si>
    <t>Laksminarasimham</t>
  </si>
  <si>
    <t>Gautamasa,kutsyasa,vardhulasa</t>
  </si>
  <si>
    <t>English,telugu,hindi</t>
  </si>
  <si>
    <t>To know about our sanatanadharma</t>
  </si>
  <si>
    <t>This is good platform in our day to day life</t>
  </si>
  <si>
    <t>panchagnula.sriram@gmail.com</t>
  </si>
  <si>
    <t>Lakshmi Advaith</t>
  </si>
  <si>
    <t>Sriram, Lakshmi Padma</t>
  </si>
  <si>
    <t>sarath.wprs@gmail.com</t>
  </si>
  <si>
    <t>Hegde</t>
  </si>
  <si>
    <t>Sarath Kumar</t>
  </si>
  <si>
    <t>NANDYAL</t>
  </si>
  <si>
    <t xml:space="preserve">Phani </t>
  </si>
  <si>
    <t>+91 99660 16096</t>
  </si>
  <si>
    <t xml:space="preserve">Viswamitrasa,bhardwaja,koundinyasa </t>
  </si>
  <si>
    <t xml:space="preserve">Government employees </t>
  </si>
  <si>
    <t xml:space="preserve">Purohit </t>
  </si>
  <si>
    <t>vsathyasrinivas@gmail.com</t>
  </si>
  <si>
    <t>Vinjamuri</t>
  </si>
  <si>
    <t>Sathya Srinivas</t>
  </si>
  <si>
    <t>Vinjamoori Satyanarayana</t>
  </si>
  <si>
    <t>+919963122211</t>
  </si>
  <si>
    <t>Goutama, Atreya, Bharadwaja</t>
  </si>
  <si>
    <t>Telugu, Tamil and English</t>
  </si>
  <si>
    <t>Tamil, English and Telugu</t>
  </si>
  <si>
    <t>Software ENgineer</t>
  </si>
  <si>
    <t>Self Interest in Learning Vedas</t>
  </si>
  <si>
    <t>Committed to learn learn Vedas also learning Devanagari script.</t>
  </si>
  <si>
    <t>chintalapati.vrs@gmail.com</t>
  </si>
  <si>
    <t>Sriilalit Narayana</t>
  </si>
  <si>
    <t xml:space="preserve">Malladi Sairam </t>
  </si>
  <si>
    <t>+91 98596 98586</t>
  </si>
  <si>
    <t>Bharadwajasa, Haritasa , Haritasa</t>
  </si>
  <si>
    <t xml:space="preserve">English, Hindi , Telugu , Sanskrit </t>
  </si>
  <si>
    <t>English, Hindi, Telugu, Sanskrit</t>
  </si>
  <si>
    <t xml:space="preserve">Retired Prof Engineering college </t>
  </si>
  <si>
    <t>Sri Rudra Namaka Chamaka , Manyu Sukta , Pancha Sukta and Pancha devata Atarvasirsha, Panchayatana puja .</t>
  </si>
  <si>
    <t xml:space="preserve">Hope to start ASAP </t>
  </si>
  <si>
    <t>sravikiran2001@gmail.com</t>
  </si>
  <si>
    <t>Ravikiran</t>
  </si>
  <si>
    <t>Bharadwaja, koushika, Naithruba kasyapa</t>
  </si>
  <si>
    <t>Sama</t>
  </si>
  <si>
    <t>Telugu, English, Hindi and Tamil</t>
  </si>
  <si>
    <t>To get motivated on the right way to perform Nitya Karma and learn Veda Scriptures</t>
  </si>
  <si>
    <t xml:space="preserve">Aangirasa Barhaspathya Bharadwaja Rusheya Pravaranvitha Bharadwaja Gothraha Gahyayana Suthraha Saama Sakhadyayi .. Ramanujacharya Dasa - Ravikiran Sharmaham Asmibho Abhivadaye !! </t>
  </si>
  <si>
    <t>Swarnasivasubrahmanyam@gmail.com</t>
  </si>
  <si>
    <t>Siva Subrahmanyam</t>
  </si>
  <si>
    <t>Koundinyasa, Kasyapasa , Kasyapasa</t>
  </si>
  <si>
    <t>Telugu, Sanskrit, English , Hindi</t>
  </si>
  <si>
    <t>For my daily rituals and in future I want to make this as profession</t>
  </si>
  <si>
    <t>Looking forward to learn and promote our Vaidika dharma</t>
  </si>
  <si>
    <t>a1_ravi@yahoo.com</t>
  </si>
  <si>
    <t>Gollapudi Venkat</t>
  </si>
  <si>
    <t xml:space="preserve">Born to learn. Should have learned sooner. </t>
  </si>
  <si>
    <t>Amaravadi</t>
  </si>
  <si>
    <t>Kodavanti</t>
  </si>
  <si>
    <t>Mallik</t>
  </si>
  <si>
    <t>Gotur</t>
  </si>
  <si>
    <t>Muktheswara Nandigama</t>
  </si>
  <si>
    <t>Rama Krishna Kattamuri</t>
  </si>
  <si>
    <t>Manjunath Sridharam</t>
  </si>
  <si>
    <t xml:space="preserve">Kurada Madhusudan Rao </t>
  </si>
  <si>
    <t>Kommu Ravi Shankar</t>
  </si>
  <si>
    <t>Jayendranatha Tangirala</t>
  </si>
  <si>
    <t>Phanindra Kumar</t>
  </si>
  <si>
    <t>R16</t>
  </si>
  <si>
    <t>Vemuri Annapuranananda Rao</t>
  </si>
  <si>
    <t>VED-02</t>
  </si>
  <si>
    <t>Amanamanchi Kameshwar</t>
  </si>
  <si>
    <t>R17</t>
  </si>
  <si>
    <t>R18</t>
  </si>
  <si>
    <t>Ramakrishna Pochimcherla</t>
  </si>
  <si>
    <t>Jayanthi LN Murthy</t>
  </si>
  <si>
    <t>Bhairavajyosula Siddhartha Sarma</t>
  </si>
  <si>
    <t xml:space="preserve">Ramakrishna Pochimcherla </t>
  </si>
  <si>
    <t>Ganti Badarinath</t>
  </si>
  <si>
    <t xml:space="preserve">Atmaram Kavuri </t>
  </si>
  <si>
    <t xml:space="preserve">Srinivas Rampalli </t>
  </si>
  <si>
    <t xml:space="preserve">Bhairav Yammanur </t>
  </si>
  <si>
    <t>Srinivas Rampalli</t>
  </si>
  <si>
    <t>Ramakrishna Pochincherla</t>
  </si>
  <si>
    <t>Peesapati M Purushottama Sharma</t>
  </si>
  <si>
    <t>Ram Prasad Malladi</t>
  </si>
  <si>
    <t>Sistla Kasyapa</t>
  </si>
  <si>
    <t>Konduri Venkataramana</t>
  </si>
  <si>
    <t>Kakarla Naveen</t>
  </si>
  <si>
    <t>Gudimanchi Bhanu Murthy</t>
  </si>
  <si>
    <t>Mudrakartha Vishnu Chittan</t>
  </si>
  <si>
    <t>`</t>
  </si>
  <si>
    <t>VED-04</t>
  </si>
  <si>
    <t>Pedda Guruvu Garu</t>
  </si>
  <si>
    <t>Sridharam Venkatraman Manjunath</t>
  </si>
  <si>
    <t>Gollapudi Subbarao</t>
  </si>
  <si>
    <t>Rampalli Srinivas</t>
  </si>
  <si>
    <t>Yammanur Bhairav</t>
  </si>
  <si>
    <t>Mokarala Mallikarjun</t>
  </si>
  <si>
    <t>Tangirala Jayendranath</t>
  </si>
  <si>
    <t>Varanasi Madhava Subramanya</t>
  </si>
  <si>
    <t>VED-05</t>
  </si>
  <si>
    <t>Karanam Hari Charan</t>
  </si>
  <si>
    <t xml:space="preserve">Naganand Abbaraju </t>
  </si>
  <si>
    <t>VED-06</t>
  </si>
  <si>
    <t>Kommu Ravishankar Venkata</t>
  </si>
  <si>
    <t xml:space="preserve">Chakravarthi Panchagnula </t>
  </si>
  <si>
    <t>Kundurthy Sreenadh</t>
  </si>
  <si>
    <t>Jonnalagadda Chandrasekhar</t>
  </si>
  <si>
    <t>Adusumilli Sree Rama Krishna</t>
  </si>
  <si>
    <t>Ambatipudi Sai Lalith Chaitanya</t>
  </si>
  <si>
    <t>VED-08</t>
  </si>
  <si>
    <t xml:space="preserve">Siva Pochimcherla </t>
  </si>
  <si>
    <t>VED-Rem</t>
  </si>
  <si>
    <t>Break</t>
  </si>
  <si>
    <t>R-BREAK</t>
  </si>
  <si>
    <t>Harihara Natha Sai</t>
  </si>
  <si>
    <t>Lalith Ambatipudi</t>
  </si>
  <si>
    <t xml:space="preserve">Sriram Adusumilli </t>
  </si>
  <si>
    <t>Chandra Jonnalagadda</t>
  </si>
  <si>
    <t xml:space="preserve">Mydukuru </t>
  </si>
  <si>
    <t xml:space="preserve">Charan Sai Ram </t>
  </si>
  <si>
    <t xml:space="preserve">Chintakunta </t>
  </si>
  <si>
    <t xml:space="preserve">Adhrith </t>
  </si>
  <si>
    <t>Niranjan Penumarthy</t>
  </si>
  <si>
    <t>Kiran Deshpande</t>
  </si>
  <si>
    <t xml:space="preserve">Chandra Jonnalagadda </t>
  </si>
  <si>
    <t xml:space="preserve">Krishna Gobburu </t>
  </si>
  <si>
    <t>Kommu Ravishankar</t>
  </si>
  <si>
    <t xml:space="preserve">Neelalohith </t>
  </si>
  <si>
    <t>Shanmukha SriRama Krishna</t>
  </si>
  <si>
    <t xml:space="preserve">Rayapati </t>
  </si>
  <si>
    <t>Naren karthik</t>
  </si>
  <si>
    <t>Sai karthikeya Sriram</t>
  </si>
  <si>
    <t xml:space="preserve">Siva Skandia Pradyumna </t>
  </si>
  <si>
    <t xml:space="preserve">Jagannadhula </t>
  </si>
  <si>
    <t xml:space="preserve">Vidwath </t>
  </si>
  <si>
    <t xml:space="preserve">Ayyagari Nagendra </t>
  </si>
  <si>
    <t xml:space="preserve">Konduri Ramana </t>
  </si>
  <si>
    <t>Nagesh Renduchintala</t>
  </si>
  <si>
    <t>Vidya Sagar</t>
  </si>
  <si>
    <t>Lalit Santosh</t>
  </si>
  <si>
    <t>Sriram Adusumilli</t>
  </si>
  <si>
    <t>Vangala Srinivas</t>
  </si>
  <si>
    <t>Durga Sairam</t>
  </si>
  <si>
    <t xml:space="preserve">Jayendranath Tangirala </t>
  </si>
  <si>
    <t xml:space="preserve">Muktheswara Nandigama </t>
  </si>
  <si>
    <t xml:space="preserve">Rama Krishna Kattamuri </t>
  </si>
  <si>
    <t xml:space="preserve">Chinna Guruvu Garu </t>
  </si>
  <si>
    <t xml:space="preserve">Krishna Vedula </t>
  </si>
  <si>
    <t>Madhav Srikanth</t>
  </si>
  <si>
    <t>Mukhteshwar Nandigama</t>
  </si>
  <si>
    <t xml:space="preserve">JLN Murthy </t>
  </si>
  <si>
    <t>Venkataramana Konduri</t>
  </si>
  <si>
    <t>Naga Manav</t>
  </si>
  <si>
    <t xml:space="preserve">Vishnu Chittan </t>
  </si>
  <si>
    <t>Manjunath SV</t>
  </si>
  <si>
    <t xml:space="preserve">Venkataramana Konduri </t>
  </si>
  <si>
    <t xml:space="preserve">Kurada Madhusudhan Rao </t>
  </si>
  <si>
    <t xml:space="preserve">Mukhteshwar Nandigama </t>
  </si>
  <si>
    <t>Santosh Srinivas</t>
  </si>
  <si>
    <t>Ayyagari Nagendra</t>
  </si>
  <si>
    <t xml:space="preserve">Pillutla </t>
  </si>
  <si>
    <t xml:space="preserve">Vedant </t>
  </si>
  <si>
    <t>Nandigama Muktheswara</t>
  </si>
  <si>
    <t>Udai sai</t>
  </si>
  <si>
    <t>VED-GRAD</t>
  </si>
  <si>
    <t>Kotikalapudi Murali Sreedhar</t>
  </si>
  <si>
    <t xml:space="preserve">Pandilla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</si>
</sst>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h:mm:ss"/>
    <numFmt numFmtId="165" formatCode="0_);\(0\)"/>
    <numFmt numFmtId="166" formatCode="##########"/>
  </numFmts>
  <fonts count="25" x14ac:knownFonts="1">
    <font>
      <sz val="11"/>
      <color theme="1"/>
      <name val="Calibri"/>
      <scheme val="minor"/>
    </font>
    <font>
      <b/>
      <sz val="8"/>
      <color rgb="FFFFFFFF"/>
      <name val="Calibri"/>
      <family val="2"/>
    </font>
    <font>
      <b/>
      <sz val="11"/>
      <color rgb="FFFFFFFF"/>
      <name val="Calibri"/>
      <family val="2"/>
    </font>
    <font>
      <b/>
      <sz val="8"/>
      <color theme="0"/>
      <name val="Calibri"/>
      <family val="2"/>
    </font>
    <font>
      <sz val="8"/>
      <color theme="0"/>
      <name val="Calibri"/>
      <family val="2"/>
    </font>
    <font>
      <b/>
      <sz val="9"/>
      <color rgb="FFFFFFFF"/>
      <name val="Calibri"/>
      <family val="2"/>
    </font>
    <font>
      <b/>
      <sz val="11"/>
      <color theme="0"/>
      <name val="Calibri"/>
      <family val="2"/>
    </font>
    <font>
      <sz val="11"/>
      <color theme="1"/>
      <name val="Calibri"/>
      <family val="2"/>
    </font>
    <font>
      <sz val="8"/>
      <color theme="1"/>
      <name val="Calibri"/>
      <family val="2"/>
    </font>
    <font>
      <b/>
      <sz val="8"/>
      <color theme="1"/>
      <name val="Arial"/>
      <family val="2"/>
    </font>
    <font>
      <b/>
      <sz val="8"/>
      <color theme="1"/>
      <name val="Calibri"/>
      <family val="2"/>
    </font>
    <font>
      <sz val="8"/>
      <color theme="1"/>
      <name val="Arial"/>
      <family val="2"/>
    </font>
    <font>
      <sz val="8"/>
      <color rgb="FFFFFF00"/>
      <name val="Calibri"/>
      <family val="2"/>
    </font>
    <font>
      <sz val="8"/>
      <color rgb="FF38761D"/>
      <name val="Calibri"/>
      <family val="2"/>
    </font>
    <font>
      <sz val="8"/>
      <color rgb="FFB6D7A8"/>
      <name val="Calibri"/>
      <family val="2"/>
    </font>
    <font>
      <u/>
      <sz val="11"/>
      <color theme="10"/>
      <name val="Calibri"/>
      <family val="2"/>
    </font>
    <font>
      <sz val="10"/>
      <color theme="1"/>
      <name val="Arial"/>
      <family val="2"/>
    </font>
    <font>
      <sz val="11"/>
      <color theme="1"/>
      <name val="Calibri"/>
      <family val="2"/>
      <scheme val="minor"/>
    </font>
    <font>
      <b/>
      <sz val="8"/>
      <color rgb="FFB6D7A8"/>
      <name val="Calibri"/>
      <family val="2"/>
    </font>
    <font>
      <sz val="8"/>
      <color rgb="FF666666"/>
      <name val="Calibri"/>
      <family val="2"/>
    </font>
    <font>
      <sz val="8"/>
      <color rgb="FFFF0000"/>
      <name val="Calibri"/>
      <family val="2"/>
    </font>
    <font>
      <sz val="8"/>
      <color rgb="FFFFFFFF"/>
      <name val="Calibri"/>
      <family val="2"/>
    </font>
    <font>
      <sz val="11"/>
      <color theme="1"/>
      <name val="Calibri"/>
      <family val="2"/>
    </font>
    <font>
      <b/>
      <sz val="8"/>
      <color theme="1"/>
      <name val="Calibri"/>
      <family val="2"/>
    </font>
    <font>
      <sz val="8"/>
      <color theme="1"/>
      <name val="Calibri"/>
      <family val="2"/>
    </font>
  </fonts>
  <fills count="21">
    <fill>
      <patternFill patternType="none"/>
    </fill>
    <fill>
      <patternFill patternType="gray125"/>
    </fill>
    <fill>
      <patternFill patternType="solid">
        <fgColor rgb="FF7F6000"/>
        <bgColor rgb="FF7F6000"/>
      </patternFill>
    </fill>
    <fill>
      <patternFill patternType="solid">
        <fgColor theme="4"/>
        <bgColor theme="4"/>
      </patternFill>
    </fill>
    <fill>
      <patternFill patternType="solid">
        <fgColor rgb="FF00B0F0"/>
        <bgColor rgb="FF00B0F0"/>
      </patternFill>
    </fill>
    <fill>
      <patternFill patternType="solid">
        <fgColor rgb="FF741B47"/>
        <bgColor rgb="FF741B47"/>
      </patternFill>
    </fill>
    <fill>
      <patternFill patternType="solid">
        <fgColor rgb="FF0070C0"/>
        <bgColor rgb="FF0070C0"/>
      </patternFill>
    </fill>
    <fill>
      <patternFill patternType="solid">
        <fgColor rgb="FF3D85C6"/>
        <bgColor rgb="FF3D85C6"/>
      </patternFill>
    </fill>
    <fill>
      <patternFill patternType="solid">
        <fgColor rgb="FFFBE4D5"/>
        <bgColor rgb="FFFBE4D5"/>
      </patternFill>
    </fill>
    <fill>
      <patternFill patternType="solid">
        <fgColor rgb="FFD9E2F3"/>
        <bgColor rgb="FFD9E2F3"/>
      </patternFill>
    </fill>
    <fill>
      <patternFill patternType="solid">
        <fgColor rgb="FFB7E1CD"/>
        <bgColor rgb="FFB7E1CD"/>
      </patternFill>
    </fill>
    <fill>
      <patternFill patternType="solid">
        <fgColor rgb="FFB4C6E7"/>
        <bgColor rgb="FFB4C6E7"/>
      </patternFill>
    </fill>
    <fill>
      <patternFill patternType="solid">
        <fgColor rgb="FFD8D8D8"/>
        <bgColor rgb="FFD8D8D8"/>
      </patternFill>
    </fill>
    <fill>
      <patternFill patternType="solid">
        <fgColor rgb="FFFCE5CD"/>
        <bgColor rgb="FFFCE5CD"/>
      </patternFill>
    </fill>
    <fill>
      <patternFill patternType="solid">
        <fgColor rgb="FFD0E0E3"/>
        <bgColor rgb="FFD0E0E3"/>
      </patternFill>
    </fill>
    <fill>
      <patternFill patternType="solid">
        <fgColor rgb="FF38761D"/>
        <bgColor rgb="FF38761D"/>
      </patternFill>
    </fill>
    <fill>
      <patternFill patternType="solid">
        <fgColor rgb="FFB6D7A8"/>
        <bgColor rgb="FFB6D7A8"/>
      </patternFill>
    </fill>
    <fill>
      <patternFill patternType="solid">
        <fgColor rgb="FFFFFFFF"/>
        <bgColor rgb="FFFFFFFF"/>
      </patternFill>
    </fill>
    <fill>
      <patternFill patternType="solid">
        <fgColor rgb="FFFF0000"/>
        <bgColor rgb="FFFBE4D5"/>
      </patternFill>
    </fill>
    <fill>
      <patternFill patternType="solid">
        <fgColor rgb="FFFF0000"/>
        <bgColor indexed="64"/>
      </patternFill>
    </fill>
    <fill>
      <patternFill patternType="solid">
        <fgColor theme="5" tint="0.79998168889431442"/>
        <bgColor rgb="FFFBE4D5"/>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6">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top" wrapText="1"/>
    </xf>
    <xf numFmtId="0" fontId="1" fillId="4" borderId="1" xfId="0" applyFont="1" applyFill="1" applyBorder="1" applyAlignment="1">
      <alignment horizontal="center" vertical="center"/>
    </xf>
    <xf numFmtId="164" fontId="2" fillId="3" borderId="2" xfId="0" applyNumberFormat="1" applyFont="1" applyFill="1" applyBorder="1" applyAlignment="1">
      <alignment vertical="top" wrapText="1"/>
    </xf>
    <xf numFmtId="0" fontId="3" fillId="2" borderId="1" xfId="0" applyFont="1" applyFill="1" applyBorder="1" applyAlignment="1">
      <alignment horizontal="center" vertical="center"/>
    </xf>
    <xf numFmtId="0" fontId="4" fillId="5" borderId="1" xfId="0" applyFont="1" applyFill="1" applyBorder="1" applyAlignment="1">
      <alignment vertical="center"/>
    </xf>
    <xf numFmtId="0" fontId="5" fillId="2" borderId="3" xfId="0" applyFont="1" applyFill="1" applyBorder="1" applyAlignment="1">
      <alignment horizontal="center" wrapText="1"/>
    </xf>
    <xf numFmtId="0" fontId="6" fillId="3" borderId="2" xfId="0" applyFont="1" applyFill="1" applyBorder="1" applyAlignment="1">
      <alignment vertical="top" wrapText="1"/>
    </xf>
    <xf numFmtId="0" fontId="5" fillId="2" borderId="4" xfId="0" applyFont="1" applyFill="1" applyBorder="1" applyAlignment="1">
      <alignment horizontal="center" wrapText="1"/>
    </xf>
    <xf numFmtId="0" fontId="3" fillId="4" borderId="1" xfId="0" applyFont="1" applyFill="1" applyBorder="1" applyAlignment="1">
      <alignment horizontal="center" vertical="center"/>
    </xf>
    <xf numFmtId="165" fontId="2" fillId="3" borderId="2" xfId="0" applyNumberFormat="1" applyFont="1" applyFill="1" applyBorder="1" applyAlignment="1">
      <alignment vertical="top" wrapText="1"/>
    </xf>
    <xf numFmtId="0" fontId="6" fillId="3" borderId="5" xfId="0" applyFont="1" applyFill="1" applyBorder="1" applyAlignment="1">
      <alignment vertical="top" wrapText="1"/>
    </xf>
    <xf numFmtId="0" fontId="3" fillId="6" borderId="1" xfId="0" applyFont="1" applyFill="1" applyBorder="1" applyAlignment="1">
      <alignment vertical="center"/>
    </xf>
    <xf numFmtId="49" fontId="2" fillId="3" borderId="2" xfId="0" applyNumberFormat="1" applyFont="1" applyFill="1" applyBorder="1" applyAlignment="1">
      <alignment vertical="top" wrapText="1"/>
    </xf>
    <xf numFmtId="0" fontId="3" fillId="6" borderId="1" xfId="0" applyFont="1" applyFill="1" applyBorder="1" applyAlignment="1">
      <alignment horizontal="center" vertical="center"/>
    </xf>
    <xf numFmtId="166" fontId="2" fillId="3" borderId="2" xfId="0" applyNumberFormat="1" applyFont="1" applyFill="1" applyBorder="1" applyAlignment="1">
      <alignment vertical="top" wrapText="1"/>
    </xf>
    <xf numFmtId="0" fontId="3" fillId="7" borderId="1" xfId="0" applyFont="1" applyFill="1" applyBorder="1" applyAlignment="1">
      <alignment horizontal="center" vertical="center"/>
    </xf>
    <xf numFmtId="0" fontId="3" fillId="5" borderId="1" xfId="0" applyFont="1" applyFill="1" applyBorder="1" applyAlignment="1">
      <alignment vertical="center"/>
    </xf>
    <xf numFmtId="0" fontId="4" fillId="6" borderId="1" xfId="0" applyFont="1" applyFill="1" applyBorder="1" applyAlignment="1">
      <alignment horizontal="center"/>
    </xf>
    <xf numFmtId="0" fontId="3" fillId="6" borderId="1" xfId="0" applyFont="1" applyFill="1" applyBorder="1" applyAlignment="1">
      <alignment horizontal="center"/>
    </xf>
    <xf numFmtId="0" fontId="7" fillId="0" borderId="0" xfId="0" applyFont="1"/>
    <xf numFmtId="164" fontId="7" fillId="0" borderId="0" xfId="0" applyNumberFormat="1" applyFont="1"/>
    <xf numFmtId="0" fontId="3" fillId="5" borderId="1" xfId="0" applyFont="1" applyFill="1" applyBorder="1" applyAlignment="1">
      <alignment horizontal="center"/>
    </xf>
    <xf numFmtId="165" fontId="7" fillId="0" borderId="0" xfId="0" applyNumberFormat="1" applyFont="1"/>
    <xf numFmtId="0" fontId="3" fillId="6" borderId="1" xfId="0" applyFont="1" applyFill="1" applyBorder="1" applyAlignment="1">
      <alignment vertical="top"/>
    </xf>
    <xf numFmtId="166" fontId="7" fillId="0" borderId="0" xfId="0" applyNumberFormat="1" applyFont="1"/>
    <xf numFmtId="0" fontId="3" fillId="5" borderId="1" xfId="0" applyFont="1" applyFill="1" applyBorder="1" applyAlignment="1">
      <alignment horizontal="center" vertical="center"/>
    </xf>
    <xf numFmtId="0" fontId="8" fillId="8" borderId="1" xfId="0" applyFont="1" applyFill="1" applyBorder="1"/>
    <xf numFmtId="0" fontId="8" fillId="8" borderId="1" xfId="0" applyFont="1" applyFill="1" applyBorder="1" applyAlignment="1">
      <alignment vertical="top"/>
    </xf>
    <xf numFmtId="0" fontId="9" fillId="8" borderId="1" xfId="0" applyFont="1" applyFill="1" applyBorder="1"/>
    <xf numFmtId="166" fontId="8" fillId="8" borderId="1" xfId="0" applyNumberFormat="1" applyFont="1" applyFill="1" applyBorder="1" applyAlignment="1">
      <alignment horizontal="right"/>
    </xf>
    <xf numFmtId="0" fontId="8" fillId="8" borderId="1" xfId="0" applyFont="1" applyFill="1" applyBorder="1" applyAlignment="1">
      <alignment horizontal="right" vertical="top"/>
    </xf>
    <xf numFmtId="0" fontId="10" fillId="8" borderId="1" xfId="0" applyFont="1" applyFill="1" applyBorder="1"/>
    <xf numFmtId="0" fontId="7" fillId="8" borderId="1" xfId="0" applyFont="1" applyFill="1" applyBorder="1"/>
    <xf numFmtId="0" fontId="10" fillId="8" borderId="1" xfId="0" applyFont="1" applyFill="1" applyBorder="1" applyAlignment="1">
      <alignment horizontal="right"/>
    </xf>
    <xf numFmtId="0" fontId="11" fillId="8" borderId="1" xfId="0" applyFont="1" applyFill="1" applyBorder="1"/>
    <xf numFmtId="0" fontId="12" fillId="8" borderId="1" xfId="0" applyFont="1" applyFill="1" applyBorder="1" applyAlignment="1">
      <alignment horizontal="right"/>
    </xf>
    <xf numFmtId="0" fontId="13" fillId="8" borderId="1" xfId="0" applyFont="1" applyFill="1" applyBorder="1" applyAlignment="1">
      <alignment horizontal="right"/>
    </xf>
    <xf numFmtId="0" fontId="8" fillId="9" borderId="1" xfId="0" applyFont="1" applyFill="1" applyBorder="1"/>
    <xf numFmtId="0" fontId="8" fillId="9" borderId="1" xfId="0" applyFont="1" applyFill="1" applyBorder="1" applyAlignment="1">
      <alignment vertical="top"/>
    </xf>
    <xf numFmtId="0" fontId="14" fillId="9" borderId="1" xfId="0" applyFont="1" applyFill="1" applyBorder="1" applyAlignment="1">
      <alignment horizontal="right" vertical="top"/>
    </xf>
    <xf numFmtId="0" fontId="11" fillId="9" borderId="1" xfId="0" applyFont="1" applyFill="1" applyBorder="1" applyAlignment="1">
      <alignment vertical="top"/>
    </xf>
    <xf numFmtId="0" fontId="8" fillId="9" borderId="1" xfId="0" applyFont="1" applyFill="1" applyBorder="1" applyAlignment="1">
      <alignment horizontal="right" vertical="top"/>
    </xf>
    <xf numFmtId="0" fontId="10" fillId="9" borderId="1" xfId="0" applyFont="1" applyFill="1" applyBorder="1" applyAlignment="1">
      <alignment horizontal="right"/>
    </xf>
    <xf numFmtId="0" fontId="10" fillId="9" borderId="1" xfId="0" applyFont="1" applyFill="1" applyBorder="1"/>
    <xf numFmtId="0" fontId="10" fillId="9" borderId="1" xfId="0" applyFont="1" applyFill="1" applyBorder="1" applyAlignment="1">
      <alignment horizontal="right" vertical="top"/>
    </xf>
    <xf numFmtId="0" fontId="10" fillId="9" borderId="1" xfId="0" applyFont="1" applyFill="1" applyBorder="1" applyAlignment="1">
      <alignment vertical="top"/>
    </xf>
    <xf numFmtId="0" fontId="7" fillId="9" borderId="1" xfId="0" applyFont="1" applyFill="1" applyBorder="1"/>
    <xf numFmtId="0" fontId="9" fillId="9" borderId="1" xfId="0" applyFont="1" applyFill="1" applyBorder="1"/>
    <xf numFmtId="0" fontId="8" fillId="9" borderId="1" xfId="0" applyFont="1" applyFill="1" applyBorder="1" applyAlignment="1">
      <alignment horizontal="right"/>
    </xf>
    <xf numFmtId="0" fontId="15" fillId="0" borderId="0" xfId="0" applyFont="1"/>
    <xf numFmtId="0" fontId="13" fillId="9" borderId="1" xfId="0" applyFont="1" applyFill="1" applyBorder="1" applyAlignment="1">
      <alignment horizontal="right"/>
    </xf>
    <xf numFmtId="0" fontId="14" fillId="8" borderId="1" xfId="0" applyFont="1" applyFill="1" applyBorder="1" applyAlignment="1">
      <alignment horizontal="right" vertical="top"/>
    </xf>
    <xf numFmtId="0" fontId="11" fillId="8" borderId="1" xfId="0" applyFont="1" applyFill="1" applyBorder="1" applyAlignment="1">
      <alignment vertical="top"/>
    </xf>
    <xf numFmtId="0" fontId="8" fillId="8" borderId="1" xfId="0" applyFont="1" applyFill="1" applyBorder="1" applyAlignment="1">
      <alignment horizontal="right"/>
    </xf>
    <xf numFmtId="0" fontId="10" fillId="0" borderId="0" xfId="0" applyFont="1"/>
    <xf numFmtId="0" fontId="13" fillId="8" borderId="1" xfId="0" applyFont="1" applyFill="1" applyBorder="1" applyAlignment="1">
      <alignment horizontal="right" vertical="top"/>
    </xf>
    <xf numFmtId="0" fontId="10" fillId="8" borderId="1" xfId="0" applyFont="1" applyFill="1" applyBorder="1" applyAlignment="1">
      <alignment horizontal="right" vertical="top"/>
    </xf>
    <xf numFmtId="0" fontId="10" fillId="8" borderId="1" xfId="0" applyFont="1" applyFill="1" applyBorder="1" applyAlignment="1">
      <alignment vertical="top"/>
    </xf>
    <xf numFmtId="0" fontId="13" fillId="9" borderId="1" xfId="0" applyFont="1" applyFill="1" applyBorder="1" applyAlignment="1">
      <alignment horizontal="right" vertical="top"/>
    </xf>
    <xf numFmtId="0" fontId="10" fillId="9" borderId="1" xfId="0" applyFont="1" applyFill="1" applyBorder="1" applyAlignment="1">
      <alignment vertical="center"/>
    </xf>
    <xf numFmtId="0" fontId="10" fillId="9" borderId="1" xfId="0" applyFont="1" applyFill="1" applyBorder="1" applyAlignment="1">
      <alignment horizontal="right" vertical="center"/>
    </xf>
    <xf numFmtId="0" fontId="16" fillId="0" borderId="0" xfId="0" applyFont="1" applyAlignment="1">
      <alignment horizontal="right" wrapText="1"/>
    </xf>
    <xf numFmtId="0" fontId="16" fillId="0" borderId="0" xfId="0" applyFont="1"/>
    <xf numFmtId="0" fontId="16" fillId="0" borderId="0" xfId="0" applyFont="1" applyAlignment="1">
      <alignment wrapText="1"/>
    </xf>
    <xf numFmtId="0" fontId="16" fillId="10" borderId="1" xfId="0" applyFont="1" applyFill="1" applyBorder="1" applyAlignment="1">
      <alignment wrapText="1"/>
    </xf>
    <xf numFmtId="0" fontId="17" fillId="0" borderId="0" xfId="0" applyFont="1"/>
    <xf numFmtId="0" fontId="12" fillId="9" borderId="1" xfId="0" applyFont="1" applyFill="1" applyBorder="1" applyAlignment="1">
      <alignment horizontal="right"/>
    </xf>
    <xf numFmtId="165" fontId="7" fillId="0" borderId="6" xfId="0" applyNumberFormat="1" applyFont="1" applyBorder="1"/>
    <xf numFmtId="0" fontId="7" fillId="0" borderId="6" xfId="0" applyFont="1" applyBorder="1"/>
    <xf numFmtId="166" fontId="7" fillId="0" borderId="6" xfId="0" applyNumberFormat="1" applyFont="1" applyBorder="1"/>
    <xf numFmtId="0" fontId="11" fillId="9" borderId="1" xfId="0" applyFont="1" applyFill="1" applyBorder="1"/>
    <xf numFmtId="0" fontId="18" fillId="8" borderId="1" xfId="0" applyFont="1" applyFill="1" applyBorder="1" applyAlignment="1">
      <alignment horizontal="right"/>
    </xf>
    <xf numFmtId="0" fontId="7" fillId="11" borderId="1" xfId="0" applyFont="1" applyFill="1" applyBorder="1"/>
    <xf numFmtId="0" fontId="8" fillId="11" borderId="1" xfId="0" applyFont="1" applyFill="1" applyBorder="1"/>
    <xf numFmtId="0" fontId="8" fillId="11" borderId="1" xfId="0" applyFont="1" applyFill="1" applyBorder="1" applyAlignment="1">
      <alignment vertical="top"/>
    </xf>
    <xf numFmtId="0" fontId="13" fillId="11" borderId="1" xfId="0" applyFont="1" applyFill="1" applyBorder="1" applyAlignment="1">
      <alignment horizontal="right"/>
    </xf>
    <xf numFmtId="0" fontId="10" fillId="11" borderId="1" xfId="0" applyFont="1" applyFill="1" applyBorder="1" applyAlignment="1">
      <alignment horizontal="right"/>
    </xf>
    <xf numFmtId="0" fontId="10" fillId="11" borderId="1" xfId="0" applyFont="1" applyFill="1" applyBorder="1"/>
    <xf numFmtId="0" fontId="8" fillId="11" borderId="1" xfId="0" applyFont="1" applyFill="1" applyBorder="1" applyAlignment="1">
      <alignment horizontal="right"/>
    </xf>
    <xf numFmtId="0" fontId="10" fillId="11" borderId="1" xfId="0" applyFont="1" applyFill="1" applyBorder="1" applyAlignment="1">
      <alignment horizontal="right" vertical="center"/>
    </xf>
    <xf numFmtId="0" fontId="13" fillId="11" borderId="1" xfId="0" applyFont="1" applyFill="1" applyBorder="1" applyAlignment="1">
      <alignment horizontal="right" vertical="top"/>
    </xf>
    <xf numFmtId="0" fontId="8" fillId="11" borderId="1" xfId="0" applyFont="1" applyFill="1" applyBorder="1" applyAlignment="1">
      <alignment horizontal="right" vertical="top"/>
    </xf>
    <xf numFmtId="0" fontId="10" fillId="8" borderId="1" xfId="0" applyFont="1" applyFill="1" applyBorder="1" applyAlignment="1">
      <alignment horizontal="right" vertical="center"/>
    </xf>
    <xf numFmtId="0" fontId="10" fillId="8" borderId="1" xfId="0" applyFont="1" applyFill="1" applyBorder="1" applyAlignment="1">
      <alignment vertical="center"/>
    </xf>
    <xf numFmtId="0" fontId="14" fillId="8" borderId="1" xfId="0" applyFont="1" applyFill="1" applyBorder="1" applyAlignment="1">
      <alignment horizontal="right"/>
    </xf>
    <xf numFmtId="0" fontId="10" fillId="9" borderId="1" xfId="0" applyFont="1" applyFill="1" applyBorder="1" applyAlignment="1">
      <alignment horizontal="center" vertical="top"/>
    </xf>
    <xf numFmtId="0" fontId="10" fillId="8" borderId="1" xfId="0" applyFont="1" applyFill="1" applyBorder="1" applyAlignment="1">
      <alignment horizontal="center" vertical="top"/>
    </xf>
    <xf numFmtId="0" fontId="8" fillId="12" borderId="1" xfId="0" applyFont="1" applyFill="1" applyBorder="1"/>
    <xf numFmtId="0" fontId="8" fillId="12" borderId="1" xfId="0" applyFont="1" applyFill="1" applyBorder="1" applyAlignment="1">
      <alignment vertical="top"/>
    </xf>
    <xf numFmtId="0" fontId="11" fillId="12" borderId="1" xfId="0" applyFont="1" applyFill="1" applyBorder="1" applyAlignment="1">
      <alignment vertical="top"/>
    </xf>
    <xf numFmtId="0" fontId="12" fillId="12" borderId="1" xfId="0" applyFont="1" applyFill="1" applyBorder="1" applyAlignment="1">
      <alignment horizontal="right" vertical="top"/>
    </xf>
    <xf numFmtId="0" fontId="14" fillId="12" borderId="1" xfId="0" applyFont="1" applyFill="1" applyBorder="1" applyAlignment="1">
      <alignment horizontal="right" vertical="top"/>
    </xf>
    <xf numFmtId="0" fontId="8" fillId="12" borderId="1" xfId="0" applyFont="1" applyFill="1" applyBorder="1" applyAlignment="1">
      <alignment horizontal="right" vertical="top"/>
    </xf>
    <xf numFmtId="0" fontId="10" fillId="12" borderId="1" xfId="0" applyFont="1" applyFill="1" applyBorder="1"/>
    <xf numFmtId="0" fontId="10" fillId="12" borderId="1" xfId="0" applyFont="1" applyFill="1" applyBorder="1" applyAlignment="1">
      <alignment vertical="top"/>
    </xf>
    <xf numFmtId="0" fontId="10" fillId="12" borderId="1" xfId="0" applyFont="1" applyFill="1" applyBorder="1" applyAlignment="1">
      <alignment horizontal="right" vertical="top"/>
    </xf>
    <xf numFmtId="0" fontId="7" fillId="12" borderId="1" xfId="0" applyFont="1" applyFill="1" applyBorder="1"/>
    <xf numFmtId="0" fontId="10" fillId="12" borderId="1" xfId="0" applyFont="1" applyFill="1" applyBorder="1" applyAlignment="1">
      <alignment horizontal="right"/>
    </xf>
    <xf numFmtId="0" fontId="10" fillId="12" borderId="1" xfId="0" applyFont="1" applyFill="1" applyBorder="1" applyAlignment="1">
      <alignment horizontal="right" vertical="center"/>
    </xf>
    <xf numFmtId="0" fontId="19" fillId="12" borderId="1" xfId="0" applyFont="1" applyFill="1" applyBorder="1" applyAlignment="1">
      <alignment horizontal="right" vertical="top"/>
    </xf>
    <xf numFmtId="0" fontId="13" fillId="12" borderId="1" xfId="0" applyFont="1" applyFill="1" applyBorder="1" applyAlignment="1">
      <alignment horizontal="right" vertical="top"/>
    </xf>
    <xf numFmtId="0" fontId="20" fillId="12" borderId="1" xfId="0" applyFont="1" applyFill="1" applyBorder="1" applyAlignment="1">
      <alignment vertical="top"/>
    </xf>
    <xf numFmtId="0" fontId="12" fillId="12" borderId="1" xfId="0" applyFont="1" applyFill="1" applyBorder="1" applyAlignment="1">
      <alignment horizontal="right"/>
    </xf>
    <xf numFmtId="0" fontId="8" fillId="12" borderId="1" xfId="0" applyFont="1" applyFill="1" applyBorder="1" applyAlignment="1">
      <alignment horizontal="right"/>
    </xf>
    <xf numFmtId="0" fontId="10" fillId="12" borderId="1" xfId="0" applyFont="1" applyFill="1" applyBorder="1" applyAlignment="1">
      <alignment vertical="center"/>
    </xf>
    <xf numFmtId="0" fontId="13" fillId="12" borderId="1" xfId="0" applyFont="1" applyFill="1" applyBorder="1" applyAlignment="1">
      <alignment horizontal="right"/>
    </xf>
    <xf numFmtId="0" fontId="21" fillId="12" borderId="1" xfId="0" applyFont="1" applyFill="1" applyBorder="1"/>
    <xf numFmtId="0" fontId="11" fillId="12" borderId="1" xfId="0" applyFont="1" applyFill="1" applyBorder="1"/>
    <xf numFmtId="0" fontId="9" fillId="12" borderId="1" xfId="0" applyFont="1" applyFill="1" applyBorder="1"/>
    <xf numFmtId="0" fontId="8" fillId="12" borderId="1" xfId="0" applyFont="1" applyFill="1" applyBorder="1" applyAlignment="1">
      <alignment horizontal="right" vertical="center"/>
    </xf>
    <xf numFmtId="0" fontId="8" fillId="12" borderId="1" xfId="0" applyFont="1" applyFill="1" applyBorder="1" applyAlignment="1">
      <alignment vertical="center"/>
    </xf>
    <xf numFmtId="0" fontId="8" fillId="13" borderId="1" xfId="0" applyFont="1" applyFill="1" applyBorder="1"/>
    <xf numFmtId="0" fontId="8" fillId="0" borderId="0" xfId="0" applyFont="1"/>
    <xf numFmtId="0" fontId="8" fillId="13" borderId="1" xfId="0" applyFont="1" applyFill="1" applyBorder="1" applyAlignment="1">
      <alignment vertical="top"/>
    </xf>
    <xf numFmtId="0" fontId="8" fillId="14" borderId="1" xfId="0" applyFont="1" applyFill="1" applyBorder="1"/>
    <xf numFmtId="0" fontId="8" fillId="14" borderId="1" xfId="0" applyFont="1" applyFill="1" applyBorder="1" applyAlignment="1">
      <alignment vertical="top"/>
    </xf>
    <xf numFmtId="0" fontId="11" fillId="14" borderId="1" xfId="0" applyFont="1" applyFill="1" applyBorder="1" applyAlignment="1">
      <alignment vertical="top"/>
    </xf>
    <xf numFmtId="0" fontId="13" fillId="15" borderId="1" xfId="0" applyFont="1" applyFill="1" applyBorder="1" applyAlignment="1">
      <alignment horizontal="right" vertical="top"/>
    </xf>
    <xf numFmtId="0" fontId="14" fillId="16" borderId="1" xfId="0" applyFont="1" applyFill="1" applyBorder="1" applyAlignment="1">
      <alignment horizontal="right" vertical="top"/>
    </xf>
    <xf numFmtId="0" fontId="8" fillId="14" borderId="1" xfId="0" applyFont="1" applyFill="1" applyBorder="1" applyAlignment="1">
      <alignment horizontal="right" vertical="top"/>
    </xf>
    <xf numFmtId="0" fontId="10" fillId="16" borderId="1" xfId="0" applyFont="1" applyFill="1" applyBorder="1" applyAlignment="1">
      <alignment horizontal="right"/>
    </xf>
    <xf numFmtId="0" fontId="10" fillId="0" borderId="0" xfId="0" applyFont="1" applyAlignment="1">
      <alignment vertical="top"/>
    </xf>
    <xf numFmtId="0" fontId="10" fillId="17" borderId="1" xfId="0" applyFont="1" applyFill="1" applyBorder="1"/>
    <xf numFmtId="0" fontId="10" fillId="16" borderId="1" xfId="0" applyFont="1" applyFill="1" applyBorder="1" applyAlignment="1">
      <alignment horizontal="right" vertical="top"/>
    </xf>
    <xf numFmtId="0" fontId="10" fillId="16" borderId="1" xfId="0" applyFont="1" applyFill="1" applyBorder="1" applyAlignment="1">
      <alignment horizontal="right" vertical="center"/>
    </xf>
    <xf numFmtId="0" fontId="10" fillId="16" borderId="1" xfId="0" applyFont="1" applyFill="1" applyBorder="1"/>
    <xf numFmtId="0" fontId="10" fillId="0" borderId="0" xfId="0" applyFont="1" applyAlignment="1">
      <alignment vertical="center"/>
    </xf>
    <xf numFmtId="0" fontId="8" fillId="18" borderId="1" xfId="0" applyFont="1" applyFill="1" applyBorder="1"/>
    <xf numFmtId="0" fontId="8" fillId="18" borderId="1" xfId="0" applyFont="1" applyFill="1" applyBorder="1" applyAlignment="1">
      <alignment vertical="top"/>
    </xf>
    <xf numFmtId="0" fontId="13" fillId="18" borderId="1" xfId="0" applyFont="1" applyFill="1" applyBorder="1" applyAlignment="1">
      <alignment horizontal="right" vertical="top"/>
    </xf>
    <xf numFmtId="0" fontId="10" fillId="18" borderId="1" xfId="0" applyFont="1" applyFill="1" applyBorder="1" applyAlignment="1">
      <alignment horizontal="right"/>
    </xf>
    <xf numFmtId="0" fontId="10" fillId="18" borderId="1" xfId="0" applyFont="1" applyFill="1" applyBorder="1" applyAlignment="1">
      <alignment horizontal="right" vertical="top"/>
    </xf>
    <xf numFmtId="0" fontId="10" fillId="18" borderId="1" xfId="0" applyFont="1" applyFill="1" applyBorder="1" applyAlignment="1">
      <alignment vertical="top"/>
    </xf>
    <xf numFmtId="0" fontId="10" fillId="18" borderId="1" xfId="0" applyFont="1" applyFill="1" applyBorder="1"/>
    <xf numFmtId="0" fontId="7" fillId="18" borderId="1" xfId="0" applyFont="1" applyFill="1" applyBorder="1"/>
    <xf numFmtId="0" fontId="0" fillId="19" borderId="0" xfId="0" applyFill="1"/>
    <xf numFmtId="0" fontId="22" fillId="0" borderId="0" xfId="0" applyFont="1"/>
    <xf numFmtId="0" fontId="24" fillId="9" borderId="1" xfId="0" applyFont="1" applyFill="1" applyBorder="1"/>
    <xf numFmtId="0" fontId="24" fillId="8" borderId="1" xfId="0" applyFont="1" applyFill="1" applyBorder="1"/>
    <xf numFmtId="0" fontId="24" fillId="12" borderId="1" xfId="0" applyFont="1" applyFill="1" applyBorder="1"/>
    <xf numFmtId="0" fontId="8" fillId="20" borderId="1" xfId="0" applyFont="1" applyFill="1" applyBorder="1" applyAlignment="1">
      <alignment vertical="top"/>
    </xf>
    <xf numFmtId="0" fontId="8" fillId="20" borderId="1" xfId="0" applyFont="1" applyFill="1" applyBorder="1"/>
    <xf numFmtId="0" fontId="8" fillId="20" borderId="1" xfId="0" applyFont="1" applyFill="1" applyBorder="1" applyAlignment="1">
      <alignment horizontal="right" vertical="top"/>
    </xf>
    <xf numFmtId="0" fontId="23" fillId="20" borderId="1" xfId="0" applyFont="1" applyFill="1" applyBorder="1" applyAlignment="1">
      <alignment vertical="top"/>
    </xf>
  </cellXfs>
  <cellStyles count="1">
    <cellStyle name="Normal" xfId="0" builtinId="0"/>
  </cellStyles>
  <dxfs count="8">
    <dxf>
      <fill>
        <patternFill patternType="solid">
          <fgColor rgb="FFFF9900"/>
          <bgColor rgb="FFFF9900"/>
        </patternFill>
      </fill>
    </dxf>
    <dxf>
      <font>
        <color rgb="FF000000"/>
      </font>
      <fill>
        <patternFill patternType="solid">
          <fgColor rgb="FFFF9900"/>
          <bgColor rgb="FFFF9900"/>
        </patternFill>
      </fill>
    </dxf>
    <dxf>
      <fill>
        <patternFill patternType="solid">
          <fgColor rgb="FF00FF00"/>
          <bgColor rgb="FF00FF00"/>
        </patternFill>
      </fill>
    </dxf>
    <dxf>
      <font>
        <color rgb="FF000000"/>
      </font>
      <fill>
        <patternFill patternType="solid">
          <fgColor rgb="FF6AA84F"/>
          <bgColor rgb="FF6AA84F"/>
        </patternFill>
      </fill>
    </dxf>
    <dxf>
      <font>
        <color rgb="FF000000"/>
      </font>
      <fill>
        <patternFill patternType="solid">
          <fgColor rgb="FFB6D7A8"/>
          <bgColor rgb="FFB6D7A8"/>
        </patternFill>
      </fill>
    </dxf>
    <dxf>
      <font>
        <color rgb="FF000000"/>
      </font>
      <fill>
        <patternFill patternType="solid">
          <fgColor rgb="FFEFEFEF"/>
          <bgColor rgb="FFEFEFEF"/>
        </patternFill>
      </fill>
    </dxf>
    <dxf>
      <font>
        <color rgb="FF000000"/>
      </font>
      <fill>
        <patternFill patternType="solid">
          <fgColor rgb="FFFFF2CC"/>
          <bgColor rgb="FFFFF2CC"/>
        </patternFill>
      </fill>
    </dxf>
    <dxf>
      <font>
        <color rgb="FF000000"/>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aghavansa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890"/>
  <sheetViews>
    <sheetView tabSelected="1" topLeftCell="Q1" zoomScaleNormal="100" workbookViewId="0">
      <pane ySplit="1" topLeftCell="A684" activePane="bottomLeft" state="frozen"/>
      <selection pane="bottomLeft" activeCell="AF726" sqref="AF726"/>
    </sheetView>
  </sheetViews>
  <sheetFormatPr defaultColWidth="14.44140625" defaultRowHeight="15" customHeight="1" x14ac:dyDescent="0.3"/>
  <cols>
    <col min="1" max="1" width="14.6640625" customWidth="1"/>
    <col min="2" max="2" width="10.109375" customWidth="1"/>
    <col min="3" max="3" width="12.5546875" customWidth="1"/>
    <col min="4" max="4" width="6.88671875" customWidth="1"/>
    <col min="5" max="5" width="10.44140625" customWidth="1"/>
    <col min="6" max="6" width="16.109375" customWidth="1"/>
    <col min="7" max="9" width="24.44140625" customWidth="1"/>
    <col min="10" max="10" width="10.88671875" customWidth="1"/>
    <col min="11" max="11" width="15.5546875" customWidth="1"/>
    <col min="12" max="12" width="19" customWidth="1"/>
    <col min="13" max="13" width="17.44140625" customWidth="1"/>
    <col min="14" max="14" width="13" customWidth="1"/>
    <col min="15" max="15" width="17.6640625" customWidth="1"/>
    <col min="16" max="16" width="27.33203125" customWidth="1"/>
    <col min="17" max="17" width="35" customWidth="1"/>
    <col min="18" max="18" width="11.44140625" customWidth="1"/>
    <col min="19" max="19" width="12.5546875" customWidth="1"/>
    <col min="20" max="20" width="14.33203125" customWidth="1"/>
    <col min="21" max="21" width="7.109375" customWidth="1"/>
    <col min="22" max="22" width="16.6640625" customWidth="1"/>
    <col min="23" max="23" width="7" customWidth="1"/>
    <col min="24" max="24" width="7.109375" customWidth="1"/>
    <col min="25" max="25" width="5.6640625" customWidth="1"/>
    <col min="26" max="26" width="4.88671875" customWidth="1"/>
    <col min="27" max="27" width="7.88671875" customWidth="1"/>
    <col min="28" max="28" width="6.33203125" customWidth="1"/>
    <col min="29" max="29" width="7.6640625" customWidth="1"/>
    <col min="30" max="30" width="7" customWidth="1"/>
    <col min="31" max="33" width="15" customWidth="1"/>
    <col min="34" max="34" width="11.44140625" customWidth="1"/>
    <col min="35" max="35" width="26.44140625" customWidth="1"/>
    <col min="36" max="36" width="5.5546875" customWidth="1"/>
    <col min="37" max="37" width="8.88671875" customWidth="1"/>
    <col min="38" max="38" width="5" customWidth="1"/>
    <col min="39" max="39" width="5.88671875" customWidth="1"/>
    <col min="40" max="40" width="6.33203125" customWidth="1"/>
    <col min="41" max="41" width="4.88671875" customWidth="1"/>
    <col min="42" max="42" width="8.5546875" customWidth="1"/>
    <col min="43" max="43" width="4.44140625" customWidth="1"/>
    <col min="44" max="44" width="8.109375" customWidth="1"/>
    <col min="45" max="45" width="6.5546875" customWidth="1"/>
    <col min="46" max="46" width="8.33203125" customWidth="1"/>
    <col min="47" max="47" width="16.88671875" customWidth="1"/>
    <col min="48" max="48" width="25.6640625" customWidth="1"/>
    <col min="49" max="49" width="13.6640625" customWidth="1"/>
    <col min="50" max="50" width="9.109375" customWidth="1"/>
    <col min="51" max="51" width="10.6640625" customWidth="1"/>
    <col min="52" max="52" width="14.109375" customWidth="1"/>
    <col min="53" max="53" width="12.88671875" customWidth="1"/>
    <col min="54" max="54" width="13.6640625" customWidth="1"/>
    <col min="55" max="55" width="7.6640625" customWidth="1"/>
    <col min="56" max="56" width="10.88671875" customWidth="1"/>
    <col min="57" max="57" width="14.33203125" customWidth="1"/>
    <col min="58" max="58" width="26.44140625" customWidth="1"/>
    <col min="59" max="62" width="11.44140625" customWidth="1"/>
    <col min="63" max="63" width="8" customWidth="1"/>
    <col min="64" max="64" width="18" customWidth="1"/>
    <col min="65" max="65" width="21" customWidth="1"/>
    <col min="66" max="66" width="9.5546875" customWidth="1"/>
    <col min="67" max="67" width="9.33203125" customWidth="1"/>
    <col min="68" max="68" width="9" customWidth="1"/>
    <col min="69" max="70" width="5.88671875" customWidth="1"/>
    <col min="71" max="73" width="13.5546875" customWidth="1"/>
    <col min="74" max="74" width="26.44140625" customWidth="1"/>
    <col min="75" max="76" width="11.6640625" customWidth="1"/>
    <col min="77" max="78" width="24.6640625" customWidth="1"/>
    <col min="79" max="80" width="21.109375" customWidth="1"/>
    <col min="81" max="82" width="23.109375" customWidth="1"/>
    <col min="83" max="83" width="26.44140625" customWidth="1"/>
    <col min="84" max="87" width="22.6640625" customWidth="1"/>
    <col min="88" max="90" width="33" customWidth="1"/>
    <col min="91" max="91" width="26.44140625" customWidth="1"/>
    <col min="92" max="93" width="16.44140625" customWidth="1"/>
    <col min="94" max="94" width="21.88671875" customWidth="1"/>
    <col min="95" max="95" width="18" customWidth="1"/>
    <col min="96" max="97" width="11.5546875" customWidth="1"/>
    <col min="98" max="99" width="19" customWidth="1"/>
    <col min="100" max="100" width="14.109375" customWidth="1"/>
    <col min="101" max="101" width="7.5546875" customWidth="1"/>
    <col min="102" max="102" width="21.44140625" customWidth="1"/>
    <col min="103" max="103" width="26.44140625" customWidth="1"/>
  </cols>
  <sheetData>
    <row r="1" spans="1:134" ht="11.25" customHeight="1" x14ac:dyDescent="0.3">
      <c r="A1" s="1" t="s">
        <v>0</v>
      </c>
      <c r="B1" s="1" t="s">
        <v>2</v>
      </c>
      <c r="C1" s="1" t="s">
        <v>3</v>
      </c>
      <c r="D1" s="1" t="s">
        <v>4</v>
      </c>
      <c r="E1" s="1" t="s">
        <v>5</v>
      </c>
      <c r="F1" s="3" t="s">
        <v>6</v>
      </c>
      <c r="G1" s="5" t="s">
        <v>8</v>
      </c>
      <c r="H1" s="5" t="s">
        <v>10</v>
      </c>
      <c r="I1" s="5" t="s">
        <v>12</v>
      </c>
      <c r="J1" s="6" t="s">
        <v>14</v>
      </c>
      <c r="K1" s="7" t="s">
        <v>17</v>
      </c>
      <c r="L1" s="9" t="s">
        <v>19</v>
      </c>
      <c r="M1" s="9" t="s">
        <v>22</v>
      </c>
      <c r="N1" s="10" t="s">
        <v>24</v>
      </c>
      <c r="O1" s="10" t="s">
        <v>26</v>
      </c>
      <c r="P1" s="10" t="s">
        <v>27</v>
      </c>
      <c r="Q1" s="3" t="s">
        <v>29</v>
      </c>
      <c r="R1" s="3" t="s">
        <v>30</v>
      </c>
      <c r="S1" s="10" t="s">
        <v>31</v>
      </c>
      <c r="T1" s="10" t="s">
        <v>32</v>
      </c>
      <c r="U1" s="10" t="s">
        <v>33</v>
      </c>
      <c r="V1" s="13" t="s">
        <v>35</v>
      </c>
      <c r="W1" s="15" t="s">
        <v>37</v>
      </c>
      <c r="X1" s="15" t="s">
        <v>39</v>
      </c>
      <c r="Y1" s="15" t="s">
        <v>40</v>
      </c>
      <c r="Z1" s="15" t="s">
        <v>41</v>
      </c>
      <c r="AA1" s="15" t="s">
        <v>43</v>
      </c>
      <c r="AB1" s="15" t="s">
        <v>44</v>
      </c>
      <c r="AC1" s="15" t="s">
        <v>46</v>
      </c>
      <c r="AD1" s="15" t="s">
        <v>48</v>
      </c>
      <c r="AE1" s="17" t="s">
        <v>50</v>
      </c>
      <c r="AF1" s="17" t="s">
        <v>52</v>
      </c>
      <c r="AG1" s="17" t="s">
        <v>54</v>
      </c>
      <c r="AH1" s="15" t="s">
        <v>56</v>
      </c>
      <c r="AI1" s="18" t="s">
        <v>58</v>
      </c>
      <c r="AJ1" s="19" t="s">
        <v>61</v>
      </c>
      <c r="AK1" s="19" t="s">
        <v>64</v>
      </c>
      <c r="AL1" s="19" t="s">
        <v>66</v>
      </c>
      <c r="AM1" s="19" t="s">
        <v>68</v>
      </c>
      <c r="AN1" s="19" t="s">
        <v>70</v>
      </c>
      <c r="AO1" s="19" t="s">
        <v>72</v>
      </c>
      <c r="AP1" s="19" t="s">
        <v>73</v>
      </c>
      <c r="AQ1" s="19" t="s">
        <v>75</v>
      </c>
      <c r="AR1" s="19" t="s">
        <v>76</v>
      </c>
      <c r="AS1" s="19" t="s">
        <v>78</v>
      </c>
      <c r="AT1" s="19" t="s">
        <v>79</v>
      </c>
      <c r="AU1" s="19" t="s">
        <v>81</v>
      </c>
      <c r="AV1" s="6" t="s">
        <v>83</v>
      </c>
      <c r="AW1" s="20" t="s">
        <v>84</v>
      </c>
      <c r="AX1" s="20" t="s">
        <v>85</v>
      </c>
      <c r="AY1" s="20" t="s">
        <v>86</v>
      </c>
      <c r="AZ1" s="20" t="s">
        <v>87</v>
      </c>
      <c r="BA1" s="20" t="s">
        <v>89</v>
      </c>
      <c r="BB1" s="20" t="s">
        <v>91</v>
      </c>
      <c r="BC1" s="20" t="s">
        <v>92</v>
      </c>
      <c r="BD1" s="20" t="s">
        <v>94</v>
      </c>
      <c r="BE1" s="20" t="s">
        <v>96</v>
      </c>
      <c r="BF1" s="23" t="s">
        <v>99</v>
      </c>
      <c r="BG1" s="20" t="s">
        <v>100</v>
      </c>
      <c r="BH1" s="20" t="s">
        <v>101</v>
      </c>
      <c r="BI1" s="20" t="s">
        <v>102</v>
      </c>
      <c r="BJ1" s="20" t="s">
        <v>103</v>
      </c>
      <c r="BK1" s="20" t="s">
        <v>104</v>
      </c>
      <c r="BL1" s="20" t="s">
        <v>105</v>
      </c>
      <c r="BM1" s="23" t="s">
        <v>106</v>
      </c>
      <c r="BN1" s="20" t="s">
        <v>107</v>
      </c>
      <c r="BO1" s="20" t="s">
        <v>108</v>
      </c>
      <c r="BP1" s="20" t="s">
        <v>109</v>
      </c>
      <c r="BQ1" s="25" t="s">
        <v>110</v>
      </c>
      <c r="BR1" s="25" t="s">
        <v>113</v>
      </c>
      <c r="BS1" s="25" t="s">
        <v>114</v>
      </c>
      <c r="BT1" s="25" t="s">
        <v>115</v>
      </c>
      <c r="BU1" s="25" t="s">
        <v>116</v>
      </c>
      <c r="BV1" s="27" t="s">
        <v>117</v>
      </c>
      <c r="BW1" s="25" t="s">
        <v>120</v>
      </c>
      <c r="BX1" s="25" t="s">
        <v>122</v>
      </c>
      <c r="BY1" s="25" t="s">
        <v>125</v>
      </c>
      <c r="BZ1" s="25" t="s">
        <v>128</v>
      </c>
      <c r="CA1" s="25" t="s">
        <v>130</v>
      </c>
      <c r="CB1" s="25" t="s">
        <v>134</v>
      </c>
      <c r="CC1" s="25" t="s">
        <v>136</v>
      </c>
      <c r="CD1" s="25" t="s">
        <v>137</v>
      </c>
      <c r="CE1" s="27" t="s">
        <v>139</v>
      </c>
      <c r="CF1" s="25" t="s">
        <v>140</v>
      </c>
      <c r="CG1" s="25" t="s">
        <v>141</v>
      </c>
      <c r="CH1" s="25" t="s">
        <v>144</v>
      </c>
      <c r="CI1" s="25" t="s">
        <v>146</v>
      </c>
      <c r="CJ1" s="25" t="s">
        <v>147</v>
      </c>
      <c r="CK1" s="25" t="s">
        <v>148</v>
      </c>
      <c r="CL1" s="25" t="s">
        <v>149</v>
      </c>
      <c r="CM1" s="27" t="s">
        <v>150</v>
      </c>
      <c r="CN1" s="25" t="s">
        <v>151</v>
      </c>
      <c r="CO1" s="25" t="s">
        <v>152</v>
      </c>
      <c r="CP1" s="25" t="s">
        <v>153</v>
      </c>
      <c r="CQ1" s="25" t="s">
        <v>154</v>
      </c>
      <c r="CR1" s="25" t="s">
        <v>155</v>
      </c>
      <c r="CS1" s="25" t="s">
        <v>157</v>
      </c>
      <c r="CT1" s="25" t="s">
        <v>159</v>
      </c>
      <c r="CU1" s="25" t="s">
        <v>161</v>
      </c>
      <c r="CV1" s="25" t="s">
        <v>164</v>
      </c>
      <c r="CW1" s="25" t="s">
        <v>166</v>
      </c>
      <c r="CX1" s="25" t="s">
        <v>167</v>
      </c>
      <c r="CY1" s="23" t="s">
        <v>170</v>
      </c>
    </row>
    <row r="2" spans="1:134" ht="11.25" customHeight="1" x14ac:dyDescent="0.3">
      <c r="A2" s="28" t="e">
        <f t="array" aca="1" ref="A2" ca="1">_xludf.XLOOKUP(S2,Master_Registrations!P:P,Master_Registrations!A:A,"")</f>
        <v>#NAME?</v>
      </c>
      <c r="B2" s="28" t="s">
        <v>182</v>
      </c>
      <c r="C2" s="28">
        <v>2026</v>
      </c>
      <c r="D2" s="28" t="s">
        <v>184</v>
      </c>
      <c r="E2" s="28">
        <v>1</v>
      </c>
      <c r="F2" s="29" t="str">
        <f t="shared" ref="F2:F255" si="0">CONCATENATE(B2,"-",C2,"-",D2,"-",E2)</f>
        <v>VED-01-2026-BR-1</v>
      </c>
      <c r="G2" s="29" t="s">
        <v>193</v>
      </c>
      <c r="H2" s="29" t="s">
        <v>195</v>
      </c>
      <c r="I2" s="29"/>
      <c r="J2" s="28" t="s">
        <v>198</v>
      </c>
      <c r="K2" s="30"/>
      <c r="L2" s="30"/>
      <c r="M2" s="30"/>
      <c r="N2" s="29" t="s">
        <v>200</v>
      </c>
      <c r="O2" s="28" t="s">
        <v>201</v>
      </c>
      <c r="P2" s="28" t="s">
        <v>203</v>
      </c>
      <c r="Q2" s="28" t="e">
        <f t="shared" ref="Q2:Q21" ca="1" si="1">_xludf.TEXTJOIN(" ",TRUE,O2:P2)</f>
        <v>#NAME?</v>
      </c>
      <c r="R2" s="39" t="s">
        <v>112</v>
      </c>
      <c r="S2" s="31">
        <v>9986458997</v>
      </c>
      <c r="T2" s="29" t="s">
        <v>111</v>
      </c>
      <c r="U2" s="32">
        <v>2010</v>
      </c>
      <c r="V2" s="33">
        <v>1</v>
      </c>
      <c r="W2" s="33">
        <v>1</v>
      </c>
      <c r="X2" s="33">
        <v>1</v>
      </c>
      <c r="Y2" s="33">
        <v>1</v>
      </c>
      <c r="Z2" s="33">
        <v>1</v>
      </c>
      <c r="AA2" s="33">
        <v>-1</v>
      </c>
      <c r="AB2" s="33">
        <v>-1</v>
      </c>
      <c r="AC2" s="33">
        <v>-1</v>
      </c>
      <c r="AD2" s="33">
        <v>-1</v>
      </c>
      <c r="AE2" s="33">
        <v>-1</v>
      </c>
      <c r="AF2" s="33">
        <v>-1</v>
      </c>
      <c r="AG2" s="33">
        <v>-1</v>
      </c>
      <c r="AH2" s="33">
        <v>-1</v>
      </c>
      <c r="AI2" s="33">
        <v>-1</v>
      </c>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row>
    <row r="3" spans="1:134" ht="11.25" customHeight="1" x14ac:dyDescent="0.3">
      <c r="A3" s="28" t="e">
        <f t="array" aca="1" ref="A3" ca="1">_xludf.XLOOKUP(S3,Master_Registrations!P:P,Master_Registrations!A:A,"")</f>
        <v>#NAME?</v>
      </c>
      <c r="B3" s="28" t="s">
        <v>182</v>
      </c>
      <c r="C3" s="28">
        <v>2026</v>
      </c>
      <c r="D3" s="28" t="s">
        <v>184</v>
      </c>
      <c r="E3" s="28">
        <v>1</v>
      </c>
      <c r="F3" s="29" t="str">
        <f t="shared" si="0"/>
        <v>VED-01-2026-BR-1</v>
      </c>
      <c r="G3" s="29" t="s">
        <v>193</v>
      </c>
      <c r="H3" s="29" t="s">
        <v>195</v>
      </c>
      <c r="I3" s="29"/>
      <c r="J3" s="28" t="s">
        <v>198</v>
      </c>
      <c r="K3" s="30"/>
      <c r="L3" s="30"/>
      <c r="M3" s="30"/>
      <c r="N3" s="29" t="s">
        <v>299</v>
      </c>
      <c r="O3" s="28" t="s">
        <v>201</v>
      </c>
      <c r="P3" s="28" t="s">
        <v>300</v>
      </c>
      <c r="Q3" s="28" t="e">
        <f t="shared" ca="1" si="1"/>
        <v>#NAME?</v>
      </c>
      <c r="R3" s="39" t="s">
        <v>112</v>
      </c>
      <c r="S3" s="31">
        <v>9986458997</v>
      </c>
      <c r="T3" s="29" t="s">
        <v>111</v>
      </c>
      <c r="U3" s="32">
        <v>2012</v>
      </c>
      <c r="V3" s="33">
        <v>1</v>
      </c>
      <c r="W3" s="33">
        <v>1</v>
      </c>
      <c r="X3" s="33">
        <v>1</v>
      </c>
      <c r="Y3" s="33">
        <v>1</v>
      </c>
      <c r="Z3" s="33">
        <v>1</v>
      </c>
      <c r="AA3" s="33">
        <v>-1</v>
      </c>
      <c r="AB3" s="33">
        <v>-1</v>
      </c>
      <c r="AC3" s="33">
        <v>-1</v>
      </c>
      <c r="AD3" s="33">
        <v>-1</v>
      </c>
      <c r="AE3" s="33">
        <v>-1</v>
      </c>
      <c r="AF3" s="33">
        <v>-1</v>
      </c>
      <c r="AG3" s="33">
        <v>-1</v>
      </c>
      <c r="AH3" s="33">
        <v>-1</v>
      </c>
      <c r="AI3" s="33">
        <v>-1</v>
      </c>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row>
    <row r="4" spans="1:134" ht="11.25" customHeight="1" x14ac:dyDescent="0.3">
      <c r="A4" s="28" t="e">
        <f t="array" aca="1" ref="A4" ca="1">_xludf.XLOOKUP(S4,Master_Registrations!P:P,Master_Registrations!A:A,"")</f>
        <v>#NAME?</v>
      </c>
      <c r="B4" s="28" t="s">
        <v>182</v>
      </c>
      <c r="C4" s="28">
        <v>2026</v>
      </c>
      <c r="D4" s="28" t="s">
        <v>184</v>
      </c>
      <c r="E4" s="28">
        <v>1</v>
      </c>
      <c r="F4" s="29" t="str">
        <f t="shared" si="0"/>
        <v>VED-01-2026-BR-1</v>
      </c>
      <c r="G4" s="29" t="s">
        <v>193</v>
      </c>
      <c r="H4" s="29" t="s">
        <v>195</v>
      </c>
      <c r="I4" s="29"/>
      <c r="J4" s="28" t="s">
        <v>198</v>
      </c>
      <c r="K4" s="35"/>
      <c r="L4" s="35"/>
      <c r="M4" s="36"/>
      <c r="N4" s="29" t="s">
        <v>369</v>
      </c>
      <c r="O4" s="28" t="s">
        <v>370</v>
      </c>
      <c r="P4" s="28" t="s">
        <v>371</v>
      </c>
      <c r="Q4" s="28" t="e">
        <f t="shared" ca="1" si="1"/>
        <v>#NAME?</v>
      </c>
      <c r="R4" s="39" t="s">
        <v>112</v>
      </c>
      <c r="S4" s="32">
        <v>9885600552</v>
      </c>
      <c r="T4" s="29" t="s">
        <v>111</v>
      </c>
      <c r="U4" s="32">
        <v>2018</v>
      </c>
      <c r="V4" s="35">
        <v>1</v>
      </c>
      <c r="W4" s="33">
        <v>-1</v>
      </c>
      <c r="X4" s="35">
        <v>1</v>
      </c>
      <c r="Y4" s="35">
        <v>1</v>
      </c>
      <c r="Z4" s="35">
        <v>1</v>
      </c>
      <c r="AA4" s="33">
        <v>-1</v>
      </c>
      <c r="AB4" s="33">
        <v>-1</v>
      </c>
      <c r="AC4" s="33">
        <v>-1</v>
      </c>
      <c r="AD4" s="33">
        <v>-1</v>
      </c>
      <c r="AE4" s="35">
        <v>1</v>
      </c>
      <c r="AF4" s="35">
        <v>1</v>
      </c>
      <c r="AG4" s="35">
        <v>1</v>
      </c>
      <c r="AH4" s="33">
        <v>-1</v>
      </c>
      <c r="AI4" s="33">
        <v>-1</v>
      </c>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row>
    <row r="5" spans="1:134" ht="11.25" customHeight="1" x14ac:dyDescent="0.3">
      <c r="A5" s="28" t="e">
        <f t="array" aca="1" ref="A5" ca="1">_xludf.XLOOKUP(S5,Master_Registrations!P:P,Master_Registrations!A:A,"")</f>
        <v>#NAME?</v>
      </c>
      <c r="B5" s="28" t="s">
        <v>182</v>
      </c>
      <c r="C5" s="28">
        <v>2026</v>
      </c>
      <c r="D5" s="28" t="s">
        <v>184</v>
      </c>
      <c r="E5" s="28">
        <v>1</v>
      </c>
      <c r="F5" s="29" t="str">
        <f t="shared" si="0"/>
        <v>VED-01-2026-BR-1</v>
      </c>
      <c r="G5" s="29" t="s">
        <v>193</v>
      </c>
      <c r="H5" s="29" t="s">
        <v>195</v>
      </c>
      <c r="I5" s="29"/>
      <c r="J5" s="28" t="s">
        <v>198</v>
      </c>
      <c r="K5" s="35"/>
      <c r="L5" s="37"/>
      <c r="M5" s="36"/>
      <c r="N5" s="29" t="s">
        <v>434</v>
      </c>
      <c r="O5" s="28" t="s">
        <v>437</v>
      </c>
      <c r="P5" s="28" t="s">
        <v>439</v>
      </c>
      <c r="Q5" s="28" t="e">
        <f t="shared" ca="1" si="1"/>
        <v>#NAME?</v>
      </c>
      <c r="R5" s="39" t="s">
        <v>316</v>
      </c>
      <c r="S5" s="32">
        <v>7147913258</v>
      </c>
      <c r="T5" s="29" t="s">
        <v>315</v>
      </c>
      <c r="U5" s="32">
        <v>2011</v>
      </c>
      <c r="V5" s="33">
        <v>-1</v>
      </c>
      <c r="W5" s="33">
        <v>-1</v>
      </c>
      <c r="X5" s="33">
        <v>-1</v>
      </c>
      <c r="Y5" s="33">
        <v>-1</v>
      </c>
      <c r="Z5" s="33">
        <v>-1</v>
      </c>
      <c r="AA5" s="33">
        <v>-1</v>
      </c>
      <c r="AB5" s="33">
        <v>-1</v>
      </c>
      <c r="AC5" s="33">
        <v>-1</v>
      </c>
      <c r="AD5" s="33">
        <v>-1</v>
      </c>
      <c r="AE5" s="33">
        <v>-1</v>
      </c>
      <c r="AF5" s="33">
        <v>-1</v>
      </c>
      <c r="AG5" s="33">
        <v>-1</v>
      </c>
      <c r="AH5" s="33">
        <v>-1</v>
      </c>
      <c r="AI5" s="33">
        <v>-1</v>
      </c>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row>
    <row r="6" spans="1:134" ht="11.25" customHeight="1" x14ac:dyDescent="0.3">
      <c r="A6" s="28" t="e">
        <f t="array" aca="1" ref="A6" ca="1">_xludf.XLOOKUP(S6,Master_Registrations!P:P,Master_Registrations!A:A,"")</f>
        <v>#NAME?</v>
      </c>
      <c r="B6" s="28" t="s">
        <v>182</v>
      </c>
      <c r="C6" s="28">
        <v>2026</v>
      </c>
      <c r="D6" s="28" t="s">
        <v>184</v>
      </c>
      <c r="E6" s="28">
        <v>1</v>
      </c>
      <c r="F6" s="29" t="str">
        <f t="shared" si="0"/>
        <v>VED-01-2026-BR-1</v>
      </c>
      <c r="G6" s="29" t="s">
        <v>193</v>
      </c>
      <c r="H6" s="29" t="s">
        <v>195</v>
      </c>
      <c r="I6" s="29"/>
      <c r="J6" s="28" t="s">
        <v>198</v>
      </c>
      <c r="K6" s="35"/>
      <c r="L6" s="35"/>
      <c r="M6" s="36"/>
      <c r="N6" s="29" t="s">
        <v>525</v>
      </c>
      <c r="O6" s="28" t="s">
        <v>528</v>
      </c>
      <c r="P6" s="28" t="s">
        <v>529</v>
      </c>
      <c r="Q6" s="28" t="e">
        <f t="shared" ca="1" si="1"/>
        <v>#NAME?</v>
      </c>
      <c r="R6" s="39" t="s">
        <v>316</v>
      </c>
      <c r="S6" s="32">
        <v>8148826399</v>
      </c>
      <c r="T6" s="29" t="s">
        <v>315</v>
      </c>
      <c r="U6" s="32">
        <v>2016</v>
      </c>
      <c r="V6" s="33">
        <v>-1</v>
      </c>
      <c r="W6" s="33">
        <v>-1</v>
      </c>
      <c r="X6" s="35">
        <v>1</v>
      </c>
      <c r="Y6" s="33">
        <v>-1</v>
      </c>
      <c r="Z6" s="33">
        <v>-1</v>
      </c>
      <c r="AA6" s="33">
        <v>-1</v>
      </c>
      <c r="AB6" s="33">
        <v>-1</v>
      </c>
      <c r="AC6" s="33">
        <v>-1</v>
      </c>
      <c r="AD6" s="33">
        <v>-1</v>
      </c>
      <c r="AE6" s="33">
        <v>-1</v>
      </c>
      <c r="AF6" s="33">
        <v>-1</v>
      </c>
      <c r="AG6" s="33">
        <v>-1</v>
      </c>
      <c r="AH6" s="33">
        <v>-1</v>
      </c>
      <c r="AI6" s="33">
        <v>-1</v>
      </c>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row>
    <row r="7" spans="1:134" ht="11.25" customHeight="1" x14ac:dyDescent="0.3">
      <c r="A7" s="28" t="e">
        <f t="array" aca="1" ref="A7" ca="1">_xludf.XLOOKUP(S7,Master_Registrations!P:P,Master_Registrations!A:A,"")</f>
        <v>#NAME?</v>
      </c>
      <c r="B7" s="28" t="s">
        <v>182</v>
      </c>
      <c r="C7" s="28">
        <v>2026</v>
      </c>
      <c r="D7" s="28" t="s">
        <v>184</v>
      </c>
      <c r="E7" s="28">
        <v>1</v>
      </c>
      <c r="F7" s="29" t="str">
        <f t="shared" si="0"/>
        <v>VED-01-2026-BR-1</v>
      </c>
      <c r="G7" s="29" t="s">
        <v>193</v>
      </c>
      <c r="H7" s="29" t="s">
        <v>195</v>
      </c>
      <c r="I7" s="29"/>
      <c r="J7" s="28" t="s">
        <v>198</v>
      </c>
      <c r="K7" s="35"/>
      <c r="L7" s="37"/>
      <c r="M7" s="36"/>
      <c r="N7" s="29" t="s">
        <v>621</v>
      </c>
      <c r="O7" s="28" t="s">
        <v>624</v>
      </c>
      <c r="P7" s="28" t="s">
        <v>625</v>
      </c>
      <c r="Q7" s="28" t="e">
        <f t="shared" ca="1" si="1"/>
        <v>#NAME?</v>
      </c>
      <c r="R7" s="39" t="s">
        <v>112</v>
      </c>
      <c r="S7" s="32">
        <v>9840573053</v>
      </c>
      <c r="T7" s="29" t="s">
        <v>111</v>
      </c>
      <c r="U7" s="32">
        <v>2016</v>
      </c>
      <c r="V7" s="33">
        <v>-1</v>
      </c>
      <c r="W7" s="33">
        <v>-1</v>
      </c>
      <c r="X7" s="35">
        <v>1</v>
      </c>
      <c r="Y7" s="33">
        <v>-1</v>
      </c>
      <c r="Z7" s="33">
        <v>-1</v>
      </c>
      <c r="AA7" s="33">
        <v>-1</v>
      </c>
      <c r="AB7" s="33">
        <v>-1</v>
      </c>
      <c r="AC7" s="33">
        <v>-1</v>
      </c>
      <c r="AD7" s="33">
        <v>-1</v>
      </c>
      <c r="AE7" s="33">
        <v>-1</v>
      </c>
      <c r="AF7" s="33">
        <v>-1</v>
      </c>
      <c r="AG7" s="33">
        <v>-1</v>
      </c>
      <c r="AH7" s="33">
        <v>-1</v>
      </c>
      <c r="AI7" s="33">
        <v>-1</v>
      </c>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row>
    <row r="8" spans="1:134" ht="11.25" customHeight="1" x14ac:dyDescent="0.3">
      <c r="A8" s="28" t="e">
        <f t="array" aca="1" ref="A8" ca="1">_xludf.XLOOKUP(S8,Master_Registrations!P:P,Master_Registrations!A:A,"")</f>
        <v>#NAME?</v>
      </c>
      <c r="B8" s="28" t="s">
        <v>182</v>
      </c>
      <c r="C8" s="28">
        <v>2026</v>
      </c>
      <c r="D8" s="28" t="s">
        <v>184</v>
      </c>
      <c r="E8" s="28">
        <v>1</v>
      </c>
      <c r="F8" s="29" t="str">
        <f t="shared" si="0"/>
        <v>VED-01-2026-BR-1</v>
      </c>
      <c r="G8" s="29" t="s">
        <v>193</v>
      </c>
      <c r="H8" s="29" t="s">
        <v>195</v>
      </c>
      <c r="I8" s="29"/>
      <c r="J8" s="28" t="s">
        <v>198</v>
      </c>
      <c r="K8" s="35"/>
      <c r="L8" s="35"/>
      <c r="M8" s="36"/>
      <c r="N8" s="29" t="s">
        <v>714</v>
      </c>
      <c r="O8" s="29" t="s">
        <v>716</v>
      </c>
      <c r="P8" s="29" t="s">
        <v>718</v>
      </c>
      <c r="Q8" s="28" t="e">
        <f t="shared" ca="1" si="1"/>
        <v>#NAME?</v>
      </c>
      <c r="R8" s="39" t="s">
        <v>112</v>
      </c>
      <c r="S8" s="32">
        <v>9441975657</v>
      </c>
      <c r="T8" s="29" t="s">
        <v>111</v>
      </c>
      <c r="U8" s="32">
        <v>2013</v>
      </c>
      <c r="V8" s="35">
        <v>1</v>
      </c>
      <c r="W8" s="35">
        <v>1</v>
      </c>
      <c r="X8" s="35">
        <v>1</v>
      </c>
      <c r="Y8" s="35">
        <v>1</v>
      </c>
      <c r="Z8" s="35">
        <v>1</v>
      </c>
      <c r="AA8" s="33">
        <v>-1</v>
      </c>
      <c r="AB8" s="33">
        <v>-1</v>
      </c>
      <c r="AC8" s="33">
        <v>-1</v>
      </c>
      <c r="AD8" s="33">
        <v>-1</v>
      </c>
      <c r="AE8" s="35">
        <v>2</v>
      </c>
      <c r="AF8" s="35">
        <v>2</v>
      </c>
      <c r="AG8" s="35">
        <v>2</v>
      </c>
      <c r="AH8" s="35">
        <v>-1</v>
      </c>
      <c r="AI8" s="33">
        <v>-1</v>
      </c>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row>
    <row r="9" spans="1:134" ht="11.25" customHeight="1" x14ac:dyDescent="0.3">
      <c r="A9" s="28" t="e">
        <f t="array" aca="1" ref="A9" ca="1">_xludf.XLOOKUP(S9,Master_Registrations!P:P,Master_Registrations!A:A,"")</f>
        <v>#NAME?</v>
      </c>
      <c r="B9" s="28" t="s">
        <v>182</v>
      </c>
      <c r="C9" s="28">
        <v>2026</v>
      </c>
      <c r="D9" s="28" t="s">
        <v>184</v>
      </c>
      <c r="E9" s="28">
        <v>1</v>
      </c>
      <c r="F9" s="29" t="str">
        <f t="shared" si="0"/>
        <v>VED-01-2026-BR-1</v>
      </c>
      <c r="G9" s="29" t="s">
        <v>193</v>
      </c>
      <c r="H9" s="29" t="s">
        <v>195</v>
      </c>
      <c r="I9" s="29"/>
      <c r="J9" s="28" t="s">
        <v>198</v>
      </c>
      <c r="K9" s="35"/>
      <c r="L9" s="37"/>
      <c r="M9" s="36"/>
      <c r="N9" s="29" t="s">
        <v>786</v>
      </c>
      <c r="O9" s="28" t="s">
        <v>787</v>
      </c>
      <c r="P9" s="28" t="s">
        <v>791</v>
      </c>
      <c r="Q9" s="28" t="e">
        <f t="shared" ca="1" si="1"/>
        <v>#NAME?</v>
      </c>
      <c r="R9" s="39" t="s">
        <v>112</v>
      </c>
      <c r="S9" s="32">
        <v>9441346181</v>
      </c>
      <c r="T9" s="29" t="s">
        <v>111</v>
      </c>
      <c r="U9" s="32">
        <v>2012</v>
      </c>
      <c r="V9" s="35">
        <v>1</v>
      </c>
      <c r="W9" s="33">
        <v>-1</v>
      </c>
      <c r="X9" s="35">
        <v>1</v>
      </c>
      <c r="Y9" s="35">
        <v>-1</v>
      </c>
      <c r="Z9" s="33">
        <v>-1</v>
      </c>
      <c r="AA9" s="33">
        <v>-1</v>
      </c>
      <c r="AB9" s="33">
        <v>-1</v>
      </c>
      <c r="AC9" s="33">
        <v>-1</v>
      </c>
      <c r="AD9" s="33">
        <v>-1</v>
      </c>
      <c r="AE9" s="33">
        <v>-1</v>
      </c>
      <c r="AF9" s="33">
        <v>-1</v>
      </c>
      <c r="AG9" s="33">
        <v>-1</v>
      </c>
      <c r="AH9" s="33">
        <v>-1</v>
      </c>
      <c r="AI9" s="33">
        <v>-1</v>
      </c>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row>
    <row r="10" spans="1:134" ht="11.25" customHeight="1" x14ac:dyDescent="0.3">
      <c r="A10" s="28" t="e">
        <f t="array" aca="1" ref="A10" ca="1">_xludf.XLOOKUP(S10,Master_Registrations!P:P,Master_Registrations!A:A,"")</f>
        <v>#NAME?</v>
      </c>
      <c r="B10" s="28" t="s">
        <v>182</v>
      </c>
      <c r="C10" s="28">
        <v>2026</v>
      </c>
      <c r="D10" s="28" t="s">
        <v>184</v>
      </c>
      <c r="E10" s="28">
        <v>1</v>
      </c>
      <c r="F10" s="29" t="str">
        <f t="shared" si="0"/>
        <v>VED-01-2026-BR-1</v>
      </c>
      <c r="G10" s="29" t="s">
        <v>193</v>
      </c>
      <c r="H10" s="29" t="s">
        <v>195</v>
      </c>
      <c r="I10" s="29"/>
      <c r="J10" s="28" t="s">
        <v>198</v>
      </c>
      <c r="K10" s="35"/>
      <c r="L10" s="35"/>
      <c r="M10" s="36"/>
      <c r="N10" s="29" t="s">
        <v>856</v>
      </c>
      <c r="O10" s="28" t="s">
        <v>857</v>
      </c>
      <c r="P10" s="28" t="s">
        <v>859</v>
      </c>
      <c r="Q10" s="28" t="e">
        <f t="shared" ca="1" si="1"/>
        <v>#NAME?</v>
      </c>
      <c r="R10" s="39" t="s">
        <v>112</v>
      </c>
      <c r="S10" s="32">
        <v>9052550010</v>
      </c>
      <c r="T10" s="29" t="s">
        <v>111</v>
      </c>
      <c r="U10" s="32">
        <v>2014</v>
      </c>
      <c r="V10" s="35">
        <v>1</v>
      </c>
      <c r="W10" s="33">
        <v>-1</v>
      </c>
      <c r="X10" s="35">
        <v>1</v>
      </c>
      <c r="Y10" s="35">
        <v>1</v>
      </c>
      <c r="Z10" s="35">
        <v>1</v>
      </c>
      <c r="AA10" s="33">
        <v>-1</v>
      </c>
      <c r="AB10" s="33">
        <v>-1</v>
      </c>
      <c r="AC10" s="33">
        <v>-1</v>
      </c>
      <c r="AD10" s="33">
        <v>-1</v>
      </c>
      <c r="AE10" s="35">
        <v>1</v>
      </c>
      <c r="AF10" s="35">
        <v>1</v>
      </c>
      <c r="AG10" s="35">
        <v>1</v>
      </c>
      <c r="AH10" s="33">
        <v>-1</v>
      </c>
      <c r="AI10" s="33">
        <v>-1</v>
      </c>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row>
    <row r="11" spans="1:134" ht="11.25" customHeight="1" x14ac:dyDescent="0.3">
      <c r="A11" s="28" t="e">
        <f t="array" aca="1" ref="A11" ca="1">_xludf.XLOOKUP(S11,Master_Registrations!P:P,Master_Registrations!A:A,"")</f>
        <v>#NAME?</v>
      </c>
      <c r="B11" s="28" t="s">
        <v>182</v>
      </c>
      <c r="C11" s="28">
        <v>2026</v>
      </c>
      <c r="D11" s="28" t="s">
        <v>184</v>
      </c>
      <c r="E11" s="28">
        <v>1</v>
      </c>
      <c r="F11" s="29" t="str">
        <f t="shared" si="0"/>
        <v>VED-01-2026-BR-1</v>
      </c>
      <c r="G11" s="29" t="s">
        <v>193</v>
      </c>
      <c r="H11" s="29" t="s">
        <v>195</v>
      </c>
      <c r="I11" s="29"/>
      <c r="J11" s="28" t="s">
        <v>198</v>
      </c>
      <c r="K11" s="30"/>
      <c r="L11" s="30"/>
      <c r="M11" s="30"/>
      <c r="N11" s="29" t="s">
        <v>915</v>
      </c>
      <c r="O11" s="28" t="s">
        <v>916</v>
      </c>
      <c r="P11" s="28" t="s">
        <v>917</v>
      </c>
      <c r="Q11" s="28" t="e">
        <f t="shared" ca="1" si="1"/>
        <v>#NAME?</v>
      </c>
      <c r="R11" s="39" t="s">
        <v>316</v>
      </c>
      <c r="S11" s="31">
        <v>3182434371</v>
      </c>
      <c r="T11" s="29" t="s">
        <v>315</v>
      </c>
      <c r="U11" s="32">
        <v>2010</v>
      </c>
      <c r="V11" s="33">
        <v>-1</v>
      </c>
      <c r="W11" s="33">
        <v>-1</v>
      </c>
      <c r="X11" s="33">
        <v>-1</v>
      </c>
      <c r="Y11" s="33">
        <v>-1</v>
      </c>
      <c r="Z11" s="33">
        <v>-1</v>
      </c>
      <c r="AA11" s="33">
        <v>-1</v>
      </c>
      <c r="AB11" s="33">
        <v>-1</v>
      </c>
      <c r="AC11" s="33">
        <v>-1</v>
      </c>
      <c r="AD11" s="33">
        <v>-1</v>
      </c>
      <c r="AE11" s="33">
        <v>-1</v>
      </c>
      <c r="AF11" s="33">
        <v>-1</v>
      </c>
      <c r="AG11" s="33">
        <v>-1</v>
      </c>
      <c r="AH11" s="33">
        <v>-1</v>
      </c>
      <c r="AI11" s="33">
        <v>-1</v>
      </c>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row>
    <row r="12" spans="1:134" ht="11.25" customHeight="1" x14ac:dyDescent="0.3">
      <c r="A12" s="28" t="e">
        <f t="array" aca="1" ref="A12" ca="1">_xludf.XLOOKUP(S12,Master_Registrations!P:P,Master_Registrations!A:A,"")</f>
        <v>#NAME?</v>
      </c>
      <c r="B12" s="28" t="s">
        <v>182</v>
      </c>
      <c r="C12" s="28">
        <v>2026</v>
      </c>
      <c r="D12" s="28" t="s">
        <v>184</v>
      </c>
      <c r="E12" s="28">
        <v>1</v>
      </c>
      <c r="F12" s="29" t="str">
        <f t="shared" si="0"/>
        <v>VED-01-2026-BR-1</v>
      </c>
      <c r="G12" s="29" t="s">
        <v>193</v>
      </c>
      <c r="H12" s="29" t="s">
        <v>195</v>
      </c>
      <c r="I12" s="29"/>
      <c r="J12" s="28" t="s">
        <v>198</v>
      </c>
      <c r="K12" s="30"/>
      <c r="L12" s="30"/>
      <c r="M12" s="30"/>
      <c r="N12" s="29" t="s">
        <v>973</v>
      </c>
      <c r="O12" s="28" t="s">
        <v>916</v>
      </c>
      <c r="P12" s="28" t="s">
        <v>974</v>
      </c>
      <c r="Q12" s="28" t="e">
        <f t="shared" ca="1" si="1"/>
        <v>#NAME?</v>
      </c>
      <c r="R12" s="39" t="s">
        <v>316</v>
      </c>
      <c r="S12" s="31">
        <v>3182434371</v>
      </c>
      <c r="T12" s="29" t="s">
        <v>315</v>
      </c>
      <c r="U12" s="32">
        <v>2014</v>
      </c>
      <c r="V12" s="33">
        <v>-1</v>
      </c>
      <c r="W12" s="33">
        <v>-1</v>
      </c>
      <c r="X12" s="33">
        <v>-1</v>
      </c>
      <c r="Y12" s="33">
        <v>-1</v>
      </c>
      <c r="Z12" s="33">
        <v>-1</v>
      </c>
      <c r="AA12" s="33">
        <v>-1</v>
      </c>
      <c r="AB12" s="33">
        <v>-1</v>
      </c>
      <c r="AC12" s="33">
        <v>-1</v>
      </c>
      <c r="AD12" s="33">
        <v>-1</v>
      </c>
      <c r="AE12" s="33">
        <v>-1</v>
      </c>
      <c r="AF12" s="33">
        <v>-1</v>
      </c>
      <c r="AG12" s="33">
        <v>-1</v>
      </c>
      <c r="AH12" s="33">
        <v>-1</v>
      </c>
      <c r="AI12" s="33">
        <v>-1</v>
      </c>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row>
    <row r="13" spans="1:134" ht="11.25" customHeight="1" x14ac:dyDescent="0.3">
      <c r="A13" s="28" t="e">
        <f t="array" aca="1" ref="A13" ca="1">_xludf.XLOOKUP(S13,Master_Registrations!P:P,Master_Registrations!A:A,"")</f>
        <v>#NAME?</v>
      </c>
      <c r="B13" s="28" t="s">
        <v>182</v>
      </c>
      <c r="C13" s="28">
        <v>2026</v>
      </c>
      <c r="D13" s="28" t="s">
        <v>184</v>
      </c>
      <c r="E13" s="28">
        <v>1</v>
      </c>
      <c r="F13" s="29" t="str">
        <f t="shared" si="0"/>
        <v>VED-01-2026-BR-1</v>
      </c>
      <c r="G13" s="29" t="s">
        <v>193</v>
      </c>
      <c r="H13" s="29" t="s">
        <v>195</v>
      </c>
      <c r="I13" s="29"/>
      <c r="J13" s="28" t="s">
        <v>198</v>
      </c>
      <c r="K13" s="30"/>
      <c r="L13" s="30"/>
      <c r="M13" s="30"/>
      <c r="N13" s="29" t="s">
        <v>1031</v>
      </c>
      <c r="O13" s="28" t="s">
        <v>1034</v>
      </c>
      <c r="P13" s="28" t="s">
        <v>1035</v>
      </c>
      <c r="Q13" s="28" t="e">
        <f t="shared" ca="1" si="1"/>
        <v>#NAME?</v>
      </c>
      <c r="R13" s="39" t="s">
        <v>112</v>
      </c>
      <c r="S13" s="31">
        <v>9160750001</v>
      </c>
      <c r="T13" s="29" t="s">
        <v>111</v>
      </c>
      <c r="U13" s="32">
        <v>2012</v>
      </c>
      <c r="V13" s="33">
        <v>1</v>
      </c>
      <c r="W13" s="33">
        <v>1</v>
      </c>
      <c r="X13" s="33">
        <v>1</v>
      </c>
      <c r="Y13" s="33">
        <v>1</v>
      </c>
      <c r="Z13" s="33">
        <v>1</v>
      </c>
      <c r="AA13" s="33">
        <v>-1</v>
      </c>
      <c r="AB13" s="33">
        <v>-1</v>
      </c>
      <c r="AC13" s="33">
        <v>-1</v>
      </c>
      <c r="AD13" s="33">
        <v>-1</v>
      </c>
      <c r="AE13" s="33">
        <v>1</v>
      </c>
      <c r="AF13" s="33">
        <v>1</v>
      </c>
      <c r="AG13" s="33">
        <v>1</v>
      </c>
      <c r="AH13" s="33">
        <v>-1</v>
      </c>
      <c r="AI13" s="33">
        <v>-1</v>
      </c>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row>
    <row r="14" spans="1:134" ht="11.25" customHeight="1" x14ac:dyDescent="0.3">
      <c r="A14" s="28" t="e">
        <f t="array" aca="1" ref="A14" ca="1">_xludf.XLOOKUP(S14,Master_Registrations!P:P,Master_Registrations!A:A,"")</f>
        <v>#NAME?</v>
      </c>
      <c r="B14" s="28" t="s">
        <v>182</v>
      </c>
      <c r="C14" s="28">
        <v>2026</v>
      </c>
      <c r="D14" s="28" t="s">
        <v>184</v>
      </c>
      <c r="E14" s="28">
        <v>1</v>
      </c>
      <c r="F14" s="29" t="str">
        <f t="shared" si="0"/>
        <v>VED-01-2026-BR-1</v>
      </c>
      <c r="G14" s="29" t="s">
        <v>193</v>
      </c>
      <c r="H14" s="29" t="s">
        <v>195</v>
      </c>
      <c r="I14" s="29"/>
      <c r="J14" s="28" t="s">
        <v>198</v>
      </c>
      <c r="K14" s="30"/>
      <c r="L14" s="30"/>
      <c r="M14" s="30"/>
      <c r="N14" s="29" t="s">
        <v>1112</v>
      </c>
      <c r="O14" s="28" t="s">
        <v>1115</v>
      </c>
      <c r="P14" s="28" t="s">
        <v>1116</v>
      </c>
      <c r="Q14" s="28" t="e">
        <f t="shared" ca="1" si="1"/>
        <v>#NAME?</v>
      </c>
      <c r="R14" s="39" t="s">
        <v>316</v>
      </c>
      <c r="S14" s="31">
        <v>6104573193</v>
      </c>
      <c r="T14" s="29" t="s">
        <v>402</v>
      </c>
      <c r="U14" s="32">
        <v>2014</v>
      </c>
      <c r="V14" s="33">
        <v>1</v>
      </c>
      <c r="W14" s="33">
        <v>1</v>
      </c>
      <c r="X14" s="33">
        <v>-1</v>
      </c>
      <c r="Y14" s="33">
        <v>-1</v>
      </c>
      <c r="Z14" s="33">
        <v>-1</v>
      </c>
      <c r="AA14" s="33">
        <v>-1</v>
      </c>
      <c r="AB14" s="33">
        <v>-1</v>
      </c>
      <c r="AC14" s="33">
        <v>-1</v>
      </c>
      <c r="AD14" s="33">
        <v>-1</v>
      </c>
      <c r="AE14" s="33">
        <v>1</v>
      </c>
      <c r="AF14" s="33">
        <v>1</v>
      </c>
      <c r="AG14" s="33">
        <v>-1</v>
      </c>
      <c r="AH14" s="33">
        <v>-1</v>
      </c>
      <c r="AI14" s="33">
        <v>-1</v>
      </c>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row>
    <row r="15" spans="1:134" ht="11.25" customHeight="1" x14ac:dyDescent="0.3">
      <c r="A15" s="28" t="e">
        <f t="array" aca="1" ref="A15" ca="1">_xludf.XLOOKUP(S15,Master_Registrations!P:P,Master_Registrations!A:A,"")</f>
        <v>#NAME?</v>
      </c>
      <c r="B15" s="28" t="s">
        <v>182</v>
      </c>
      <c r="C15" s="28">
        <v>2026</v>
      </c>
      <c r="D15" s="28" t="s">
        <v>184</v>
      </c>
      <c r="E15" s="28">
        <v>1</v>
      </c>
      <c r="F15" s="29" t="str">
        <f t="shared" si="0"/>
        <v>VED-01-2026-BR-1</v>
      </c>
      <c r="G15" s="29" t="s">
        <v>193</v>
      </c>
      <c r="H15" s="29" t="s">
        <v>195</v>
      </c>
      <c r="I15" s="29"/>
      <c r="J15" s="28" t="s">
        <v>198</v>
      </c>
      <c r="K15" s="35"/>
      <c r="L15" s="38"/>
      <c r="M15" s="36"/>
      <c r="N15" s="29" t="s">
        <v>1196</v>
      </c>
      <c r="O15" s="28" t="s">
        <v>982</v>
      </c>
      <c r="P15" s="28" t="s">
        <v>1197</v>
      </c>
      <c r="Q15" s="28" t="e">
        <f t="shared" ca="1" si="1"/>
        <v>#NAME?</v>
      </c>
      <c r="R15" s="39" t="s">
        <v>112</v>
      </c>
      <c r="S15" s="32">
        <v>9930904698</v>
      </c>
      <c r="T15" s="29" t="s">
        <v>111</v>
      </c>
      <c r="U15" s="32">
        <v>2016</v>
      </c>
      <c r="V15" s="35">
        <v>1</v>
      </c>
      <c r="W15" s="33">
        <v>-1</v>
      </c>
      <c r="X15" s="35">
        <v>1</v>
      </c>
      <c r="Y15" s="35">
        <v>1</v>
      </c>
      <c r="Z15" s="35">
        <v>1</v>
      </c>
      <c r="AA15" s="33">
        <v>-1</v>
      </c>
      <c r="AB15" s="33">
        <v>-1</v>
      </c>
      <c r="AC15" s="33">
        <v>-1</v>
      </c>
      <c r="AD15" s="33">
        <v>-1</v>
      </c>
      <c r="AE15" s="35">
        <v>2</v>
      </c>
      <c r="AF15" s="35">
        <v>2</v>
      </c>
      <c r="AG15" s="35">
        <v>2</v>
      </c>
      <c r="AH15" s="35">
        <v>1</v>
      </c>
      <c r="AI15" s="33">
        <v>-1</v>
      </c>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row>
    <row r="16" spans="1:134" ht="11.25" customHeight="1" x14ac:dyDescent="0.3">
      <c r="A16" s="28" t="e">
        <f t="array" aca="1" ref="A16" ca="1">_xludf.XLOOKUP(S16,Master_Registrations!P:P,Master_Registrations!A:A,"")</f>
        <v>#NAME?</v>
      </c>
      <c r="B16" s="39" t="s">
        <v>182</v>
      </c>
      <c r="C16" s="39">
        <v>2026</v>
      </c>
      <c r="D16" s="39" t="s">
        <v>184</v>
      </c>
      <c r="E16" s="39">
        <v>2</v>
      </c>
      <c r="F16" s="40" t="str">
        <f t="shared" si="0"/>
        <v>VED-01-2026-BR-2</v>
      </c>
      <c r="G16" s="40" t="s">
        <v>1270</v>
      </c>
      <c r="H16" s="40" t="s">
        <v>1271</v>
      </c>
      <c r="I16" s="40"/>
      <c r="J16" s="39" t="s">
        <v>198</v>
      </c>
      <c r="K16" s="41">
        <v>1</v>
      </c>
      <c r="L16" s="42"/>
      <c r="M16" s="42"/>
      <c r="N16" s="40" t="s">
        <v>200</v>
      </c>
      <c r="O16" s="39" t="s">
        <v>1282</v>
      </c>
      <c r="P16" s="39" t="s">
        <v>1284</v>
      </c>
      <c r="Q16" s="39" t="e">
        <f t="shared" ca="1" si="1"/>
        <v>#NAME?</v>
      </c>
      <c r="R16" s="39" t="s">
        <v>112</v>
      </c>
      <c r="S16" s="43">
        <v>8985827908</v>
      </c>
      <c r="T16" s="40" t="s">
        <v>111</v>
      </c>
      <c r="U16" s="43">
        <v>2014</v>
      </c>
      <c r="V16" s="44">
        <v>1</v>
      </c>
      <c r="W16" s="45">
        <v>-1</v>
      </c>
      <c r="X16" s="46">
        <v>1</v>
      </c>
      <c r="Y16" s="46">
        <v>1</v>
      </c>
      <c r="Z16" s="46">
        <v>1</v>
      </c>
      <c r="AA16" s="47">
        <v>-1</v>
      </c>
      <c r="AB16" s="47">
        <v>-1</v>
      </c>
      <c r="AC16" s="45"/>
      <c r="AD16" s="45"/>
      <c r="AE16" s="45"/>
      <c r="AF16" s="45"/>
      <c r="AG16" s="45"/>
      <c r="AH16" s="45"/>
      <c r="AI16" s="45"/>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row>
    <row r="17" spans="1:134" ht="11.25" customHeight="1" x14ac:dyDescent="0.3">
      <c r="A17" s="28" t="e">
        <f t="array" aca="1" ref="A17" ca="1">_xludf.XLOOKUP(S17,Master_Registrations!P:P,Master_Registrations!A:A,"")</f>
        <v>#NAME?</v>
      </c>
      <c r="B17" s="39" t="s">
        <v>182</v>
      </c>
      <c r="C17" s="39">
        <v>2026</v>
      </c>
      <c r="D17" s="39" t="s">
        <v>184</v>
      </c>
      <c r="E17" s="39">
        <v>2</v>
      </c>
      <c r="F17" s="40" t="str">
        <f t="shared" si="0"/>
        <v>VED-01-2026-BR-2</v>
      </c>
      <c r="G17" s="40" t="s">
        <v>1270</v>
      </c>
      <c r="H17" s="40" t="s">
        <v>1271</v>
      </c>
      <c r="I17" s="40"/>
      <c r="J17" s="39" t="s">
        <v>198</v>
      </c>
      <c r="K17" s="41">
        <v>1</v>
      </c>
      <c r="L17" s="42"/>
      <c r="M17" s="42"/>
      <c r="N17" s="40" t="s">
        <v>299</v>
      </c>
      <c r="O17" s="39" t="s">
        <v>1380</v>
      </c>
      <c r="P17" s="39" t="s">
        <v>1382</v>
      </c>
      <c r="Q17" s="39" t="e">
        <f t="shared" ca="1" si="1"/>
        <v>#NAME?</v>
      </c>
      <c r="R17" s="39" t="s">
        <v>112</v>
      </c>
      <c r="S17" s="43">
        <v>7893641027</v>
      </c>
      <c r="T17" s="40" t="s">
        <v>111</v>
      </c>
      <c r="U17" s="43">
        <v>2016</v>
      </c>
      <c r="V17" s="44">
        <v>1</v>
      </c>
      <c r="W17" s="45">
        <v>-1</v>
      </c>
      <c r="X17" s="47">
        <v>-1</v>
      </c>
      <c r="Y17" s="46">
        <v>1</v>
      </c>
      <c r="Z17" s="46">
        <v>1</v>
      </c>
      <c r="AA17" s="47">
        <v>-1</v>
      </c>
      <c r="AB17" s="47">
        <v>-1</v>
      </c>
      <c r="AC17" s="45"/>
      <c r="AD17" s="45"/>
      <c r="AE17" s="45"/>
      <c r="AF17" s="45"/>
      <c r="AG17" s="45"/>
      <c r="AH17" s="45"/>
      <c r="AI17" s="45"/>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row>
    <row r="18" spans="1:134" ht="11.25" customHeight="1" x14ac:dyDescent="0.3">
      <c r="A18" s="28" t="e">
        <f t="array" aca="1" ref="A18" ca="1">_xludf.XLOOKUP(S18,Master_Registrations!P:P,Master_Registrations!A:A,"")</f>
        <v>#NAME?</v>
      </c>
      <c r="B18" s="39" t="s">
        <v>182</v>
      </c>
      <c r="C18" s="39">
        <v>2026</v>
      </c>
      <c r="D18" s="39" t="s">
        <v>184</v>
      </c>
      <c r="E18" s="39">
        <v>2</v>
      </c>
      <c r="F18" s="40" t="str">
        <f t="shared" si="0"/>
        <v>VED-01-2026-BR-2</v>
      </c>
      <c r="G18" s="40" t="s">
        <v>1270</v>
      </c>
      <c r="H18" s="40" t="s">
        <v>1271</v>
      </c>
      <c r="I18" s="40"/>
      <c r="J18" s="39" t="s">
        <v>198</v>
      </c>
      <c r="K18" s="41">
        <v>1</v>
      </c>
      <c r="L18" s="42"/>
      <c r="M18" s="42"/>
      <c r="N18" s="40" t="s">
        <v>369</v>
      </c>
      <c r="O18" s="39" t="s">
        <v>1461</v>
      </c>
      <c r="P18" s="39" t="s">
        <v>1464</v>
      </c>
      <c r="Q18" s="39" t="e">
        <f t="shared" ca="1" si="1"/>
        <v>#NAME?</v>
      </c>
      <c r="R18" s="39" t="s">
        <v>112</v>
      </c>
      <c r="S18" s="43">
        <v>9611932143</v>
      </c>
      <c r="T18" s="40" t="s">
        <v>111</v>
      </c>
      <c r="U18" s="43">
        <v>2012</v>
      </c>
      <c r="V18" s="44">
        <v>1</v>
      </c>
      <c r="W18" s="45">
        <v>-1</v>
      </c>
      <c r="X18" s="47">
        <v>-1</v>
      </c>
      <c r="Y18" s="46">
        <v>1</v>
      </c>
      <c r="Z18" s="47">
        <v>-1</v>
      </c>
      <c r="AA18" s="47">
        <v>-1</v>
      </c>
      <c r="AB18" s="47">
        <v>-1</v>
      </c>
      <c r="AC18" s="45"/>
      <c r="AD18" s="45"/>
      <c r="AE18" s="45"/>
      <c r="AF18" s="45"/>
      <c r="AG18" s="45"/>
      <c r="AH18" s="45"/>
      <c r="AI18" s="45"/>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row>
    <row r="19" spans="1:134" ht="11.25" customHeight="1" x14ac:dyDescent="0.3">
      <c r="A19" s="28" t="e">
        <f t="array" aca="1" ref="A19" ca="1">_xludf.XLOOKUP(S19,Master_Registrations!P:P,Master_Registrations!A:A,"")</f>
        <v>#NAME?</v>
      </c>
      <c r="B19" s="39" t="s">
        <v>182</v>
      </c>
      <c r="C19" s="39">
        <v>2026</v>
      </c>
      <c r="D19" s="39" t="s">
        <v>184</v>
      </c>
      <c r="E19" s="39">
        <v>2</v>
      </c>
      <c r="F19" s="40" t="str">
        <f t="shared" si="0"/>
        <v>VED-01-2026-BR-2</v>
      </c>
      <c r="G19" s="40" t="s">
        <v>1270</v>
      </c>
      <c r="H19" s="40" t="s">
        <v>1271</v>
      </c>
      <c r="I19" s="40"/>
      <c r="J19" s="39" t="s">
        <v>198</v>
      </c>
      <c r="K19" s="41">
        <v>1</v>
      </c>
      <c r="L19" s="42"/>
      <c r="M19" s="42"/>
      <c r="N19" s="40" t="s">
        <v>434</v>
      </c>
      <c r="O19" s="39" t="s">
        <v>1551</v>
      </c>
      <c r="P19" s="39" t="s">
        <v>1552</v>
      </c>
      <c r="Q19" s="39" t="e">
        <f t="shared" ca="1" si="1"/>
        <v>#NAME?</v>
      </c>
      <c r="R19" s="39" t="s">
        <v>112</v>
      </c>
      <c r="S19" s="43">
        <v>9740274684</v>
      </c>
      <c r="T19" s="40" t="s">
        <v>111</v>
      </c>
      <c r="U19" s="43">
        <v>2011</v>
      </c>
      <c r="V19" s="44">
        <v>1</v>
      </c>
      <c r="W19" s="45">
        <v>-1</v>
      </c>
      <c r="X19" s="47">
        <v>-1</v>
      </c>
      <c r="Y19" s="46">
        <v>1</v>
      </c>
      <c r="Z19" s="46">
        <v>1</v>
      </c>
      <c r="AA19" s="47">
        <v>-1</v>
      </c>
      <c r="AB19" s="46">
        <v>1</v>
      </c>
      <c r="AC19" s="45"/>
      <c r="AD19" s="45"/>
      <c r="AE19" s="45"/>
      <c r="AF19" s="45"/>
      <c r="AG19" s="45"/>
      <c r="AH19" s="45"/>
      <c r="AI19" s="45"/>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row>
    <row r="20" spans="1:134" ht="11.25" customHeight="1" x14ac:dyDescent="0.3">
      <c r="A20" s="28" t="e">
        <f t="array" aca="1" ref="A20" ca="1">_xludf.XLOOKUP(S20,Master_Registrations!P:P,Master_Registrations!A:A,"")</f>
        <v>#NAME?</v>
      </c>
      <c r="B20" s="39" t="s">
        <v>182</v>
      </c>
      <c r="C20" s="39">
        <v>2026</v>
      </c>
      <c r="D20" s="39" t="s">
        <v>184</v>
      </c>
      <c r="E20" s="39">
        <v>2</v>
      </c>
      <c r="F20" s="40" t="str">
        <f t="shared" si="0"/>
        <v>VED-01-2026-BR-2</v>
      </c>
      <c r="G20" s="40" t="s">
        <v>1270</v>
      </c>
      <c r="H20" s="40" t="s">
        <v>1271</v>
      </c>
      <c r="I20" s="40"/>
      <c r="J20" s="39" t="s">
        <v>198</v>
      </c>
      <c r="K20" s="41">
        <v>1</v>
      </c>
      <c r="L20" s="42"/>
      <c r="M20" s="42"/>
      <c r="N20" s="40" t="s">
        <v>525</v>
      </c>
      <c r="O20" s="39" t="s">
        <v>1632</v>
      </c>
      <c r="P20" s="39" t="s">
        <v>1635</v>
      </c>
      <c r="Q20" s="39" t="e">
        <f t="shared" ca="1" si="1"/>
        <v>#NAME?</v>
      </c>
      <c r="R20" s="39" t="s">
        <v>112</v>
      </c>
      <c r="S20" s="43">
        <v>9494398425</v>
      </c>
      <c r="T20" s="40" t="s">
        <v>111</v>
      </c>
      <c r="U20" s="43">
        <v>2012</v>
      </c>
      <c r="V20" s="45">
        <v>-1</v>
      </c>
      <c r="W20" s="45">
        <v>-1</v>
      </c>
      <c r="X20" s="46">
        <v>1</v>
      </c>
      <c r="Y20" s="47">
        <v>-1</v>
      </c>
      <c r="Z20" s="47">
        <v>-1</v>
      </c>
      <c r="AA20" s="47">
        <v>-1</v>
      </c>
      <c r="AB20" s="47">
        <v>-1</v>
      </c>
      <c r="AC20" s="45"/>
      <c r="AD20" s="45"/>
      <c r="AE20" s="45"/>
      <c r="AF20" s="45"/>
      <c r="AG20" s="45"/>
      <c r="AH20" s="45"/>
      <c r="AI20" s="45"/>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row>
    <row r="21" spans="1:134" ht="11.25" customHeight="1" x14ac:dyDescent="0.3">
      <c r="A21" s="28" t="e">
        <f t="array" aca="1" ref="A21" ca="1">_xludf.XLOOKUP(S21,Master_Registrations!P:P,Master_Registrations!A:A,"")</f>
        <v>#NAME?</v>
      </c>
      <c r="B21" s="39" t="s">
        <v>182</v>
      </c>
      <c r="C21" s="39">
        <v>2026</v>
      </c>
      <c r="D21" s="39" t="s">
        <v>184</v>
      </c>
      <c r="E21" s="39">
        <v>2</v>
      </c>
      <c r="F21" s="40" t="str">
        <f t="shared" si="0"/>
        <v>VED-01-2026-BR-2</v>
      </c>
      <c r="G21" s="40" t="s">
        <v>1270</v>
      </c>
      <c r="H21" s="40" t="s">
        <v>1271</v>
      </c>
      <c r="I21" s="40"/>
      <c r="J21" s="39" t="s">
        <v>198</v>
      </c>
      <c r="K21" s="41">
        <v>1</v>
      </c>
      <c r="L21" s="42"/>
      <c r="M21" s="42"/>
      <c r="N21" s="40" t="s">
        <v>621</v>
      </c>
      <c r="O21" s="39" t="s">
        <v>1709</v>
      </c>
      <c r="P21" s="39" t="s">
        <v>1712</v>
      </c>
      <c r="Q21" s="39" t="e">
        <f t="shared" ca="1" si="1"/>
        <v>#NAME?</v>
      </c>
      <c r="R21" s="39" t="s">
        <v>112</v>
      </c>
      <c r="S21" s="43">
        <v>6305438951</v>
      </c>
      <c r="T21" s="40" t="s">
        <v>111</v>
      </c>
      <c r="U21" s="43">
        <v>2014</v>
      </c>
      <c r="V21" s="44">
        <v>1</v>
      </c>
      <c r="W21" s="45">
        <v>-1</v>
      </c>
      <c r="X21" s="47">
        <v>-1</v>
      </c>
      <c r="Y21" s="47">
        <v>-1</v>
      </c>
      <c r="Z21" s="47">
        <v>-1</v>
      </c>
      <c r="AA21" s="47">
        <v>-1</v>
      </c>
      <c r="AB21" s="47">
        <v>-1</v>
      </c>
      <c r="AC21" s="45"/>
      <c r="AD21" s="45"/>
      <c r="AE21" s="45"/>
      <c r="AF21" s="45"/>
      <c r="AG21" s="45"/>
      <c r="AH21" s="45"/>
      <c r="AI21" s="45"/>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row>
    <row r="22" spans="1:134" ht="11.25" customHeight="1" x14ac:dyDescent="0.3">
      <c r="A22" s="28" t="e">
        <f t="array" aca="1" ref="A22" ca="1">_xludf.XLOOKUP(S22,Master_Registrations!P:P,Master_Registrations!A:A,"")</f>
        <v>#NAME?</v>
      </c>
      <c r="B22" s="39" t="s">
        <v>182</v>
      </c>
      <c r="C22" s="39">
        <v>2026</v>
      </c>
      <c r="D22" s="39" t="s">
        <v>184</v>
      </c>
      <c r="E22" s="39">
        <v>2</v>
      </c>
      <c r="F22" s="40" t="str">
        <f t="shared" si="0"/>
        <v>VED-01-2026-BR-2</v>
      </c>
      <c r="G22" s="40" t="s">
        <v>1270</v>
      </c>
      <c r="H22" s="40" t="s">
        <v>1271</v>
      </c>
      <c r="I22" s="40"/>
      <c r="J22" s="39" t="s">
        <v>198</v>
      </c>
      <c r="K22" s="49"/>
      <c r="L22" s="49"/>
      <c r="M22" s="49"/>
      <c r="N22" s="40" t="s">
        <v>786</v>
      </c>
      <c r="O22" s="39" t="s">
        <v>1843</v>
      </c>
      <c r="P22" s="39" t="s">
        <v>1846</v>
      </c>
      <c r="Q22" s="39" t="s">
        <v>1848</v>
      </c>
      <c r="R22" s="39" t="s">
        <v>316</v>
      </c>
      <c r="S22" s="50">
        <v>5135601785</v>
      </c>
      <c r="T22" s="40" t="s">
        <v>402</v>
      </c>
      <c r="U22" s="39">
        <v>2016</v>
      </c>
      <c r="V22" s="45">
        <v>-1</v>
      </c>
      <c r="W22" s="45">
        <v>-1</v>
      </c>
      <c r="X22" s="45">
        <v>-1</v>
      </c>
      <c r="Y22" s="47">
        <v>-1</v>
      </c>
      <c r="Z22" s="47">
        <v>-1</v>
      </c>
      <c r="AA22" s="47">
        <v>-1</v>
      </c>
      <c r="AB22" s="47">
        <v>-1</v>
      </c>
      <c r="AC22" s="45"/>
      <c r="AD22" s="45"/>
      <c r="AE22" s="45"/>
      <c r="AF22" s="45"/>
      <c r="AG22" s="45"/>
      <c r="AH22" s="45"/>
      <c r="AI22" s="45"/>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row>
    <row r="23" spans="1:134" ht="11.25" customHeight="1" x14ac:dyDescent="0.3">
      <c r="A23" s="28" t="e">
        <f t="array" aca="1" ref="A23" ca="1">_xludf.XLOOKUP(S23,Master_Registrations!P:P,Master_Registrations!A:A,"")</f>
        <v>#NAME?</v>
      </c>
      <c r="B23" s="39" t="s">
        <v>182</v>
      </c>
      <c r="C23" s="39">
        <v>2026</v>
      </c>
      <c r="D23" s="39" t="s">
        <v>184</v>
      </c>
      <c r="E23" s="39">
        <v>2</v>
      </c>
      <c r="F23" s="40" t="str">
        <f t="shared" si="0"/>
        <v>VED-01-2026-BR-2</v>
      </c>
      <c r="G23" s="40" t="s">
        <v>1270</v>
      </c>
      <c r="H23" s="40" t="s">
        <v>1271</v>
      </c>
      <c r="I23" s="40"/>
      <c r="J23" s="39" t="s">
        <v>198</v>
      </c>
      <c r="K23" s="49"/>
      <c r="L23" s="49"/>
      <c r="M23" s="49"/>
      <c r="N23" s="40" t="s">
        <v>856</v>
      </c>
      <c r="O23" s="39" t="s">
        <v>519</v>
      </c>
      <c r="P23" s="39" t="s">
        <v>1914</v>
      </c>
      <c r="Q23" s="39" t="s">
        <v>1917</v>
      </c>
      <c r="R23" s="39" t="s">
        <v>316</v>
      </c>
      <c r="S23" s="50">
        <v>4805932217</v>
      </c>
      <c r="T23" s="40" t="s">
        <v>315</v>
      </c>
      <c r="U23" s="39">
        <v>2014</v>
      </c>
      <c r="V23" s="45">
        <v>-1</v>
      </c>
      <c r="W23" s="45">
        <v>-1</v>
      </c>
      <c r="X23" s="45">
        <v>-1</v>
      </c>
      <c r="Y23" s="47">
        <v>-1</v>
      </c>
      <c r="Z23" s="47">
        <v>-1</v>
      </c>
      <c r="AA23" s="47">
        <v>-1</v>
      </c>
      <c r="AB23" s="47">
        <v>-1</v>
      </c>
      <c r="AC23" s="45"/>
      <c r="AD23" s="45"/>
      <c r="AE23" s="45"/>
      <c r="AF23" s="45"/>
      <c r="AG23" s="45"/>
      <c r="AH23" s="45"/>
      <c r="AI23" s="45"/>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row>
    <row r="24" spans="1:134" ht="11.25" customHeight="1" x14ac:dyDescent="0.3">
      <c r="A24" s="28" t="e">
        <f t="array" aca="1" ref="A24" ca="1">_xludf.XLOOKUP(S24,Master_Registrations!P:P,Master_Registrations!A:A,"")</f>
        <v>#NAME?</v>
      </c>
      <c r="B24" s="39" t="s">
        <v>182</v>
      </c>
      <c r="C24" s="39">
        <v>2026</v>
      </c>
      <c r="D24" s="39" t="s">
        <v>184</v>
      </c>
      <c r="E24" s="39">
        <v>2</v>
      </c>
      <c r="F24" s="40" t="str">
        <f t="shared" si="0"/>
        <v>VED-01-2026-BR-2</v>
      </c>
      <c r="G24" s="40" t="s">
        <v>1270</v>
      </c>
      <c r="H24" s="40" t="s">
        <v>1271</v>
      </c>
      <c r="I24" s="40"/>
      <c r="J24" s="39" t="s">
        <v>198</v>
      </c>
      <c r="K24" s="49"/>
      <c r="L24" s="49"/>
      <c r="M24" s="49"/>
      <c r="N24" s="40" t="s">
        <v>915</v>
      </c>
      <c r="O24" s="39" t="s">
        <v>1978</v>
      </c>
      <c r="P24" s="39" t="s">
        <v>1979</v>
      </c>
      <c r="Q24" s="39" t="e">
        <f t="shared" ref="Q24:Q26" ca="1" si="2">_xludf.TEXTJOIN(" ",TRUE,O24:P24)</f>
        <v>#NAME?</v>
      </c>
      <c r="R24" s="39" t="s">
        <v>112</v>
      </c>
      <c r="S24" s="50">
        <v>9848847831</v>
      </c>
      <c r="T24" s="40" t="s">
        <v>111</v>
      </c>
      <c r="U24" s="39">
        <v>2013</v>
      </c>
      <c r="V24" s="45">
        <v>-1</v>
      </c>
      <c r="W24" s="45">
        <v>-1</v>
      </c>
      <c r="X24" s="45">
        <v>-1</v>
      </c>
      <c r="Y24" s="47">
        <v>-1</v>
      </c>
      <c r="Z24" s="47">
        <v>-1</v>
      </c>
      <c r="AA24" s="47">
        <v>-1</v>
      </c>
      <c r="AB24" s="47">
        <v>-1</v>
      </c>
      <c r="AC24" s="45"/>
      <c r="AD24" s="45"/>
      <c r="AE24" s="45"/>
      <c r="AF24" s="45"/>
      <c r="AG24" s="45"/>
      <c r="AH24" s="45"/>
      <c r="AI24" s="45"/>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row>
    <row r="25" spans="1:134" ht="11.25" customHeight="1" x14ac:dyDescent="0.3">
      <c r="A25" s="28" t="e">
        <f t="array" aca="1" ref="A25" ca="1">_xludf.XLOOKUP(S25,Master_Registrations!P:P,Master_Registrations!A:A,"")</f>
        <v>#NAME?</v>
      </c>
      <c r="B25" s="39" t="s">
        <v>182</v>
      </c>
      <c r="C25" s="39">
        <v>2026</v>
      </c>
      <c r="D25" s="39" t="s">
        <v>184</v>
      </c>
      <c r="E25" s="39">
        <v>2</v>
      </c>
      <c r="F25" s="40" t="str">
        <f t="shared" si="0"/>
        <v>VED-01-2026-BR-2</v>
      </c>
      <c r="G25" s="40" t="s">
        <v>1270</v>
      </c>
      <c r="H25" s="40" t="s">
        <v>1271</v>
      </c>
      <c r="I25" s="40"/>
      <c r="J25" s="39" t="s">
        <v>198</v>
      </c>
      <c r="K25" s="41">
        <v>1</v>
      </c>
      <c r="L25" s="42"/>
      <c r="M25" s="42"/>
      <c r="N25" s="40" t="s">
        <v>973</v>
      </c>
      <c r="O25" s="39" t="s">
        <v>2062</v>
      </c>
      <c r="P25" s="39" t="s">
        <v>2063</v>
      </c>
      <c r="Q25" s="39" t="e">
        <f t="shared" ca="1" si="2"/>
        <v>#NAME?</v>
      </c>
      <c r="R25" s="39" t="s">
        <v>112</v>
      </c>
      <c r="S25" s="43">
        <v>9886333667</v>
      </c>
      <c r="T25" s="40" t="s">
        <v>111</v>
      </c>
      <c r="U25" s="43">
        <v>2017</v>
      </c>
      <c r="V25" s="44">
        <v>1</v>
      </c>
      <c r="W25" s="45">
        <v>-1</v>
      </c>
      <c r="X25" s="46">
        <v>1</v>
      </c>
      <c r="Y25" s="46">
        <v>1</v>
      </c>
      <c r="Z25" s="47">
        <v>-1</v>
      </c>
      <c r="AA25" s="47">
        <v>-1</v>
      </c>
      <c r="AB25" s="47">
        <v>-1</v>
      </c>
      <c r="AC25" s="45"/>
      <c r="AD25" s="45"/>
      <c r="AE25" s="45"/>
      <c r="AF25" s="45"/>
      <c r="AG25" s="45"/>
      <c r="AH25" s="45"/>
      <c r="AI25" s="45"/>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row>
    <row r="26" spans="1:134" ht="11.25" customHeight="1" x14ac:dyDescent="0.3">
      <c r="A26" s="28" t="e">
        <f t="array" aca="1" ref="A26" ca="1">_xludf.XLOOKUP(S26,Master_Registrations!P:P,Master_Registrations!A:A,"")</f>
        <v>#NAME?</v>
      </c>
      <c r="B26" s="39" t="s">
        <v>182</v>
      </c>
      <c r="C26" s="39">
        <v>2026</v>
      </c>
      <c r="D26" s="39" t="s">
        <v>184</v>
      </c>
      <c r="E26" s="39">
        <v>2</v>
      </c>
      <c r="F26" s="40" t="str">
        <f t="shared" si="0"/>
        <v>VED-01-2026-BR-2</v>
      </c>
      <c r="G26" s="40" t="s">
        <v>1270</v>
      </c>
      <c r="H26" s="40" t="s">
        <v>1271</v>
      </c>
      <c r="I26" s="40"/>
      <c r="J26" s="39" t="s">
        <v>198</v>
      </c>
      <c r="K26" s="41">
        <v>1</v>
      </c>
      <c r="L26" s="42"/>
      <c r="M26" s="42"/>
      <c r="N26" s="40" t="s">
        <v>1031</v>
      </c>
      <c r="O26" s="39" t="s">
        <v>2113</v>
      </c>
      <c r="P26" s="39" t="s">
        <v>2115</v>
      </c>
      <c r="Q26" s="39" t="e">
        <f t="shared" ca="1" si="2"/>
        <v>#NAME?</v>
      </c>
      <c r="R26" s="39" t="s">
        <v>112</v>
      </c>
      <c r="S26" s="43">
        <v>8147232263</v>
      </c>
      <c r="T26" s="40" t="s">
        <v>111</v>
      </c>
      <c r="U26" s="43">
        <v>2012</v>
      </c>
      <c r="V26" s="44">
        <v>1</v>
      </c>
      <c r="W26" s="45">
        <v>-1</v>
      </c>
      <c r="X26" s="47">
        <v>-1</v>
      </c>
      <c r="Y26" s="46">
        <v>1</v>
      </c>
      <c r="Z26" s="46">
        <v>1</v>
      </c>
      <c r="AA26" s="47">
        <v>-1</v>
      </c>
      <c r="AB26" s="47">
        <v>-1</v>
      </c>
      <c r="AC26" s="45"/>
      <c r="AD26" s="45"/>
      <c r="AE26" s="45"/>
      <c r="AF26" s="45"/>
      <c r="AG26" s="45"/>
      <c r="AH26" s="45"/>
      <c r="AI26" s="45"/>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row>
    <row r="27" spans="1:134" ht="11.25" customHeight="1" x14ac:dyDescent="0.3">
      <c r="A27" s="28" t="e">
        <f t="array" aca="1" ref="A27" ca="1">_xludf.XLOOKUP(S27,Master_Registrations!P:P,Master_Registrations!A:A,"")</f>
        <v>#NAME?</v>
      </c>
      <c r="B27" s="39" t="s">
        <v>182</v>
      </c>
      <c r="C27" s="39">
        <v>2026</v>
      </c>
      <c r="D27" s="39" t="s">
        <v>184</v>
      </c>
      <c r="E27" s="39">
        <v>2</v>
      </c>
      <c r="F27" s="40" t="str">
        <f t="shared" si="0"/>
        <v>VED-01-2026-BR-2</v>
      </c>
      <c r="G27" s="40" t="s">
        <v>1270</v>
      </c>
      <c r="H27" s="40" t="s">
        <v>1271</v>
      </c>
      <c r="I27" s="40"/>
      <c r="J27" s="39" t="s">
        <v>198</v>
      </c>
      <c r="K27" s="49"/>
      <c r="L27" s="49"/>
      <c r="M27" s="49"/>
      <c r="N27" s="40" t="s">
        <v>1112</v>
      </c>
      <c r="O27" s="39" t="s">
        <v>2113</v>
      </c>
      <c r="P27" s="39" t="s">
        <v>2182</v>
      </c>
      <c r="Q27" s="39" t="s">
        <v>2183</v>
      </c>
      <c r="R27" s="39" t="s">
        <v>112</v>
      </c>
      <c r="S27" s="50">
        <v>8147232263</v>
      </c>
      <c r="T27" s="40" t="s">
        <v>111</v>
      </c>
      <c r="U27" s="39">
        <v>2010</v>
      </c>
      <c r="V27" s="45">
        <v>-1</v>
      </c>
      <c r="W27" s="45">
        <v>-1</v>
      </c>
      <c r="X27" s="45">
        <v>-1</v>
      </c>
      <c r="Y27" s="44">
        <v>-1</v>
      </c>
      <c r="Z27" s="44">
        <v>-1</v>
      </c>
      <c r="AA27" s="44">
        <v>-1</v>
      </c>
      <c r="AB27" s="44">
        <v>-1</v>
      </c>
      <c r="AC27" s="45"/>
      <c r="AD27" s="45"/>
      <c r="AE27" s="45"/>
      <c r="AF27" s="45"/>
      <c r="AG27" s="45"/>
      <c r="AH27" s="45"/>
      <c r="AI27" s="45"/>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row>
    <row r="28" spans="1:134" ht="11.25" customHeight="1" x14ac:dyDescent="0.3">
      <c r="A28" s="28" t="e">
        <f t="array" aca="1" ref="A28" ca="1">_xludf.XLOOKUP(S28,Master_Registrations!P:P,Master_Registrations!A:A,"")</f>
        <v>#NAME?</v>
      </c>
      <c r="B28" s="39" t="s">
        <v>182</v>
      </c>
      <c r="C28" s="39">
        <v>2026</v>
      </c>
      <c r="D28" s="39" t="s">
        <v>184</v>
      </c>
      <c r="E28" s="39">
        <v>2</v>
      </c>
      <c r="F28" s="40" t="str">
        <f t="shared" si="0"/>
        <v>VED-01-2026-BR-2</v>
      </c>
      <c r="G28" s="40" t="s">
        <v>1270</v>
      </c>
      <c r="H28" s="40" t="s">
        <v>1271</v>
      </c>
      <c r="I28" s="40"/>
      <c r="J28" s="39" t="s">
        <v>198</v>
      </c>
      <c r="K28" s="52"/>
      <c r="L28" s="52"/>
      <c r="M28" s="52"/>
      <c r="N28" s="40" t="s">
        <v>1196</v>
      </c>
      <c r="O28" s="39" t="s">
        <v>313</v>
      </c>
      <c r="P28" s="39" t="s">
        <v>2236</v>
      </c>
      <c r="Q28" s="39" t="e">
        <f t="shared" ref="Q28:Q49" ca="1" si="3">_xludf.TEXTJOIN(" ",TRUE,O28:P28)</f>
        <v>#NAME?</v>
      </c>
      <c r="R28" s="39" t="s">
        <v>112</v>
      </c>
      <c r="S28" s="50">
        <v>9866707774</v>
      </c>
      <c r="T28" s="40" t="s">
        <v>111</v>
      </c>
      <c r="U28" s="39">
        <v>2013</v>
      </c>
      <c r="V28" s="44">
        <v>-1</v>
      </c>
      <c r="W28" s="44">
        <v>-1</v>
      </c>
      <c r="X28" s="44">
        <v>-1</v>
      </c>
      <c r="Y28" s="44">
        <v>-1</v>
      </c>
      <c r="Z28" s="44">
        <v>-1</v>
      </c>
      <c r="AA28" s="44">
        <v>-1</v>
      </c>
      <c r="AB28" s="44">
        <v>-1</v>
      </c>
      <c r="AC28" s="45"/>
      <c r="AD28" s="45"/>
      <c r="AE28" s="45"/>
      <c r="AF28" s="45"/>
      <c r="AG28" s="45"/>
      <c r="AH28" s="45"/>
      <c r="AI28" s="45"/>
      <c r="AJ28" s="44"/>
      <c r="AK28" s="44"/>
      <c r="AL28" s="44"/>
      <c r="AM28" s="44"/>
      <c r="AN28" s="44"/>
      <c r="AO28" s="44"/>
      <c r="AP28" s="44"/>
      <c r="AQ28" s="44"/>
      <c r="AR28" s="44"/>
      <c r="AS28" s="44"/>
      <c r="AT28" s="44"/>
      <c r="AU28" s="44"/>
      <c r="AV28" s="44"/>
      <c r="AW28" s="44"/>
      <c r="AX28" s="44"/>
      <c r="AY28" s="44"/>
      <c r="AZ28" s="44"/>
      <c r="BA28" s="44"/>
      <c r="BB28" s="44"/>
      <c r="BC28" s="44"/>
      <c r="BD28" s="44"/>
      <c r="BE28" s="44"/>
      <c r="BF28" s="45"/>
      <c r="BG28" s="45"/>
      <c r="BH28" s="45"/>
      <c r="BI28" s="45"/>
      <c r="BJ28" s="45"/>
      <c r="BK28" s="45"/>
      <c r="BL28" s="45"/>
      <c r="BM28" s="45"/>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row>
    <row r="29" spans="1:134" ht="11.25" customHeight="1" x14ac:dyDescent="0.3">
      <c r="A29" s="28" t="e">
        <f t="array" aca="1" ref="A29" ca="1">_xludf.XLOOKUP(S29,Master_Registrations!P:P,Master_Registrations!A:A,"")</f>
        <v>#NAME?</v>
      </c>
      <c r="B29" s="39" t="s">
        <v>182</v>
      </c>
      <c r="C29" s="39">
        <v>2026</v>
      </c>
      <c r="D29" s="39" t="s">
        <v>184</v>
      </c>
      <c r="E29" s="39">
        <v>2</v>
      </c>
      <c r="F29" s="40" t="str">
        <f t="shared" si="0"/>
        <v>VED-01-2026-BR-2</v>
      </c>
      <c r="G29" s="40" t="s">
        <v>1270</v>
      </c>
      <c r="H29" s="40" t="s">
        <v>1271</v>
      </c>
      <c r="I29" s="40"/>
      <c r="J29" s="39" t="s">
        <v>198</v>
      </c>
      <c r="K29" s="49"/>
      <c r="L29" s="49"/>
      <c r="M29" s="49"/>
      <c r="N29" s="40" t="s">
        <v>2297</v>
      </c>
      <c r="O29" s="39" t="s">
        <v>445</v>
      </c>
      <c r="P29" s="39" t="s">
        <v>2298</v>
      </c>
      <c r="Q29" s="39" t="e">
        <f t="shared" ca="1" si="3"/>
        <v>#NAME?</v>
      </c>
      <c r="R29" s="28" t="s">
        <v>316</v>
      </c>
      <c r="S29" s="50">
        <v>2488021056</v>
      </c>
      <c r="T29" s="40" t="s">
        <v>402</v>
      </c>
      <c r="U29" s="43">
        <v>2016</v>
      </c>
      <c r="V29" s="44">
        <v>1</v>
      </c>
      <c r="W29" s="45">
        <v>-1</v>
      </c>
      <c r="X29" s="46">
        <v>1</v>
      </c>
      <c r="Y29" s="46">
        <v>1</v>
      </c>
      <c r="Z29" s="46">
        <v>1</v>
      </c>
      <c r="AA29" s="47">
        <v>-1</v>
      </c>
      <c r="AB29" s="47">
        <v>-1</v>
      </c>
      <c r="AC29" s="45"/>
      <c r="AD29" s="45"/>
      <c r="AE29" s="45"/>
      <c r="AF29" s="45"/>
      <c r="AG29" s="45"/>
      <c r="AH29" s="45"/>
      <c r="AI29" s="45"/>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row>
    <row r="30" spans="1:134" ht="11.25" customHeight="1" x14ac:dyDescent="0.3">
      <c r="A30" s="28" t="e">
        <f t="array" aca="1" ref="A30" ca="1">_xludf.XLOOKUP(S30,Master_Registrations!P:P,Master_Registrations!A:A,"")</f>
        <v>#NAME?</v>
      </c>
      <c r="B30" s="28" t="s">
        <v>182</v>
      </c>
      <c r="C30" s="28">
        <v>2026</v>
      </c>
      <c r="D30" s="28" t="s">
        <v>184</v>
      </c>
      <c r="E30" s="28">
        <v>3</v>
      </c>
      <c r="F30" s="29" t="str">
        <f t="shared" si="0"/>
        <v>VED-01-2026-BR-3</v>
      </c>
      <c r="G30" s="29" t="s">
        <v>2346</v>
      </c>
      <c r="H30" s="29" t="s">
        <v>2347</v>
      </c>
      <c r="I30" s="29"/>
      <c r="J30" s="28" t="s">
        <v>198</v>
      </c>
      <c r="K30" s="53">
        <v>1</v>
      </c>
      <c r="L30" s="54"/>
      <c r="M30" s="54"/>
      <c r="N30" s="29" t="s">
        <v>200</v>
      </c>
      <c r="O30" s="28" t="s">
        <v>2351</v>
      </c>
      <c r="P30" s="28" t="s">
        <v>2353</v>
      </c>
      <c r="Q30" s="28" t="e">
        <f t="shared" ca="1" si="3"/>
        <v>#NAME?</v>
      </c>
      <c r="R30" s="28" t="s">
        <v>316</v>
      </c>
      <c r="S30" s="32">
        <v>8327481679</v>
      </c>
      <c r="T30" s="29" t="s">
        <v>315</v>
      </c>
      <c r="U30" s="32">
        <v>2015</v>
      </c>
      <c r="V30" s="33">
        <v>-1</v>
      </c>
      <c r="W30" s="33">
        <v>-1</v>
      </c>
      <c r="X30" s="33">
        <v>-1</v>
      </c>
      <c r="Y30" s="33"/>
      <c r="Z30" s="33"/>
      <c r="AA30" s="33"/>
      <c r="AB30" s="33"/>
      <c r="AC30" s="33"/>
      <c r="AD30" s="33"/>
      <c r="AE30" s="33"/>
      <c r="AF30" s="33"/>
      <c r="AG30" s="33"/>
      <c r="AH30" s="33"/>
      <c r="AI30" s="33"/>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row>
    <row r="31" spans="1:134" ht="11.25" customHeight="1" x14ac:dyDescent="0.3">
      <c r="A31" s="28" t="e">
        <f t="array" aca="1" ref="A31" ca="1">_xludf.XLOOKUP(S31,Master_Registrations!P:P,Master_Registrations!A:A,"")</f>
        <v>#NAME?</v>
      </c>
      <c r="B31" s="28" t="s">
        <v>182</v>
      </c>
      <c r="C31" s="28">
        <v>2026</v>
      </c>
      <c r="D31" s="28" t="s">
        <v>184</v>
      </c>
      <c r="E31" s="28">
        <v>3</v>
      </c>
      <c r="F31" s="29" t="str">
        <f t="shared" si="0"/>
        <v>VED-01-2026-BR-3</v>
      </c>
      <c r="G31" s="29" t="s">
        <v>2346</v>
      </c>
      <c r="H31" s="29" t="s">
        <v>2347</v>
      </c>
      <c r="I31" s="29"/>
      <c r="J31" s="28" t="s">
        <v>198</v>
      </c>
      <c r="K31" s="53">
        <v>1</v>
      </c>
      <c r="L31" s="54"/>
      <c r="M31" s="54"/>
      <c r="N31" s="29" t="s">
        <v>299</v>
      </c>
      <c r="O31" s="28" t="s">
        <v>2431</v>
      </c>
      <c r="P31" s="28" t="s">
        <v>2433</v>
      </c>
      <c r="Q31" s="28" t="e">
        <f t="shared" ca="1" si="3"/>
        <v>#NAME?</v>
      </c>
      <c r="R31" s="28" t="s">
        <v>316</v>
      </c>
      <c r="S31" s="32">
        <v>8382620227</v>
      </c>
      <c r="T31" s="29" t="s">
        <v>402</v>
      </c>
      <c r="U31" s="32">
        <v>2010</v>
      </c>
      <c r="V31" s="33">
        <v>-1</v>
      </c>
      <c r="W31" s="33">
        <v>-1</v>
      </c>
      <c r="X31" s="33">
        <v>-1</v>
      </c>
      <c r="Y31" s="33"/>
      <c r="Z31" s="33"/>
      <c r="AA31" s="33"/>
      <c r="AB31" s="33"/>
      <c r="AC31" s="33"/>
      <c r="AD31" s="33"/>
      <c r="AE31" s="33"/>
      <c r="AF31" s="33"/>
      <c r="AG31" s="33"/>
      <c r="AH31" s="33"/>
      <c r="AI31" s="33"/>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row>
    <row r="32" spans="1:134" ht="11.25" customHeight="1" x14ac:dyDescent="0.3">
      <c r="A32" s="28" t="e">
        <f t="array" aca="1" ref="A32" ca="1">_xludf.XLOOKUP(S32,Master_Registrations!P:P,Master_Registrations!A:A,"")</f>
        <v>#NAME?</v>
      </c>
      <c r="B32" s="28" t="s">
        <v>182</v>
      </c>
      <c r="C32" s="28">
        <v>2026</v>
      </c>
      <c r="D32" s="28" t="s">
        <v>184</v>
      </c>
      <c r="E32" s="28">
        <v>3</v>
      </c>
      <c r="F32" s="29" t="str">
        <f t="shared" si="0"/>
        <v>VED-01-2026-BR-3</v>
      </c>
      <c r="G32" s="29" t="s">
        <v>2346</v>
      </c>
      <c r="H32" s="29" t="s">
        <v>2347</v>
      </c>
      <c r="I32" s="29"/>
      <c r="J32" s="28" t="s">
        <v>198</v>
      </c>
      <c r="K32" s="53">
        <v>1</v>
      </c>
      <c r="L32" s="54"/>
      <c r="M32" s="54"/>
      <c r="N32" s="29" t="s">
        <v>369</v>
      </c>
      <c r="O32" s="28" t="s">
        <v>2501</v>
      </c>
      <c r="P32" s="28" t="s">
        <v>1642</v>
      </c>
      <c r="Q32" s="28" t="e">
        <f t="shared" ca="1" si="3"/>
        <v>#NAME?</v>
      </c>
      <c r="R32" s="28" t="s">
        <v>316</v>
      </c>
      <c r="S32" s="32">
        <v>6099370666</v>
      </c>
      <c r="T32" s="29" t="s">
        <v>315</v>
      </c>
      <c r="U32" s="32">
        <v>2018</v>
      </c>
      <c r="V32" s="33">
        <v>-1</v>
      </c>
      <c r="W32" s="33">
        <v>-1</v>
      </c>
      <c r="X32" s="33">
        <v>-1</v>
      </c>
      <c r="Y32" s="33"/>
      <c r="Z32" s="33"/>
      <c r="AA32" s="33"/>
      <c r="AB32" s="33"/>
      <c r="AC32" s="33"/>
      <c r="AD32" s="33"/>
      <c r="AE32" s="33"/>
      <c r="AF32" s="33"/>
      <c r="AG32" s="33"/>
      <c r="AH32" s="33"/>
      <c r="AI32" s="33"/>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row>
    <row r="33" spans="1:134" ht="11.25" customHeight="1" x14ac:dyDescent="0.3">
      <c r="A33" s="28" t="e">
        <f t="array" aca="1" ref="A33" ca="1">_xludf.XLOOKUP(S33,Master_Registrations!P:P,Master_Registrations!A:A,"")</f>
        <v>#NAME?</v>
      </c>
      <c r="B33" s="28" t="s">
        <v>182</v>
      </c>
      <c r="C33" s="28">
        <v>2026</v>
      </c>
      <c r="D33" s="28" t="s">
        <v>184</v>
      </c>
      <c r="E33" s="28">
        <v>3</v>
      </c>
      <c r="F33" s="29" t="str">
        <f t="shared" si="0"/>
        <v>VED-01-2026-BR-3</v>
      </c>
      <c r="G33" s="29" t="s">
        <v>2346</v>
      </c>
      <c r="H33" s="29" t="s">
        <v>2347</v>
      </c>
      <c r="I33" s="29"/>
      <c r="J33" s="28" t="s">
        <v>198</v>
      </c>
      <c r="K33" s="53">
        <v>1</v>
      </c>
      <c r="L33" s="54"/>
      <c r="M33" s="54"/>
      <c r="N33" s="29" t="s">
        <v>434</v>
      </c>
      <c r="O33" s="28" t="s">
        <v>2561</v>
      </c>
      <c r="P33" s="28" t="s">
        <v>2563</v>
      </c>
      <c r="Q33" s="28" t="e">
        <f t="shared" ca="1" si="3"/>
        <v>#NAME?</v>
      </c>
      <c r="R33" s="28" t="s">
        <v>316</v>
      </c>
      <c r="S33" s="32">
        <v>5129034955</v>
      </c>
      <c r="T33" s="29" t="s">
        <v>315</v>
      </c>
      <c r="U33" s="32">
        <v>2011</v>
      </c>
      <c r="V33" s="33">
        <v>-1</v>
      </c>
      <c r="W33" s="33">
        <v>-1</v>
      </c>
      <c r="X33" s="33">
        <v>-1</v>
      </c>
      <c r="Y33" s="33"/>
      <c r="Z33" s="33"/>
      <c r="AA33" s="33"/>
      <c r="AB33" s="33"/>
      <c r="AC33" s="33"/>
      <c r="AD33" s="33"/>
      <c r="AE33" s="33"/>
      <c r="AF33" s="33"/>
      <c r="AG33" s="33"/>
      <c r="AH33" s="33"/>
      <c r="AI33" s="33"/>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row>
    <row r="34" spans="1:134" ht="11.25" customHeight="1" x14ac:dyDescent="0.3">
      <c r="A34" s="28" t="e">
        <f t="array" aca="1" ref="A34" ca="1">_xludf.XLOOKUP(S34,Master_Registrations!P:P,Master_Registrations!A:A,"")</f>
        <v>#NAME?</v>
      </c>
      <c r="B34" s="28" t="s">
        <v>182</v>
      </c>
      <c r="C34" s="28">
        <v>2026</v>
      </c>
      <c r="D34" s="28" t="s">
        <v>184</v>
      </c>
      <c r="E34" s="28">
        <v>3</v>
      </c>
      <c r="F34" s="29" t="str">
        <f t="shared" si="0"/>
        <v>VED-01-2026-BR-3</v>
      </c>
      <c r="G34" s="29" t="s">
        <v>2346</v>
      </c>
      <c r="H34" s="29" t="s">
        <v>2347</v>
      </c>
      <c r="I34" s="29"/>
      <c r="J34" s="28" t="s">
        <v>198</v>
      </c>
      <c r="K34" s="30"/>
      <c r="L34" s="30"/>
      <c r="M34" s="30"/>
      <c r="N34" s="29" t="s">
        <v>525</v>
      </c>
      <c r="O34" s="28" t="s">
        <v>2606</v>
      </c>
      <c r="P34" s="28" t="s">
        <v>2607</v>
      </c>
      <c r="Q34" s="28" t="e">
        <f t="shared" ca="1" si="3"/>
        <v>#NAME?</v>
      </c>
      <c r="R34" s="28" t="s">
        <v>112</v>
      </c>
      <c r="S34" s="55">
        <v>8688328602</v>
      </c>
      <c r="T34" s="29" t="s">
        <v>111</v>
      </c>
      <c r="U34" s="28">
        <v>2013</v>
      </c>
      <c r="V34" s="33">
        <v>-1</v>
      </c>
      <c r="W34" s="33">
        <v>-1</v>
      </c>
      <c r="X34" s="33">
        <v>-1</v>
      </c>
      <c r="Y34" s="33"/>
      <c r="Z34" s="33"/>
      <c r="AA34" s="33"/>
      <c r="AB34" s="33"/>
      <c r="AC34" s="33"/>
      <c r="AD34" s="33"/>
      <c r="AE34" s="33"/>
      <c r="AF34" s="33"/>
      <c r="AG34" s="33"/>
      <c r="AH34" s="33"/>
      <c r="AI34" s="33"/>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row>
    <row r="35" spans="1:134" ht="11.25" customHeight="1" x14ac:dyDescent="0.3">
      <c r="A35" s="28" t="e">
        <f t="array" aca="1" ref="A35" ca="1">_xludf.XLOOKUP(S35,Master_Registrations!P:P,Master_Registrations!A:A,"")</f>
        <v>#NAME?</v>
      </c>
      <c r="B35" s="28" t="s">
        <v>182</v>
      </c>
      <c r="C35" s="28">
        <v>2026</v>
      </c>
      <c r="D35" s="28" t="s">
        <v>184</v>
      </c>
      <c r="E35" s="28">
        <v>3</v>
      </c>
      <c r="F35" s="29" t="str">
        <f t="shared" si="0"/>
        <v>VED-01-2026-BR-3</v>
      </c>
      <c r="G35" s="29" t="s">
        <v>2346</v>
      </c>
      <c r="H35" s="29" t="s">
        <v>2347</v>
      </c>
      <c r="I35" s="29"/>
      <c r="J35" s="28" t="s">
        <v>198</v>
      </c>
      <c r="K35" s="53">
        <v>1</v>
      </c>
      <c r="L35" s="54"/>
      <c r="M35" s="54"/>
      <c r="N35" s="29" t="s">
        <v>621</v>
      </c>
      <c r="O35" s="28" t="s">
        <v>1632</v>
      </c>
      <c r="P35" s="28" t="s">
        <v>2660</v>
      </c>
      <c r="Q35" s="28" t="e">
        <f t="shared" ca="1" si="3"/>
        <v>#NAME?</v>
      </c>
      <c r="R35" s="28" t="s">
        <v>112</v>
      </c>
      <c r="S35" s="32">
        <v>8106966654</v>
      </c>
      <c r="T35" s="29" t="s">
        <v>111</v>
      </c>
      <c r="U35" s="32">
        <v>2014</v>
      </c>
      <c r="V35" s="33">
        <v>-1</v>
      </c>
      <c r="W35" s="33">
        <v>-1</v>
      </c>
      <c r="X35" s="33">
        <v>-1</v>
      </c>
      <c r="Y35" s="33"/>
      <c r="Z35" s="33"/>
      <c r="AA35" s="33"/>
      <c r="AB35" s="33"/>
      <c r="AC35" s="33"/>
      <c r="AD35" s="33"/>
      <c r="AE35" s="33"/>
      <c r="AF35" s="33"/>
      <c r="AG35" s="33"/>
      <c r="AH35" s="33"/>
      <c r="AI35" s="33"/>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row>
    <row r="36" spans="1:134" ht="11.25" customHeight="1" x14ac:dyDescent="0.3">
      <c r="A36" s="28">
        <f>_xlfn.XLOOKUP(S36,Master_Registrations!P:P,Master_Registrations!A:A,"")</f>
        <v>2025</v>
      </c>
      <c r="B36" s="28" t="s">
        <v>182</v>
      </c>
      <c r="C36" s="28">
        <v>2026</v>
      </c>
      <c r="D36" s="28" t="s">
        <v>184</v>
      </c>
      <c r="E36" s="28">
        <v>3</v>
      </c>
      <c r="F36" s="29" t="str">
        <f t="shared" si="0"/>
        <v>VED-01-2026-BR-3</v>
      </c>
      <c r="G36" s="29" t="s">
        <v>2346</v>
      </c>
      <c r="H36" s="29" t="s">
        <v>2347</v>
      </c>
      <c r="I36" s="29"/>
      <c r="J36" s="28" t="s">
        <v>198</v>
      </c>
      <c r="K36" s="30"/>
      <c r="L36" s="30"/>
      <c r="M36" s="30"/>
      <c r="N36" s="29" t="s">
        <v>714</v>
      </c>
      <c r="O36" s="28" t="s">
        <v>1774</v>
      </c>
      <c r="P36" s="28" t="s">
        <v>1776</v>
      </c>
      <c r="Q36" s="28" t="e">
        <f t="shared" ca="1" si="3"/>
        <v>#NAME?</v>
      </c>
      <c r="R36" s="28" t="s">
        <v>316</v>
      </c>
      <c r="S36" s="55">
        <v>8609048328</v>
      </c>
      <c r="T36" s="29" t="s">
        <v>315</v>
      </c>
      <c r="U36" s="32">
        <v>2013</v>
      </c>
      <c r="V36" s="33">
        <v>-1</v>
      </c>
      <c r="W36" s="33">
        <v>-1</v>
      </c>
      <c r="X36" s="33">
        <v>-1</v>
      </c>
      <c r="Y36" s="33"/>
      <c r="Z36" s="33"/>
      <c r="AA36" s="33"/>
      <c r="AB36" s="33"/>
      <c r="AC36" s="33"/>
      <c r="AD36" s="33"/>
      <c r="AE36" s="33"/>
      <c r="AF36" s="33"/>
      <c r="AG36" s="33"/>
      <c r="AH36" s="33"/>
      <c r="AI36" s="33"/>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row>
    <row r="37" spans="1:134" ht="11.25" customHeight="1" x14ac:dyDescent="0.3">
      <c r="A37" s="28" t="e">
        <f t="array" aca="1" ref="A37" ca="1">_xludf.XLOOKUP(S37,Master_Registrations!P:P,Master_Registrations!A:A,"")</f>
        <v>#NAME?</v>
      </c>
      <c r="B37" s="28" t="s">
        <v>182</v>
      </c>
      <c r="C37" s="28">
        <v>2026</v>
      </c>
      <c r="D37" s="28" t="s">
        <v>184</v>
      </c>
      <c r="E37" s="28">
        <v>3</v>
      </c>
      <c r="F37" s="29" t="str">
        <f t="shared" si="0"/>
        <v>VED-01-2026-BR-3</v>
      </c>
      <c r="G37" s="29" t="s">
        <v>2346</v>
      </c>
      <c r="H37" s="29" t="s">
        <v>2347</v>
      </c>
      <c r="I37" s="29"/>
      <c r="J37" s="28" t="s">
        <v>198</v>
      </c>
      <c r="K37" s="53">
        <v>1</v>
      </c>
      <c r="L37" s="54"/>
      <c r="M37" s="54"/>
      <c r="N37" s="29" t="s">
        <v>786</v>
      </c>
      <c r="O37" s="28" t="s">
        <v>2761</v>
      </c>
      <c r="P37" s="28" t="s">
        <v>2762</v>
      </c>
      <c r="Q37" s="28" t="e">
        <f t="shared" ca="1" si="3"/>
        <v>#NAME?</v>
      </c>
      <c r="R37" s="28" t="s">
        <v>316</v>
      </c>
      <c r="S37" s="32">
        <v>3068804239</v>
      </c>
      <c r="T37" s="29" t="s">
        <v>402</v>
      </c>
      <c r="U37" s="32">
        <v>2013</v>
      </c>
      <c r="V37" s="33">
        <v>-1</v>
      </c>
      <c r="W37" s="33">
        <v>-1</v>
      </c>
      <c r="X37" s="33">
        <v>-1</v>
      </c>
      <c r="Y37" s="33"/>
      <c r="Z37" s="33"/>
      <c r="AA37" s="33"/>
      <c r="AB37" s="33"/>
      <c r="AC37" s="33"/>
      <c r="AD37" s="33"/>
      <c r="AE37" s="33"/>
      <c r="AF37" s="33"/>
      <c r="AG37" s="33"/>
      <c r="AH37" s="33"/>
      <c r="AI37" s="33"/>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row>
    <row r="38" spans="1:134" ht="11.25" customHeight="1" x14ac:dyDescent="0.3">
      <c r="A38" s="28" t="e">
        <f t="array" aca="1" ref="A38" ca="1">_xludf.XLOOKUP(S38,Master_Registrations!P:P,Master_Registrations!A:A,"")</f>
        <v>#NAME?</v>
      </c>
      <c r="B38" s="28" t="s">
        <v>182</v>
      </c>
      <c r="C38" s="28">
        <v>2026</v>
      </c>
      <c r="D38" s="28" t="s">
        <v>184</v>
      </c>
      <c r="E38" s="28">
        <v>3</v>
      </c>
      <c r="F38" s="29" t="str">
        <f t="shared" si="0"/>
        <v>VED-01-2026-BR-3</v>
      </c>
      <c r="G38" s="29" t="s">
        <v>2346</v>
      </c>
      <c r="H38" s="29" t="s">
        <v>2347</v>
      </c>
      <c r="I38" s="29"/>
      <c r="J38" s="28" t="s">
        <v>198</v>
      </c>
      <c r="K38" s="53">
        <v>1</v>
      </c>
      <c r="L38" s="54"/>
      <c r="M38" s="54"/>
      <c r="N38" s="29" t="s">
        <v>856</v>
      </c>
      <c r="O38" s="28" t="s">
        <v>2825</v>
      </c>
      <c r="P38" s="28" t="s">
        <v>2828</v>
      </c>
      <c r="Q38" s="28" t="e">
        <f t="shared" ca="1" si="3"/>
        <v>#NAME?</v>
      </c>
      <c r="R38" s="28" t="s">
        <v>112</v>
      </c>
      <c r="S38" s="32">
        <v>8341673687</v>
      </c>
      <c r="T38" s="29" t="s">
        <v>111</v>
      </c>
      <c r="U38" s="32">
        <v>2011</v>
      </c>
      <c r="V38" s="33">
        <v>-1</v>
      </c>
      <c r="W38" s="33">
        <v>-1</v>
      </c>
      <c r="X38" s="33">
        <v>-1</v>
      </c>
      <c r="Y38" s="33"/>
      <c r="Z38" s="33"/>
      <c r="AA38" s="33"/>
      <c r="AB38" s="33"/>
      <c r="AC38" s="33"/>
      <c r="AD38" s="33"/>
      <c r="AE38" s="33"/>
      <c r="AF38" s="33"/>
      <c r="AG38" s="33"/>
      <c r="AH38" s="33"/>
      <c r="AI38" s="33"/>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row>
    <row r="39" spans="1:134" ht="11.25" customHeight="1" x14ac:dyDescent="0.3">
      <c r="A39" s="28" t="e">
        <f t="array" aca="1" ref="A39" ca="1">_xludf.XLOOKUP(S39,Master_Registrations!P:P,Master_Registrations!A:A,"")</f>
        <v>#NAME?</v>
      </c>
      <c r="B39" s="28" t="s">
        <v>182</v>
      </c>
      <c r="C39" s="28">
        <v>2026</v>
      </c>
      <c r="D39" s="28" t="s">
        <v>184</v>
      </c>
      <c r="E39" s="28">
        <v>3</v>
      </c>
      <c r="F39" s="29" t="str">
        <f t="shared" si="0"/>
        <v>VED-01-2026-BR-3</v>
      </c>
      <c r="G39" s="29" t="s">
        <v>2346</v>
      </c>
      <c r="H39" s="29" t="s">
        <v>2347</v>
      </c>
      <c r="I39" s="29"/>
      <c r="J39" s="28" t="s">
        <v>198</v>
      </c>
      <c r="K39" s="53">
        <v>1</v>
      </c>
      <c r="L39" s="54"/>
      <c r="M39" s="54"/>
      <c r="N39" s="29" t="s">
        <v>915</v>
      </c>
      <c r="O39" s="28" t="s">
        <v>2881</v>
      </c>
      <c r="P39" s="28" t="s">
        <v>2882</v>
      </c>
      <c r="Q39" s="28" t="e">
        <f t="shared" ca="1" si="3"/>
        <v>#NAME?</v>
      </c>
      <c r="R39" s="28" t="s">
        <v>316</v>
      </c>
      <c r="S39" s="32">
        <v>8036293505</v>
      </c>
      <c r="T39" s="29" t="s">
        <v>474</v>
      </c>
      <c r="U39" s="32">
        <v>2014</v>
      </c>
      <c r="V39" s="33">
        <v>-1</v>
      </c>
      <c r="W39" s="33">
        <v>-1</v>
      </c>
      <c r="X39" s="33">
        <v>-1</v>
      </c>
      <c r="Y39" s="33"/>
      <c r="Z39" s="33"/>
      <c r="AA39" s="33"/>
      <c r="AB39" s="33"/>
      <c r="AC39" s="33"/>
      <c r="AD39" s="33"/>
      <c r="AE39" s="33"/>
      <c r="AF39" s="33"/>
      <c r="AG39" s="33"/>
      <c r="AH39" s="33"/>
      <c r="AI39" s="33"/>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row>
    <row r="40" spans="1:134" ht="11.25" customHeight="1" x14ac:dyDescent="0.3">
      <c r="A40" s="28" t="e">
        <f t="array" aca="1" ref="A40" ca="1">_xludf.XLOOKUP(S40,Master_Registrations!P:P,Master_Registrations!A:A,"")</f>
        <v>#NAME?</v>
      </c>
      <c r="B40" s="39" t="s">
        <v>182</v>
      </c>
      <c r="C40" s="39">
        <v>2026</v>
      </c>
      <c r="D40" s="39" t="s">
        <v>184</v>
      </c>
      <c r="E40" s="39">
        <v>4</v>
      </c>
      <c r="F40" s="40" t="str">
        <f t="shared" si="0"/>
        <v>VED-01-2026-BR-4</v>
      </c>
      <c r="G40" s="40" t="s">
        <v>2920</v>
      </c>
      <c r="H40" s="40" t="s">
        <v>2922</v>
      </c>
      <c r="I40" s="40"/>
      <c r="J40" s="39" t="s">
        <v>198</v>
      </c>
      <c r="K40" s="41">
        <v>1</v>
      </c>
      <c r="L40" s="42"/>
      <c r="M40" s="42"/>
      <c r="N40" s="40" t="s">
        <v>200</v>
      </c>
      <c r="O40" s="39" t="s">
        <v>2606</v>
      </c>
      <c r="P40" s="39" t="s">
        <v>2926</v>
      </c>
      <c r="Q40" s="39" t="e">
        <f t="shared" ca="1" si="3"/>
        <v>#NAME?</v>
      </c>
      <c r="R40" s="39" t="s">
        <v>112</v>
      </c>
      <c r="S40" s="43">
        <v>8688328602</v>
      </c>
      <c r="T40" s="40" t="s">
        <v>111</v>
      </c>
      <c r="U40" s="43">
        <v>2017</v>
      </c>
      <c r="V40" s="56">
        <v>-1</v>
      </c>
      <c r="W40" s="56">
        <v>-1</v>
      </c>
      <c r="X40" s="56">
        <v>-1</v>
      </c>
      <c r="Y40" s="56"/>
      <c r="Z40" s="56"/>
      <c r="AA40" s="56"/>
      <c r="AB40" s="56"/>
      <c r="AC40" s="56"/>
      <c r="AD40" s="56"/>
      <c r="AE40" s="56"/>
      <c r="AF40" s="56"/>
      <c r="AG40" s="56"/>
      <c r="AH40" s="56"/>
      <c r="AI40" s="56"/>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row>
    <row r="41" spans="1:134" ht="11.25" customHeight="1" x14ac:dyDescent="0.3">
      <c r="A41" s="28" t="e">
        <f t="array" aca="1" ref="A41" ca="1">_xludf.XLOOKUP(S41,Master_Registrations!P:P,Master_Registrations!A:A,"")</f>
        <v>#NAME?</v>
      </c>
      <c r="B41" s="39" t="s">
        <v>182</v>
      </c>
      <c r="C41" s="39">
        <v>2026</v>
      </c>
      <c r="D41" s="39" t="s">
        <v>184</v>
      </c>
      <c r="E41" s="39">
        <v>4</v>
      </c>
      <c r="F41" s="40" t="str">
        <f t="shared" si="0"/>
        <v>VED-01-2026-BR-4</v>
      </c>
      <c r="G41" s="40" t="s">
        <v>2920</v>
      </c>
      <c r="H41" s="40" t="s">
        <v>2922</v>
      </c>
      <c r="I41" s="40"/>
      <c r="J41" s="39" t="s">
        <v>198</v>
      </c>
      <c r="K41" s="41">
        <v>1</v>
      </c>
      <c r="L41" s="42"/>
      <c r="M41" s="42"/>
      <c r="N41" s="40" t="s">
        <v>299</v>
      </c>
      <c r="O41" s="39" t="s">
        <v>2984</v>
      </c>
      <c r="P41" s="39" t="s">
        <v>2985</v>
      </c>
      <c r="Q41" s="39" t="e">
        <f t="shared" ca="1" si="3"/>
        <v>#NAME?</v>
      </c>
      <c r="R41" s="39" t="s">
        <v>112</v>
      </c>
      <c r="S41" s="43">
        <v>9248585989</v>
      </c>
      <c r="T41" s="40" t="s">
        <v>111</v>
      </c>
      <c r="U41" s="43">
        <v>2012</v>
      </c>
      <c r="V41" s="56">
        <v>-1</v>
      </c>
      <c r="W41" s="56">
        <v>-1</v>
      </c>
      <c r="X41" s="56">
        <v>-1</v>
      </c>
      <c r="Y41" s="56"/>
      <c r="Z41" s="56"/>
      <c r="AA41" s="56"/>
      <c r="AB41" s="56"/>
      <c r="AC41" s="56"/>
      <c r="AD41" s="56"/>
      <c r="AE41" s="56"/>
      <c r="AF41" s="56"/>
      <c r="AG41" s="56"/>
      <c r="AH41" s="56"/>
      <c r="AI41" s="56"/>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row>
    <row r="42" spans="1:134" ht="11.25" customHeight="1" x14ac:dyDescent="0.3">
      <c r="A42" s="28" t="e">
        <f t="array" aca="1" ref="A42" ca="1">_xludf.XLOOKUP(S42,Master_Registrations!P:P,Master_Registrations!A:A,"")</f>
        <v>#NAME?</v>
      </c>
      <c r="B42" s="39" t="s">
        <v>182</v>
      </c>
      <c r="C42" s="39">
        <v>2026</v>
      </c>
      <c r="D42" s="39" t="s">
        <v>184</v>
      </c>
      <c r="E42" s="39">
        <v>4</v>
      </c>
      <c r="F42" s="40" t="str">
        <f t="shared" si="0"/>
        <v>VED-01-2026-BR-4</v>
      </c>
      <c r="G42" s="40" t="s">
        <v>2920</v>
      </c>
      <c r="H42" s="40" t="s">
        <v>2922</v>
      </c>
      <c r="I42" s="40"/>
      <c r="J42" s="39" t="s">
        <v>198</v>
      </c>
      <c r="K42" s="49"/>
      <c r="L42" s="49"/>
      <c r="M42" s="49"/>
      <c r="N42" s="40" t="s">
        <v>369</v>
      </c>
      <c r="O42" s="39" t="s">
        <v>919</v>
      </c>
      <c r="P42" s="39" t="s">
        <v>3034</v>
      </c>
      <c r="Q42" s="39" t="e">
        <f t="shared" ca="1" si="3"/>
        <v>#NAME?</v>
      </c>
      <c r="R42" s="39" t="s">
        <v>112</v>
      </c>
      <c r="S42" s="50">
        <v>9985404530</v>
      </c>
      <c r="T42" s="40" t="s">
        <v>111</v>
      </c>
      <c r="U42" s="43">
        <v>2010</v>
      </c>
      <c r="V42" s="56">
        <v>-1</v>
      </c>
      <c r="W42" s="56">
        <v>-1</v>
      </c>
      <c r="X42" s="56">
        <v>-1</v>
      </c>
      <c r="Y42" s="56"/>
      <c r="Z42" s="56"/>
      <c r="AA42" s="56"/>
      <c r="AB42" s="56"/>
      <c r="AC42" s="56"/>
      <c r="AD42" s="56"/>
      <c r="AE42" s="56"/>
      <c r="AF42" s="56"/>
      <c r="AG42" s="56"/>
      <c r="AH42" s="56"/>
      <c r="AI42" s="56"/>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row>
    <row r="43" spans="1:134" ht="11.25" customHeight="1" x14ac:dyDescent="0.3">
      <c r="A43" s="28" t="e">
        <f t="array" aca="1" ref="A43" ca="1">_xludf.XLOOKUP(S43,Master_Registrations!P:P,Master_Registrations!A:A,"")</f>
        <v>#NAME?</v>
      </c>
      <c r="B43" s="39" t="s">
        <v>182</v>
      </c>
      <c r="C43" s="39">
        <v>2026</v>
      </c>
      <c r="D43" s="39" t="s">
        <v>184</v>
      </c>
      <c r="E43" s="39">
        <v>4</v>
      </c>
      <c r="F43" s="40" t="str">
        <f t="shared" si="0"/>
        <v>VED-01-2026-BR-4</v>
      </c>
      <c r="G43" s="40" t="s">
        <v>2920</v>
      </c>
      <c r="H43" s="40" t="s">
        <v>2922</v>
      </c>
      <c r="I43" s="40"/>
      <c r="J43" s="39" t="s">
        <v>198</v>
      </c>
      <c r="K43" s="41">
        <v>1</v>
      </c>
      <c r="L43" s="42"/>
      <c r="M43" s="42"/>
      <c r="N43" s="40" t="s">
        <v>434</v>
      </c>
      <c r="O43" s="39" t="s">
        <v>919</v>
      </c>
      <c r="P43" s="39" t="s">
        <v>3081</v>
      </c>
      <c r="Q43" s="39" t="e">
        <f t="shared" ca="1" si="3"/>
        <v>#NAME?</v>
      </c>
      <c r="R43" s="39" t="s">
        <v>112</v>
      </c>
      <c r="S43" s="43">
        <v>9985404530</v>
      </c>
      <c r="T43" s="40" t="s">
        <v>111</v>
      </c>
      <c r="U43" s="43">
        <v>2014</v>
      </c>
      <c r="V43" s="56">
        <v>-1</v>
      </c>
      <c r="W43" s="56">
        <v>-1</v>
      </c>
      <c r="X43" s="56">
        <v>-1</v>
      </c>
      <c r="Y43" s="56"/>
      <c r="Z43" s="56"/>
      <c r="AA43" s="56"/>
      <c r="AB43" s="56"/>
      <c r="AC43" s="56"/>
      <c r="AD43" s="56"/>
      <c r="AE43" s="56"/>
      <c r="AF43" s="56"/>
      <c r="AG43" s="56"/>
      <c r="AH43" s="56"/>
      <c r="AI43" s="56"/>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c r="CW43" s="39"/>
      <c r="CX43" s="39"/>
      <c r="CY43" s="39"/>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row>
    <row r="44" spans="1:134" ht="11.25" customHeight="1" x14ac:dyDescent="0.3">
      <c r="A44" s="28" t="e">
        <f t="array" aca="1" ref="A44" ca="1">_xludf.XLOOKUP(S44,Master_Registrations!P:P,Master_Registrations!A:A,"")</f>
        <v>#NAME?</v>
      </c>
      <c r="B44" s="39" t="s">
        <v>182</v>
      </c>
      <c r="C44" s="39">
        <v>2026</v>
      </c>
      <c r="D44" s="39" t="s">
        <v>184</v>
      </c>
      <c r="E44" s="39">
        <v>4</v>
      </c>
      <c r="F44" s="40" t="str">
        <f t="shared" si="0"/>
        <v>VED-01-2026-BR-4</v>
      </c>
      <c r="G44" s="40" t="s">
        <v>2920</v>
      </c>
      <c r="H44" s="40" t="s">
        <v>2922</v>
      </c>
      <c r="I44" s="40"/>
      <c r="J44" s="39" t="s">
        <v>198</v>
      </c>
      <c r="K44" s="41">
        <v>1</v>
      </c>
      <c r="L44" s="42"/>
      <c r="M44" s="42"/>
      <c r="N44" s="40" t="s">
        <v>525</v>
      </c>
      <c r="O44" s="39" t="s">
        <v>1534</v>
      </c>
      <c r="P44" s="39" t="s">
        <v>3138</v>
      </c>
      <c r="Q44" s="39" t="e">
        <f t="shared" ca="1" si="3"/>
        <v>#NAME?</v>
      </c>
      <c r="R44" s="39" t="s">
        <v>112</v>
      </c>
      <c r="S44" s="43">
        <v>9010586515</v>
      </c>
      <c r="T44" s="40" t="s">
        <v>111</v>
      </c>
      <c r="U44" s="43">
        <v>2019</v>
      </c>
      <c r="V44" s="56">
        <v>-1</v>
      </c>
      <c r="W44" s="56">
        <v>-1</v>
      </c>
      <c r="X44" s="56">
        <v>-1</v>
      </c>
      <c r="Y44" s="56"/>
      <c r="Z44" s="56"/>
      <c r="AA44" s="56"/>
      <c r="AB44" s="56"/>
      <c r="AC44" s="56"/>
      <c r="AD44" s="56"/>
      <c r="AE44" s="56"/>
      <c r="AF44" s="56"/>
      <c r="AG44" s="56"/>
      <c r="AH44" s="56"/>
      <c r="AI44" s="56"/>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row>
    <row r="45" spans="1:134" ht="11.25" customHeight="1" x14ac:dyDescent="0.3">
      <c r="A45" s="28" t="e">
        <f t="array" aca="1" ref="A45" ca="1">_xludf.XLOOKUP(S45,Master_Registrations!P:P,Master_Registrations!A:A,"")</f>
        <v>#NAME?</v>
      </c>
      <c r="B45" s="39" t="s">
        <v>182</v>
      </c>
      <c r="C45" s="39">
        <v>2026</v>
      </c>
      <c r="D45" s="39" t="s">
        <v>184</v>
      </c>
      <c r="E45" s="39">
        <v>4</v>
      </c>
      <c r="F45" s="40" t="str">
        <f t="shared" si="0"/>
        <v>VED-01-2026-BR-4</v>
      </c>
      <c r="G45" s="40" t="s">
        <v>2920</v>
      </c>
      <c r="H45" s="40" t="s">
        <v>2922</v>
      </c>
      <c r="I45" s="40"/>
      <c r="J45" s="39" t="s">
        <v>198</v>
      </c>
      <c r="K45" s="41">
        <v>1</v>
      </c>
      <c r="L45" s="42"/>
      <c r="M45" s="42"/>
      <c r="N45" s="40" t="s">
        <v>621</v>
      </c>
      <c r="O45" s="39" t="s">
        <v>3195</v>
      </c>
      <c r="P45" s="39" t="s">
        <v>3197</v>
      </c>
      <c r="Q45" s="39" t="e">
        <f t="shared" ca="1" si="3"/>
        <v>#NAME?</v>
      </c>
      <c r="R45" s="39" t="s">
        <v>112</v>
      </c>
      <c r="S45" s="43">
        <v>7386662938</v>
      </c>
      <c r="T45" s="40" t="s">
        <v>111</v>
      </c>
      <c r="U45" s="43">
        <v>2015</v>
      </c>
      <c r="V45" s="56">
        <v>-1</v>
      </c>
      <c r="W45" s="56">
        <v>-1</v>
      </c>
      <c r="X45" s="56">
        <v>-1</v>
      </c>
      <c r="Y45" s="56"/>
      <c r="Z45" s="56"/>
      <c r="AA45" s="56"/>
      <c r="AB45" s="56"/>
      <c r="AC45" s="56"/>
      <c r="AD45" s="56"/>
      <c r="AE45" s="56"/>
      <c r="AF45" s="56"/>
      <c r="AG45" s="56"/>
      <c r="AH45" s="56"/>
      <c r="AI45" s="56"/>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row>
    <row r="46" spans="1:134" ht="11.25" customHeight="1" x14ac:dyDescent="0.3">
      <c r="A46" s="28" t="e">
        <f t="array" aca="1" ref="A46" ca="1">_xludf.XLOOKUP(S46,Master_Registrations!P:P,Master_Registrations!A:A,"")</f>
        <v>#NAME?</v>
      </c>
      <c r="B46" s="39" t="s">
        <v>182</v>
      </c>
      <c r="C46" s="39">
        <v>2026</v>
      </c>
      <c r="D46" s="39" t="s">
        <v>184</v>
      </c>
      <c r="E46" s="39">
        <v>4</v>
      </c>
      <c r="F46" s="40" t="str">
        <f t="shared" si="0"/>
        <v>VED-01-2026-BR-4</v>
      </c>
      <c r="G46" s="40" t="s">
        <v>2920</v>
      </c>
      <c r="H46" s="40" t="s">
        <v>2922</v>
      </c>
      <c r="I46" s="40"/>
      <c r="J46" s="39" t="s">
        <v>198</v>
      </c>
      <c r="K46" s="41">
        <v>1</v>
      </c>
      <c r="L46" s="42"/>
      <c r="M46" s="42"/>
      <c r="N46" s="40" t="s">
        <v>714</v>
      </c>
      <c r="O46" s="39" t="s">
        <v>3244</v>
      </c>
      <c r="P46" s="39" t="s">
        <v>1642</v>
      </c>
      <c r="Q46" s="39" t="e">
        <f t="shared" ca="1" si="3"/>
        <v>#NAME?</v>
      </c>
      <c r="R46" s="39" t="s">
        <v>112</v>
      </c>
      <c r="S46" s="43">
        <v>9440514090</v>
      </c>
      <c r="T46" s="40" t="s">
        <v>111</v>
      </c>
      <c r="U46" s="43">
        <v>2012</v>
      </c>
      <c r="V46" s="56">
        <v>-1</v>
      </c>
      <c r="W46" s="56">
        <v>-1</v>
      </c>
      <c r="X46" s="56">
        <v>-1</v>
      </c>
      <c r="Y46" s="56"/>
      <c r="Z46" s="56"/>
      <c r="AA46" s="56"/>
      <c r="AB46" s="56"/>
      <c r="AC46" s="56"/>
      <c r="AD46" s="56"/>
      <c r="AE46" s="56"/>
      <c r="AF46" s="56"/>
      <c r="AG46" s="56"/>
      <c r="AH46" s="56"/>
      <c r="AI46" s="56"/>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row>
    <row r="47" spans="1:134" ht="11.25" customHeight="1" x14ac:dyDescent="0.3">
      <c r="A47" s="28" t="e">
        <f t="array" aca="1" ref="A47" ca="1">_xludf.XLOOKUP(S47,Master_Registrations!P:P,Master_Registrations!A:A,"")</f>
        <v>#NAME?</v>
      </c>
      <c r="B47" s="28" t="s">
        <v>3302</v>
      </c>
      <c r="C47" s="28">
        <v>2026</v>
      </c>
      <c r="D47" s="28" t="s">
        <v>184</v>
      </c>
      <c r="E47" s="28">
        <v>1</v>
      </c>
      <c r="F47" s="29" t="str">
        <f t="shared" si="0"/>
        <v>VED-03-2026-BR-1</v>
      </c>
      <c r="G47" s="29" t="s">
        <v>3305</v>
      </c>
      <c r="H47" s="29" t="s">
        <v>3306</v>
      </c>
      <c r="I47" s="29"/>
      <c r="J47" s="28" t="s">
        <v>198</v>
      </c>
      <c r="K47" s="57"/>
      <c r="L47" s="57"/>
      <c r="M47" s="57"/>
      <c r="N47" s="29" t="s">
        <v>200</v>
      </c>
      <c r="O47" s="28" t="s">
        <v>370</v>
      </c>
      <c r="P47" s="28" t="s">
        <v>2083</v>
      </c>
      <c r="Q47" s="28" t="e">
        <f t="shared" ca="1" si="3"/>
        <v>#NAME?</v>
      </c>
      <c r="R47" s="28" t="s">
        <v>112</v>
      </c>
      <c r="S47" s="32">
        <v>7702962333</v>
      </c>
      <c r="T47" s="29" t="s">
        <v>111</v>
      </c>
      <c r="U47" s="29">
        <v>2009</v>
      </c>
      <c r="V47" s="35">
        <v>2</v>
      </c>
      <c r="W47" s="35">
        <v>2</v>
      </c>
      <c r="X47" s="35">
        <v>2</v>
      </c>
      <c r="Y47" s="35">
        <v>2</v>
      </c>
      <c r="Z47" s="35">
        <v>2</v>
      </c>
      <c r="AA47" s="35">
        <v>2</v>
      </c>
      <c r="AB47" s="35">
        <v>2</v>
      </c>
      <c r="AC47" s="35">
        <v>2</v>
      </c>
      <c r="AD47" s="35">
        <v>2</v>
      </c>
      <c r="AE47" s="35">
        <v>2</v>
      </c>
      <c r="AF47" s="35">
        <v>2</v>
      </c>
      <c r="AG47" s="35">
        <v>2</v>
      </c>
      <c r="AH47" s="35">
        <v>2</v>
      </c>
      <c r="AI47" s="35">
        <v>4</v>
      </c>
      <c r="AJ47" s="58">
        <v>2</v>
      </c>
      <c r="AK47" s="58">
        <v>-1</v>
      </c>
      <c r="AL47" s="58">
        <v>2</v>
      </c>
      <c r="AM47" s="58">
        <v>-1</v>
      </c>
      <c r="AN47" s="58">
        <v>1</v>
      </c>
      <c r="AO47" s="58">
        <v>1</v>
      </c>
      <c r="AP47" s="59">
        <v>-1</v>
      </c>
      <c r="AQ47" s="58">
        <v>1</v>
      </c>
      <c r="AR47" s="58">
        <v>1</v>
      </c>
      <c r="AS47" s="58">
        <v>1</v>
      </c>
      <c r="AT47" s="58">
        <v>-1</v>
      </c>
      <c r="AU47" s="58">
        <v>-1</v>
      </c>
      <c r="AV47" s="59">
        <v>-1</v>
      </c>
      <c r="AW47" s="33">
        <v>-1</v>
      </c>
      <c r="AX47" s="33">
        <v>-1</v>
      </c>
      <c r="AY47" s="58">
        <v>1</v>
      </c>
      <c r="AZ47" s="33">
        <v>-1</v>
      </c>
      <c r="BA47" s="33">
        <v>-1</v>
      </c>
      <c r="BB47" s="33">
        <v>-1</v>
      </c>
      <c r="BC47" s="33">
        <v>-1</v>
      </c>
      <c r="BD47" s="33">
        <v>-1</v>
      </c>
      <c r="BE47" s="33"/>
      <c r="BF47" s="59"/>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row>
    <row r="48" spans="1:134" ht="11.25" customHeight="1" x14ac:dyDescent="0.3">
      <c r="A48" s="28" t="e">
        <f t="array" aca="1" ref="A48" ca="1">_xludf.XLOOKUP(S48,Master_Registrations!P:P,Master_Registrations!A:A,"")</f>
        <v>#NAME?</v>
      </c>
      <c r="B48" s="28" t="s">
        <v>3302</v>
      </c>
      <c r="C48" s="28">
        <v>2026</v>
      </c>
      <c r="D48" s="28" t="s">
        <v>184</v>
      </c>
      <c r="E48" s="28">
        <v>1</v>
      </c>
      <c r="F48" s="29" t="str">
        <f t="shared" si="0"/>
        <v>VED-03-2026-BR-1</v>
      </c>
      <c r="G48" s="29" t="s">
        <v>3305</v>
      </c>
      <c r="H48" s="29" t="s">
        <v>3306</v>
      </c>
      <c r="I48" s="29"/>
      <c r="J48" s="28" t="s">
        <v>198</v>
      </c>
      <c r="K48" s="57"/>
      <c r="L48" s="57"/>
      <c r="M48" s="57"/>
      <c r="N48" s="29" t="s">
        <v>299</v>
      </c>
      <c r="O48" s="28" t="s">
        <v>3368</v>
      </c>
      <c r="P48" s="28" t="s">
        <v>3369</v>
      </c>
      <c r="Q48" s="28" t="e">
        <f t="shared" ca="1" si="3"/>
        <v>#NAME?</v>
      </c>
      <c r="R48" s="28" t="s">
        <v>112</v>
      </c>
      <c r="S48" s="32">
        <v>9866462617</v>
      </c>
      <c r="T48" s="29" t="s">
        <v>111</v>
      </c>
      <c r="U48" s="29">
        <v>2010</v>
      </c>
      <c r="V48" s="35">
        <v>2</v>
      </c>
      <c r="W48" s="35">
        <v>2</v>
      </c>
      <c r="X48" s="35">
        <v>2</v>
      </c>
      <c r="Y48" s="35">
        <v>2</v>
      </c>
      <c r="Z48" s="35">
        <v>2</v>
      </c>
      <c r="AA48" s="35">
        <v>2</v>
      </c>
      <c r="AB48" s="35">
        <v>2</v>
      </c>
      <c r="AC48" s="35">
        <v>2</v>
      </c>
      <c r="AD48" s="35">
        <v>2</v>
      </c>
      <c r="AE48" s="35">
        <v>2</v>
      </c>
      <c r="AF48" s="35">
        <v>2</v>
      </c>
      <c r="AG48" s="35">
        <v>2</v>
      </c>
      <c r="AH48" s="35">
        <v>2</v>
      </c>
      <c r="AI48" s="35">
        <v>3</v>
      </c>
      <c r="AJ48" s="58">
        <v>2</v>
      </c>
      <c r="AK48" s="58">
        <v>2</v>
      </c>
      <c r="AL48" s="58">
        <v>2</v>
      </c>
      <c r="AM48" s="58">
        <v>2</v>
      </c>
      <c r="AN48" s="58">
        <v>2</v>
      </c>
      <c r="AO48" s="58">
        <v>2</v>
      </c>
      <c r="AP48" s="58">
        <v>2</v>
      </c>
      <c r="AQ48" s="58">
        <v>2</v>
      </c>
      <c r="AR48" s="58">
        <v>2</v>
      </c>
      <c r="AS48" s="58">
        <v>2</v>
      </c>
      <c r="AT48" s="58">
        <v>2</v>
      </c>
      <c r="AU48" s="58">
        <v>2</v>
      </c>
      <c r="AV48" s="58">
        <v>4</v>
      </c>
      <c r="AW48" s="33">
        <v>-1</v>
      </c>
      <c r="AX48" s="33">
        <v>-1</v>
      </c>
      <c r="AY48" s="58">
        <v>2</v>
      </c>
      <c r="AZ48" s="33">
        <v>-1</v>
      </c>
      <c r="BA48" s="33">
        <v>-1</v>
      </c>
      <c r="BB48" s="33">
        <v>-1</v>
      </c>
      <c r="BC48" s="33">
        <v>-1</v>
      </c>
      <c r="BD48" s="33">
        <v>-1</v>
      </c>
      <c r="BE48" s="33"/>
      <c r="BF48" s="59"/>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row>
    <row r="49" spans="1:134" ht="11.25" customHeight="1" x14ac:dyDescent="0.3">
      <c r="A49" s="28" t="e">
        <f t="array" aca="1" ref="A49" ca="1">_xludf.XLOOKUP(S49,Master_Registrations!P:P,Master_Registrations!A:A,"")</f>
        <v>#NAME?</v>
      </c>
      <c r="B49" s="28" t="s">
        <v>3302</v>
      </c>
      <c r="C49" s="28">
        <v>2026</v>
      </c>
      <c r="D49" s="28" t="s">
        <v>184</v>
      </c>
      <c r="E49" s="28">
        <v>1</v>
      </c>
      <c r="F49" s="29" t="str">
        <f t="shared" si="0"/>
        <v>VED-03-2026-BR-1</v>
      </c>
      <c r="G49" s="29" t="s">
        <v>3305</v>
      </c>
      <c r="H49" s="29" t="s">
        <v>3306</v>
      </c>
      <c r="I49" s="29"/>
      <c r="J49" s="28" t="s">
        <v>198</v>
      </c>
      <c r="K49" s="57"/>
      <c r="L49" s="57"/>
      <c r="M49" s="57"/>
      <c r="N49" s="29" t="s">
        <v>369</v>
      </c>
      <c r="O49" s="28" t="s">
        <v>3427</v>
      </c>
      <c r="P49" s="28" t="s">
        <v>3428</v>
      </c>
      <c r="Q49" s="28" t="e">
        <f t="shared" ca="1" si="3"/>
        <v>#NAME?</v>
      </c>
      <c r="R49" s="28" t="s">
        <v>112</v>
      </c>
      <c r="S49" s="32">
        <v>9491380172</v>
      </c>
      <c r="T49" s="29" t="s">
        <v>111</v>
      </c>
      <c r="U49" s="29">
        <v>2014</v>
      </c>
      <c r="V49" s="35">
        <v>2</v>
      </c>
      <c r="W49" s="35">
        <v>2</v>
      </c>
      <c r="X49" s="35">
        <v>2</v>
      </c>
      <c r="Y49" s="35">
        <v>2</v>
      </c>
      <c r="Z49" s="35">
        <v>2</v>
      </c>
      <c r="AA49" s="35">
        <v>2</v>
      </c>
      <c r="AB49" s="35">
        <v>2</v>
      </c>
      <c r="AC49" s="35">
        <v>2</v>
      </c>
      <c r="AD49" s="35">
        <v>2</v>
      </c>
      <c r="AE49" s="35">
        <v>2</v>
      </c>
      <c r="AF49" s="35">
        <v>2</v>
      </c>
      <c r="AG49" s="35">
        <v>2</v>
      </c>
      <c r="AH49" s="35">
        <v>2</v>
      </c>
      <c r="AI49" s="35">
        <v>3</v>
      </c>
      <c r="AJ49" s="58">
        <v>2</v>
      </c>
      <c r="AK49" s="58">
        <v>2</v>
      </c>
      <c r="AL49" s="58">
        <v>2</v>
      </c>
      <c r="AM49" s="58">
        <v>2</v>
      </c>
      <c r="AN49" s="58">
        <v>2</v>
      </c>
      <c r="AO49" s="58">
        <v>2</v>
      </c>
      <c r="AP49" s="58">
        <v>2</v>
      </c>
      <c r="AQ49" s="58">
        <v>2</v>
      </c>
      <c r="AR49" s="58">
        <v>2</v>
      </c>
      <c r="AS49" s="58">
        <v>2</v>
      </c>
      <c r="AT49" s="58">
        <v>2</v>
      </c>
      <c r="AU49" s="58">
        <v>2</v>
      </c>
      <c r="AV49" s="58">
        <v>4</v>
      </c>
      <c r="AW49" s="33">
        <v>-1</v>
      </c>
      <c r="AX49" s="33">
        <v>-1</v>
      </c>
      <c r="AY49" s="58">
        <v>2</v>
      </c>
      <c r="AZ49" s="33">
        <v>-1</v>
      </c>
      <c r="BA49" s="33">
        <v>-1</v>
      </c>
      <c r="BB49" s="33">
        <v>-1</v>
      </c>
      <c r="BC49" s="33">
        <v>-1</v>
      </c>
      <c r="BD49" s="33">
        <v>-1</v>
      </c>
      <c r="BE49" s="33"/>
      <c r="BF49" s="59"/>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row>
    <row r="50" spans="1:134" ht="11.25" customHeight="1" x14ac:dyDescent="0.3">
      <c r="A50" s="28" t="e">
        <f t="array" aca="1" ref="A50" ca="1">_xludf.XLOOKUP(S50,Master_Registrations!P:P,Master_Registrations!A:A,"")</f>
        <v>#NAME?</v>
      </c>
      <c r="B50" s="28" t="s">
        <v>3302</v>
      </c>
      <c r="C50" s="28">
        <v>2026</v>
      </c>
      <c r="D50" s="28" t="s">
        <v>184</v>
      </c>
      <c r="E50" s="28">
        <v>1</v>
      </c>
      <c r="F50" s="29" t="str">
        <f t="shared" si="0"/>
        <v>VED-03-2026-BR-1</v>
      </c>
      <c r="G50" s="29" t="s">
        <v>3305</v>
      </c>
      <c r="H50" s="29" t="s">
        <v>3306</v>
      </c>
      <c r="I50" s="29"/>
      <c r="J50" s="28" t="s">
        <v>198</v>
      </c>
      <c r="K50" s="57"/>
      <c r="L50" s="57"/>
      <c r="M50" s="57"/>
      <c r="N50" s="29" t="s">
        <v>434</v>
      </c>
      <c r="O50" s="28" t="s">
        <v>880</v>
      </c>
      <c r="P50" s="28" t="s">
        <v>3484</v>
      </c>
      <c r="Q50" s="28" t="s">
        <v>3486</v>
      </c>
      <c r="R50" s="28" t="s">
        <v>112</v>
      </c>
      <c r="S50" s="32">
        <v>9958562369</v>
      </c>
      <c r="T50" s="29" t="s">
        <v>111</v>
      </c>
      <c r="U50" s="29">
        <v>2011</v>
      </c>
      <c r="V50" s="35">
        <v>2</v>
      </c>
      <c r="W50" s="35">
        <v>2</v>
      </c>
      <c r="X50" s="35">
        <v>2</v>
      </c>
      <c r="Y50" s="35">
        <v>2</v>
      </c>
      <c r="Z50" s="35">
        <v>2</v>
      </c>
      <c r="AA50" s="35">
        <v>2</v>
      </c>
      <c r="AB50" s="35">
        <v>2</v>
      </c>
      <c r="AC50" s="35">
        <v>2</v>
      </c>
      <c r="AD50" s="35">
        <v>2</v>
      </c>
      <c r="AE50" s="35">
        <v>2</v>
      </c>
      <c r="AF50" s="35">
        <v>2</v>
      </c>
      <c r="AG50" s="35">
        <v>2</v>
      </c>
      <c r="AH50" s="35">
        <v>2</v>
      </c>
      <c r="AI50" s="35">
        <v>4</v>
      </c>
      <c r="AJ50" s="58">
        <v>2</v>
      </c>
      <c r="AK50" s="58">
        <v>2</v>
      </c>
      <c r="AL50" s="58">
        <v>2</v>
      </c>
      <c r="AM50" s="58">
        <v>2</v>
      </c>
      <c r="AN50" s="58">
        <v>2</v>
      </c>
      <c r="AO50" s="58">
        <v>2</v>
      </c>
      <c r="AP50" s="59">
        <v>2</v>
      </c>
      <c r="AQ50" s="58">
        <v>2</v>
      </c>
      <c r="AR50" s="58">
        <v>2</v>
      </c>
      <c r="AS50" s="58">
        <v>2</v>
      </c>
      <c r="AT50" s="58">
        <v>2</v>
      </c>
      <c r="AU50" s="58">
        <v>2</v>
      </c>
      <c r="AV50" s="59">
        <v>4</v>
      </c>
      <c r="AW50" s="33">
        <v>-1</v>
      </c>
      <c r="AX50" s="33">
        <v>-1</v>
      </c>
      <c r="AY50" s="58">
        <v>2</v>
      </c>
      <c r="AZ50" s="33">
        <v>-1</v>
      </c>
      <c r="BA50" s="33">
        <v>-1</v>
      </c>
      <c r="BB50" s="33">
        <v>-1</v>
      </c>
      <c r="BC50" s="33">
        <v>-1</v>
      </c>
      <c r="BD50" s="33">
        <v>-1</v>
      </c>
      <c r="BE50" s="33"/>
      <c r="BF50" s="59"/>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row>
    <row r="51" spans="1:134" ht="11.25" customHeight="1" x14ac:dyDescent="0.3">
      <c r="A51" s="28">
        <f>_xlfn.XLOOKUP(S51,Master_Registrations!P:P,Master_Registrations!A:A,"")</f>
        <v>2024</v>
      </c>
      <c r="B51" s="28" t="s">
        <v>3302</v>
      </c>
      <c r="C51" s="28">
        <v>2026</v>
      </c>
      <c r="D51" s="28" t="s">
        <v>184</v>
      </c>
      <c r="E51" s="28">
        <v>1</v>
      </c>
      <c r="F51" s="29" t="str">
        <f t="shared" si="0"/>
        <v>VED-03-2026-BR-1</v>
      </c>
      <c r="G51" s="29" t="s">
        <v>3305</v>
      </c>
      <c r="H51" s="29" t="s">
        <v>3306</v>
      </c>
      <c r="I51" s="29"/>
      <c r="J51" s="28" t="s">
        <v>198</v>
      </c>
      <c r="K51" s="57"/>
      <c r="L51" s="57"/>
      <c r="M51" s="57"/>
      <c r="N51" s="29" t="s">
        <v>525</v>
      </c>
      <c r="O51" s="28" t="s">
        <v>3544</v>
      </c>
      <c r="P51" s="28" t="s">
        <v>3546</v>
      </c>
      <c r="Q51" s="28" t="e">
        <f t="shared" ref="Q51:Q66" ca="1" si="4">_xludf.TEXTJOIN(" ",TRUE,O51:P51)</f>
        <v>#NAME?</v>
      </c>
      <c r="R51" s="28" t="s">
        <v>112</v>
      </c>
      <c r="S51" s="55">
        <v>9160044414</v>
      </c>
      <c r="T51" s="29" t="s">
        <v>111</v>
      </c>
      <c r="U51" s="29">
        <v>2010</v>
      </c>
      <c r="V51" s="35">
        <v>2</v>
      </c>
      <c r="W51" s="35">
        <v>2</v>
      </c>
      <c r="X51" s="35">
        <v>2</v>
      </c>
      <c r="Y51" s="35">
        <v>2</v>
      </c>
      <c r="Z51" s="35">
        <v>2</v>
      </c>
      <c r="AA51" s="35">
        <v>2</v>
      </c>
      <c r="AB51" s="35">
        <v>2</v>
      </c>
      <c r="AC51" s="35">
        <v>2</v>
      </c>
      <c r="AD51" s="35">
        <v>2</v>
      </c>
      <c r="AE51" s="35">
        <v>2</v>
      </c>
      <c r="AF51" s="35">
        <v>2</v>
      </c>
      <c r="AG51" s="35">
        <v>2</v>
      </c>
      <c r="AH51" s="35">
        <v>2</v>
      </c>
      <c r="AI51" s="35">
        <v>3</v>
      </c>
      <c r="AJ51" s="58">
        <v>2</v>
      </c>
      <c r="AK51" s="58">
        <v>2</v>
      </c>
      <c r="AL51" s="58">
        <v>2</v>
      </c>
      <c r="AM51" s="58">
        <v>2</v>
      </c>
      <c r="AN51" s="58">
        <v>2</v>
      </c>
      <c r="AO51" s="58">
        <v>2</v>
      </c>
      <c r="AP51" s="58">
        <v>2</v>
      </c>
      <c r="AQ51" s="58">
        <v>2</v>
      </c>
      <c r="AR51" s="58">
        <v>2</v>
      </c>
      <c r="AS51" s="58">
        <v>2</v>
      </c>
      <c r="AT51" s="58">
        <v>2</v>
      </c>
      <c r="AU51" s="58">
        <v>2</v>
      </c>
      <c r="AV51" s="58">
        <v>4</v>
      </c>
      <c r="AW51" s="33">
        <v>-1</v>
      </c>
      <c r="AX51" s="33">
        <v>-1</v>
      </c>
      <c r="AY51" s="58">
        <v>2</v>
      </c>
      <c r="AZ51" s="33">
        <v>-1</v>
      </c>
      <c r="BA51" s="33">
        <v>-1</v>
      </c>
      <c r="BB51" s="33">
        <v>-1</v>
      </c>
      <c r="BC51" s="33">
        <v>-1</v>
      </c>
      <c r="BD51" s="33">
        <v>-1</v>
      </c>
      <c r="BE51" s="33"/>
      <c r="BF51" s="59"/>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row>
    <row r="52" spans="1:134" s="137" customFormat="1" ht="11.25" customHeight="1" x14ac:dyDescent="0.3">
      <c r="A52" s="129">
        <f>_xlfn.XLOOKUP(S52,Master_Registrations!P:P,Master_Registrations!A:A,"")</f>
        <v>2023</v>
      </c>
      <c r="B52" s="129" t="s">
        <v>3302</v>
      </c>
      <c r="C52" s="129">
        <v>2026</v>
      </c>
      <c r="D52" s="129" t="s">
        <v>184</v>
      </c>
      <c r="E52" s="129">
        <v>1</v>
      </c>
      <c r="F52" s="130" t="str">
        <f t="shared" si="0"/>
        <v>VED-03-2026-BR-1</v>
      </c>
      <c r="G52" s="130" t="s">
        <v>3305</v>
      </c>
      <c r="H52" s="130" t="s">
        <v>3306</v>
      </c>
      <c r="I52" s="130"/>
      <c r="J52" s="129" t="s">
        <v>198</v>
      </c>
      <c r="K52" s="131"/>
      <c r="L52" s="131"/>
      <c r="M52" s="131"/>
      <c r="N52" s="142" t="s">
        <v>621</v>
      </c>
      <c r="O52" s="143" t="s">
        <v>3618</v>
      </c>
      <c r="P52" s="143" t="s">
        <v>5923</v>
      </c>
      <c r="Q52" s="143" t="e">
        <f t="shared" ca="1" si="4"/>
        <v>#NAME?</v>
      </c>
      <c r="R52" s="143" t="s">
        <v>112</v>
      </c>
      <c r="S52" s="144">
        <v>8985971092</v>
      </c>
      <c r="T52" s="142" t="s">
        <v>111</v>
      </c>
      <c r="U52" s="145">
        <v>2011</v>
      </c>
      <c r="V52" s="132">
        <v>2</v>
      </c>
      <c r="W52" s="132">
        <v>2</v>
      </c>
      <c r="X52" s="132">
        <v>2</v>
      </c>
      <c r="Y52" s="132">
        <v>2</v>
      </c>
      <c r="Z52" s="132">
        <v>2</v>
      </c>
      <c r="AA52" s="132">
        <v>2</v>
      </c>
      <c r="AB52" s="132">
        <v>2</v>
      </c>
      <c r="AC52" s="132">
        <v>2</v>
      </c>
      <c r="AD52" s="132">
        <v>2</v>
      </c>
      <c r="AE52" s="132">
        <v>2</v>
      </c>
      <c r="AF52" s="132">
        <v>2</v>
      </c>
      <c r="AG52" s="132">
        <v>2</v>
      </c>
      <c r="AH52" s="132">
        <v>2</v>
      </c>
      <c r="AI52" s="132">
        <v>4</v>
      </c>
      <c r="AJ52" s="133">
        <v>2</v>
      </c>
      <c r="AK52" s="133">
        <v>2</v>
      </c>
      <c r="AL52" s="133">
        <v>2</v>
      </c>
      <c r="AM52" s="133">
        <v>2</v>
      </c>
      <c r="AN52" s="133">
        <v>2</v>
      </c>
      <c r="AO52" s="133">
        <v>2</v>
      </c>
      <c r="AP52" s="133">
        <v>2</v>
      </c>
      <c r="AQ52" s="133">
        <v>2</v>
      </c>
      <c r="AR52" s="133">
        <v>2</v>
      </c>
      <c r="AS52" s="133">
        <v>2</v>
      </c>
      <c r="AT52" s="133">
        <v>2</v>
      </c>
      <c r="AU52" s="133">
        <v>2</v>
      </c>
      <c r="AV52" s="134">
        <v>-1</v>
      </c>
      <c r="AW52" s="135">
        <v>-1</v>
      </c>
      <c r="AX52" s="135">
        <v>-1</v>
      </c>
      <c r="AY52" s="133">
        <v>2</v>
      </c>
      <c r="AZ52" s="135">
        <v>-1</v>
      </c>
      <c r="BA52" s="135">
        <v>-1</v>
      </c>
      <c r="BB52" s="135">
        <v>-1</v>
      </c>
      <c r="BC52" s="135">
        <v>-1</v>
      </c>
      <c r="BD52" s="135">
        <v>-1</v>
      </c>
      <c r="BE52" s="135"/>
      <c r="BF52" s="134"/>
      <c r="BG52" s="129"/>
      <c r="BH52" s="129"/>
      <c r="BI52" s="129"/>
      <c r="BJ52" s="129"/>
      <c r="BK52" s="129"/>
      <c r="BL52" s="129"/>
      <c r="BM52" s="129"/>
      <c r="BN52" s="129"/>
      <c r="BO52" s="129"/>
      <c r="BP52" s="129"/>
      <c r="BQ52" s="129"/>
      <c r="BR52" s="129"/>
      <c r="BS52" s="129"/>
      <c r="BT52" s="129"/>
      <c r="BU52" s="129"/>
      <c r="BV52" s="129"/>
      <c r="BW52" s="129"/>
      <c r="BX52" s="129"/>
      <c r="BY52" s="129"/>
      <c r="BZ52" s="129"/>
      <c r="CA52" s="129"/>
      <c r="CB52" s="129"/>
      <c r="CC52" s="129"/>
      <c r="CD52" s="129"/>
      <c r="CE52" s="129"/>
      <c r="CF52" s="129"/>
      <c r="CG52" s="129"/>
      <c r="CH52" s="129"/>
      <c r="CI52" s="129"/>
      <c r="CJ52" s="129"/>
      <c r="CK52" s="129"/>
      <c r="CL52" s="129"/>
      <c r="CM52" s="129"/>
      <c r="CN52" s="129"/>
      <c r="CO52" s="129"/>
      <c r="CP52" s="129"/>
      <c r="CQ52" s="129"/>
      <c r="CR52" s="129"/>
      <c r="CS52" s="129"/>
      <c r="CT52" s="129"/>
      <c r="CU52" s="129"/>
      <c r="CV52" s="129"/>
      <c r="CW52" s="129"/>
      <c r="CX52" s="129"/>
      <c r="CY52" s="129"/>
      <c r="CZ52" s="136"/>
      <c r="DA52" s="136"/>
      <c r="DB52" s="136"/>
      <c r="DC52" s="136"/>
      <c r="DD52" s="136"/>
      <c r="DE52" s="136"/>
      <c r="DF52" s="136"/>
      <c r="DG52" s="136"/>
      <c r="DH52" s="136"/>
      <c r="DI52" s="136"/>
      <c r="DJ52" s="136"/>
      <c r="DK52" s="136"/>
      <c r="DL52" s="136"/>
      <c r="DM52" s="136"/>
      <c r="DN52" s="136"/>
      <c r="DO52" s="136"/>
      <c r="DP52" s="136"/>
      <c r="DQ52" s="136"/>
      <c r="DR52" s="136"/>
      <c r="DS52" s="136"/>
      <c r="DT52" s="136"/>
      <c r="DU52" s="136"/>
      <c r="DV52" s="136"/>
      <c r="DW52" s="136"/>
      <c r="DX52" s="136"/>
      <c r="DY52" s="136"/>
      <c r="DZ52" s="136"/>
      <c r="EA52" s="136"/>
      <c r="EB52" s="136"/>
      <c r="EC52" s="136"/>
      <c r="ED52" s="136"/>
    </row>
    <row r="53" spans="1:134" ht="11.25" customHeight="1" x14ac:dyDescent="0.3">
      <c r="A53" s="28" t="e">
        <f t="array" aca="1" ref="A53" ca="1">_xludf.XLOOKUP(S53,Master_Registrations!P:P,Master_Registrations!A:A,"")</f>
        <v>#NAME?</v>
      </c>
      <c r="B53" s="28" t="s">
        <v>3302</v>
      </c>
      <c r="C53" s="28">
        <v>2026</v>
      </c>
      <c r="D53" s="28" t="s">
        <v>184</v>
      </c>
      <c r="E53" s="28">
        <v>1</v>
      </c>
      <c r="F53" s="29" t="str">
        <f t="shared" si="0"/>
        <v>VED-03-2026-BR-1</v>
      </c>
      <c r="G53" s="29" t="s">
        <v>3305</v>
      </c>
      <c r="H53" s="29" t="s">
        <v>3306</v>
      </c>
      <c r="I53" s="29"/>
      <c r="J53" s="28" t="s">
        <v>198</v>
      </c>
      <c r="K53" s="53"/>
      <c r="L53" s="53"/>
      <c r="M53" s="53"/>
      <c r="N53" s="29" t="s">
        <v>714</v>
      </c>
      <c r="O53" s="28" t="s">
        <v>3673</v>
      </c>
      <c r="P53" s="28" t="s">
        <v>3674</v>
      </c>
      <c r="Q53" s="28" t="e">
        <f t="shared" ca="1" si="4"/>
        <v>#NAME?</v>
      </c>
      <c r="R53" s="28" t="s">
        <v>112</v>
      </c>
      <c r="S53" s="32">
        <v>9007684641</v>
      </c>
      <c r="T53" s="29" t="s">
        <v>111</v>
      </c>
      <c r="U53" s="29">
        <v>2010</v>
      </c>
      <c r="V53" s="35">
        <v>1</v>
      </c>
      <c r="W53" s="35">
        <v>1</v>
      </c>
      <c r="X53" s="58">
        <v>1</v>
      </c>
      <c r="Y53" s="35">
        <v>1</v>
      </c>
      <c r="Z53" s="58">
        <v>1</v>
      </c>
      <c r="AA53" s="58">
        <v>1</v>
      </c>
      <c r="AB53" s="58">
        <v>1</v>
      </c>
      <c r="AC53" s="58">
        <v>1</v>
      </c>
      <c r="AD53" s="58">
        <v>1</v>
      </c>
      <c r="AE53" s="35">
        <v>1</v>
      </c>
      <c r="AF53" s="35">
        <v>1</v>
      </c>
      <c r="AG53" s="35">
        <v>1</v>
      </c>
      <c r="AH53" s="35">
        <v>1</v>
      </c>
      <c r="AI53" s="59">
        <v>-1</v>
      </c>
      <c r="AJ53" s="58">
        <v>-1</v>
      </c>
      <c r="AK53" s="58">
        <v>-1</v>
      </c>
      <c r="AL53" s="58">
        <v>1</v>
      </c>
      <c r="AM53" s="58">
        <v>-1</v>
      </c>
      <c r="AN53" s="58">
        <v>1</v>
      </c>
      <c r="AO53" s="58">
        <v>2</v>
      </c>
      <c r="AP53" s="58">
        <v>-1</v>
      </c>
      <c r="AQ53" s="58">
        <v>-1</v>
      </c>
      <c r="AR53" s="58">
        <v>2</v>
      </c>
      <c r="AS53" s="58">
        <v>-1</v>
      </c>
      <c r="AT53" s="59">
        <v>-1</v>
      </c>
      <c r="AU53" s="58">
        <v>-1</v>
      </c>
      <c r="AV53" s="59">
        <v>-1</v>
      </c>
      <c r="AW53" s="33">
        <v>-1</v>
      </c>
      <c r="AX53" s="33">
        <v>-1</v>
      </c>
      <c r="AY53" s="59">
        <v>-1</v>
      </c>
      <c r="AZ53" s="33">
        <v>-1</v>
      </c>
      <c r="BA53" s="33">
        <v>-1</v>
      </c>
      <c r="BB53" s="33">
        <v>-1</v>
      </c>
      <c r="BC53" s="33">
        <v>-1</v>
      </c>
      <c r="BD53" s="33">
        <v>-1</v>
      </c>
      <c r="BE53" s="33"/>
      <c r="BF53" s="59"/>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row>
    <row r="54" spans="1:134" ht="11.25" customHeight="1" x14ac:dyDescent="0.3">
      <c r="A54" s="28" t="e">
        <f t="array" aca="1" ref="A54" ca="1">_xludf.XLOOKUP(S54,Master_Registrations!P:P,Master_Registrations!A:A,"")</f>
        <v>#NAME?</v>
      </c>
      <c r="B54" s="28" t="s">
        <v>3302</v>
      </c>
      <c r="C54" s="28">
        <v>2026</v>
      </c>
      <c r="D54" s="28" t="s">
        <v>184</v>
      </c>
      <c r="E54" s="28">
        <v>1</v>
      </c>
      <c r="F54" s="29" t="str">
        <f t="shared" si="0"/>
        <v>VED-03-2026-BR-1</v>
      </c>
      <c r="G54" s="29" t="s">
        <v>3305</v>
      </c>
      <c r="H54" s="29" t="s">
        <v>3306</v>
      </c>
      <c r="I54" s="29"/>
      <c r="J54" s="28" t="s">
        <v>198</v>
      </c>
      <c r="K54" s="57"/>
      <c r="L54" s="57"/>
      <c r="M54" s="57"/>
      <c r="N54" s="29" t="s">
        <v>786</v>
      </c>
      <c r="O54" s="28" t="s">
        <v>3726</v>
      </c>
      <c r="P54" s="28" t="s">
        <v>3728</v>
      </c>
      <c r="Q54" s="28" t="e">
        <f t="shared" ca="1" si="4"/>
        <v>#NAME?</v>
      </c>
      <c r="R54" s="28" t="s">
        <v>112</v>
      </c>
      <c r="S54" s="32">
        <v>8105178555</v>
      </c>
      <c r="T54" s="29" t="s">
        <v>111</v>
      </c>
      <c r="U54" s="29">
        <v>2013</v>
      </c>
      <c r="V54" s="35">
        <v>2</v>
      </c>
      <c r="W54" s="35">
        <v>2</v>
      </c>
      <c r="X54" s="35">
        <v>2</v>
      </c>
      <c r="Y54" s="35">
        <v>2</v>
      </c>
      <c r="Z54" s="35">
        <v>2</v>
      </c>
      <c r="AA54" s="35">
        <v>2</v>
      </c>
      <c r="AB54" s="35">
        <v>2</v>
      </c>
      <c r="AC54" s="35">
        <v>2</v>
      </c>
      <c r="AD54" s="35">
        <v>2</v>
      </c>
      <c r="AE54" s="35">
        <v>2</v>
      </c>
      <c r="AF54" s="35">
        <v>2</v>
      </c>
      <c r="AG54" s="35">
        <v>2</v>
      </c>
      <c r="AH54" s="35">
        <v>2</v>
      </c>
      <c r="AI54" s="35">
        <v>4</v>
      </c>
      <c r="AJ54" s="58">
        <v>2</v>
      </c>
      <c r="AK54" s="58">
        <v>2</v>
      </c>
      <c r="AL54" s="58">
        <v>2</v>
      </c>
      <c r="AM54" s="58">
        <v>2</v>
      </c>
      <c r="AN54" s="58">
        <v>2</v>
      </c>
      <c r="AO54" s="58">
        <v>2</v>
      </c>
      <c r="AP54" s="58">
        <v>2</v>
      </c>
      <c r="AQ54" s="58">
        <v>2</v>
      </c>
      <c r="AR54" s="58">
        <v>2</v>
      </c>
      <c r="AS54" s="58">
        <v>2</v>
      </c>
      <c r="AT54" s="58">
        <v>2</v>
      </c>
      <c r="AU54" s="58">
        <v>2</v>
      </c>
      <c r="AV54" s="58">
        <v>4</v>
      </c>
      <c r="AW54" s="33">
        <v>-1</v>
      </c>
      <c r="AX54" s="33">
        <v>-1</v>
      </c>
      <c r="AY54" s="58">
        <v>2</v>
      </c>
      <c r="AZ54" s="33">
        <v>-1</v>
      </c>
      <c r="BA54" s="33">
        <v>-1</v>
      </c>
      <c r="BB54" s="33">
        <v>-1</v>
      </c>
      <c r="BC54" s="33">
        <v>-1</v>
      </c>
      <c r="BD54" s="33">
        <v>-1</v>
      </c>
      <c r="BE54" s="33"/>
      <c r="BF54" s="59"/>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row>
    <row r="55" spans="1:134" ht="11.25" customHeight="1" x14ac:dyDescent="0.3">
      <c r="A55" s="28" t="e">
        <f t="array" aca="1" ref="A55" ca="1">_xludf.XLOOKUP(S55,Master_Registrations!P:P,Master_Registrations!A:A,"")</f>
        <v>#NAME?</v>
      </c>
      <c r="B55" s="28" t="s">
        <v>3302</v>
      </c>
      <c r="C55" s="28">
        <v>2026</v>
      </c>
      <c r="D55" s="28" t="s">
        <v>184</v>
      </c>
      <c r="E55" s="28">
        <v>1</v>
      </c>
      <c r="F55" s="29" t="str">
        <f t="shared" si="0"/>
        <v>VED-03-2026-BR-1</v>
      </c>
      <c r="G55" s="29" t="s">
        <v>3305</v>
      </c>
      <c r="H55" s="29" t="s">
        <v>3306</v>
      </c>
      <c r="I55" s="29"/>
      <c r="J55" s="28" t="s">
        <v>198</v>
      </c>
      <c r="K55" s="57"/>
      <c r="L55" s="57"/>
      <c r="M55" s="57"/>
      <c r="N55" s="29" t="s">
        <v>856</v>
      </c>
      <c r="O55" s="28" t="s">
        <v>531</v>
      </c>
      <c r="P55" s="28" t="s">
        <v>3783</v>
      </c>
      <c r="Q55" s="28" t="e">
        <f t="shared" ca="1" si="4"/>
        <v>#NAME?</v>
      </c>
      <c r="R55" s="28" t="s">
        <v>112</v>
      </c>
      <c r="S55" s="32">
        <v>7799558759</v>
      </c>
      <c r="T55" s="29" t="s">
        <v>111</v>
      </c>
      <c r="U55" s="29">
        <v>2010</v>
      </c>
      <c r="V55" s="35">
        <v>2</v>
      </c>
      <c r="W55" s="35">
        <v>2</v>
      </c>
      <c r="X55" s="35">
        <v>2</v>
      </c>
      <c r="Y55" s="35">
        <v>2</v>
      </c>
      <c r="Z55" s="35">
        <v>2</v>
      </c>
      <c r="AA55" s="35">
        <v>2</v>
      </c>
      <c r="AB55" s="35">
        <v>2</v>
      </c>
      <c r="AC55" s="35">
        <v>2</v>
      </c>
      <c r="AD55" s="35">
        <v>2</v>
      </c>
      <c r="AE55" s="35">
        <v>2</v>
      </c>
      <c r="AF55" s="35">
        <v>2</v>
      </c>
      <c r="AG55" s="35">
        <v>2</v>
      </c>
      <c r="AH55" s="35">
        <v>2</v>
      </c>
      <c r="AI55" s="35">
        <v>4</v>
      </c>
      <c r="AJ55" s="58">
        <v>2</v>
      </c>
      <c r="AK55" s="58">
        <v>2</v>
      </c>
      <c r="AL55" s="58">
        <v>2</v>
      </c>
      <c r="AM55" s="58">
        <v>2</v>
      </c>
      <c r="AN55" s="58">
        <v>2</v>
      </c>
      <c r="AO55" s="58">
        <v>2</v>
      </c>
      <c r="AP55" s="58">
        <v>2</v>
      </c>
      <c r="AQ55" s="58">
        <v>2</v>
      </c>
      <c r="AR55" s="58">
        <v>2</v>
      </c>
      <c r="AS55" s="58">
        <v>2</v>
      </c>
      <c r="AT55" s="58">
        <v>2</v>
      </c>
      <c r="AU55" s="58">
        <v>2</v>
      </c>
      <c r="AV55" s="58">
        <v>4</v>
      </c>
      <c r="AW55" s="33">
        <v>-1</v>
      </c>
      <c r="AX55" s="33">
        <v>-1</v>
      </c>
      <c r="AY55" s="58">
        <v>1</v>
      </c>
      <c r="AZ55" s="33">
        <v>-1</v>
      </c>
      <c r="BA55" s="33">
        <v>-1</v>
      </c>
      <c r="BB55" s="33">
        <v>-1</v>
      </c>
      <c r="BC55" s="33">
        <v>-1</v>
      </c>
      <c r="BD55" s="33">
        <v>-1</v>
      </c>
      <c r="BE55" s="33"/>
      <c r="BF55" s="59"/>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row>
    <row r="56" spans="1:134" ht="11.25" customHeight="1" x14ac:dyDescent="0.3">
      <c r="A56" s="28" t="e">
        <f t="array" aca="1" ref="A56" ca="1">_xludf.XLOOKUP(S56,Master_Registrations!P:P,Master_Registrations!A:A,"")</f>
        <v>#NAME?</v>
      </c>
      <c r="B56" s="39" t="s">
        <v>3302</v>
      </c>
      <c r="C56" s="39">
        <v>2026</v>
      </c>
      <c r="D56" s="39" t="s">
        <v>184</v>
      </c>
      <c r="E56" s="39">
        <v>2</v>
      </c>
      <c r="F56" s="40" t="str">
        <f t="shared" si="0"/>
        <v>VED-03-2026-BR-2</v>
      </c>
      <c r="G56" s="40" t="s">
        <v>3305</v>
      </c>
      <c r="H56" s="40" t="s">
        <v>3842</v>
      </c>
      <c r="I56" s="40"/>
      <c r="J56" s="39" t="s">
        <v>198</v>
      </c>
      <c r="K56" s="44"/>
      <c r="L56" s="44"/>
      <c r="M56" s="44"/>
      <c r="N56" s="40" t="s">
        <v>200</v>
      </c>
      <c r="O56" s="39" t="s">
        <v>1100</v>
      </c>
      <c r="P56" s="139" t="s">
        <v>1105</v>
      </c>
      <c r="Q56" s="39" t="e">
        <f t="shared" ca="1" si="4"/>
        <v>#NAME?</v>
      </c>
      <c r="R56" s="28" t="s">
        <v>112</v>
      </c>
      <c r="S56" s="39">
        <v>7702648904</v>
      </c>
      <c r="T56" s="40" t="s">
        <v>111</v>
      </c>
      <c r="U56" s="39">
        <v>2012</v>
      </c>
      <c r="V56" s="44">
        <v>1</v>
      </c>
      <c r="W56" s="44">
        <v>1</v>
      </c>
      <c r="X56" s="44">
        <v>2</v>
      </c>
      <c r="Y56" s="44">
        <v>2</v>
      </c>
      <c r="Z56" s="44">
        <v>2</v>
      </c>
      <c r="AA56" s="44">
        <v>2</v>
      </c>
      <c r="AB56" s="44">
        <v>2</v>
      </c>
      <c r="AC56" s="46">
        <v>1</v>
      </c>
      <c r="AD56" s="44">
        <v>2</v>
      </c>
      <c r="AE56" s="44">
        <v>2</v>
      </c>
      <c r="AF56" s="44">
        <v>2</v>
      </c>
      <c r="AG56" s="44">
        <v>2</v>
      </c>
      <c r="AH56" s="44">
        <v>1</v>
      </c>
      <c r="AI56" s="47">
        <v>-1</v>
      </c>
      <c r="AJ56" s="44">
        <v>-1</v>
      </c>
      <c r="AK56" s="46">
        <v>-1</v>
      </c>
      <c r="AL56" s="46">
        <v>-1</v>
      </c>
      <c r="AM56" s="46">
        <v>-1</v>
      </c>
      <c r="AN56" s="46">
        <v>-1</v>
      </c>
      <c r="AO56" s="46">
        <v>-1</v>
      </c>
      <c r="AP56" s="46">
        <v>-1</v>
      </c>
      <c r="AQ56" s="46">
        <v>-1</v>
      </c>
      <c r="AR56" s="46">
        <v>-1</v>
      </c>
      <c r="AS56" s="46">
        <v>-1</v>
      </c>
      <c r="AT56" s="46">
        <v>-1</v>
      </c>
      <c r="AU56" s="46">
        <v>-1</v>
      </c>
      <c r="AV56" s="45">
        <v>-1</v>
      </c>
      <c r="AW56" s="44">
        <v>-1</v>
      </c>
      <c r="AX56" s="45">
        <v>-1</v>
      </c>
      <c r="AY56" s="45">
        <v>-1</v>
      </c>
      <c r="AZ56" s="45">
        <v>-1</v>
      </c>
      <c r="BA56" s="45">
        <v>-1</v>
      </c>
      <c r="BB56" s="45"/>
      <c r="BC56" s="45"/>
      <c r="BD56" s="45"/>
      <c r="BE56" s="45"/>
      <c r="BF56" s="47"/>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row>
    <row r="57" spans="1:134" ht="11.25" customHeight="1" x14ac:dyDescent="0.3">
      <c r="A57" s="28" t="e">
        <f t="array" aca="1" ref="A57" ca="1">_xludf.XLOOKUP(S57,Master_Registrations!P:P,Master_Registrations!A:A,"")</f>
        <v>#NAME?</v>
      </c>
      <c r="B57" s="39" t="s">
        <v>3302</v>
      </c>
      <c r="C57" s="39">
        <v>2026</v>
      </c>
      <c r="D57" s="39" t="s">
        <v>184</v>
      </c>
      <c r="E57" s="39">
        <v>2</v>
      </c>
      <c r="F57" s="40" t="str">
        <f t="shared" si="0"/>
        <v>VED-03-2026-BR-2</v>
      </c>
      <c r="G57" s="40" t="s">
        <v>3305</v>
      </c>
      <c r="H57" s="40" t="s">
        <v>3842</v>
      </c>
      <c r="I57" s="40"/>
      <c r="J57" s="39" t="s">
        <v>198</v>
      </c>
      <c r="K57" s="52"/>
      <c r="L57" s="52"/>
      <c r="M57" s="52"/>
      <c r="N57" s="40" t="s">
        <v>299</v>
      </c>
      <c r="O57" s="39" t="s">
        <v>3895</v>
      </c>
      <c r="P57" s="39" t="s">
        <v>3896</v>
      </c>
      <c r="Q57" s="39" t="e">
        <f t="shared" ca="1" si="4"/>
        <v>#NAME?</v>
      </c>
      <c r="R57" s="28" t="s">
        <v>112</v>
      </c>
      <c r="S57" s="39">
        <v>9182608457</v>
      </c>
      <c r="T57" s="40" t="s">
        <v>111</v>
      </c>
      <c r="U57" s="39">
        <v>2010</v>
      </c>
      <c r="V57" s="44">
        <v>2</v>
      </c>
      <c r="W57" s="44">
        <v>2</v>
      </c>
      <c r="X57" s="44">
        <v>2</v>
      </c>
      <c r="Y57" s="44">
        <v>2</v>
      </c>
      <c r="Z57" s="44">
        <v>2</v>
      </c>
      <c r="AA57" s="44">
        <v>2</v>
      </c>
      <c r="AB57" s="44">
        <v>2</v>
      </c>
      <c r="AC57" s="44">
        <v>2</v>
      </c>
      <c r="AD57" s="44">
        <v>2</v>
      </c>
      <c r="AE57" s="44">
        <v>2</v>
      </c>
      <c r="AF57" s="44">
        <v>2</v>
      </c>
      <c r="AG57" s="44">
        <v>2</v>
      </c>
      <c r="AH57" s="44">
        <v>2</v>
      </c>
      <c r="AI57" s="46">
        <v>4</v>
      </c>
      <c r="AJ57" s="44">
        <v>1</v>
      </c>
      <c r="AK57" s="46">
        <v>1</v>
      </c>
      <c r="AL57" s="46">
        <v>1</v>
      </c>
      <c r="AM57" s="46">
        <v>1</v>
      </c>
      <c r="AN57" s="46">
        <v>1</v>
      </c>
      <c r="AO57" s="46">
        <v>1</v>
      </c>
      <c r="AP57" s="46">
        <v>1</v>
      </c>
      <c r="AQ57" s="46">
        <v>-1</v>
      </c>
      <c r="AR57" s="46">
        <v>1</v>
      </c>
      <c r="AS57" s="46">
        <v>1</v>
      </c>
      <c r="AT57" s="46">
        <v>-1</v>
      </c>
      <c r="AU57" s="46">
        <v>1</v>
      </c>
      <c r="AV57" s="45">
        <v>-1</v>
      </c>
      <c r="AW57" s="44">
        <v>-1</v>
      </c>
      <c r="AX57" s="45">
        <v>-1</v>
      </c>
      <c r="AY57" s="45">
        <v>-1</v>
      </c>
      <c r="AZ57" s="45">
        <v>-1</v>
      </c>
      <c r="BA57" s="45">
        <v>-1</v>
      </c>
      <c r="BB57" s="45">
        <v>-1</v>
      </c>
      <c r="BC57" s="45">
        <v>-1</v>
      </c>
      <c r="BD57" s="45">
        <v>-1</v>
      </c>
      <c r="BE57" s="45"/>
      <c r="BF57" s="47"/>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row>
    <row r="58" spans="1:134" ht="11.25" customHeight="1" x14ac:dyDescent="0.3">
      <c r="A58" s="28" t="e">
        <f t="array" aca="1" ref="A58" ca="1">_xludf.XLOOKUP(S58,Master_Registrations!P:P,Master_Registrations!A:A,"")</f>
        <v>#NAME?</v>
      </c>
      <c r="B58" s="39" t="s">
        <v>3302</v>
      </c>
      <c r="C58" s="39">
        <v>2026</v>
      </c>
      <c r="D58" s="39" t="s">
        <v>184</v>
      </c>
      <c r="E58" s="39">
        <v>2</v>
      </c>
      <c r="F58" s="40" t="str">
        <f t="shared" si="0"/>
        <v>VED-03-2026-BR-2</v>
      </c>
      <c r="G58" s="40" t="s">
        <v>3305</v>
      </c>
      <c r="H58" s="40" t="s">
        <v>3842</v>
      </c>
      <c r="I58" s="40"/>
      <c r="J58" s="39" t="s">
        <v>198</v>
      </c>
      <c r="K58" s="52"/>
      <c r="L58" s="52"/>
      <c r="M58" s="52"/>
      <c r="N58" s="40" t="s">
        <v>369</v>
      </c>
      <c r="O58" s="39" t="s">
        <v>3200</v>
      </c>
      <c r="P58" s="39" t="s">
        <v>3944</v>
      </c>
      <c r="Q58" s="39" t="e">
        <f t="shared" ca="1" si="4"/>
        <v>#NAME?</v>
      </c>
      <c r="R58" s="28" t="s">
        <v>112</v>
      </c>
      <c r="S58" s="40">
        <v>9538199720</v>
      </c>
      <c r="T58" s="40" t="s">
        <v>111</v>
      </c>
      <c r="U58" s="40">
        <v>2012</v>
      </c>
      <c r="V58" s="44">
        <v>2</v>
      </c>
      <c r="W58" s="44">
        <v>2</v>
      </c>
      <c r="X58" s="44">
        <v>2</v>
      </c>
      <c r="Y58" s="44">
        <v>2</v>
      </c>
      <c r="Z58" s="44">
        <v>2</v>
      </c>
      <c r="AA58" s="44">
        <v>2</v>
      </c>
      <c r="AB58" s="44">
        <v>2</v>
      </c>
      <c r="AC58" s="44">
        <v>2</v>
      </c>
      <c r="AD58" s="44">
        <v>2</v>
      </c>
      <c r="AE58" s="44">
        <v>2</v>
      </c>
      <c r="AF58" s="44">
        <v>2</v>
      </c>
      <c r="AG58" s="44">
        <v>2</v>
      </c>
      <c r="AH58" s="44">
        <v>2</v>
      </c>
      <c r="AI58" s="47">
        <v>-1</v>
      </c>
      <c r="AJ58" s="46">
        <v>1</v>
      </c>
      <c r="AK58" s="46">
        <v>1</v>
      </c>
      <c r="AL58" s="46">
        <v>1</v>
      </c>
      <c r="AM58" s="46">
        <v>1</v>
      </c>
      <c r="AN58" s="46">
        <v>1</v>
      </c>
      <c r="AO58" s="46">
        <v>1</v>
      </c>
      <c r="AP58" s="46">
        <v>-1</v>
      </c>
      <c r="AQ58" s="46">
        <v>-1</v>
      </c>
      <c r="AR58" s="46">
        <v>-1</v>
      </c>
      <c r="AS58" s="46">
        <v>-1</v>
      </c>
      <c r="AT58" s="46">
        <v>-1</v>
      </c>
      <c r="AU58" s="46">
        <v>1</v>
      </c>
      <c r="AV58" s="45">
        <v>-1</v>
      </c>
      <c r="AW58" s="45">
        <v>-1</v>
      </c>
      <c r="AX58" s="45">
        <v>-1</v>
      </c>
      <c r="AY58" s="45">
        <v>-1</v>
      </c>
      <c r="AZ58" s="45">
        <v>-1</v>
      </c>
      <c r="BA58" s="45">
        <v>-1</v>
      </c>
      <c r="BB58" s="45"/>
      <c r="BC58" s="45"/>
      <c r="BD58" s="45"/>
      <c r="BE58" s="45"/>
      <c r="BF58" s="47"/>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row>
    <row r="59" spans="1:134" ht="11.25" customHeight="1" x14ac:dyDescent="0.3">
      <c r="A59" s="28" t="e">
        <f t="array" aca="1" ref="A59" ca="1">_xludf.XLOOKUP(S59,Master_Registrations!P:P,Master_Registrations!A:A,"")</f>
        <v>#NAME?</v>
      </c>
      <c r="B59" s="39" t="s">
        <v>3302</v>
      </c>
      <c r="C59" s="39">
        <v>2026</v>
      </c>
      <c r="D59" s="39" t="s">
        <v>184</v>
      </c>
      <c r="E59" s="39">
        <v>2</v>
      </c>
      <c r="F59" s="40" t="str">
        <f t="shared" si="0"/>
        <v>VED-03-2026-BR-2</v>
      </c>
      <c r="G59" s="40" t="s">
        <v>3305</v>
      </c>
      <c r="H59" s="40" t="s">
        <v>3842</v>
      </c>
      <c r="I59" s="40"/>
      <c r="J59" s="39" t="s">
        <v>198</v>
      </c>
      <c r="K59" s="52"/>
      <c r="L59" s="52"/>
      <c r="M59" s="52"/>
      <c r="N59" s="40" t="s">
        <v>434</v>
      </c>
      <c r="O59" s="39" t="s">
        <v>880</v>
      </c>
      <c r="P59" s="39" t="s">
        <v>1174</v>
      </c>
      <c r="Q59" s="39" t="e">
        <f t="shared" ca="1" si="4"/>
        <v>#NAME?</v>
      </c>
      <c r="R59" s="28" t="s">
        <v>112</v>
      </c>
      <c r="S59" s="39">
        <v>9440766356</v>
      </c>
      <c r="T59" s="40" t="s">
        <v>111</v>
      </c>
      <c r="U59" s="39">
        <v>2016</v>
      </c>
      <c r="V59" s="44">
        <v>2</v>
      </c>
      <c r="W59" s="44">
        <v>2</v>
      </c>
      <c r="X59" s="44">
        <v>2</v>
      </c>
      <c r="Y59" s="44">
        <v>2</v>
      </c>
      <c r="Z59" s="44">
        <v>2</v>
      </c>
      <c r="AA59" s="44">
        <v>2</v>
      </c>
      <c r="AB59" s="44">
        <v>2</v>
      </c>
      <c r="AC59" s="44">
        <v>2</v>
      </c>
      <c r="AD59" s="44">
        <v>2</v>
      </c>
      <c r="AE59" s="44">
        <v>2</v>
      </c>
      <c r="AF59" s="44">
        <v>2</v>
      </c>
      <c r="AG59" s="44">
        <v>2</v>
      </c>
      <c r="AH59" s="44">
        <v>2</v>
      </c>
      <c r="AI59" s="46">
        <v>4</v>
      </c>
      <c r="AJ59" s="46">
        <v>1</v>
      </c>
      <c r="AK59" s="46">
        <v>1</v>
      </c>
      <c r="AL59" s="46">
        <v>1</v>
      </c>
      <c r="AM59" s="46">
        <v>-1</v>
      </c>
      <c r="AN59" s="46">
        <v>1</v>
      </c>
      <c r="AO59" s="46">
        <v>1</v>
      </c>
      <c r="AP59" s="46">
        <v>1</v>
      </c>
      <c r="AQ59" s="46">
        <v>1</v>
      </c>
      <c r="AR59" s="46">
        <v>-1</v>
      </c>
      <c r="AS59" s="46">
        <v>-1</v>
      </c>
      <c r="AT59" s="46">
        <v>-1</v>
      </c>
      <c r="AU59" s="46">
        <v>-1</v>
      </c>
      <c r="AV59" s="45">
        <v>-1</v>
      </c>
      <c r="AW59" s="44">
        <v>-1</v>
      </c>
      <c r="AX59" s="45">
        <v>-1</v>
      </c>
      <c r="AY59" s="45">
        <v>-1</v>
      </c>
      <c r="AZ59" s="45">
        <v>-1</v>
      </c>
      <c r="BA59" s="45">
        <v>-1</v>
      </c>
      <c r="BB59" s="45"/>
      <c r="BC59" s="45"/>
      <c r="BD59" s="45"/>
      <c r="BE59" s="45"/>
      <c r="BF59" s="47"/>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row>
    <row r="60" spans="1:134" ht="11.25" customHeight="1" x14ac:dyDescent="0.3">
      <c r="A60" s="28" t="e">
        <f t="array" aca="1" ref="A60" ca="1">_xludf.XLOOKUP(S60,Master_Registrations!P:P,Master_Registrations!A:A,"")</f>
        <v>#NAME?</v>
      </c>
      <c r="B60" s="39" t="s">
        <v>3302</v>
      </c>
      <c r="C60" s="39">
        <v>2026</v>
      </c>
      <c r="D60" s="39" t="s">
        <v>184</v>
      </c>
      <c r="E60" s="39">
        <v>2</v>
      </c>
      <c r="F60" s="40" t="str">
        <f t="shared" si="0"/>
        <v>VED-03-2026-BR-2</v>
      </c>
      <c r="G60" s="40" t="s">
        <v>3305</v>
      </c>
      <c r="H60" s="40" t="s">
        <v>3842</v>
      </c>
      <c r="I60" s="40"/>
      <c r="J60" s="39" t="s">
        <v>198</v>
      </c>
      <c r="K60" s="52"/>
      <c r="L60" s="52"/>
      <c r="M60" s="52"/>
      <c r="N60" s="40" t="s">
        <v>525</v>
      </c>
      <c r="O60" s="39" t="s">
        <v>1709</v>
      </c>
      <c r="P60" s="39" t="s">
        <v>4065</v>
      </c>
      <c r="Q60" s="39" t="e">
        <f t="shared" ca="1" si="4"/>
        <v>#NAME?</v>
      </c>
      <c r="R60" s="28" t="s">
        <v>112</v>
      </c>
      <c r="S60" s="39">
        <v>9966238978</v>
      </c>
      <c r="T60" s="40" t="s">
        <v>111</v>
      </c>
      <c r="U60" s="39">
        <v>2012</v>
      </c>
      <c r="V60" s="44">
        <v>2</v>
      </c>
      <c r="W60" s="44">
        <v>2</v>
      </c>
      <c r="X60" s="44">
        <v>2</v>
      </c>
      <c r="Y60" s="44">
        <v>2</v>
      </c>
      <c r="Z60" s="44">
        <v>2</v>
      </c>
      <c r="AA60" s="44">
        <v>2</v>
      </c>
      <c r="AB60" s="44">
        <v>2</v>
      </c>
      <c r="AC60" s="44">
        <v>2</v>
      </c>
      <c r="AD60" s="44">
        <v>2</v>
      </c>
      <c r="AE60" s="44">
        <v>2</v>
      </c>
      <c r="AF60" s="44">
        <v>2</v>
      </c>
      <c r="AG60" s="44">
        <v>2</v>
      </c>
      <c r="AH60" s="44">
        <v>2</v>
      </c>
      <c r="AI60" s="46">
        <v>4</v>
      </c>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V60" s="39"/>
      <c r="CW60" s="39"/>
      <c r="CX60" s="39"/>
      <c r="CY60" s="39"/>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row>
    <row r="61" spans="1:134" ht="11.25" customHeight="1" x14ac:dyDescent="0.3">
      <c r="A61" s="28" t="e">
        <f t="array" aca="1" ref="A61" ca="1">_xludf.XLOOKUP(S61,Master_Registrations!P:P,Master_Registrations!A:A,"")</f>
        <v>#NAME?</v>
      </c>
      <c r="B61" s="39" t="s">
        <v>3302</v>
      </c>
      <c r="C61" s="39">
        <v>2026</v>
      </c>
      <c r="D61" s="39" t="s">
        <v>184</v>
      </c>
      <c r="E61" s="39">
        <v>2</v>
      </c>
      <c r="F61" s="40" t="str">
        <f t="shared" si="0"/>
        <v>VED-03-2026-BR-2</v>
      </c>
      <c r="G61" s="40" t="s">
        <v>3305</v>
      </c>
      <c r="H61" s="40" t="s">
        <v>3842</v>
      </c>
      <c r="I61" s="40"/>
      <c r="J61" s="39" t="s">
        <v>198</v>
      </c>
      <c r="K61" s="44"/>
      <c r="L61" s="44"/>
      <c r="M61" s="44"/>
      <c r="N61" s="40" t="s">
        <v>621</v>
      </c>
      <c r="O61" s="39" t="s">
        <v>531</v>
      </c>
      <c r="P61" s="39" t="s">
        <v>532</v>
      </c>
      <c r="Q61" s="39" t="e">
        <f t="shared" ca="1" si="4"/>
        <v>#NAME?</v>
      </c>
      <c r="R61" s="28" t="s">
        <v>112</v>
      </c>
      <c r="S61" s="39">
        <v>7995955739</v>
      </c>
      <c r="T61" s="40" t="s">
        <v>111</v>
      </c>
      <c r="U61" s="39">
        <v>2004</v>
      </c>
      <c r="V61" s="44">
        <v>1</v>
      </c>
      <c r="W61" s="44">
        <v>1</v>
      </c>
      <c r="X61" s="44">
        <v>1</v>
      </c>
      <c r="Y61" s="44">
        <v>1</v>
      </c>
      <c r="Z61" s="44">
        <v>1</v>
      </c>
      <c r="AA61" s="44">
        <v>1</v>
      </c>
      <c r="AB61" s="44">
        <v>-1</v>
      </c>
      <c r="AC61" s="46">
        <v>1</v>
      </c>
      <c r="AD61" s="44">
        <v>-1</v>
      </c>
      <c r="AE61" s="44">
        <v>1</v>
      </c>
      <c r="AF61" s="44">
        <v>1</v>
      </c>
      <c r="AG61" s="44">
        <v>1</v>
      </c>
      <c r="AH61" s="44">
        <v>1</v>
      </c>
      <c r="AI61" s="47">
        <v>-1</v>
      </c>
      <c r="AJ61" s="46">
        <v>-1</v>
      </c>
      <c r="AK61" s="46">
        <v>-1</v>
      </c>
      <c r="AL61" s="46">
        <v>-1</v>
      </c>
      <c r="AM61" s="46">
        <v>-1</v>
      </c>
      <c r="AN61" s="46">
        <v>-1</v>
      </c>
      <c r="AO61" s="46">
        <v>-1</v>
      </c>
      <c r="AP61" s="46">
        <v>-1</v>
      </c>
      <c r="AQ61" s="46">
        <v>-1</v>
      </c>
      <c r="AR61" s="46">
        <v>-1</v>
      </c>
      <c r="AS61" s="46">
        <v>-1</v>
      </c>
      <c r="AT61" s="46">
        <v>-1</v>
      </c>
      <c r="AU61" s="46">
        <v>-1</v>
      </c>
      <c r="AV61" s="45">
        <v>-1</v>
      </c>
      <c r="AW61" s="45">
        <v>-1</v>
      </c>
      <c r="AX61" s="45">
        <v>-1</v>
      </c>
      <c r="AY61" s="45">
        <v>-1</v>
      </c>
      <c r="AZ61" s="45">
        <v>-1</v>
      </c>
      <c r="BA61" s="45">
        <v>-1</v>
      </c>
      <c r="BB61" s="45"/>
      <c r="BC61" s="45"/>
      <c r="BD61" s="45"/>
      <c r="BE61" s="45"/>
      <c r="BF61" s="47"/>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row>
    <row r="62" spans="1:134" ht="11.25" customHeight="1" x14ac:dyDescent="0.3">
      <c r="A62" s="28" t="e">
        <f t="array" aca="1" ref="A62" ca="1">_xludf.XLOOKUP(S62,Master_Registrations!P:P,Master_Registrations!A:A,"")</f>
        <v>#NAME?</v>
      </c>
      <c r="B62" s="39" t="s">
        <v>3302</v>
      </c>
      <c r="C62" s="39">
        <v>2026</v>
      </c>
      <c r="D62" s="39" t="s">
        <v>184</v>
      </c>
      <c r="E62" s="39">
        <v>2</v>
      </c>
      <c r="F62" s="40" t="str">
        <f t="shared" si="0"/>
        <v>VED-03-2026-BR-2</v>
      </c>
      <c r="G62" s="40" t="s">
        <v>3305</v>
      </c>
      <c r="H62" s="40" t="s">
        <v>3842</v>
      </c>
      <c r="I62" s="40"/>
      <c r="J62" s="39" t="s">
        <v>198</v>
      </c>
      <c r="K62" s="52"/>
      <c r="L62" s="52"/>
      <c r="M62" s="52"/>
      <c r="N62" s="40" t="s">
        <v>714</v>
      </c>
      <c r="O62" s="39" t="s">
        <v>947</v>
      </c>
      <c r="P62" s="39" t="s">
        <v>948</v>
      </c>
      <c r="Q62" s="39" t="e">
        <f t="shared" ca="1" si="4"/>
        <v>#NAME?</v>
      </c>
      <c r="R62" s="28" t="s">
        <v>112</v>
      </c>
      <c r="S62" s="39">
        <v>9121432011</v>
      </c>
      <c r="T62" s="40" t="s">
        <v>111</v>
      </c>
      <c r="U62" s="39">
        <v>2009</v>
      </c>
      <c r="V62" s="44">
        <v>2</v>
      </c>
      <c r="W62" s="44">
        <v>2</v>
      </c>
      <c r="X62" s="44">
        <v>2</v>
      </c>
      <c r="Y62" s="44">
        <v>2</v>
      </c>
      <c r="Z62" s="44">
        <v>2</v>
      </c>
      <c r="AA62" s="44">
        <v>2</v>
      </c>
      <c r="AB62" s="44">
        <v>2</v>
      </c>
      <c r="AC62" s="44">
        <v>2</v>
      </c>
      <c r="AD62" s="44">
        <v>2</v>
      </c>
      <c r="AE62" s="44">
        <v>2</v>
      </c>
      <c r="AF62" s="44">
        <v>2</v>
      </c>
      <c r="AG62" s="44">
        <v>2</v>
      </c>
      <c r="AH62" s="44">
        <v>2</v>
      </c>
      <c r="AI62" s="46">
        <v>4</v>
      </c>
      <c r="AJ62" s="46">
        <v>1</v>
      </c>
      <c r="AK62" s="46">
        <v>1</v>
      </c>
      <c r="AL62" s="46">
        <v>-1</v>
      </c>
      <c r="AM62" s="46">
        <v>1</v>
      </c>
      <c r="AN62" s="46">
        <v>1</v>
      </c>
      <c r="AO62" s="46">
        <v>1</v>
      </c>
      <c r="AP62" s="46">
        <v>-1</v>
      </c>
      <c r="AQ62" s="46">
        <v>-1</v>
      </c>
      <c r="AR62" s="46">
        <v>-1</v>
      </c>
      <c r="AS62" s="46">
        <v>-1</v>
      </c>
      <c r="AT62" s="46">
        <v>-1</v>
      </c>
      <c r="AU62" s="46">
        <v>-1</v>
      </c>
      <c r="AV62" s="45">
        <v>-1</v>
      </c>
      <c r="AW62" s="44">
        <v>-1</v>
      </c>
      <c r="AX62" s="45">
        <v>-1</v>
      </c>
      <c r="AY62" s="45">
        <v>-1</v>
      </c>
      <c r="AZ62" s="45">
        <v>-1</v>
      </c>
      <c r="BA62" s="45">
        <v>-1</v>
      </c>
      <c r="BB62" s="45"/>
      <c r="BC62" s="45"/>
      <c r="BD62" s="45"/>
      <c r="BE62" s="45"/>
      <c r="BF62" s="47"/>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row>
    <row r="63" spans="1:134" ht="11.25" customHeight="1" x14ac:dyDescent="0.3">
      <c r="A63" s="28" t="e">
        <f t="array" aca="1" ref="A63" ca="1">_xludf.XLOOKUP(S63,Master_Registrations!P:P,Master_Registrations!A:A,"")</f>
        <v>#NAME?</v>
      </c>
      <c r="B63" s="39" t="s">
        <v>3302</v>
      </c>
      <c r="C63" s="39">
        <v>2026</v>
      </c>
      <c r="D63" s="39" t="s">
        <v>184</v>
      </c>
      <c r="E63" s="39">
        <v>2</v>
      </c>
      <c r="F63" s="40" t="str">
        <f t="shared" si="0"/>
        <v>VED-03-2026-BR-2</v>
      </c>
      <c r="G63" s="40" t="s">
        <v>3305</v>
      </c>
      <c r="H63" s="40" t="s">
        <v>3842</v>
      </c>
      <c r="I63" s="40"/>
      <c r="J63" s="39" t="s">
        <v>198</v>
      </c>
      <c r="K63" s="52"/>
      <c r="L63" s="52"/>
      <c r="M63" s="52"/>
      <c r="N63" s="40" t="s">
        <v>786</v>
      </c>
      <c r="O63" s="39" t="s">
        <v>454</v>
      </c>
      <c r="P63" s="39" t="s">
        <v>455</v>
      </c>
      <c r="Q63" s="39" t="e">
        <f t="shared" ca="1" si="4"/>
        <v>#NAME?</v>
      </c>
      <c r="R63" s="28" t="s">
        <v>112</v>
      </c>
      <c r="S63" s="39">
        <v>9940343476</v>
      </c>
      <c r="T63" s="40" t="s">
        <v>111</v>
      </c>
      <c r="U63" s="39">
        <v>2013</v>
      </c>
      <c r="V63" s="44">
        <v>2</v>
      </c>
      <c r="W63" s="44">
        <v>2</v>
      </c>
      <c r="X63" s="44">
        <v>2</v>
      </c>
      <c r="Y63" s="44">
        <v>2</v>
      </c>
      <c r="Z63" s="44">
        <v>2</v>
      </c>
      <c r="AA63" s="44">
        <v>2</v>
      </c>
      <c r="AB63" s="44">
        <v>2</v>
      </c>
      <c r="AC63" s="44">
        <v>2</v>
      </c>
      <c r="AD63" s="44">
        <v>2</v>
      </c>
      <c r="AE63" s="44">
        <v>2</v>
      </c>
      <c r="AF63" s="44">
        <v>2</v>
      </c>
      <c r="AG63" s="44">
        <v>2</v>
      </c>
      <c r="AH63" s="44">
        <v>2</v>
      </c>
      <c r="AI63" s="47">
        <v>-1</v>
      </c>
      <c r="AJ63" s="46">
        <v>-1</v>
      </c>
      <c r="AK63" s="46">
        <v>-1</v>
      </c>
      <c r="AL63" s="46">
        <v>-1</v>
      </c>
      <c r="AM63" s="46">
        <v>1</v>
      </c>
      <c r="AN63" s="46">
        <v>-1</v>
      </c>
      <c r="AO63" s="46">
        <v>-1</v>
      </c>
      <c r="AP63" s="46">
        <v>-1</v>
      </c>
      <c r="AQ63" s="46">
        <v>-1</v>
      </c>
      <c r="AR63" s="46">
        <v>-1</v>
      </c>
      <c r="AS63" s="46">
        <v>-1</v>
      </c>
      <c r="AT63" s="46">
        <v>-1</v>
      </c>
      <c r="AU63" s="46">
        <v>-1</v>
      </c>
      <c r="AV63" s="45">
        <v>-1</v>
      </c>
      <c r="AW63" s="44">
        <v>-1</v>
      </c>
      <c r="AX63" s="45">
        <v>-1</v>
      </c>
      <c r="AY63" s="45">
        <v>-1</v>
      </c>
      <c r="AZ63" s="45">
        <v>-1</v>
      </c>
      <c r="BA63" s="45">
        <v>-1</v>
      </c>
      <c r="BB63" s="45"/>
      <c r="BC63" s="45"/>
      <c r="BD63" s="45"/>
      <c r="BE63" s="45"/>
      <c r="BF63" s="47"/>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row>
    <row r="64" spans="1:134" ht="11.25" customHeight="1" x14ac:dyDescent="0.3">
      <c r="A64" s="28" t="e">
        <f t="array" aca="1" ref="A64" ca="1">_xludf.XLOOKUP(S64,Master_Registrations!P:P,Master_Registrations!A:A,"")</f>
        <v>#NAME?</v>
      </c>
      <c r="B64" s="39" t="s">
        <v>3302</v>
      </c>
      <c r="C64" s="39">
        <v>2026</v>
      </c>
      <c r="D64" s="39" t="s">
        <v>184</v>
      </c>
      <c r="E64" s="39">
        <v>2</v>
      </c>
      <c r="F64" s="40" t="str">
        <f t="shared" si="0"/>
        <v>VED-03-2026-BR-2</v>
      </c>
      <c r="G64" s="40" t="s">
        <v>3305</v>
      </c>
      <c r="H64" s="40" t="s">
        <v>3842</v>
      </c>
      <c r="I64" s="40"/>
      <c r="J64" s="39" t="s">
        <v>198</v>
      </c>
      <c r="K64" s="52"/>
      <c r="L64" s="52"/>
      <c r="M64" s="52"/>
      <c r="N64" s="40" t="s">
        <v>856</v>
      </c>
      <c r="O64" s="39" t="s">
        <v>642</v>
      </c>
      <c r="P64" s="39" t="s">
        <v>643</v>
      </c>
      <c r="Q64" s="39" t="e">
        <f t="shared" ca="1" si="4"/>
        <v>#NAME?</v>
      </c>
      <c r="R64" s="28" t="s">
        <v>112</v>
      </c>
      <c r="S64" s="39">
        <v>9414349343</v>
      </c>
      <c r="T64" s="40" t="s">
        <v>111</v>
      </c>
      <c r="U64" s="39">
        <v>2013</v>
      </c>
      <c r="V64" s="44">
        <v>2</v>
      </c>
      <c r="W64" s="44">
        <v>2</v>
      </c>
      <c r="X64" s="44">
        <v>2</v>
      </c>
      <c r="Y64" s="44">
        <v>2</v>
      </c>
      <c r="Z64" s="44">
        <v>2</v>
      </c>
      <c r="AA64" s="44">
        <v>2</v>
      </c>
      <c r="AB64" s="44">
        <v>2</v>
      </c>
      <c r="AC64" s="44">
        <v>2</v>
      </c>
      <c r="AD64" s="44">
        <v>2</v>
      </c>
      <c r="AE64" s="44">
        <v>2</v>
      </c>
      <c r="AF64" s="44">
        <v>2</v>
      </c>
      <c r="AG64" s="44">
        <v>2</v>
      </c>
      <c r="AH64" s="44">
        <v>2</v>
      </c>
      <c r="AI64" s="46">
        <v>4</v>
      </c>
      <c r="AJ64" s="44">
        <v>1</v>
      </c>
      <c r="AK64" s="46">
        <v>1</v>
      </c>
      <c r="AL64" s="46">
        <v>1</v>
      </c>
      <c r="AM64" s="46">
        <v>1</v>
      </c>
      <c r="AN64" s="46">
        <v>1</v>
      </c>
      <c r="AO64" s="46">
        <v>1</v>
      </c>
      <c r="AP64" s="46">
        <v>1</v>
      </c>
      <c r="AQ64" s="46">
        <v>-1</v>
      </c>
      <c r="AR64" s="46">
        <v>1</v>
      </c>
      <c r="AS64" s="46">
        <v>-1</v>
      </c>
      <c r="AT64" s="46">
        <v>-1</v>
      </c>
      <c r="AU64" s="46">
        <v>-1</v>
      </c>
      <c r="AV64" s="45">
        <v>-1</v>
      </c>
      <c r="AW64" s="44">
        <v>-1</v>
      </c>
      <c r="AX64" s="45">
        <v>-1</v>
      </c>
      <c r="AY64" s="45">
        <v>-1</v>
      </c>
      <c r="AZ64" s="45">
        <v>-1</v>
      </c>
      <c r="BA64" s="45">
        <v>-1</v>
      </c>
      <c r="BB64" s="45">
        <v>-1</v>
      </c>
      <c r="BC64" s="45">
        <v>-1</v>
      </c>
      <c r="BD64" s="45">
        <v>-1</v>
      </c>
      <c r="BE64" s="45"/>
      <c r="BF64" s="47"/>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row>
    <row r="65" spans="1:134" ht="11.25" customHeight="1" x14ac:dyDescent="0.3">
      <c r="A65" s="28" t="e">
        <f t="array" aca="1" ref="A65" ca="1">_xludf.XLOOKUP(S65,Master_Registrations!P:P,Master_Registrations!A:A,"")</f>
        <v>#NAME?</v>
      </c>
      <c r="B65" s="28" t="s">
        <v>3302</v>
      </c>
      <c r="C65" s="28">
        <v>2026</v>
      </c>
      <c r="D65" s="28" t="s">
        <v>184</v>
      </c>
      <c r="E65" s="28">
        <v>3</v>
      </c>
      <c r="F65" s="29" t="str">
        <f t="shared" si="0"/>
        <v>VED-03-2026-BR-3</v>
      </c>
      <c r="G65" s="29" t="s">
        <v>4346</v>
      </c>
      <c r="H65" s="29" t="s">
        <v>4347</v>
      </c>
      <c r="I65" s="29"/>
      <c r="J65" s="28" t="s">
        <v>198</v>
      </c>
      <c r="K65" s="57"/>
      <c r="L65" s="57"/>
      <c r="M65" s="57"/>
      <c r="N65" s="29" t="s">
        <v>200</v>
      </c>
      <c r="O65" s="28" t="s">
        <v>1654</v>
      </c>
      <c r="P65" s="28" t="s">
        <v>1655</v>
      </c>
      <c r="Q65" s="28" t="e">
        <f t="shared" ca="1" si="4"/>
        <v>#NAME?</v>
      </c>
      <c r="R65" s="28" t="s">
        <v>316</v>
      </c>
      <c r="S65" s="32">
        <v>3477527257</v>
      </c>
      <c r="T65" s="29" t="s">
        <v>315</v>
      </c>
      <c r="U65" s="32">
        <v>2011</v>
      </c>
      <c r="V65" s="35">
        <v>2</v>
      </c>
      <c r="W65" s="35">
        <v>2</v>
      </c>
      <c r="X65" s="35">
        <v>2</v>
      </c>
      <c r="Y65" s="35">
        <v>2</v>
      </c>
      <c r="Z65" s="35">
        <v>2</v>
      </c>
      <c r="AA65" s="35">
        <v>2</v>
      </c>
      <c r="AB65" s="35">
        <v>2</v>
      </c>
      <c r="AC65" s="35">
        <v>2</v>
      </c>
      <c r="AD65" s="35">
        <v>2</v>
      </c>
      <c r="AE65" s="35">
        <v>2</v>
      </c>
      <c r="AF65" s="35">
        <v>2</v>
      </c>
      <c r="AG65" s="35">
        <v>2</v>
      </c>
      <c r="AH65" s="35">
        <v>2</v>
      </c>
      <c r="AI65" s="35">
        <v>3</v>
      </c>
      <c r="AJ65" s="58">
        <v>2</v>
      </c>
      <c r="AK65" s="58">
        <v>2</v>
      </c>
      <c r="AL65" s="58">
        <v>2</v>
      </c>
      <c r="AM65" s="58">
        <v>2</v>
      </c>
      <c r="AN65" s="58">
        <v>2</v>
      </c>
      <c r="AO65" s="58">
        <v>2</v>
      </c>
      <c r="AP65" s="58">
        <v>2</v>
      </c>
      <c r="AQ65" s="58">
        <v>2</v>
      </c>
      <c r="AR65" s="58">
        <v>2</v>
      </c>
      <c r="AS65" s="58">
        <v>2</v>
      </c>
      <c r="AT65" s="33">
        <v>-1</v>
      </c>
      <c r="AU65" s="58">
        <v>2</v>
      </c>
      <c r="AV65" s="33">
        <v>-1</v>
      </c>
      <c r="AW65" s="33">
        <v>-1</v>
      </c>
      <c r="AX65" s="33">
        <v>-1</v>
      </c>
      <c r="AY65" s="33">
        <v>-1</v>
      </c>
      <c r="AZ65" s="33">
        <v>-1</v>
      </c>
      <c r="BA65" s="33">
        <v>-1</v>
      </c>
      <c r="BB65" s="33"/>
      <c r="BC65" s="33"/>
      <c r="BD65" s="33"/>
      <c r="BE65" s="33"/>
      <c r="BF65" s="59"/>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row>
    <row r="66" spans="1:134" ht="11.25" customHeight="1" x14ac:dyDescent="0.3">
      <c r="A66" s="28" t="e">
        <f t="array" aca="1" ref="A66" ca="1">_xludf.XLOOKUP(S66,Master_Registrations!P:P,Master_Registrations!A:A,"")</f>
        <v>#NAME?</v>
      </c>
      <c r="B66" s="28" t="s">
        <v>3302</v>
      </c>
      <c r="C66" s="28">
        <v>2026</v>
      </c>
      <c r="D66" s="28" t="s">
        <v>184</v>
      </c>
      <c r="E66" s="28">
        <v>3</v>
      </c>
      <c r="F66" s="29" t="str">
        <f t="shared" si="0"/>
        <v>VED-03-2026-BR-3</v>
      </c>
      <c r="G66" s="29" t="s">
        <v>4346</v>
      </c>
      <c r="H66" s="29" t="s">
        <v>4347</v>
      </c>
      <c r="I66" s="29"/>
      <c r="J66" s="28" t="s">
        <v>198</v>
      </c>
      <c r="K66" s="57"/>
      <c r="L66" s="57"/>
      <c r="M66" s="57"/>
      <c r="N66" s="29" t="s">
        <v>299</v>
      </c>
      <c r="O66" s="28" t="s">
        <v>4394</v>
      </c>
      <c r="P66" s="28" t="s">
        <v>4395</v>
      </c>
      <c r="Q66" s="28" t="e">
        <f t="shared" ca="1" si="4"/>
        <v>#NAME?</v>
      </c>
      <c r="R66" s="28" t="s">
        <v>316</v>
      </c>
      <c r="S66" s="32">
        <v>6192046933</v>
      </c>
      <c r="T66" s="29" t="s">
        <v>474</v>
      </c>
      <c r="U66" s="32">
        <v>2015</v>
      </c>
      <c r="V66" s="35">
        <v>2</v>
      </c>
      <c r="W66" s="35">
        <v>2</v>
      </c>
      <c r="X66" s="35">
        <v>2</v>
      </c>
      <c r="Y66" s="35">
        <v>2</v>
      </c>
      <c r="Z66" s="35">
        <v>2</v>
      </c>
      <c r="AA66" s="35">
        <v>2</v>
      </c>
      <c r="AB66" s="35">
        <v>2</v>
      </c>
      <c r="AC66" s="35">
        <v>2</v>
      </c>
      <c r="AD66" s="35">
        <v>2</v>
      </c>
      <c r="AE66" s="35">
        <v>2</v>
      </c>
      <c r="AF66" s="35">
        <v>2</v>
      </c>
      <c r="AG66" s="35">
        <v>2</v>
      </c>
      <c r="AH66" s="35">
        <v>2</v>
      </c>
      <c r="AI66" s="35">
        <v>4</v>
      </c>
      <c r="AJ66" s="58">
        <v>2</v>
      </c>
      <c r="AK66" s="58">
        <v>2</v>
      </c>
      <c r="AL66" s="58">
        <v>2</v>
      </c>
      <c r="AM66" s="58">
        <v>2</v>
      </c>
      <c r="AN66" s="58">
        <v>2</v>
      </c>
      <c r="AO66" s="58">
        <v>2</v>
      </c>
      <c r="AP66" s="58">
        <v>2</v>
      </c>
      <c r="AQ66" s="58">
        <v>2</v>
      </c>
      <c r="AR66" s="58">
        <v>-1</v>
      </c>
      <c r="AS66" s="58">
        <v>2</v>
      </c>
      <c r="AT66" s="33">
        <v>-1</v>
      </c>
      <c r="AU66" s="33">
        <v>-1</v>
      </c>
      <c r="AV66" s="33">
        <v>-1</v>
      </c>
      <c r="AW66" s="33">
        <v>-1</v>
      </c>
      <c r="AX66" s="33">
        <v>-1</v>
      </c>
      <c r="AY66" s="33">
        <v>-1</v>
      </c>
      <c r="AZ66" s="33">
        <v>-1</v>
      </c>
      <c r="BA66" s="33">
        <v>-1</v>
      </c>
      <c r="BB66" s="33"/>
      <c r="BC66" s="33"/>
      <c r="BD66" s="33"/>
      <c r="BE66" s="33"/>
      <c r="BF66" s="59"/>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row>
    <row r="67" spans="1:134" ht="11.25" customHeight="1" x14ac:dyDescent="0.3">
      <c r="A67" s="28" t="e">
        <f t="array" aca="1" ref="A67" ca="1">_xludf.XLOOKUP(S67,Master_Registrations!P:P,Master_Registrations!A:A,"")</f>
        <v>#NAME?</v>
      </c>
      <c r="B67" s="28" t="s">
        <v>3302</v>
      </c>
      <c r="C67" s="28">
        <v>2026</v>
      </c>
      <c r="D67" s="28" t="s">
        <v>184</v>
      </c>
      <c r="E67" s="28">
        <v>3</v>
      </c>
      <c r="F67" s="29" t="str">
        <f t="shared" si="0"/>
        <v>VED-03-2026-BR-3</v>
      </c>
      <c r="G67" s="29" t="s">
        <v>4346</v>
      </c>
      <c r="H67" s="29" t="s">
        <v>4347</v>
      </c>
      <c r="I67" s="29"/>
      <c r="J67" s="28" t="s">
        <v>198</v>
      </c>
      <c r="K67" s="57"/>
      <c r="L67" s="57"/>
      <c r="M67" s="57"/>
      <c r="N67" s="29" t="s">
        <v>369</v>
      </c>
      <c r="O67" s="28" t="s">
        <v>891</v>
      </c>
      <c r="P67" s="28" t="s">
        <v>1062</v>
      </c>
      <c r="Q67" s="28" t="s">
        <v>1678</v>
      </c>
      <c r="R67" s="28" t="s">
        <v>316</v>
      </c>
      <c r="S67" s="32">
        <v>4702725998</v>
      </c>
      <c r="T67" s="29" t="s">
        <v>402</v>
      </c>
      <c r="U67" s="32">
        <v>2012</v>
      </c>
      <c r="V67" s="35">
        <v>2</v>
      </c>
      <c r="W67" s="35">
        <v>2</v>
      </c>
      <c r="X67" s="35">
        <v>2</v>
      </c>
      <c r="Y67" s="35">
        <v>2</v>
      </c>
      <c r="Z67" s="35">
        <v>2</v>
      </c>
      <c r="AA67" s="35">
        <v>2</v>
      </c>
      <c r="AB67" s="35">
        <v>2</v>
      </c>
      <c r="AC67" s="35">
        <v>2</v>
      </c>
      <c r="AD67" s="35">
        <v>2</v>
      </c>
      <c r="AE67" s="35">
        <v>2</v>
      </c>
      <c r="AF67" s="35">
        <v>2</v>
      </c>
      <c r="AG67" s="35">
        <v>2</v>
      </c>
      <c r="AH67" s="35">
        <v>2</v>
      </c>
      <c r="AI67" s="35">
        <v>4</v>
      </c>
      <c r="AJ67" s="58">
        <v>2</v>
      </c>
      <c r="AK67" s="58">
        <v>2</v>
      </c>
      <c r="AL67" s="58">
        <v>2</v>
      </c>
      <c r="AM67" s="58">
        <v>2</v>
      </c>
      <c r="AN67" s="58">
        <v>2</v>
      </c>
      <c r="AO67" s="58">
        <v>2</v>
      </c>
      <c r="AP67" s="58">
        <v>2</v>
      </c>
      <c r="AQ67" s="58">
        <v>2</v>
      </c>
      <c r="AR67" s="58">
        <v>-1</v>
      </c>
      <c r="AS67" s="58">
        <v>2</v>
      </c>
      <c r="AT67" s="33">
        <v>-1</v>
      </c>
      <c r="AU67" s="33">
        <v>-1</v>
      </c>
      <c r="AV67" s="33">
        <v>-1</v>
      </c>
      <c r="AW67" s="33">
        <v>-1</v>
      </c>
      <c r="AX67" s="33">
        <v>-1</v>
      </c>
      <c r="AY67" s="33">
        <v>-1</v>
      </c>
      <c r="AZ67" s="33">
        <v>-1</v>
      </c>
      <c r="BA67" s="33">
        <v>-1</v>
      </c>
      <c r="BB67" s="33"/>
      <c r="BC67" s="33"/>
      <c r="BD67" s="33"/>
      <c r="BE67" s="33"/>
      <c r="BF67" s="59"/>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row>
    <row r="68" spans="1:134" ht="12" customHeight="1" x14ac:dyDescent="0.3">
      <c r="A68" s="28" t="e">
        <f t="array" aca="1" ref="A68" ca="1">_xludf.XLOOKUP(S68,Master_Registrations!P:P,Master_Registrations!A:A,"")</f>
        <v>#NAME?</v>
      </c>
      <c r="B68" s="28" t="s">
        <v>3302</v>
      </c>
      <c r="C68" s="28">
        <v>2026</v>
      </c>
      <c r="D68" s="28" t="s">
        <v>184</v>
      </c>
      <c r="E68" s="28">
        <v>3</v>
      </c>
      <c r="F68" s="29" t="str">
        <f t="shared" si="0"/>
        <v>VED-03-2026-BR-3</v>
      </c>
      <c r="G68" s="29" t="s">
        <v>4346</v>
      </c>
      <c r="H68" s="29" t="s">
        <v>4347</v>
      </c>
      <c r="I68" s="29"/>
      <c r="J68" s="28" t="s">
        <v>198</v>
      </c>
      <c r="K68" s="57"/>
      <c r="L68" s="57"/>
      <c r="M68" s="57"/>
      <c r="N68" s="29" t="s">
        <v>434</v>
      </c>
      <c r="O68" s="28" t="s">
        <v>4499</v>
      </c>
      <c r="P68" s="28" t="s">
        <v>4500</v>
      </c>
      <c r="Q68" s="28" t="s">
        <v>4501</v>
      </c>
      <c r="R68" s="28" t="s">
        <v>316</v>
      </c>
      <c r="S68" s="32">
        <v>2409949102</v>
      </c>
      <c r="T68" s="29" t="s">
        <v>315</v>
      </c>
      <c r="U68" s="32">
        <v>2011</v>
      </c>
      <c r="V68" s="35">
        <v>2</v>
      </c>
      <c r="W68" s="35">
        <v>2</v>
      </c>
      <c r="X68" s="35">
        <v>2</v>
      </c>
      <c r="Y68" s="35">
        <v>2</v>
      </c>
      <c r="Z68" s="35">
        <v>2</v>
      </c>
      <c r="AA68" s="35">
        <v>2</v>
      </c>
      <c r="AB68" s="35">
        <v>2</v>
      </c>
      <c r="AC68" s="35">
        <v>2</v>
      </c>
      <c r="AD68" s="35">
        <v>2</v>
      </c>
      <c r="AE68" s="35">
        <v>2</v>
      </c>
      <c r="AF68" s="35">
        <v>2</v>
      </c>
      <c r="AG68" s="35">
        <v>2</v>
      </c>
      <c r="AH68" s="35">
        <v>2</v>
      </c>
      <c r="AI68" s="35">
        <v>3</v>
      </c>
      <c r="AJ68" s="58">
        <v>2</v>
      </c>
      <c r="AK68" s="58">
        <v>2</v>
      </c>
      <c r="AL68" s="58">
        <v>2</v>
      </c>
      <c r="AM68" s="58">
        <v>2</v>
      </c>
      <c r="AN68" s="58">
        <v>2</v>
      </c>
      <c r="AO68" s="58">
        <v>2</v>
      </c>
      <c r="AP68" s="58">
        <v>-1</v>
      </c>
      <c r="AQ68" s="58">
        <v>-1</v>
      </c>
      <c r="AR68" s="58">
        <v>-1</v>
      </c>
      <c r="AS68" s="58">
        <v>-1</v>
      </c>
      <c r="AT68" s="33">
        <v>-1</v>
      </c>
      <c r="AU68" s="33">
        <v>-1</v>
      </c>
      <c r="AV68" s="33">
        <v>-1</v>
      </c>
      <c r="AW68" s="33">
        <v>-1</v>
      </c>
      <c r="AX68" s="33">
        <v>-1</v>
      </c>
      <c r="AY68" s="33">
        <v>-1</v>
      </c>
      <c r="AZ68" s="33">
        <v>-1</v>
      </c>
      <c r="BA68" s="33">
        <v>-1</v>
      </c>
      <c r="BB68" s="33"/>
      <c r="BC68" s="33"/>
      <c r="BD68" s="33"/>
      <c r="BE68" s="33"/>
      <c r="BF68" s="59"/>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row>
    <row r="69" spans="1:134" ht="11.25" customHeight="1" x14ac:dyDescent="0.3">
      <c r="A69" s="28" t="e">
        <f t="array" aca="1" ref="A69" ca="1">_xludf.XLOOKUP(S69,Master_Registrations!P:P,Master_Registrations!A:A,"")</f>
        <v>#NAME?</v>
      </c>
      <c r="B69" s="39" t="s">
        <v>4565</v>
      </c>
      <c r="C69" s="39">
        <v>2026</v>
      </c>
      <c r="D69" s="39" t="s">
        <v>184</v>
      </c>
      <c r="E69" s="39">
        <v>1</v>
      </c>
      <c r="F69" s="40" t="str">
        <f t="shared" si="0"/>
        <v>VED-07-2026-BR-1</v>
      </c>
      <c r="G69" s="40" t="s">
        <v>4569</v>
      </c>
      <c r="H69" s="40" t="s">
        <v>4569</v>
      </c>
      <c r="I69" s="40"/>
      <c r="J69" s="39" t="s">
        <v>198</v>
      </c>
      <c r="K69" s="60"/>
      <c r="L69" s="60"/>
      <c r="M69" s="60"/>
      <c r="N69" s="40" t="s">
        <v>200</v>
      </c>
      <c r="O69" s="39" t="s">
        <v>4578</v>
      </c>
      <c r="P69" s="39" t="s">
        <v>4579</v>
      </c>
      <c r="Q69" s="39" t="s">
        <v>4581</v>
      </c>
      <c r="R69" s="39" t="s">
        <v>316</v>
      </c>
      <c r="S69" s="43">
        <v>4083293168</v>
      </c>
      <c r="T69" s="40" t="s">
        <v>315</v>
      </c>
      <c r="U69" s="40">
        <v>2012</v>
      </c>
      <c r="V69" s="46">
        <v>2</v>
      </c>
      <c r="W69" s="46">
        <v>2</v>
      </c>
      <c r="X69" s="46">
        <v>2</v>
      </c>
      <c r="Y69" s="46">
        <v>2</v>
      </c>
      <c r="Z69" s="46">
        <v>2</v>
      </c>
      <c r="AA69" s="46">
        <v>2</v>
      </c>
      <c r="AB69" s="46">
        <v>2</v>
      </c>
      <c r="AC69" s="46">
        <v>2</v>
      </c>
      <c r="AD69" s="46">
        <v>2</v>
      </c>
      <c r="AE69" s="46">
        <v>2</v>
      </c>
      <c r="AF69" s="46">
        <v>2</v>
      </c>
      <c r="AG69" s="46">
        <v>2</v>
      </c>
      <c r="AH69" s="46">
        <v>2</v>
      </c>
      <c r="AI69" s="46">
        <v>4</v>
      </c>
      <c r="AJ69" s="46">
        <v>2</v>
      </c>
      <c r="AK69" s="46">
        <v>2</v>
      </c>
      <c r="AL69" s="46">
        <v>2</v>
      </c>
      <c r="AM69" s="46">
        <v>2</v>
      </c>
      <c r="AN69" s="46">
        <v>2</v>
      </c>
      <c r="AO69" s="46">
        <v>2</v>
      </c>
      <c r="AP69" s="46">
        <v>2</v>
      </c>
      <c r="AQ69" s="46">
        <v>2</v>
      </c>
      <c r="AR69" s="46">
        <v>2</v>
      </c>
      <c r="AS69" s="46">
        <v>2</v>
      </c>
      <c r="AT69" s="46">
        <v>2</v>
      </c>
      <c r="AU69" s="46">
        <v>2</v>
      </c>
      <c r="AV69" s="46">
        <v>4</v>
      </c>
      <c r="AW69" s="46">
        <v>2</v>
      </c>
      <c r="AX69" s="46">
        <v>2</v>
      </c>
      <c r="AY69" s="46">
        <v>2</v>
      </c>
      <c r="AZ69" s="46">
        <v>2</v>
      </c>
      <c r="BA69" s="46">
        <v>2</v>
      </c>
      <c r="BB69" s="46">
        <v>2</v>
      </c>
      <c r="BC69" s="46">
        <v>2</v>
      </c>
      <c r="BD69" s="46">
        <v>2</v>
      </c>
      <c r="BE69" s="46">
        <v>2</v>
      </c>
      <c r="BF69" s="46">
        <v>4</v>
      </c>
      <c r="BG69" s="46">
        <v>2</v>
      </c>
      <c r="BH69" s="46">
        <v>2</v>
      </c>
      <c r="BI69" s="46">
        <v>2</v>
      </c>
      <c r="BJ69" s="46">
        <v>2</v>
      </c>
      <c r="BK69" s="46">
        <v>2</v>
      </c>
      <c r="BL69" s="46">
        <v>2</v>
      </c>
      <c r="BM69" s="46">
        <v>4</v>
      </c>
      <c r="BN69" s="44">
        <v>2</v>
      </c>
      <c r="BO69" s="44">
        <v>2</v>
      </c>
      <c r="BP69" s="44">
        <v>2</v>
      </c>
      <c r="BQ69" s="44">
        <v>2</v>
      </c>
      <c r="BR69" s="44">
        <v>2</v>
      </c>
      <c r="BS69" s="44">
        <v>2</v>
      </c>
      <c r="BT69" s="44">
        <v>2</v>
      </c>
      <c r="BU69" s="44">
        <v>2</v>
      </c>
      <c r="BV69" s="61">
        <v>4</v>
      </c>
      <c r="BW69" s="44">
        <v>1</v>
      </c>
      <c r="BX69" s="44">
        <v>1</v>
      </c>
      <c r="BY69" s="44">
        <v>-1</v>
      </c>
      <c r="BZ69" s="44">
        <v>-1</v>
      </c>
      <c r="CA69" s="44">
        <v>-1</v>
      </c>
      <c r="CB69" s="44">
        <v>-1</v>
      </c>
      <c r="CC69" s="44">
        <v>-1</v>
      </c>
      <c r="CD69" s="44">
        <v>-1</v>
      </c>
      <c r="CE69" s="44">
        <v>-1</v>
      </c>
      <c r="CF69" s="44">
        <v>-1</v>
      </c>
      <c r="CG69" s="44">
        <v>-1</v>
      </c>
      <c r="CH69" s="44">
        <v>-1</v>
      </c>
      <c r="CI69" s="44">
        <v>-1</v>
      </c>
      <c r="CJ69" s="44">
        <v>-1</v>
      </c>
      <c r="CK69" s="44">
        <v>-1</v>
      </c>
      <c r="CL69" s="44">
        <v>-1</v>
      </c>
      <c r="CM69" s="61">
        <v>-1</v>
      </c>
      <c r="CN69" s="61">
        <v>-1</v>
      </c>
      <c r="CO69" s="61">
        <v>-1</v>
      </c>
      <c r="CP69" s="61">
        <v>-1</v>
      </c>
      <c r="CQ69" s="61">
        <v>-1</v>
      </c>
      <c r="CR69" s="61">
        <v>-1</v>
      </c>
      <c r="CS69" s="61">
        <v>-1</v>
      </c>
      <c r="CT69" s="61">
        <v>-1</v>
      </c>
      <c r="CU69" s="61">
        <v>-1</v>
      </c>
      <c r="CV69" s="61">
        <v>-1</v>
      </c>
      <c r="CW69" s="45">
        <v>-1</v>
      </c>
      <c r="CX69" s="45">
        <v>-1</v>
      </c>
      <c r="CY69" s="61">
        <v>-1</v>
      </c>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row>
    <row r="70" spans="1:134" ht="11.25" customHeight="1" x14ac:dyDescent="0.3">
      <c r="A70" s="28" t="e">
        <f t="array" aca="1" ref="A70" ca="1">_xludf.XLOOKUP(S70,Master_Registrations!P:P,Master_Registrations!A:A,"")</f>
        <v>#NAME?</v>
      </c>
      <c r="B70" s="39" t="s">
        <v>4565</v>
      </c>
      <c r="C70" s="39">
        <v>2026</v>
      </c>
      <c r="D70" s="39" t="s">
        <v>184</v>
      </c>
      <c r="E70" s="39">
        <v>1</v>
      </c>
      <c r="F70" s="40" t="str">
        <f t="shared" si="0"/>
        <v>VED-07-2026-BR-1</v>
      </c>
      <c r="G70" s="40" t="s">
        <v>4569</v>
      </c>
      <c r="H70" s="40" t="s">
        <v>4569</v>
      </c>
      <c r="I70" s="40"/>
      <c r="J70" s="39" t="s">
        <v>198</v>
      </c>
      <c r="K70" s="60"/>
      <c r="L70" s="60"/>
      <c r="M70" s="60"/>
      <c r="N70" s="40" t="s">
        <v>299</v>
      </c>
      <c r="O70" s="39" t="s">
        <v>4627</v>
      </c>
      <c r="P70" s="39" t="s">
        <v>4628</v>
      </c>
      <c r="Q70" s="39" t="s">
        <v>4630</v>
      </c>
      <c r="R70" s="39" t="s">
        <v>316</v>
      </c>
      <c r="S70" s="43">
        <v>5122001974</v>
      </c>
      <c r="T70" s="40" t="s">
        <v>315</v>
      </c>
      <c r="U70" s="40">
        <v>2009</v>
      </c>
      <c r="V70" s="46">
        <v>2</v>
      </c>
      <c r="W70" s="46">
        <v>2</v>
      </c>
      <c r="X70" s="46">
        <v>2</v>
      </c>
      <c r="Y70" s="46">
        <v>2</v>
      </c>
      <c r="Z70" s="46">
        <v>2</v>
      </c>
      <c r="AA70" s="46">
        <v>2</v>
      </c>
      <c r="AB70" s="46">
        <v>2</v>
      </c>
      <c r="AC70" s="46">
        <v>2</v>
      </c>
      <c r="AD70" s="46">
        <v>2</v>
      </c>
      <c r="AE70" s="46">
        <v>2</v>
      </c>
      <c r="AF70" s="46">
        <v>2</v>
      </c>
      <c r="AG70" s="46">
        <v>2</v>
      </c>
      <c r="AH70" s="46">
        <v>2</v>
      </c>
      <c r="AI70" s="46">
        <v>4</v>
      </c>
      <c r="AJ70" s="46">
        <v>2</v>
      </c>
      <c r="AK70" s="46">
        <v>2</v>
      </c>
      <c r="AL70" s="46">
        <v>2</v>
      </c>
      <c r="AM70" s="46">
        <v>2</v>
      </c>
      <c r="AN70" s="46">
        <v>2</v>
      </c>
      <c r="AO70" s="46">
        <v>2</v>
      </c>
      <c r="AP70" s="46">
        <v>2</v>
      </c>
      <c r="AQ70" s="46">
        <v>2</v>
      </c>
      <c r="AR70" s="46">
        <v>2</v>
      </c>
      <c r="AS70" s="46">
        <v>2</v>
      </c>
      <c r="AT70" s="46">
        <v>2</v>
      </c>
      <c r="AU70" s="46">
        <v>2</v>
      </c>
      <c r="AV70" s="46">
        <v>4</v>
      </c>
      <c r="AW70" s="46">
        <v>2</v>
      </c>
      <c r="AX70" s="46">
        <v>2</v>
      </c>
      <c r="AY70" s="46">
        <v>2</v>
      </c>
      <c r="AZ70" s="46">
        <v>2</v>
      </c>
      <c r="BA70" s="46">
        <v>2</v>
      </c>
      <c r="BB70" s="46">
        <v>2</v>
      </c>
      <c r="BC70" s="46">
        <v>2</v>
      </c>
      <c r="BD70" s="46">
        <v>2</v>
      </c>
      <c r="BE70" s="46">
        <v>2</v>
      </c>
      <c r="BF70" s="46">
        <v>4</v>
      </c>
      <c r="BG70" s="46">
        <v>2</v>
      </c>
      <c r="BH70" s="46">
        <v>2</v>
      </c>
      <c r="BI70" s="46">
        <v>2</v>
      </c>
      <c r="BJ70" s="46">
        <v>2</v>
      </c>
      <c r="BK70" s="46">
        <v>2</v>
      </c>
      <c r="BL70" s="46">
        <v>2</v>
      </c>
      <c r="BM70" s="46">
        <v>4</v>
      </c>
      <c r="BN70" s="44">
        <v>2</v>
      </c>
      <c r="BO70" s="44">
        <v>2</v>
      </c>
      <c r="BP70" s="44">
        <v>2</v>
      </c>
      <c r="BQ70" s="44">
        <v>2</v>
      </c>
      <c r="BR70" s="44">
        <v>2</v>
      </c>
      <c r="BS70" s="44">
        <v>2</v>
      </c>
      <c r="BT70" s="44">
        <v>2</v>
      </c>
      <c r="BU70" s="44">
        <v>2</v>
      </c>
      <c r="BV70" s="61">
        <v>4</v>
      </c>
      <c r="BW70" s="44">
        <v>1</v>
      </c>
      <c r="BX70" s="44">
        <v>1</v>
      </c>
      <c r="BY70" s="44">
        <v>-1</v>
      </c>
      <c r="BZ70" s="44">
        <v>-1</v>
      </c>
      <c r="CA70" s="44">
        <v>-1</v>
      </c>
      <c r="CB70" s="44">
        <v>-1</v>
      </c>
      <c r="CC70" s="44">
        <v>-1</v>
      </c>
      <c r="CD70" s="44">
        <v>-1</v>
      </c>
      <c r="CE70" s="44">
        <v>-1</v>
      </c>
      <c r="CF70" s="44">
        <v>-1</v>
      </c>
      <c r="CG70" s="44">
        <v>-1</v>
      </c>
      <c r="CH70" s="44">
        <v>-1</v>
      </c>
      <c r="CI70" s="44">
        <v>-1</v>
      </c>
      <c r="CJ70" s="44">
        <v>-1</v>
      </c>
      <c r="CK70" s="44">
        <v>-1</v>
      </c>
      <c r="CL70" s="44">
        <v>-1</v>
      </c>
      <c r="CM70" s="61">
        <v>-1</v>
      </c>
      <c r="CN70" s="61">
        <v>-1</v>
      </c>
      <c r="CO70" s="61">
        <v>-1</v>
      </c>
      <c r="CP70" s="61">
        <v>-1</v>
      </c>
      <c r="CQ70" s="61">
        <v>-1</v>
      </c>
      <c r="CR70" s="61">
        <v>-1</v>
      </c>
      <c r="CS70" s="61">
        <v>-1</v>
      </c>
      <c r="CT70" s="61">
        <v>-1</v>
      </c>
      <c r="CU70" s="61">
        <v>-1</v>
      </c>
      <c r="CV70" s="61">
        <v>-1</v>
      </c>
      <c r="CW70" s="45">
        <v>-1</v>
      </c>
      <c r="CX70" s="45">
        <v>-1</v>
      </c>
      <c r="CY70" s="61">
        <v>-1</v>
      </c>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row>
    <row r="71" spans="1:134" ht="11.25" customHeight="1" x14ac:dyDescent="0.3">
      <c r="A71" s="28" t="e">
        <f t="array" aca="1" ref="A71" ca="1">_xludf.XLOOKUP(S71,Master_Registrations!P:P,Master_Registrations!A:A,"")</f>
        <v>#NAME?</v>
      </c>
      <c r="B71" s="39" t="s">
        <v>4565</v>
      </c>
      <c r="C71" s="39">
        <v>2026</v>
      </c>
      <c r="D71" s="39" t="s">
        <v>184</v>
      </c>
      <c r="E71" s="39">
        <v>1</v>
      </c>
      <c r="F71" s="40" t="str">
        <f t="shared" si="0"/>
        <v>VED-07-2026-BR-1</v>
      </c>
      <c r="G71" s="40" t="s">
        <v>4569</v>
      </c>
      <c r="H71" s="40" t="s">
        <v>4569</v>
      </c>
      <c r="I71" s="40"/>
      <c r="J71" s="39" t="s">
        <v>198</v>
      </c>
      <c r="K71" s="60"/>
      <c r="L71" s="60"/>
      <c r="M71" s="60"/>
      <c r="N71" s="40" t="s">
        <v>369</v>
      </c>
      <c r="O71" s="39" t="s">
        <v>4680</v>
      </c>
      <c r="P71" s="39" t="s">
        <v>4681</v>
      </c>
      <c r="Q71" s="39" t="e">
        <f t="shared" ref="Q71:Q325" ca="1" si="5">_xludf.TEXTJOIN(" ",TRUE,O71:P71)</f>
        <v>#NAME?</v>
      </c>
      <c r="R71" s="28" t="s">
        <v>112</v>
      </c>
      <c r="S71" s="43">
        <v>8767128990</v>
      </c>
      <c r="T71" s="40" t="s">
        <v>111</v>
      </c>
      <c r="U71" s="40">
        <v>2009</v>
      </c>
      <c r="V71" s="46">
        <v>2</v>
      </c>
      <c r="W71" s="46">
        <v>2</v>
      </c>
      <c r="X71" s="46">
        <v>2</v>
      </c>
      <c r="Y71" s="46">
        <v>2</v>
      </c>
      <c r="Z71" s="46">
        <v>2</v>
      </c>
      <c r="AA71" s="46">
        <v>2</v>
      </c>
      <c r="AB71" s="46">
        <v>2</v>
      </c>
      <c r="AC71" s="46">
        <v>2</v>
      </c>
      <c r="AD71" s="46">
        <v>2</v>
      </c>
      <c r="AE71" s="46">
        <v>2</v>
      </c>
      <c r="AF71" s="46">
        <v>2</v>
      </c>
      <c r="AG71" s="46">
        <v>2</v>
      </c>
      <c r="AH71" s="46">
        <v>2</v>
      </c>
      <c r="AI71" s="46">
        <v>4</v>
      </c>
      <c r="AJ71" s="46">
        <v>2</v>
      </c>
      <c r="AK71" s="46">
        <v>2</v>
      </c>
      <c r="AL71" s="46">
        <v>2</v>
      </c>
      <c r="AM71" s="46">
        <v>2</v>
      </c>
      <c r="AN71" s="46">
        <v>2</v>
      </c>
      <c r="AO71" s="46">
        <v>2</v>
      </c>
      <c r="AP71" s="46">
        <v>2</v>
      </c>
      <c r="AQ71" s="46">
        <v>2</v>
      </c>
      <c r="AR71" s="46">
        <v>2</v>
      </c>
      <c r="AS71" s="46">
        <v>2</v>
      </c>
      <c r="AT71" s="46">
        <v>2</v>
      </c>
      <c r="AU71" s="46">
        <v>2</v>
      </c>
      <c r="AV71" s="46">
        <v>4</v>
      </c>
      <c r="AW71" s="46">
        <v>2</v>
      </c>
      <c r="AX71" s="46">
        <v>2</v>
      </c>
      <c r="AY71" s="46">
        <v>2</v>
      </c>
      <c r="AZ71" s="46">
        <v>2</v>
      </c>
      <c r="BA71" s="46">
        <v>2</v>
      </c>
      <c r="BB71" s="46">
        <v>2</v>
      </c>
      <c r="BC71" s="46">
        <v>2</v>
      </c>
      <c r="BD71" s="46">
        <v>2</v>
      </c>
      <c r="BE71" s="46">
        <v>2</v>
      </c>
      <c r="BF71" s="46">
        <v>4</v>
      </c>
      <c r="BG71" s="46">
        <v>2</v>
      </c>
      <c r="BH71" s="46">
        <v>2</v>
      </c>
      <c r="BI71" s="46">
        <v>2</v>
      </c>
      <c r="BJ71" s="46">
        <v>2</v>
      </c>
      <c r="BK71" s="46">
        <v>2</v>
      </c>
      <c r="BL71" s="46">
        <v>2</v>
      </c>
      <c r="BM71" s="46">
        <v>4</v>
      </c>
      <c r="BN71" s="44">
        <v>2</v>
      </c>
      <c r="BO71" s="44">
        <v>2</v>
      </c>
      <c r="BP71" s="44">
        <v>2</v>
      </c>
      <c r="BQ71" s="44">
        <v>2</v>
      </c>
      <c r="BR71" s="44">
        <v>2</v>
      </c>
      <c r="BS71" s="44">
        <v>2</v>
      </c>
      <c r="BT71" s="44">
        <v>2</v>
      </c>
      <c r="BU71" s="44">
        <v>2</v>
      </c>
      <c r="BV71" s="44">
        <v>4</v>
      </c>
      <c r="BW71" s="44">
        <v>1</v>
      </c>
      <c r="BX71" s="44">
        <v>1</v>
      </c>
      <c r="BY71" s="44">
        <v>-1</v>
      </c>
      <c r="BZ71" s="44">
        <v>-1</v>
      </c>
      <c r="CA71" s="44">
        <v>-1</v>
      </c>
      <c r="CB71" s="44">
        <v>-1</v>
      </c>
      <c r="CC71" s="44">
        <v>-1</v>
      </c>
      <c r="CD71" s="44">
        <v>-1</v>
      </c>
      <c r="CE71" s="44">
        <v>-1</v>
      </c>
      <c r="CF71" s="44">
        <v>2</v>
      </c>
      <c r="CG71" s="44">
        <v>2</v>
      </c>
      <c r="CH71" s="44">
        <v>2</v>
      </c>
      <c r="CI71" s="44">
        <v>2</v>
      </c>
      <c r="CJ71" s="44">
        <v>2</v>
      </c>
      <c r="CK71" s="44">
        <v>2</v>
      </c>
      <c r="CL71" s="44">
        <v>2</v>
      </c>
      <c r="CM71" s="62">
        <v>4</v>
      </c>
      <c r="CN71" s="61">
        <v>-1</v>
      </c>
      <c r="CO71" s="61">
        <v>-1</v>
      </c>
      <c r="CP71" s="61">
        <v>-1</v>
      </c>
      <c r="CQ71" s="61">
        <v>-1</v>
      </c>
      <c r="CR71" s="61">
        <v>-1</v>
      </c>
      <c r="CS71" s="61">
        <v>-1</v>
      </c>
      <c r="CT71" s="61">
        <v>-1</v>
      </c>
      <c r="CU71" s="61">
        <v>-1</v>
      </c>
      <c r="CV71" s="61">
        <v>-1</v>
      </c>
      <c r="CW71" s="45">
        <v>-1</v>
      </c>
      <c r="CX71" s="45">
        <v>-1</v>
      </c>
      <c r="CY71" s="61">
        <v>-1</v>
      </c>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row>
    <row r="72" spans="1:134" ht="11.25" customHeight="1" x14ac:dyDescent="0.3">
      <c r="A72" s="28" t="e">
        <f t="array" aca="1" ref="A72" ca="1">_xludf.XLOOKUP(S72,Master_Registrations!P:P,Master_Registrations!A:A,"")</f>
        <v>#NAME?</v>
      </c>
      <c r="B72" s="39" t="s">
        <v>4565</v>
      </c>
      <c r="C72" s="39">
        <v>2026</v>
      </c>
      <c r="D72" s="39" t="s">
        <v>184</v>
      </c>
      <c r="E72" s="39">
        <v>1</v>
      </c>
      <c r="F72" s="40" t="str">
        <f t="shared" si="0"/>
        <v>VED-07-2026-BR-1</v>
      </c>
      <c r="G72" s="40" t="s">
        <v>4569</v>
      </c>
      <c r="H72" s="40" t="s">
        <v>4569</v>
      </c>
      <c r="I72" s="40"/>
      <c r="J72" s="39" t="s">
        <v>198</v>
      </c>
      <c r="K72" s="60"/>
      <c r="L72" s="60"/>
      <c r="M72" s="60"/>
      <c r="N72" s="40" t="s">
        <v>434</v>
      </c>
      <c r="O72" s="39" t="s">
        <v>4733</v>
      </c>
      <c r="P72" s="39" t="s">
        <v>4734</v>
      </c>
      <c r="Q72" s="39" t="e">
        <f t="shared" ca="1" si="5"/>
        <v>#NAME?</v>
      </c>
      <c r="R72" s="28" t="s">
        <v>316</v>
      </c>
      <c r="S72" s="43">
        <v>5129065000</v>
      </c>
      <c r="T72" s="40" t="s">
        <v>402</v>
      </c>
      <c r="U72" s="40">
        <v>1997</v>
      </c>
      <c r="V72" s="46">
        <v>2</v>
      </c>
      <c r="W72" s="46">
        <v>2</v>
      </c>
      <c r="X72" s="46">
        <v>2</v>
      </c>
      <c r="Y72" s="46">
        <v>2</v>
      </c>
      <c r="Z72" s="46">
        <v>2</v>
      </c>
      <c r="AA72" s="46">
        <v>2</v>
      </c>
      <c r="AB72" s="46">
        <v>2</v>
      </c>
      <c r="AC72" s="46">
        <v>2</v>
      </c>
      <c r="AD72" s="46">
        <v>2</v>
      </c>
      <c r="AE72" s="46">
        <v>2</v>
      </c>
      <c r="AF72" s="46">
        <v>2</v>
      </c>
      <c r="AG72" s="46">
        <v>2</v>
      </c>
      <c r="AH72" s="46">
        <v>2</v>
      </c>
      <c r="AI72" s="46">
        <v>3</v>
      </c>
      <c r="AJ72" s="46">
        <v>2</v>
      </c>
      <c r="AK72" s="46">
        <v>2</v>
      </c>
      <c r="AL72" s="46">
        <v>2</v>
      </c>
      <c r="AM72" s="46">
        <v>2</v>
      </c>
      <c r="AN72" s="46">
        <v>2</v>
      </c>
      <c r="AO72" s="46">
        <v>2</v>
      </c>
      <c r="AP72" s="46">
        <v>2</v>
      </c>
      <c r="AQ72" s="46">
        <v>2</v>
      </c>
      <c r="AR72" s="46">
        <v>2</v>
      </c>
      <c r="AS72" s="46">
        <v>2</v>
      </c>
      <c r="AT72" s="46">
        <v>2</v>
      </c>
      <c r="AU72" s="46">
        <v>2</v>
      </c>
      <c r="AV72" s="46">
        <v>3</v>
      </c>
      <c r="AW72" s="46">
        <v>2</v>
      </c>
      <c r="AX72" s="46">
        <v>2</v>
      </c>
      <c r="AY72" s="46">
        <v>2</v>
      </c>
      <c r="AZ72" s="46">
        <v>2</v>
      </c>
      <c r="BA72" s="46">
        <v>2</v>
      </c>
      <c r="BB72" s="46">
        <v>2</v>
      </c>
      <c r="BC72" s="46">
        <v>2</v>
      </c>
      <c r="BD72" s="46">
        <v>2</v>
      </c>
      <c r="BE72" s="46">
        <v>2</v>
      </c>
      <c r="BF72" s="46">
        <v>4</v>
      </c>
      <c r="BG72" s="46">
        <v>2</v>
      </c>
      <c r="BH72" s="46">
        <v>2</v>
      </c>
      <c r="BI72" s="46">
        <v>2</v>
      </c>
      <c r="BJ72" s="46">
        <v>2</v>
      </c>
      <c r="BK72" s="46">
        <v>2</v>
      </c>
      <c r="BL72" s="46">
        <v>2</v>
      </c>
      <c r="BM72" s="46">
        <v>4</v>
      </c>
      <c r="BN72" s="44">
        <v>1</v>
      </c>
      <c r="BO72" s="44">
        <v>-1</v>
      </c>
      <c r="BP72" s="44">
        <v>-1</v>
      </c>
      <c r="BQ72" s="44">
        <v>0</v>
      </c>
      <c r="BR72" s="44">
        <v>0</v>
      </c>
      <c r="BS72" s="46">
        <v>-1</v>
      </c>
      <c r="BT72" s="46">
        <v>-1</v>
      </c>
      <c r="BU72" s="46">
        <v>-1</v>
      </c>
      <c r="BV72" s="61">
        <v>-1</v>
      </c>
      <c r="BW72" s="44">
        <v>1</v>
      </c>
      <c r="BX72" s="44">
        <v>1</v>
      </c>
      <c r="BY72" s="44">
        <v>-1</v>
      </c>
      <c r="BZ72" s="44">
        <v>-1</v>
      </c>
      <c r="CA72" s="44">
        <v>-1</v>
      </c>
      <c r="CB72" s="44">
        <v>-1</v>
      </c>
      <c r="CC72" s="44">
        <v>-1</v>
      </c>
      <c r="CD72" s="44">
        <v>-1</v>
      </c>
      <c r="CE72" s="44">
        <v>-1</v>
      </c>
      <c r="CF72" s="44">
        <v>2</v>
      </c>
      <c r="CG72" s="44">
        <v>2</v>
      </c>
      <c r="CH72" s="44">
        <v>2</v>
      </c>
      <c r="CI72" s="44">
        <v>2</v>
      </c>
      <c r="CJ72" s="44">
        <v>2</v>
      </c>
      <c r="CK72" s="44">
        <v>2</v>
      </c>
      <c r="CL72" s="44">
        <v>2</v>
      </c>
      <c r="CM72" s="61">
        <v>3</v>
      </c>
      <c r="CN72" s="61">
        <v>-1</v>
      </c>
      <c r="CO72" s="61">
        <v>-1</v>
      </c>
      <c r="CP72" s="61">
        <v>-1</v>
      </c>
      <c r="CQ72" s="61">
        <v>-1</v>
      </c>
      <c r="CR72" s="61">
        <v>-1</v>
      </c>
      <c r="CS72" s="61">
        <v>-1</v>
      </c>
      <c r="CT72" s="61">
        <v>-1</v>
      </c>
      <c r="CU72" s="61">
        <v>-1</v>
      </c>
      <c r="CV72" s="61">
        <v>-1</v>
      </c>
      <c r="CW72" s="45">
        <v>-1</v>
      </c>
      <c r="CX72" s="45">
        <v>-1</v>
      </c>
      <c r="CY72" s="61">
        <v>-1</v>
      </c>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row>
    <row r="73" spans="1:134" ht="11.25" customHeight="1" x14ac:dyDescent="0.3">
      <c r="A73" s="28" t="e">
        <f t="array" aca="1" ref="A73" ca="1">_xludf.XLOOKUP(S73,Master_Registrations!P:P,Master_Registrations!A:A,"")</f>
        <v>#NAME?</v>
      </c>
      <c r="B73" s="39" t="s">
        <v>4565</v>
      </c>
      <c r="C73" s="39">
        <v>2026</v>
      </c>
      <c r="D73" s="39" t="s">
        <v>184</v>
      </c>
      <c r="E73" s="39">
        <v>1</v>
      </c>
      <c r="F73" s="40" t="str">
        <f t="shared" si="0"/>
        <v>VED-07-2026-BR-1</v>
      </c>
      <c r="G73" s="40" t="s">
        <v>4569</v>
      </c>
      <c r="H73" s="40" t="s">
        <v>4569</v>
      </c>
      <c r="I73" s="40"/>
      <c r="J73" s="39" t="s">
        <v>198</v>
      </c>
      <c r="K73" s="60"/>
      <c r="L73" s="60"/>
      <c r="M73" s="60"/>
      <c r="N73" s="40" t="s">
        <v>525</v>
      </c>
      <c r="O73" s="39" t="s">
        <v>3195</v>
      </c>
      <c r="P73" s="39" t="s">
        <v>4794</v>
      </c>
      <c r="Q73" s="39" t="e">
        <f t="shared" ca="1" si="5"/>
        <v>#NAME?</v>
      </c>
      <c r="R73" s="28" t="s">
        <v>112</v>
      </c>
      <c r="S73" s="43">
        <v>9490175140</v>
      </c>
      <c r="T73" s="40" t="s">
        <v>111</v>
      </c>
      <c r="U73" s="40">
        <v>2011</v>
      </c>
      <c r="V73" s="46">
        <v>2</v>
      </c>
      <c r="W73" s="46">
        <v>2</v>
      </c>
      <c r="X73" s="46">
        <v>2</v>
      </c>
      <c r="Y73" s="46">
        <v>2</v>
      </c>
      <c r="Z73" s="46">
        <v>2</v>
      </c>
      <c r="AA73" s="46">
        <v>2</v>
      </c>
      <c r="AB73" s="46">
        <v>2</v>
      </c>
      <c r="AC73" s="46">
        <v>2</v>
      </c>
      <c r="AD73" s="46">
        <v>2</v>
      </c>
      <c r="AE73" s="46">
        <v>2</v>
      </c>
      <c r="AF73" s="46">
        <v>2</v>
      </c>
      <c r="AG73" s="46">
        <v>2</v>
      </c>
      <c r="AH73" s="46">
        <v>2</v>
      </c>
      <c r="AI73" s="46">
        <v>4</v>
      </c>
      <c r="AJ73" s="46">
        <v>2</v>
      </c>
      <c r="AK73" s="46">
        <v>2</v>
      </c>
      <c r="AL73" s="46">
        <v>2</v>
      </c>
      <c r="AM73" s="46">
        <v>2</v>
      </c>
      <c r="AN73" s="46">
        <v>2</v>
      </c>
      <c r="AO73" s="46">
        <v>2</v>
      </c>
      <c r="AP73" s="46">
        <v>2</v>
      </c>
      <c r="AQ73" s="46">
        <v>2</v>
      </c>
      <c r="AR73" s="46">
        <v>2</v>
      </c>
      <c r="AS73" s="46">
        <v>2</v>
      </c>
      <c r="AT73" s="46">
        <v>2</v>
      </c>
      <c r="AU73" s="46">
        <v>2</v>
      </c>
      <c r="AV73" s="46">
        <v>4</v>
      </c>
      <c r="AW73" s="46">
        <v>2</v>
      </c>
      <c r="AX73" s="46">
        <v>2</v>
      </c>
      <c r="AY73" s="46">
        <v>2</v>
      </c>
      <c r="AZ73" s="46">
        <v>2</v>
      </c>
      <c r="BA73" s="46">
        <v>2</v>
      </c>
      <c r="BB73" s="46">
        <v>2</v>
      </c>
      <c r="BC73" s="46">
        <v>2</v>
      </c>
      <c r="BD73" s="46">
        <v>2</v>
      </c>
      <c r="BE73" s="46">
        <v>2</v>
      </c>
      <c r="BF73" s="46">
        <v>4</v>
      </c>
      <c r="BG73" s="46">
        <v>2</v>
      </c>
      <c r="BH73" s="46">
        <v>2</v>
      </c>
      <c r="BI73" s="46">
        <v>2</v>
      </c>
      <c r="BJ73" s="46">
        <v>2</v>
      </c>
      <c r="BK73" s="46">
        <v>2</v>
      </c>
      <c r="BL73" s="46">
        <v>2</v>
      </c>
      <c r="BM73" s="46">
        <v>4</v>
      </c>
      <c r="BN73" s="44">
        <v>2</v>
      </c>
      <c r="BO73" s="44">
        <v>2</v>
      </c>
      <c r="BP73" s="44">
        <v>2</v>
      </c>
      <c r="BQ73" s="44">
        <v>2</v>
      </c>
      <c r="BR73" s="44">
        <v>2</v>
      </c>
      <c r="BS73" s="44">
        <v>2</v>
      </c>
      <c r="BT73" s="44">
        <v>2</v>
      </c>
      <c r="BU73" s="44">
        <v>2</v>
      </c>
      <c r="BV73" s="44">
        <v>4</v>
      </c>
      <c r="BW73" s="44">
        <v>1</v>
      </c>
      <c r="BX73" s="46">
        <v>1</v>
      </c>
      <c r="BY73" s="44">
        <v>-1</v>
      </c>
      <c r="BZ73" s="44">
        <v>-1</v>
      </c>
      <c r="CA73" s="44">
        <v>-1</v>
      </c>
      <c r="CB73" s="44">
        <v>-1</v>
      </c>
      <c r="CC73" s="44">
        <v>-1</v>
      </c>
      <c r="CD73" s="44">
        <v>-1</v>
      </c>
      <c r="CE73" s="44">
        <v>-1</v>
      </c>
      <c r="CF73" s="44">
        <v>2</v>
      </c>
      <c r="CG73" s="44">
        <v>2</v>
      </c>
      <c r="CH73" s="44">
        <v>2</v>
      </c>
      <c r="CI73" s="44">
        <v>2</v>
      </c>
      <c r="CJ73" s="44">
        <v>2</v>
      </c>
      <c r="CK73" s="44">
        <v>2</v>
      </c>
      <c r="CL73" s="44">
        <v>2</v>
      </c>
      <c r="CM73" s="62">
        <v>4</v>
      </c>
      <c r="CN73" s="61">
        <v>-1</v>
      </c>
      <c r="CO73" s="61">
        <v>-1</v>
      </c>
      <c r="CP73" s="61">
        <v>-1</v>
      </c>
      <c r="CQ73" s="61">
        <v>-1</v>
      </c>
      <c r="CR73" s="61">
        <v>-1</v>
      </c>
      <c r="CS73" s="61">
        <v>-1</v>
      </c>
      <c r="CT73" s="61">
        <v>-1</v>
      </c>
      <c r="CU73" s="61">
        <v>-1</v>
      </c>
      <c r="CV73" s="61">
        <v>-1</v>
      </c>
      <c r="CW73" s="45">
        <v>-1</v>
      </c>
      <c r="CX73" s="47">
        <v>-1</v>
      </c>
      <c r="CY73" s="61">
        <v>-1</v>
      </c>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row>
    <row r="74" spans="1:134" ht="11.25" customHeight="1" x14ac:dyDescent="0.3">
      <c r="A74" s="28" t="e">
        <f t="array" aca="1" ref="A74" ca="1">_xludf.XLOOKUP(S74,Master_Registrations!P:P,Master_Registrations!A:A,"")</f>
        <v>#NAME?</v>
      </c>
      <c r="B74" s="39" t="s">
        <v>4565</v>
      </c>
      <c r="C74" s="39">
        <v>2026</v>
      </c>
      <c r="D74" s="39" t="s">
        <v>184</v>
      </c>
      <c r="E74" s="39">
        <v>1</v>
      </c>
      <c r="F74" s="40" t="str">
        <f t="shared" si="0"/>
        <v>VED-07-2026-BR-1</v>
      </c>
      <c r="G74" s="40" t="s">
        <v>4569</v>
      </c>
      <c r="H74" s="40" t="s">
        <v>4569</v>
      </c>
      <c r="I74" s="40"/>
      <c r="J74" s="39" t="s">
        <v>198</v>
      </c>
      <c r="K74" s="60"/>
      <c r="L74" s="60"/>
      <c r="M74" s="60"/>
      <c r="N74" s="40" t="s">
        <v>621</v>
      </c>
      <c r="O74" s="39" t="s">
        <v>4843</v>
      </c>
      <c r="P74" s="39" t="s">
        <v>4845</v>
      </c>
      <c r="Q74" s="39" t="e">
        <f t="shared" ca="1" si="5"/>
        <v>#NAME?</v>
      </c>
      <c r="R74" s="28" t="s">
        <v>112</v>
      </c>
      <c r="S74" s="43">
        <v>9848344167</v>
      </c>
      <c r="T74" s="40" t="s">
        <v>111</v>
      </c>
      <c r="U74" s="40">
        <v>1998</v>
      </c>
      <c r="V74" s="46">
        <v>2</v>
      </c>
      <c r="W74" s="46">
        <v>2</v>
      </c>
      <c r="X74" s="46">
        <v>2</v>
      </c>
      <c r="Y74" s="46">
        <v>2</v>
      </c>
      <c r="Z74" s="46">
        <v>2</v>
      </c>
      <c r="AA74" s="46">
        <v>2</v>
      </c>
      <c r="AB74" s="46">
        <v>2</v>
      </c>
      <c r="AC74" s="46">
        <v>2</v>
      </c>
      <c r="AD74" s="46">
        <v>2</v>
      </c>
      <c r="AE74" s="46">
        <v>2</v>
      </c>
      <c r="AF74" s="46">
        <v>2</v>
      </c>
      <c r="AG74" s="46">
        <v>2</v>
      </c>
      <c r="AH74" s="46">
        <v>2</v>
      </c>
      <c r="AI74" s="46">
        <v>4</v>
      </c>
      <c r="AJ74" s="46">
        <v>2</v>
      </c>
      <c r="AK74" s="46">
        <v>2</v>
      </c>
      <c r="AL74" s="46">
        <v>2</v>
      </c>
      <c r="AM74" s="46">
        <v>2</v>
      </c>
      <c r="AN74" s="46">
        <v>2</v>
      </c>
      <c r="AO74" s="46">
        <v>2</v>
      </c>
      <c r="AP74" s="46">
        <v>2</v>
      </c>
      <c r="AQ74" s="46">
        <v>2</v>
      </c>
      <c r="AR74" s="46">
        <v>2</v>
      </c>
      <c r="AS74" s="46">
        <v>2</v>
      </c>
      <c r="AT74" s="46">
        <v>2</v>
      </c>
      <c r="AU74" s="46">
        <v>2</v>
      </c>
      <c r="AV74" s="46">
        <v>4</v>
      </c>
      <c r="AW74" s="46">
        <v>2</v>
      </c>
      <c r="AX74" s="46">
        <v>2</v>
      </c>
      <c r="AY74" s="46">
        <v>2</v>
      </c>
      <c r="AZ74" s="46">
        <v>2</v>
      </c>
      <c r="BA74" s="46">
        <v>2</v>
      </c>
      <c r="BB74" s="46">
        <v>2</v>
      </c>
      <c r="BC74" s="46">
        <v>2</v>
      </c>
      <c r="BD74" s="46">
        <v>2</v>
      </c>
      <c r="BE74" s="46">
        <v>2</v>
      </c>
      <c r="BF74" s="46">
        <v>4</v>
      </c>
      <c r="BG74" s="46">
        <v>2</v>
      </c>
      <c r="BH74" s="46">
        <v>2</v>
      </c>
      <c r="BI74" s="46">
        <v>2</v>
      </c>
      <c r="BJ74" s="46">
        <v>2</v>
      </c>
      <c r="BK74" s="46">
        <v>2</v>
      </c>
      <c r="BL74" s="46">
        <v>2</v>
      </c>
      <c r="BM74" s="46">
        <v>4</v>
      </c>
      <c r="BN74" s="44">
        <v>2</v>
      </c>
      <c r="BO74" s="44">
        <v>2</v>
      </c>
      <c r="BP74" s="44">
        <v>2</v>
      </c>
      <c r="BQ74" s="44">
        <v>2</v>
      </c>
      <c r="BR74" s="44">
        <v>2</v>
      </c>
      <c r="BS74" s="44">
        <v>2</v>
      </c>
      <c r="BT74" s="44">
        <v>2</v>
      </c>
      <c r="BU74" s="44">
        <v>2</v>
      </c>
      <c r="BV74" s="44">
        <v>4</v>
      </c>
      <c r="BW74" s="44">
        <v>1</v>
      </c>
      <c r="BX74" s="44">
        <v>1</v>
      </c>
      <c r="BY74" s="44">
        <v>-1</v>
      </c>
      <c r="BZ74" s="44">
        <v>-1</v>
      </c>
      <c r="CA74" s="44">
        <v>-1</v>
      </c>
      <c r="CB74" s="44">
        <v>-1</v>
      </c>
      <c r="CC74" s="44">
        <v>-1</v>
      </c>
      <c r="CD74" s="44">
        <v>-1</v>
      </c>
      <c r="CE74" s="44">
        <v>-1</v>
      </c>
      <c r="CF74" s="44">
        <v>2</v>
      </c>
      <c r="CG74" s="44">
        <v>2</v>
      </c>
      <c r="CH74" s="44">
        <v>2</v>
      </c>
      <c r="CI74" s="44">
        <v>2</v>
      </c>
      <c r="CJ74" s="44">
        <v>2</v>
      </c>
      <c r="CK74" s="44">
        <v>2</v>
      </c>
      <c r="CL74" s="44">
        <v>2</v>
      </c>
      <c r="CM74" s="62">
        <v>4</v>
      </c>
      <c r="CN74" s="61">
        <v>-1</v>
      </c>
      <c r="CO74" s="61">
        <v>-1</v>
      </c>
      <c r="CP74" s="61">
        <v>-1</v>
      </c>
      <c r="CQ74" s="61">
        <v>-1</v>
      </c>
      <c r="CR74" s="61">
        <v>-1</v>
      </c>
      <c r="CS74" s="61">
        <v>-1</v>
      </c>
      <c r="CT74" s="61">
        <v>-1</v>
      </c>
      <c r="CU74" s="61">
        <v>-1</v>
      </c>
      <c r="CV74" s="61">
        <v>-1</v>
      </c>
      <c r="CW74" s="45">
        <v>-1</v>
      </c>
      <c r="CX74" s="45">
        <v>-1</v>
      </c>
      <c r="CY74" s="61">
        <v>-1</v>
      </c>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row>
    <row r="75" spans="1:134" ht="11.25" customHeight="1" x14ac:dyDescent="0.3">
      <c r="A75" s="28" t="e">
        <f t="array" aca="1" ref="A75" ca="1">_xludf.XLOOKUP(S75,Master_Registrations!P:P,Master_Registrations!A:A,"")</f>
        <v>#NAME?</v>
      </c>
      <c r="B75" s="28" t="s">
        <v>182</v>
      </c>
      <c r="C75" s="28">
        <v>2026</v>
      </c>
      <c r="D75" s="28" t="s">
        <v>4886</v>
      </c>
      <c r="E75" s="28">
        <v>1</v>
      </c>
      <c r="F75" s="29" t="str">
        <f t="shared" si="0"/>
        <v>VED-01-2026-GR-1</v>
      </c>
      <c r="G75" s="28" t="s">
        <v>4888</v>
      </c>
      <c r="H75" s="28" t="s">
        <v>4889</v>
      </c>
      <c r="I75" s="28"/>
      <c r="J75" s="28" t="s">
        <v>198</v>
      </c>
      <c r="K75" s="30"/>
      <c r="L75" s="30"/>
      <c r="M75" s="30"/>
      <c r="N75" s="28" t="s">
        <v>200</v>
      </c>
      <c r="O75" s="28" t="s">
        <v>1380</v>
      </c>
      <c r="P75" s="28" t="s">
        <v>4064</v>
      </c>
      <c r="Q75" s="28" t="e">
        <f t="shared" ca="1" si="5"/>
        <v>#NAME?</v>
      </c>
      <c r="R75" s="28" t="s">
        <v>112</v>
      </c>
      <c r="S75" s="55">
        <v>9701562945</v>
      </c>
      <c r="T75" s="29" t="s">
        <v>111</v>
      </c>
      <c r="U75" s="28">
        <v>1975</v>
      </c>
      <c r="V75" s="35">
        <v>1</v>
      </c>
      <c r="W75" s="33">
        <v>-1</v>
      </c>
      <c r="X75" s="33">
        <v>-1</v>
      </c>
      <c r="Y75" s="33">
        <v>-1</v>
      </c>
      <c r="Z75" s="33">
        <v>-1</v>
      </c>
      <c r="AA75" s="33">
        <v>-1</v>
      </c>
      <c r="AB75" s="33"/>
      <c r="AC75" s="33"/>
      <c r="AD75" s="33"/>
      <c r="AE75" s="33"/>
      <c r="AF75" s="33"/>
      <c r="AG75" s="33"/>
      <c r="AH75" s="33"/>
      <c r="AI75" s="33"/>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row>
    <row r="76" spans="1:134" ht="11.25" customHeight="1" x14ac:dyDescent="0.3">
      <c r="A76" s="28" t="e">
        <f t="array" aca="1" ref="A76" ca="1">_xludf.XLOOKUP(S76,Master_Registrations!P:P,Master_Registrations!A:A,"")</f>
        <v>#NAME?</v>
      </c>
      <c r="B76" s="28" t="s">
        <v>182</v>
      </c>
      <c r="C76" s="28">
        <v>2026</v>
      </c>
      <c r="D76" s="28" t="s">
        <v>4886</v>
      </c>
      <c r="E76" s="28">
        <v>1</v>
      </c>
      <c r="F76" s="29" t="str">
        <f t="shared" si="0"/>
        <v>VED-01-2026-GR-1</v>
      </c>
      <c r="G76" s="28" t="s">
        <v>4888</v>
      </c>
      <c r="H76" s="28" t="s">
        <v>4889</v>
      </c>
      <c r="I76" s="28"/>
      <c r="J76" s="28" t="s">
        <v>198</v>
      </c>
      <c r="K76" s="30"/>
      <c r="L76" s="30"/>
      <c r="M76" s="30"/>
      <c r="N76" s="28" t="s">
        <v>299</v>
      </c>
      <c r="O76" s="28" t="s">
        <v>4039</v>
      </c>
      <c r="P76" s="28" t="s">
        <v>4040</v>
      </c>
      <c r="Q76" s="28" t="e">
        <f t="shared" ca="1" si="5"/>
        <v>#NAME?</v>
      </c>
      <c r="R76" s="28" t="s">
        <v>112</v>
      </c>
      <c r="S76" s="55">
        <v>9490611088</v>
      </c>
      <c r="T76" s="29" t="s">
        <v>111</v>
      </c>
      <c r="U76" s="28">
        <v>1962</v>
      </c>
      <c r="V76" s="35">
        <v>1</v>
      </c>
      <c r="W76" s="33">
        <v>-1</v>
      </c>
      <c r="X76" s="33">
        <v>-1</v>
      </c>
      <c r="Y76" s="33">
        <v>-1</v>
      </c>
      <c r="Z76" s="33">
        <v>-1</v>
      </c>
      <c r="AA76" s="33">
        <v>-1</v>
      </c>
      <c r="AB76" s="33"/>
      <c r="AC76" s="33"/>
      <c r="AD76" s="33"/>
      <c r="AE76" s="33"/>
      <c r="AF76" s="33"/>
      <c r="AG76" s="33"/>
      <c r="AH76" s="33"/>
      <c r="AI76" s="33"/>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row>
    <row r="77" spans="1:134" ht="11.25" customHeight="1" x14ac:dyDescent="0.3">
      <c r="A77" s="28" t="e">
        <f t="array" aca="1" ref="A77" ca="1">_xludf.XLOOKUP(S77,Master_Registrations!P:P,Master_Registrations!A:A,"")</f>
        <v>#NAME?</v>
      </c>
      <c r="B77" s="28" t="s">
        <v>182</v>
      </c>
      <c r="C77" s="28">
        <v>2026</v>
      </c>
      <c r="D77" s="28" t="s">
        <v>4886</v>
      </c>
      <c r="E77" s="28">
        <v>1</v>
      </c>
      <c r="F77" s="29" t="str">
        <f t="shared" si="0"/>
        <v>VED-01-2026-GR-1</v>
      </c>
      <c r="G77" s="28" t="s">
        <v>4888</v>
      </c>
      <c r="H77" s="28" t="s">
        <v>4889</v>
      </c>
      <c r="I77" s="28"/>
      <c r="J77" s="28" t="s">
        <v>198</v>
      </c>
      <c r="K77" s="30"/>
      <c r="L77" s="30"/>
      <c r="M77" s="30"/>
      <c r="N77" s="28" t="s">
        <v>369</v>
      </c>
      <c r="O77" s="28" t="s">
        <v>4108</v>
      </c>
      <c r="P77" s="28" t="s">
        <v>1584</v>
      </c>
      <c r="Q77" s="28" t="e">
        <f t="shared" ca="1" si="5"/>
        <v>#NAME?</v>
      </c>
      <c r="R77" s="28" t="s">
        <v>112</v>
      </c>
      <c r="S77" s="55">
        <v>7708139933</v>
      </c>
      <c r="T77" s="29" t="s">
        <v>111</v>
      </c>
      <c r="U77" s="28">
        <v>1995</v>
      </c>
      <c r="V77" s="33">
        <v>-1</v>
      </c>
      <c r="W77" s="33">
        <v>-1</v>
      </c>
      <c r="X77" s="33">
        <v>-1</v>
      </c>
      <c r="Y77" s="33">
        <v>-1</v>
      </c>
      <c r="Z77" s="33">
        <v>-1</v>
      </c>
      <c r="AA77" s="33">
        <v>-1</v>
      </c>
      <c r="AB77" s="33"/>
      <c r="AC77" s="33"/>
      <c r="AD77" s="33"/>
      <c r="AE77" s="33"/>
      <c r="AF77" s="33"/>
      <c r="AG77" s="33"/>
      <c r="AH77" s="33"/>
      <c r="AI77" s="33"/>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row>
    <row r="78" spans="1:134" ht="11.25" customHeight="1" x14ac:dyDescent="0.3">
      <c r="A78" s="28" t="e">
        <f t="array" aca="1" ref="A78" ca="1">_xludf.XLOOKUP(S78,Master_Registrations!P:P,Master_Registrations!A:A,"")</f>
        <v>#NAME?</v>
      </c>
      <c r="B78" s="28" t="s">
        <v>182</v>
      </c>
      <c r="C78" s="28">
        <v>2026</v>
      </c>
      <c r="D78" s="28" t="s">
        <v>4886</v>
      </c>
      <c r="E78" s="28">
        <v>1</v>
      </c>
      <c r="F78" s="29" t="str">
        <f t="shared" si="0"/>
        <v>VED-01-2026-GR-1</v>
      </c>
      <c r="G78" s="28" t="s">
        <v>4888</v>
      </c>
      <c r="H78" s="28" t="s">
        <v>4889</v>
      </c>
      <c r="I78" s="28"/>
      <c r="J78" s="28" t="s">
        <v>198</v>
      </c>
      <c r="K78" s="30"/>
      <c r="L78" s="30"/>
      <c r="M78" s="30"/>
      <c r="N78" s="28" t="s">
        <v>434</v>
      </c>
      <c r="O78" s="28" t="s">
        <v>2522</v>
      </c>
      <c r="P78" s="28" t="s">
        <v>281</v>
      </c>
      <c r="Q78" s="28" t="e">
        <f t="shared" ca="1" si="5"/>
        <v>#NAME?</v>
      </c>
      <c r="R78" s="28" t="s">
        <v>112</v>
      </c>
      <c r="S78" s="55">
        <v>9490523130</v>
      </c>
      <c r="T78" s="29" t="s">
        <v>111</v>
      </c>
      <c r="U78" s="28">
        <v>1974</v>
      </c>
      <c r="V78" s="35">
        <v>1</v>
      </c>
      <c r="W78" s="33">
        <v>-1</v>
      </c>
      <c r="X78" s="33">
        <v>-1</v>
      </c>
      <c r="Y78" s="33">
        <v>-1</v>
      </c>
      <c r="Z78" s="33">
        <v>-1</v>
      </c>
      <c r="AA78" s="33">
        <v>-1</v>
      </c>
      <c r="AB78" s="33"/>
      <c r="AC78" s="33"/>
      <c r="AD78" s="33"/>
      <c r="AE78" s="33"/>
      <c r="AF78" s="33"/>
      <c r="AG78" s="33"/>
      <c r="AH78" s="33"/>
      <c r="AI78" s="33"/>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row>
    <row r="79" spans="1:134" ht="11.25" customHeight="1" x14ac:dyDescent="0.3">
      <c r="A79" s="28" t="e">
        <f t="array" aca="1" ref="A79" ca="1">_xludf.XLOOKUP(S79,Master_Registrations!P:P,Master_Registrations!A:A,"")</f>
        <v>#NAME?</v>
      </c>
      <c r="B79" s="28" t="s">
        <v>182</v>
      </c>
      <c r="C79" s="28">
        <v>2026</v>
      </c>
      <c r="D79" s="28" t="s">
        <v>4886</v>
      </c>
      <c r="E79" s="28">
        <v>1</v>
      </c>
      <c r="F79" s="29" t="str">
        <f t="shared" si="0"/>
        <v>VED-01-2026-GR-1</v>
      </c>
      <c r="G79" s="28" t="s">
        <v>4888</v>
      </c>
      <c r="H79" s="28" t="s">
        <v>4889</v>
      </c>
      <c r="I79" s="28"/>
      <c r="J79" s="28" t="s">
        <v>198</v>
      </c>
      <c r="K79" s="30"/>
      <c r="L79" s="30"/>
      <c r="M79" s="30"/>
      <c r="N79" s="28" t="s">
        <v>525</v>
      </c>
      <c r="O79" s="28" t="s">
        <v>4242</v>
      </c>
      <c r="P79" s="28" t="s">
        <v>4243</v>
      </c>
      <c r="Q79" s="28" t="e">
        <f t="shared" ca="1" si="5"/>
        <v>#NAME?</v>
      </c>
      <c r="R79" s="28" t="s">
        <v>112</v>
      </c>
      <c r="S79" s="55">
        <v>9030339587</v>
      </c>
      <c r="T79" s="29" t="s">
        <v>111</v>
      </c>
      <c r="U79" s="28">
        <v>1967</v>
      </c>
      <c r="V79" s="33">
        <v>-1</v>
      </c>
      <c r="W79" s="33">
        <v>-1</v>
      </c>
      <c r="X79" s="33">
        <v>-1</v>
      </c>
      <c r="Y79" s="33">
        <v>-1</v>
      </c>
      <c r="Z79" s="33">
        <v>-1</v>
      </c>
      <c r="AA79" s="33">
        <v>-1</v>
      </c>
      <c r="AB79" s="33"/>
      <c r="AC79" s="33"/>
      <c r="AD79" s="33"/>
      <c r="AE79" s="33"/>
      <c r="AF79" s="33"/>
      <c r="AG79" s="33"/>
      <c r="AH79" s="33"/>
      <c r="AI79" s="33"/>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row>
    <row r="80" spans="1:134" ht="11.25" customHeight="1" x14ac:dyDescent="0.3">
      <c r="A80" s="28" t="e">
        <f t="array" aca="1" ref="A80" ca="1">_xludf.XLOOKUP(S80,Master_Registrations!P:P,Master_Registrations!A:A,"")</f>
        <v>#NAME?</v>
      </c>
      <c r="B80" s="28" t="s">
        <v>182</v>
      </c>
      <c r="C80" s="28">
        <v>2026</v>
      </c>
      <c r="D80" s="28" t="s">
        <v>4886</v>
      </c>
      <c r="E80" s="28">
        <v>1</v>
      </c>
      <c r="F80" s="29" t="str">
        <f t="shared" si="0"/>
        <v>VED-01-2026-GR-1</v>
      </c>
      <c r="G80" s="28" t="s">
        <v>4888</v>
      </c>
      <c r="H80" s="28" t="s">
        <v>4889</v>
      </c>
      <c r="I80" s="28"/>
      <c r="J80" s="28" t="s">
        <v>198</v>
      </c>
      <c r="K80" s="30"/>
      <c r="L80" s="30"/>
      <c r="M80" s="30"/>
      <c r="N80" s="28" t="s">
        <v>621</v>
      </c>
      <c r="O80" s="28" t="s">
        <v>4460</v>
      </c>
      <c r="P80" s="28" t="s">
        <v>4461</v>
      </c>
      <c r="Q80" s="28" t="e">
        <f t="shared" ca="1" si="5"/>
        <v>#NAME?</v>
      </c>
      <c r="R80" s="28" t="s">
        <v>112</v>
      </c>
      <c r="S80" s="55">
        <v>9030925322</v>
      </c>
      <c r="T80" s="29" t="s">
        <v>111</v>
      </c>
      <c r="U80" s="28">
        <v>1972</v>
      </c>
      <c r="V80" s="33">
        <v>-1</v>
      </c>
      <c r="W80" s="33">
        <v>-1</v>
      </c>
      <c r="X80" s="33">
        <v>-1</v>
      </c>
      <c r="Y80" s="33">
        <v>-1</v>
      </c>
      <c r="Z80" s="33">
        <v>-1</v>
      </c>
      <c r="AA80" s="33">
        <v>-1</v>
      </c>
      <c r="AB80" s="33"/>
      <c r="AC80" s="33"/>
      <c r="AD80" s="33"/>
      <c r="AE80" s="33"/>
      <c r="AF80" s="33"/>
      <c r="AG80" s="33"/>
      <c r="AH80" s="33"/>
      <c r="AI80" s="33"/>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row>
    <row r="81" spans="1:134" ht="11.25" customHeight="1" x14ac:dyDescent="0.3">
      <c r="A81" s="28" t="e">
        <f t="array" aca="1" ref="A81" ca="1">_xludf.XLOOKUP(S81,Master_Registrations!P:P,Master_Registrations!A:A,"")</f>
        <v>#NAME?</v>
      </c>
      <c r="B81" s="28" t="s">
        <v>182</v>
      </c>
      <c r="C81" s="28">
        <v>2026</v>
      </c>
      <c r="D81" s="28" t="s">
        <v>4886</v>
      </c>
      <c r="E81" s="28">
        <v>1</v>
      </c>
      <c r="F81" s="29" t="str">
        <f t="shared" si="0"/>
        <v>VED-01-2026-GR-1</v>
      </c>
      <c r="G81" s="28" t="s">
        <v>4888</v>
      </c>
      <c r="H81" s="28" t="s">
        <v>4889</v>
      </c>
      <c r="I81" s="28"/>
      <c r="J81" s="28" t="s">
        <v>198</v>
      </c>
      <c r="K81" s="30"/>
      <c r="L81" s="30"/>
      <c r="M81" s="30"/>
      <c r="N81" s="28" t="s">
        <v>714</v>
      </c>
      <c r="O81" s="28" t="s">
        <v>4291</v>
      </c>
      <c r="P81" s="28" t="s">
        <v>4292</v>
      </c>
      <c r="Q81" s="28" t="e">
        <f t="shared" ca="1" si="5"/>
        <v>#NAME?</v>
      </c>
      <c r="R81" s="28" t="s">
        <v>112</v>
      </c>
      <c r="S81" s="55">
        <v>9959992278</v>
      </c>
      <c r="T81" s="29" t="s">
        <v>111</v>
      </c>
      <c r="U81" s="28">
        <v>1987</v>
      </c>
      <c r="V81" s="35">
        <v>1</v>
      </c>
      <c r="W81" s="33">
        <v>-1</v>
      </c>
      <c r="X81" s="33">
        <v>-1</v>
      </c>
      <c r="Y81" s="33">
        <v>-1</v>
      </c>
      <c r="Z81" s="33">
        <v>-1</v>
      </c>
      <c r="AA81" s="33">
        <v>-1</v>
      </c>
      <c r="AB81" s="33"/>
      <c r="AC81" s="33"/>
      <c r="AD81" s="33"/>
      <c r="AE81" s="33"/>
      <c r="AF81" s="33"/>
      <c r="AG81" s="33"/>
      <c r="AH81" s="33"/>
      <c r="AI81" s="33"/>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row>
    <row r="82" spans="1:134" ht="11.25" customHeight="1" x14ac:dyDescent="0.3">
      <c r="A82" s="28" t="e">
        <f t="array" aca="1" ref="A82" ca="1">_xludf.XLOOKUP(S82,Master_Registrations!P:P,Master_Registrations!A:A,"")</f>
        <v>#NAME?</v>
      </c>
      <c r="B82" s="28" t="s">
        <v>182</v>
      </c>
      <c r="C82" s="28">
        <v>2026</v>
      </c>
      <c r="D82" s="28" t="s">
        <v>4886</v>
      </c>
      <c r="E82" s="28">
        <v>1</v>
      </c>
      <c r="F82" s="29" t="str">
        <f t="shared" si="0"/>
        <v>VED-01-2026-GR-1</v>
      </c>
      <c r="G82" s="28" t="s">
        <v>4888</v>
      </c>
      <c r="H82" s="28" t="s">
        <v>4889</v>
      </c>
      <c r="I82" s="28"/>
      <c r="J82" s="28" t="s">
        <v>198</v>
      </c>
      <c r="K82" s="30"/>
      <c r="L82" s="30"/>
      <c r="M82" s="30"/>
      <c r="N82" s="28" t="s">
        <v>786</v>
      </c>
      <c r="O82" s="28" t="s">
        <v>4413</v>
      </c>
      <c r="P82" s="28" t="s">
        <v>4414</v>
      </c>
      <c r="Q82" s="28" t="e">
        <f t="shared" ca="1" si="5"/>
        <v>#NAME?</v>
      </c>
      <c r="R82" s="28" t="s">
        <v>112</v>
      </c>
      <c r="S82" s="55">
        <v>8019478323</v>
      </c>
      <c r="T82" s="29" t="s">
        <v>111</v>
      </c>
      <c r="U82" s="28">
        <v>2006</v>
      </c>
      <c r="V82" s="35">
        <v>1</v>
      </c>
      <c r="W82" s="33">
        <v>-1</v>
      </c>
      <c r="X82" s="33">
        <v>-1</v>
      </c>
      <c r="Y82" s="33">
        <v>-1</v>
      </c>
      <c r="Z82" s="33">
        <v>-1</v>
      </c>
      <c r="AA82" s="33">
        <v>-1</v>
      </c>
      <c r="AB82" s="33"/>
      <c r="AC82" s="33"/>
      <c r="AD82" s="33"/>
      <c r="AE82" s="33"/>
      <c r="AF82" s="33"/>
      <c r="AG82" s="33"/>
      <c r="AH82" s="33"/>
      <c r="AI82" s="33"/>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row>
    <row r="83" spans="1:134" ht="11.25" customHeight="1" x14ac:dyDescent="0.3">
      <c r="A83" s="28" t="e">
        <f t="array" aca="1" ref="A83" ca="1">_xludf.XLOOKUP(S83,Master_Registrations!P:P,Master_Registrations!A:A,"")</f>
        <v>#NAME?</v>
      </c>
      <c r="B83" s="28" t="s">
        <v>182</v>
      </c>
      <c r="C83" s="28">
        <v>2026</v>
      </c>
      <c r="D83" s="28" t="s">
        <v>4886</v>
      </c>
      <c r="E83" s="28">
        <v>1</v>
      </c>
      <c r="F83" s="29" t="str">
        <f t="shared" si="0"/>
        <v>VED-01-2026-GR-1</v>
      </c>
      <c r="G83" s="28" t="s">
        <v>4888</v>
      </c>
      <c r="H83" s="28" t="s">
        <v>4889</v>
      </c>
      <c r="I83" s="28"/>
      <c r="J83" s="28" t="s">
        <v>198</v>
      </c>
      <c r="K83" s="30"/>
      <c r="L83" s="30"/>
      <c r="M83" s="30"/>
      <c r="N83" s="28" t="s">
        <v>856</v>
      </c>
      <c r="O83" s="28" t="s">
        <v>1089</v>
      </c>
      <c r="P83" s="28" t="s">
        <v>2660</v>
      </c>
      <c r="Q83" s="28" t="e">
        <f t="shared" ca="1" si="5"/>
        <v>#NAME?</v>
      </c>
      <c r="R83" s="28" t="s">
        <v>112</v>
      </c>
      <c r="S83" s="55">
        <v>9133779696</v>
      </c>
      <c r="T83" s="29" t="s">
        <v>111</v>
      </c>
      <c r="U83" s="28">
        <v>2008</v>
      </c>
      <c r="V83" s="35">
        <v>1</v>
      </c>
      <c r="W83" s="33">
        <v>-1</v>
      </c>
      <c r="X83" s="33">
        <v>-1</v>
      </c>
      <c r="Y83" s="33">
        <v>-1</v>
      </c>
      <c r="Z83" s="33">
        <v>-1</v>
      </c>
      <c r="AA83" s="33">
        <v>-1</v>
      </c>
      <c r="AB83" s="33"/>
      <c r="AC83" s="33"/>
      <c r="AD83" s="33"/>
      <c r="AE83" s="33"/>
      <c r="AF83" s="33"/>
      <c r="AG83" s="33"/>
      <c r="AH83" s="33"/>
      <c r="AI83" s="33"/>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row>
    <row r="84" spans="1:134" ht="11.25" customHeight="1" x14ac:dyDescent="0.3">
      <c r="A84" s="28" t="e">
        <f t="array" aca="1" ref="A84" ca="1">_xludf.XLOOKUP(S84,Master_Registrations!P:P,Master_Registrations!A:A,"")</f>
        <v>#NAME?</v>
      </c>
      <c r="B84" s="28" t="s">
        <v>182</v>
      </c>
      <c r="C84" s="28">
        <v>2026</v>
      </c>
      <c r="D84" s="28" t="s">
        <v>4886</v>
      </c>
      <c r="E84" s="28">
        <v>1</v>
      </c>
      <c r="F84" s="29" t="str">
        <f t="shared" si="0"/>
        <v>VED-01-2026-GR-1</v>
      </c>
      <c r="G84" s="28" t="s">
        <v>4888</v>
      </c>
      <c r="H84" s="28" t="s">
        <v>4889</v>
      </c>
      <c r="I84" s="28"/>
      <c r="J84" s="28" t="s">
        <v>198</v>
      </c>
      <c r="K84" s="30"/>
      <c r="L84" s="30"/>
      <c r="M84" s="30"/>
      <c r="N84" s="28" t="s">
        <v>915</v>
      </c>
      <c r="O84" s="28" t="s">
        <v>1089</v>
      </c>
      <c r="P84" s="28" t="s">
        <v>4498</v>
      </c>
      <c r="Q84" s="28" t="e">
        <f t="shared" ca="1" si="5"/>
        <v>#NAME?</v>
      </c>
      <c r="R84" s="28" t="s">
        <v>112</v>
      </c>
      <c r="S84" s="55">
        <v>9133779696</v>
      </c>
      <c r="T84" s="29" t="s">
        <v>111</v>
      </c>
      <c r="U84" s="28">
        <v>2012</v>
      </c>
      <c r="V84" s="35">
        <v>1</v>
      </c>
      <c r="W84" s="33">
        <v>-1</v>
      </c>
      <c r="X84" s="33">
        <v>-1</v>
      </c>
      <c r="Y84" s="33">
        <v>-1</v>
      </c>
      <c r="Z84" s="33">
        <v>-1</v>
      </c>
      <c r="AA84" s="33">
        <v>-1</v>
      </c>
      <c r="AB84" s="33"/>
      <c r="AC84" s="33"/>
      <c r="AD84" s="33"/>
      <c r="AE84" s="33"/>
      <c r="AF84" s="33"/>
      <c r="AG84" s="33"/>
      <c r="AH84" s="33"/>
      <c r="AI84" s="33"/>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row>
    <row r="85" spans="1:134" ht="11.25" customHeight="1" x14ac:dyDescent="0.3">
      <c r="A85" s="28" t="e">
        <f t="array" aca="1" ref="A85" ca="1">_xludf.XLOOKUP(S85,Master_Registrations!P:P,Master_Registrations!A:A,"")</f>
        <v>#NAME?</v>
      </c>
      <c r="B85" s="28" t="s">
        <v>182</v>
      </c>
      <c r="C85" s="28">
        <v>2026</v>
      </c>
      <c r="D85" s="28" t="s">
        <v>4886</v>
      </c>
      <c r="E85" s="28">
        <v>1</v>
      </c>
      <c r="F85" s="29" t="str">
        <f t="shared" si="0"/>
        <v>VED-01-2026-GR-1</v>
      </c>
      <c r="G85" s="28" t="s">
        <v>4888</v>
      </c>
      <c r="H85" s="28" t="s">
        <v>4889</v>
      </c>
      <c r="I85" s="28"/>
      <c r="J85" s="28" t="s">
        <v>198</v>
      </c>
      <c r="K85" s="30"/>
      <c r="L85" s="30"/>
      <c r="M85" s="30"/>
      <c r="N85" s="28" t="s">
        <v>973</v>
      </c>
      <c r="O85" s="28" t="s">
        <v>3723</v>
      </c>
      <c r="P85" s="28" t="s">
        <v>920</v>
      </c>
      <c r="Q85" s="28" t="e">
        <f t="shared" ca="1" si="5"/>
        <v>#NAME?</v>
      </c>
      <c r="R85" s="28" t="s">
        <v>112</v>
      </c>
      <c r="S85" s="55">
        <v>9290069069</v>
      </c>
      <c r="T85" s="29" t="s">
        <v>111</v>
      </c>
      <c r="U85" s="28">
        <v>1965</v>
      </c>
      <c r="V85" s="35">
        <v>1</v>
      </c>
      <c r="W85" s="33">
        <v>-1</v>
      </c>
      <c r="X85" s="33">
        <v>-1</v>
      </c>
      <c r="Y85" s="33">
        <v>-1</v>
      </c>
      <c r="Z85" s="33">
        <v>-1</v>
      </c>
      <c r="AA85" s="33">
        <v>-1</v>
      </c>
      <c r="AB85" s="33"/>
      <c r="AC85" s="33"/>
      <c r="AD85" s="33"/>
      <c r="AE85" s="33"/>
      <c r="AF85" s="33"/>
      <c r="AG85" s="33"/>
      <c r="AH85" s="33"/>
      <c r="AI85" s="33"/>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row>
    <row r="86" spans="1:134" ht="11.25" customHeight="1" x14ac:dyDescent="0.3">
      <c r="A86" s="28" t="e">
        <f t="array" aca="1" ref="A86" ca="1">_xludf.XLOOKUP(S86,Master_Registrations!P:P,Master_Registrations!A:A,"")</f>
        <v>#NAME?</v>
      </c>
      <c r="B86" s="28" t="s">
        <v>182</v>
      </c>
      <c r="C86" s="28">
        <v>2026</v>
      </c>
      <c r="D86" s="28" t="s">
        <v>4886</v>
      </c>
      <c r="E86" s="28">
        <v>1</v>
      </c>
      <c r="F86" s="29" t="str">
        <f t="shared" si="0"/>
        <v>VED-01-2026-GR-1</v>
      </c>
      <c r="G86" s="28" t="s">
        <v>4888</v>
      </c>
      <c r="H86" s="28" t="s">
        <v>4889</v>
      </c>
      <c r="I86" s="28"/>
      <c r="J86" s="28" t="s">
        <v>198</v>
      </c>
      <c r="K86" s="30"/>
      <c r="L86" s="30"/>
      <c r="M86" s="30"/>
      <c r="N86" s="28" t="s">
        <v>1031</v>
      </c>
      <c r="O86" s="28" t="s">
        <v>4419</v>
      </c>
      <c r="P86" s="28" t="s">
        <v>4420</v>
      </c>
      <c r="Q86" s="28" t="e">
        <f t="shared" ca="1" si="5"/>
        <v>#NAME?</v>
      </c>
      <c r="R86" s="28" t="s">
        <v>112</v>
      </c>
      <c r="S86" s="55">
        <v>8317601392</v>
      </c>
      <c r="T86" s="29" t="s">
        <v>111</v>
      </c>
      <c r="U86" s="28">
        <v>1991</v>
      </c>
      <c r="V86" s="33">
        <v>-1</v>
      </c>
      <c r="W86" s="33">
        <v>-1</v>
      </c>
      <c r="X86" s="33">
        <v>-1</v>
      </c>
      <c r="Y86" s="33">
        <v>-1</v>
      </c>
      <c r="Z86" s="33">
        <v>-1</v>
      </c>
      <c r="AA86" s="33">
        <v>-1</v>
      </c>
      <c r="AB86" s="33"/>
      <c r="AC86" s="33"/>
      <c r="AD86" s="33"/>
      <c r="AE86" s="33"/>
      <c r="AF86" s="33"/>
      <c r="AG86" s="33"/>
      <c r="AH86" s="33"/>
      <c r="AI86" s="33"/>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row>
    <row r="87" spans="1:134" ht="11.25" customHeight="1" x14ac:dyDescent="0.3">
      <c r="A87" s="28" t="e">
        <f t="array" aca="1" ref="A87" ca="1">_xludf.XLOOKUP(S87,Master_Registrations!P:P,Master_Registrations!A:A,"")</f>
        <v>#NAME?</v>
      </c>
      <c r="B87" s="28" t="s">
        <v>182</v>
      </c>
      <c r="C87" s="28">
        <v>2026</v>
      </c>
      <c r="D87" s="28" t="s">
        <v>4886</v>
      </c>
      <c r="E87" s="28">
        <v>1</v>
      </c>
      <c r="F87" s="29" t="str">
        <f t="shared" si="0"/>
        <v>VED-01-2026-GR-1</v>
      </c>
      <c r="G87" s="28" t="s">
        <v>4888</v>
      </c>
      <c r="H87" s="28" t="s">
        <v>4889</v>
      </c>
      <c r="I87" s="28"/>
      <c r="J87" s="28" t="s">
        <v>198</v>
      </c>
      <c r="K87" s="30"/>
      <c r="L87" s="30"/>
      <c r="M87" s="30"/>
      <c r="N87" s="28" t="s">
        <v>1112</v>
      </c>
      <c r="O87" s="28" t="s">
        <v>4073</v>
      </c>
      <c r="P87" s="28" t="s">
        <v>4074</v>
      </c>
      <c r="Q87" s="28" t="e">
        <f t="shared" ca="1" si="5"/>
        <v>#NAME?</v>
      </c>
      <c r="R87" s="28" t="s">
        <v>112</v>
      </c>
      <c r="S87" s="55">
        <v>9502697671</v>
      </c>
      <c r="T87" s="29" t="s">
        <v>111</v>
      </c>
      <c r="U87" s="28">
        <v>1965</v>
      </c>
      <c r="V87" s="35">
        <v>1</v>
      </c>
      <c r="W87" s="33">
        <v>-1</v>
      </c>
      <c r="X87" s="33">
        <v>-1</v>
      </c>
      <c r="Y87" s="33">
        <v>-1</v>
      </c>
      <c r="Z87" s="33">
        <v>-1</v>
      </c>
      <c r="AA87" s="33">
        <v>-1</v>
      </c>
      <c r="AB87" s="33"/>
      <c r="AC87" s="33"/>
      <c r="AD87" s="33"/>
      <c r="AE87" s="33"/>
      <c r="AF87" s="33"/>
      <c r="AG87" s="33"/>
      <c r="AH87" s="33"/>
      <c r="AI87" s="33"/>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row>
    <row r="88" spans="1:134" ht="11.25" customHeight="1" x14ac:dyDescent="0.3">
      <c r="A88" s="28" t="e">
        <f t="array" aca="1" ref="A88" ca="1">_xludf.XLOOKUP(S88,Master_Registrations!P:P,Master_Registrations!A:A,"")</f>
        <v>#NAME?</v>
      </c>
      <c r="B88" s="28" t="s">
        <v>182</v>
      </c>
      <c r="C88" s="28">
        <v>2026</v>
      </c>
      <c r="D88" s="28" t="s">
        <v>4886</v>
      </c>
      <c r="E88" s="28">
        <v>1</v>
      </c>
      <c r="F88" s="29" t="str">
        <f t="shared" si="0"/>
        <v>VED-01-2026-GR-1</v>
      </c>
      <c r="G88" s="28" t="s">
        <v>4888</v>
      </c>
      <c r="H88" s="28" t="s">
        <v>4889</v>
      </c>
      <c r="I88" s="28"/>
      <c r="J88" s="28" t="s">
        <v>198</v>
      </c>
      <c r="K88" s="30"/>
      <c r="L88" s="30"/>
      <c r="M88" s="30"/>
      <c r="N88" s="28" t="s">
        <v>1196</v>
      </c>
      <c r="O88" s="28" t="s">
        <v>4223</v>
      </c>
      <c r="P88" s="28" t="s">
        <v>4224</v>
      </c>
      <c r="Q88" s="28" t="e">
        <f t="shared" ca="1" si="5"/>
        <v>#NAME?</v>
      </c>
      <c r="R88" s="28" t="s">
        <v>112</v>
      </c>
      <c r="S88" s="55">
        <v>9398305093</v>
      </c>
      <c r="T88" s="29" t="s">
        <v>111</v>
      </c>
      <c r="U88" s="28">
        <v>2006</v>
      </c>
      <c r="V88" s="33">
        <v>-1</v>
      </c>
      <c r="W88" s="33">
        <v>-1</v>
      </c>
      <c r="X88" s="33">
        <v>-1</v>
      </c>
      <c r="Y88" s="33">
        <v>-1</v>
      </c>
      <c r="Z88" s="33">
        <v>-1</v>
      </c>
      <c r="AA88" s="33">
        <v>-1</v>
      </c>
      <c r="AB88" s="33"/>
      <c r="AC88" s="33"/>
      <c r="AD88" s="33"/>
      <c r="AE88" s="33"/>
      <c r="AF88" s="33"/>
      <c r="AG88" s="33"/>
      <c r="AH88" s="33"/>
      <c r="AI88" s="33"/>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row>
    <row r="89" spans="1:134" ht="11.25" customHeight="1" x14ac:dyDescent="0.3">
      <c r="A89" s="28" t="e">
        <f t="array" aca="1" ref="A89" ca="1">_xludf.XLOOKUP(S89,Master_Registrations!P:P,Master_Registrations!A:A,"")</f>
        <v>#NAME?</v>
      </c>
      <c r="B89" s="28" t="s">
        <v>182</v>
      </c>
      <c r="C89" s="28">
        <v>2026</v>
      </c>
      <c r="D89" s="28" t="s">
        <v>4886</v>
      </c>
      <c r="E89" s="28">
        <v>1</v>
      </c>
      <c r="F89" s="29" t="str">
        <f t="shared" si="0"/>
        <v>VED-01-2026-GR-1</v>
      </c>
      <c r="G89" s="28" t="s">
        <v>4888</v>
      </c>
      <c r="H89" s="28" t="s">
        <v>4889</v>
      </c>
      <c r="I89" s="28"/>
      <c r="J89" s="28" t="s">
        <v>198</v>
      </c>
      <c r="K89" s="30"/>
      <c r="L89" s="30"/>
      <c r="M89" s="30"/>
      <c r="N89" s="28" t="s">
        <v>2297</v>
      </c>
      <c r="O89" s="28" t="s">
        <v>4582</v>
      </c>
      <c r="P89" s="28" t="s">
        <v>4583</v>
      </c>
      <c r="Q89" s="28" t="e">
        <f t="shared" ca="1" si="5"/>
        <v>#NAME?</v>
      </c>
      <c r="R89" s="28" t="s">
        <v>112</v>
      </c>
      <c r="S89" s="55">
        <v>9247445640</v>
      </c>
      <c r="T89" s="29" t="s">
        <v>111</v>
      </c>
      <c r="U89" s="28">
        <v>1958</v>
      </c>
      <c r="V89" s="33">
        <v>-1</v>
      </c>
      <c r="W89" s="33">
        <v>-1</v>
      </c>
      <c r="X89" s="33">
        <v>-1</v>
      </c>
      <c r="Y89" s="33">
        <v>-1</v>
      </c>
      <c r="Z89" s="33">
        <v>-1</v>
      </c>
      <c r="AA89" s="33">
        <v>-1</v>
      </c>
      <c r="AB89" s="33"/>
      <c r="AC89" s="33"/>
      <c r="AD89" s="33"/>
      <c r="AE89" s="33"/>
      <c r="AF89" s="33"/>
      <c r="AG89" s="33"/>
      <c r="AH89" s="33"/>
      <c r="AI89" s="33"/>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row>
    <row r="90" spans="1:134" ht="11.25" customHeight="1" x14ac:dyDescent="0.3">
      <c r="A90" s="28" t="e">
        <f t="array" aca="1" ref="A90" ca="1">_xludf.XLOOKUP(S90,Master_Registrations!P:P,Master_Registrations!A:A,"")</f>
        <v>#NAME?</v>
      </c>
      <c r="B90" s="39" t="s">
        <v>182</v>
      </c>
      <c r="C90" s="39">
        <v>2026</v>
      </c>
      <c r="D90" s="39" t="s">
        <v>4886</v>
      </c>
      <c r="E90" s="39">
        <v>2</v>
      </c>
      <c r="F90" s="40" t="str">
        <f t="shared" si="0"/>
        <v>VED-01-2026-GR-2</v>
      </c>
      <c r="G90" s="39" t="s">
        <v>5797</v>
      </c>
      <c r="H90" s="39" t="s">
        <v>5798</v>
      </c>
      <c r="I90" s="39"/>
      <c r="J90" s="39" t="s">
        <v>198</v>
      </c>
      <c r="K90" s="49"/>
      <c r="L90" s="49"/>
      <c r="M90" s="49"/>
      <c r="N90" s="39" t="s">
        <v>200</v>
      </c>
      <c r="O90" s="39" t="s">
        <v>2987</v>
      </c>
      <c r="P90" s="39" t="s">
        <v>2988</v>
      </c>
      <c r="Q90" s="39" t="e">
        <f t="shared" ca="1" si="5"/>
        <v>#NAME?</v>
      </c>
      <c r="R90" s="39" t="s">
        <v>112</v>
      </c>
      <c r="S90" s="50">
        <v>9490251026</v>
      </c>
      <c r="T90" s="40" t="s">
        <v>111</v>
      </c>
      <c r="U90" s="39">
        <v>1963</v>
      </c>
      <c r="V90" s="45">
        <v>-1</v>
      </c>
      <c r="W90" s="45">
        <v>-1</v>
      </c>
      <c r="X90" s="45">
        <v>-1</v>
      </c>
      <c r="Y90" s="45">
        <v>-1</v>
      </c>
      <c r="Z90" s="45">
        <v>-1</v>
      </c>
      <c r="AA90" s="45">
        <v>-1</v>
      </c>
      <c r="AB90" s="45"/>
      <c r="AC90" s="45"/>
      <c r="AD90" s="45"/>
      <c r="AE90" s="45"/>
      <c r="AF90" s="45"/>
      <c r="AG90" s="45"/>
      <c r="AH90" s="45"/>
      <c r="AI90" s="45"/>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row>
    <row r="91" spans="1:134" ht="11.25" customHeight="1" x14ac:dyDescent="0.3">
      <c r="A91" s="28" t="e">
        <f t="array" aca="1" ref="A91" ca="1">_xludf.XLOOKUP(S91,Master_Registrations!P:P,Master_Registrations!A:A,"")</f>
        <v>#NAME?</v>
      </c>
      <c r="B91" s="39" t="s">
        <v>182</v>
      </c>
      <c r="C91" s="39">
        <v>2026</v>
      </c>
      <c r="D91" s="39" t="s">
        <v>4886</v>
      </c>
      <c r="E91" s="39">
        <v>2</v>
      </c>
      <c r="F91" s="40" t="str">
        <f t="shared" si="0"/>
        <v>VED-01-2026-GR-2</v>
      </c>
      <c r="G91" s="39" t="s">
        <v>5797</v>
      </c>
      <c r="H91" s="39" t="s">
        <v>5798</v>
      </c>
      <c r="I91" s="39"/>
      <c r="J91" s="39" t="s">
        <v>198</v>
      </c>
      <c r="K91" s="44"/>
      <c r="L91" s="68"/>
      <c r="M91" s="44"/>
      <c r="N91" s="39" t="s">
        <v>299</v>
      </c>
      <c r="O91" s="39" t="s">
        <v>813</v>
      </c>
      <c r="P91" s="39" t="s">
        <v>814</v>
      </c>
      <c r="Q91" s="39" t="e">
        <f t="shared" ca="1" si="5"/>
        <v>#NAME?</v>
      </c>
      <c r="R91" s="39" t="s">
        <v>112</v>
      </c>
      <c r="S91" s="50">
        <v>7893677746</v>
      </c>
      <c r="T91" s="40" t="s">
        <v>111</v>
      </c>
      <c r="U91" s="39">
        <v>1980</v>
      </c>
      <c r="V91" s="45">
        <v>-1</v>
      </c>
      <c r="W91" s="45">
        <v>-1</v>
      </c>
      <c r="X91" s="45">
        <v>-1</v>
      </c>
      <c r="Y91" s="45">
        <v>-1</v>
      </c>
      <c r="Z91" s="45">
        <v>-1</v>
      </c>
      <c r="AA91" s="45">
        <v>-1</v>
      </c>
      <c r="AB91" s="45"/>
      <c r="AC91" s="45"/>
      <c r="AD91" s="45"/>
      <c r="AE91" s="45"/>
      <c r="AF91" s="45"/>
      <c r="AG91" s="45"/>
      <c r="AH91" s="45"/>
      <c r="AI91" s="45"/>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row>
    <row r="92" spans="1:134" ht="11.25" customHeight="1" x14ac:dyDescent="0.3">
      <c r="A92" s="28" t="e">
        <f t="array" aca="1" ref="A92" ca="1">_xludf.XLOOKUP(S92,Master_Registrations!P:P,Master_Registrations!A:A,"")</f>
        <v>#NAME?</v>
      </c>
      <c r="B92" s="39" t="s">
        <v>182</v>
      </c>
      <c r="C92" s="39">
        <v>2026</v>
      </c>
      <c r="D92" s="39" t="s">
        <v>4886</v>
      </c>
      <c r="E92" s="39">
        <v>2</v>
      </c>
      <c r="F92" s="40" t="str">
        <f t="shared" si="0"/>
        <v>VED-01-2026-GR-2</v>
      </c>
      <c r="G92" s="39" t="s">
        <v>5797</v>
      </c>
      <c r="H92" s="39" t="s">
        <v>5798</v>
      </c>
      <c r="I92" s="39"/>
      <c r="J92" s="39" t="s">
        <v>198</v>
      </c>
      <c r="K92" s="49"/>
      <c r="L92" s="49"/>
      <c r="M92" s="49"/>
      <c r="N92" s="39" t="s">
        <v>369</v>
      </c>
      <c r="O92" s="39" t="s">
        <v>4122</v>
      </c>
      <c r="P92" s="39" t="s">
        <v>4123</v>
      </c>
      <c r="Q92" s="39" t="e">
        <f t="shared" ca="1" si="5"/>
        <v>#NAME?</v>
      </c>
      <c r="R92" s="39" t="s">
        <v>112</v>
      </c>
      <c r="S92" s="50">
        <v>9866681739</v>
      </c>
      <c r="T92" s="40" t="s">
        <v>111</v>
      </c>
      <c r="U92" s="39">
        <v>1963</v>
      </c>
      <c r="V92" s="45">
        <v>-1</v>
      </c>
      <c r="W92" s="45">
        <v>-1</v>
      </c>
      <c r="X92" s="45">
        <v>-1</v>
      </c>
      <c r="Y92" s="45">
        <v>-1</v>
      </c>
      <c r="Z92" s="45">
        <v>-1</v>
      </c>
      <c r="AA92" s="45">
        <v>-1</v>
      </c>
      <c r="AB92" s="45"/>
      <c r="AC92" s="45"/>
      <c r="AD92" s="45"/>
      <c r="AE92" s="45"/>
      <c r="AF92" s="45"/>
      <c r="AG92" s="45"/>
      <c r="AH92" s="45"/>
      <c r="AI92" s="45"/>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row>
    <row r="93" spans="1:134" ht="11.25" customHeight="1" x14ac:dyDescent="0.3">
      <c r="A93" s="28" t="e">
        <f t="array" aca="1" ref="A93" ca="1">_xludf.XLOOKUP(S93,Master_Registrations!P:P,Master_Registrations!A:A,"")</f>
        <v>#NAME?</v>
      </c>
      <c r="B93" s="39" t="s">
        <v>182</v>
      </c>
      <c r="C93" s="39">
        <v>2026</v>
      </c>
      <c r="D93" s="39" t="s">
        <v>4886</v>
      </c>
      <c r="E93" s="39">
        <v>2</v>
      </c>
      <c r="F93" s="40" t="str">
        <f t="shared" si="0"/>
        <v>VED-01-2026-GR-2</v>
      </c>
      <c r="G93" s="39" t="s">
        <v>5797</v>
      </c>
      <c r="H93" s="39" t="s">
        <v>5798</v>
      </c>
      <c r="I93" s="39"/>
      <c r="J93" s="39" t="s">
        <v>198</v>
      </c>
      <c r="K93" s="49"/>
      <c r="L93" s="49"/>
      <c r="M93" s="49"/>
      <c r="N93" s="39" t="s">
        <v>434</v>
      </c>
      <c r="O93" s="39" t="s">
        <v>4671</v>
      </c>
      <c r="P93" s="39" t="s">
        <v>4672</v>
      </c>
      <c r="Q93" s="39" t="e">
        <f t="shared" ca="1" si="5"/>
        <v>#NAME?</v>
      </c>
      <c r="R93" s="39" t="s">
        <v>112</v>
      </c>
      <c r="S93" s="50">
        <v>9029482570</v>
      </c>
      <c r="T93" s="40" t="s">
        <v>111</v>
      </c>
      <c r="U93" s="39">
        <v>1972</v>
      </c>
      <c r="V93" s="45">
        <v>-1</v>
      </c>
      <c r="W93" s="45">
        <v>-1</v>
      </c>
      <c r="X93" s="45">
        <v>-1</v>
      </c>
      <c r="Y93" s="45">
        <v>-1</v>
      </c>
      <c r="Z93" s="45">
        <v>-1</v>
      </c>
      <c r="AA93" s="45">
        <v>-1</v>
      </c>
      <c r="AB93" s="45"/>
      <c r="AC93" s="45"/>
      <c r="AD93" s="45"/>
      <c r="AE93" s="45"/>
      <c r="AF93" s="45"/>
      <c r="AG93" s="45"/>
      <c r="AH93" s="45"/>
      <c r="AI93" s="45"/>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row>
    <row r="94" spans="1:134" ht="11.25" customHeight="1" x14ac:dyDescent="0.3">
      <c r="A94" s="28" t="e">
        <f t="array" aca="1" ref="A94" ca="1">_xludf.XLOOKUP(S94,Master_Registrations!P:P,Master_Registrations!A:A,"")</f>
        <v>#NAME?</v>
      </c>
      <c r="B94" s="39" t="s">
        <v>182</v>
      </c>
      <c r="C94" s="39">
        <v>2026</v>
      </c>
      <c r="D94" s="39" t="s">
        <v>4886</v>
      </c>
      <c r="E94" s="39">
        <v>2</v>
      </c>
      <c r="F94" s="40" t="str">
        <f t="shared" si="0"/>
        <v>VED-01-2026-GR-2</v>
      </c>
      <c r="G94" s="39" t="s">
        <v>5797</v>
      </c>
      <c r="H94" s="39" t="s">
        <v>5798</v>
      </c>
      <c r="I94" s="39"/>
      <c r="J94" s="39" t="s">
        <v>198</v>
      </c>
      <c r="K94" s="49"/>
      <c r="L94" s="49"/>
      <c r="M94" s="49"/>
      <c r="N94" s="39" t="s">
        <v>525</v>
      </c>
      <c r="O94" s="39" t="s">
        <v>4376</v>
      </c>
      <c r="P94" s="39" t="s">
        <v>2903</v>
      </c>
      <c r="Q94" s="39" t="e">
        <f t="shared" ca="1" si="5"/>
        <v>#NAME?</v>
      </c>
      <c r="R94" s="39" t="s">
        <v>112</v>
      </c>
      <c r="S94" s="50">
        <v>9177554442</v>
      </c>
      <c r="T94" s="40" t="s">
        <v>111</v>
      </c>
      <c r="U94" s="39">
        <v>1994</v>
      </c>
      <c r="V94" s="45">
        <v>-1</v>
      </c>
      <c r="W94" s="45">
        <v>-1</v>
      </c>
      <c r="X94" s="45">
        <v>-1</v>
      </c>
      <c r="Y94" s="45">
        <v>-1</v>
      </c>
      <c r="Z94" s="45">
        <v>-1</v>
      </c>
      <c r="AA94" s="45">
        <v>-1</v>
      </c>
      <c r="AB94" s="45"/>
      <c r="AC94" s="45"/>
      <c r="AD94" s="45"/>
      <c r="AE94" s="45"/>
      <c r="AF94" s="45"/>
      <c r="AG94" s="45"/>
      <c r="AH94" s="45"/>
      <c r="AI94" s="45"/>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row>
    <row r="95" spans="1:134" ht="11.25" customHeight="1" x14ac:dyDescent="0.3">
      <c r="A95" s="28" t="e">
        <f t="array" aca="1" ref="A95" ca="1">_xludf.XLOOKUP(S95,Master_Registrations!P:P,Master_Registrations!A:A,"")</f>
        <v>#NAME?</v>
      </c>
      <c r="B95" s="39" t="s">
        <v>182</v>
      </c>
      <c r="C95" s="39">
        <v>2026</v>
      </c>
      <c r="D95" s="39" t="s">
        <v>4886</v>
      </c>
      <c r="E95" s="39">
        <v>2</v>
      </c>
      <c r="F95" s="40" t="str">
        <f t="shared" si="0"/>
        <v>VED-01-2026-GR-2</v>
      </c>
      <c r="G95" s="39" t="s">
        <v>5797</v>
      </c>
      <c r="H95" s="39" t="s">
        <v>5798</v>
      </c>
      <c r="I95" s="39"/>
      <c r="J95" s="39" t="s">
        <v>198</v>
      </c>
      <c r="K95" s="49"/>
      <c r="L95" s="49"/>
      <c r="M95" s="49"/>
      <c r="N95" s="39" t="s">
        <v>621</v>
      </c>
      <c r="O95" s="39" t="s">
        <v>4263</v>
      </c>
      <c r="P95" s="39" t="s">
        <v>4264</v>
      </c>
      <c r="Q95" s="39" t="e">
        <f t="shared" ca="1" si="5"/>
        <v>#NAME?</v>
      </c>
      <c r="R95" s="39" t="s">
        <v>112</v>
      </c>
      <c r="S95" s="50">
        <v>9550290118</v>
      </c>
      <c r="T95" s="40" t="s">
        <v>111</v>
      </c>
      <c r="U95" s="39">
        <v>1974</v>
      </c>
      <c r="V95" s="45">
        <v>-1</v>
      </c>
      <c r="W95" s="45">
        <v>-1</v>
      </c>
      <c r="X95" s="45">
        <v>-1</v>
      </c>
      <c r="Y95" s="45">
        <v>-1</v>
      </c>
      <c r="Z95" s="45">
        <v>-1</v>
      </c>
      <c r="AA95" s="45">
        <v>-1</v>
      </c>
      <c r="AB95" s="45"/>
      <c r="AC95" s="45"/>
      <c r="AD95" s="45"/>
      <c r="AE95" s="45"/>
      <c r="AF95" s="45"/>
      <c r="AG95" s="45"/>
      <c r="AH95" s="45"/>
      <c r="AI95" s="45"/>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row>
    <row r="96" spans="1:134" ht="11.25" customHeight="1" x14ac:dyDescent="0.3">
      <c r="A96" s="28" t="e">
        <f t="array" aca="1" ref="A96" ca="1">_xludf.XLOOKUP(S96,Master_Registrations!P:P,Master_Registrations!A:A,"")</f>
        <v>#NAME?</v>
      </c>
      <c r="B96" s="39" t="s">
        <v>182</v>
      </c>
      <c r="C96" s="39">
        <v>2026</v>
      </c>
      <c r="D96" s="39" t="s">
        <v>4886</v>
      </c>
      <c r="E96" s="39">
        <v>2</v>
      </c>
      <c r="F96" s="40" t="str">
        <f t="shared" si="0"/>
        <v>VED-01-2026-GR-2</v>
      </c>
      <c r="G96" s="39" t="s">
        <v>5797</v>
      </c>
      <c r="H96" s="39" t="s">
        <v>5798</v>
      </c>
      <c r="I96" s="39"/>
      <c r="J96" s="39" t="s">
        <v>198</v>
      </c>
      <c r="K96" s="44"/>
      <c r="L96" s="68"/>
      <c r="M96" s="44"/>
      <c r="N96" s="39" t="s">
        <v>714</v>
      </c>
      <c r="O96" s="39" t="s">
        <v>4310</v>
      </c>
      <c r="P96" s="39" t="s">
        <v>48</v>
      </c>
      <c r="Q96" s="39" t="e">
        <f t="shared" ca="1" si="5"/>
        <v>#NAME?</v>
      </c>
      <c r="R96" s="39" t="s">
        <v>112</v>
      </c>
      <c r="S96" s="50">
        <v>9848613421</v>
      </c>
      <c r="T96" s="40" t="s">
        <v>111</v>
      </c>
      <c r="U96" s="39">
        <v>1989</v>
      </c>
      <c r="V96" s="45">
        <v>-1</v>
      </c>
      <c r="W96" s="45">
        <v>-1</v>
      </c>
      <c r="X96" s="45">
        <v>-1</v>
      </c>
      <c r="Y96" s="45">
        <v>-1</v>
      </c>
      <c r="Z96" s="45">
        <v>-1</v>
      </c>
      <c r="AA96" s="45">
        <v>-1</v>
      </c>
      <c r="AB96" s="45"/>
      <c r="AC96" s="45"/>
      <c r="AD96" s="45"/>
      <c r="AE96" s="45"/>
      <c r="AF96" s="45"/>
      <c r="AG96" s="45"/>
      <c r="AH96" s="45"/>
      <c r="AI96" s="45"/>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row>
    <row r="97" spans="1:134" ht="11.25" customHeight="1" x14ac:dyDescent="0.3">
      <c r="A97" s="28" t="e">
        <f t="array" aca="1" ref="A97" ca="1">_xludf.XLOOKUP(S97,Master_Registrations!P:P,Master_Registrations!A:A,"")</f>
        <v>#NAME?</v>
      </c>
      <c r="B97" s="39" t="s">
        <v>182</v>
      </c>
      <c r="C97" s="39">
        <v>2026</v>
      </c>
      <c r="D97" s="39" t="s">
        <v>4886</v>
      </c>
      <c r="E97" s="39">
        <v>2</v>
      </c>
      <c r="F97" s="40" t="str">
        <f t="shared" si="0"/>
        <v>VED-01-2026-GR-2</v>
      </c>
      <c r="G97" s="39" t="s">
        <v>5797</v>
      </c>
      <c r="H97" s="39" t="s">
        <v>5798</v>
      </c>
      <c r="I97" s="39"/>
      <c r="J97" s="39" t="s">
        <v>198</v>
      </c>
      <c r="K97" s="49"/>
      <c r="L97" s="49"/>
      <c r="M97" s="49"/>
      <c r="N97" s="39" t="s">
        <v>786</v>
      </c>
      <c r="O97" s="39" t="s">
        <v>4636</v>
      </c>
      <c r="P97" s="39" t="s">
        <v>3479</v>
      </c>
      <c r="Q97" s="39" t="e">
        <f t="shared" ca="1" si="5"/>
        <v>#NAME?</v>
      </c>
      <c r="R97" s="39" t="s">
        <v>112</v>
      </c>
      <c r="S97" s="50">
        <v>7447763907</v>
      </c>
      <c r="T97" s="40" t="s">
        <v>111</v>
      </c>
      <c r="U97" s="39">
        <v>1993</v>
      </c>
      <c r="V97" s="45">
        <v>-1</v>
      </c>
      <c r="W97" s="45">
        <v>-1</v>
      </c>
      <c r="X97" s="45">
        <v>-1</v>
      </c>
      <c r="Y97" s="45">
        <v>-1</v>
      </c>
      <c r="Z97" s="45">
        <v>-1</v>
      </c>
      <c r="AA97" s="45">
        <v>-1</v>
      </c>
      <c r="AB97" s="45"/>
      <c r="AC97" s="45"/>
      <c r="AD97" s="45"/>
      <c r="AE97" s="45"/>
      <c r="AF97" s="45"/>
      <c r="AG97" s="45"/>
      <c r="AH97" s="45"/>
      <c r="AI97" s="45"/>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row>
    <row r="98" spans="1:134" ht="11.25" customHeight="1" x14ac:dyDescent="0.3">
      <c r="A98" s="28" t="e">
        <f t="array" aca="1" ref="A98" ca="1">_xludf.XLOOKUP(S98,Master_Registrations!P:P,Master_Registrations!A:A,"")</f>
        <v>#NAME?</v>
      </c>
      <c r="B98" s="39" t="s">
        <v>182</v>
      </c>
      <c r="C98" s="39">
        <v>2026</v>
      </c>
      <c r="D98" s="39" t="s">
        <v>4886</v>
      </c>
      <c r="E98" s="39">
        <v>2</v>
      </c>
      <c r="F98" s="40" t="str">
        <f t="shared" si="0"/>
        <v>VED-01-2026-GR-2</v>
      </c>
      <c r="G98" s="39" t="s">
        <v>5797</v>
      </c>
      <c r="H98" s="39" t="s">
        <v>5798</v>
      </c>
      <c r="I98" s="39"/>
      <c r="J98" s="39" t="s">
        <v>198</v>
      </c>
      <c r="K98" s="49"/>
      <c r="L98" s="49"/>
      <c r="M98" s="49"/>
      <c r="N98" s="39" t="s">
        <v>856</v>
      </c>
      <c r="O98" s="39" t="s">
        <v>4284</v>
      </c>
      <c r="P98" s="39" t="s">
        <v>4285</v>
      </c>
      <c r="Q98" s="39" t="e">
        <f t="shared" ca="1" si="5"/>
        <v>#NAME?</v>
      </c>
      <c r="R98" s="39" t="s">
        <v>112</v>
      </c>
      <c r="S98" s="50">
        <v>8374884803</v>
      </c>
      <c r="T98" s="40" t="s">
        <v>111</v>
      </c>
      <c r="U98" s="39">
        <v>1992</v>
      </c>
      <c r="V98" s="45">
        <v>-1</v>
      </c>
      <c r="W98" s="45">
        <v>-1</v>
      </c>
      <c r="X98" s="45">
        <v>-1</v>
      </c>
      <c r="Y98" s="45">
        <v>-1</v>
      </c>
      <c r="Z98" s="45">
        <v>-1</v>
      </c>
      <c r="AA98" s="45">
        <v>-1</v>
      </c>
      <c r="AB98" s="45"/>
      <c r="AC98" s="45"/>
      <c r="AD98" s="45"/>
      <c r="AE98" s="45"/>
      <c r="AF98" s="45"/>
      <c r="AG98" s="45"/>
      <c r="AH98" s="45"/>
      <c r="AI98" s="45"/>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row>
    <row r="99" spans="1:134" ht="11.25" customHeight="1" x14ac:dyDescent="0.3">
      <c r="A99" s="28" t="e">
        <f t="array" aca="1" ref="A99" ca="1">_xludf.XLOOKUP(S99,Master_Registrations!P:P,Master_Registrations!A:A,"")</f>
        <v>#NAME?</v>
      </c>
      <c r="B99" s="39" t="s">
        <v>182</v>
      </c>
      <c r="C99" s="39">
        <v>2026</v>
      </c>
      <c r="D99" s="39" t="s">
        <v>4886</v>
      </c>
      <c r="E99" s="39">
        <v>2</v>
      </c>
      <c r="F99" s="40" t="str">
        <f t="shared" si="0"/>
        <v>VED-01-2026-GR-2</v>
      </c>
      <c r="G99" s="39" t="s">
        <v>5797</v>
      </c>
      <c r="H99" s="39" t="s">
        <v>5798</v>
      </c>
      <c r="I99" s="39"/>
      <c r="J99" s="39" t="s">
        <v>198</v>
      </c>
      <c r="K99" s="49"/>
      <c r="L99" s="49"/>
      <c r="M99" s="49"/>
      <c r="N99" s="39" t="s">
        <v>915</v>
      </c>
      <c r="O99" s="39" t="s">
        <v>3786</v>
      </c>
      <c r="P99" s="39" t="s">
        <v>3787</v>
      </c>
      <c r="Q99" s="39" t="e">
        <f t="shared" ca="1" si="5"/>
        <v>#NAME?</v>
      </c>
      <c r="R99" s="39" t="s">
        <v>112</v>
      </c>
      <c r="S99" s="50">
        <v>9448008696</v>
      </c>
      <c r="T99" s="40" t="s">
        <v>111</v>
      </c>
      <c r="U99" s="39">
        <v>1978</v>
      </c>
      <c r="V99" s="45">
        <v>-1</v>
      </c>
      <c r="W99" s="45">
        <v>-1</v>
      </c>
      <c r="X99" s="45">
        <v>-1</v>
      </c>
      <c r="Y99" s="45">
        <v>-1</v>
      </c>
      <c r="Z99" s="45">
        <v>-1</v>
      </c>
      <c r="AA99" s="45">
        <v>-1</v>
      </c>
      <c r="AB99" s="45"/>
      <c r="AC99" s="45"/>
      <c r="AD99" s="45"/>
      <c r="AE99" s="45"/>
      <c r="AF99" s="45"/>
      <c r="AG99" s="45"/>
      <c r="AH99" s="45"/>
      <c r="AI99" s="45"/>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row>
    <row r="100" spans="1:134" ht="11.25" customHeight="1" x14ac:dyDescent="0.3">
      <c r="A100" s="28" t="e">
        <f t="array" aca="1" ref="A100" ca="1">_xludf.XLOOKUP(S100,Master_Registrations!P:P,Master_Registrations!A:A,"")</f>
        <v>#NAME?</v>
      </c>
      <c r="B100" s="39" t="s">
        <v>182</v>
      </c>
      <c r="C100" s="39">
        <v>2026</v>
      </c>
      <c r="D100" s="39" t="s">
        <v>4886</v>
      </c>
      <c r="E100" s="39">
        <v>2</v>
      </c>
      <c r="F100" s="40" t="str">
        <f t="shared" si="0"/>
        <v>VED-01-2026-GR-2</v>
      </c>
      <c r="G100" s="39" t="s">
        <v>5797</v>
      </c>
      <c r="H100" s="39" t="s">
        <v>5798</v>
      </c>
      <c r="I100" s="39"/>
      <c r="J100" s="39" t="s">
        <v>198</v>
      </c>
      <c r="K100" s="49"/>
      <c r="L100" s="49"/>
      <c r="M100" s="49"/>
      <c r="N100" s="39" t="s">
        <v>973</v>
      </c>
      <c r="O100" s="39" t="s">
        <v>4099</v>
      </c>
      <c r="P100" s="39" t="s">
        <v>4100</v>
      </c>
      <c r="Q100" s="39" t="e">
        <f t="shared" ca="1" si="5"/>
        <v>#NAME?</v>
      </c>
      <c r="R100" s="39" t="s">
        <v>112</v>
      </c>
      <c r="S100" s="50">
        <v>9151515320</v>
      </c>
      <c r="T100" s="40" t="s">
        <v>111</v>
      </c>
      <c r="U100" s="39">
        <v>1998</v>
      </c>
      <c r="V100" s="45">
        <v>-1</v>
      </c>
      <c r="W100" s="45">
        <v>-1</v>
      </c>
      <c r="X100" s="45">
        <v>1</v>
      </c>
      <c r="Y100" s="45">
        <v>-1</v>
      </c>
      <c r="Z100" s="45">
        <v>1</v>
      </c>
      <c r="AA100" s="45">
        <v>-1</v>
      </c>
      <c r="AB100" s="45"/>
      <c r="AC100" s="45"/>
      <c r="AD100" s="45"/>
      <c r="AE100" s="45"/>
      <c r="AF100" s="45"/>
      <c r="AG100" s="45"/>
      <c r="AH100" s="45"/>
      <c r="AI100" s="45"/>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row>
    <row r="101" spans="1:134" ht="11.25" customHeight="1" x14ac:dyDescent="0.3">
      <c r="A101" s="28" t="e">
        <f t="array" aca="1" ref="A101" ca="1">_xludf.XLOOKUP(S101,Master_Registrations!P:P,Master_Registrations!A:A,"")</f>
        <v>#NAME?</v>
      </c>
      <c r="B101" s="39" t="s">
        <v>182</v>
      </c>
      <c r="C101" s="39">
        <v>2026</v>
      </c>
      <c r="D101" s="39" t="s">
        <v>4886</v>
      </c>
      <c r="E101" s="39">
        <v>2</v>
      </c>
      <c r="F101" s="40" t="str">
        <f t="shared" si="0"/>
        <v>VED-01-2026-GR-2</v>
      </c>
      <c r="G101" s="39" t="s">
        <v>5797</v>
      </c>
      <c r="H101" s="39" t="s">
        <v>5798</v>
      </c>
      <c r="I101" s="39"/>
      <c r="J101" s="39" t="s">
        <v>198</v>
      </c>
      <c r="K101" s="49"/>
      <c r="L101" s="49"/>
      <c r="M101" s="49"/>
      <c r="N101" s="39" t="s">
        <v>1031</v>
      </c>
      <c r="O101" s="39" t="s">
        <v>4199</v>
      </c>
      <c r="P101" s="39" t="s">
        <v>4200</v>
      </c>
      <c r="Q101" s="39" t="e">
        <f t="shared" ca="1" si="5"/>
        <v>#NAME?</v>
      </c>
      <c r="R101" s="39" t="s">
        <v>112</v>
      </c>
      <c r="S101" s="50">
        <v>9885125556</v>
      </c>
      <c r="T101" s="40" t="s">
        <v>111</v>
      </c>
      <c r="U101" s="39">
        <v>2008</v>
      </c>
      <c r="V101" s="45">
        <v>-1</v>
      </c>
      <c r="W101" s="45">
        <v>-1</v>
      </c>
      <c r="X101" s="45">
        <v>-1</v>
      </c>
      <c r="Y101" s="45">
        <v>-1</v>
      </c>
      <c r="Z101" s="45">
        <v>-1</v>
      </c>
      <c r="AA101" s="45">
        <v>-1</v>
      </c>
      <c r="AB101" s="45"/>
      <c r="AC101" s="45"/>
      <c r="AD101" s="45"/>
      <c r="AE101" s="45"/>
      <c r="AF101" s="45"/>
      <c r="AG101" s="45"/>
      <c r="AH101" s="45"/>
      <c r="AI101" s="45"/>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row>
    <row r="102" spans="1:134" ht="11.25" customHeight="1" x14ac:dyDescent="0.3">
      <c r="A102" s="28" t="e">
        <f t="array" aca="1" ref="A102" ca="1">_xludf.XLOOKUP(S102,Master_Registrations!P:P,Master_Registrations!A:A,"")</f>
        <v>#NAME?</v>
      </c>
      <c r="B102" s="39" t="s">
        <v>182</v>
      </c>
      <c r="C102" s="39">
        <v>2026</v>
      </c>
      <c r="D102" s="39" t="s">
        <v>4886</v>
      </c>
      <c r="E102" s="39">
        <v>2</v>
      </c>
      <c r="F102" s="40" t="str">
        <f t="shared" si="0"/>
        <v>VED-01-2026-GR-2</v>
      </c>
      <c r="G102" s="39" t="s">
        <v>5797</v>
      </c>
      <c r="H102" s="39" t="s">
        <v>5798</v>
      </c>
      <c r="I102" s="39"/>
      <c r="J102" s="39" t="s">
        <v>198</v>
      </c>
      <c r="K102" s="49"/>
      <c r="L102" s="49"/>
      <c r="M102" s="49"/>
      <c r="N102" s="39" t="s">
        <v>1112</v>
      </c>
      <c r="O102" s="39" t="s">
        <v>4211</v>
      </c>
      <c r="P102" s="39" t="s">
        <v>4212</v>
      </c>
      <c r="Q102" s="39" t="e">
        <f t="shared" ca="1" si="5"/>
        <v>#NAME?</v>
      </c>
      <c r="R102" s="39" t="s">
        <v>112</v>
      </c>
      <c r="S102" s="50">
        <v>9648878888</v>
      </c>
      <c r="T102" s="40" t="s">
        <v>111</v>
      </c>
      <c r="U102" s="39">
        <v>1972</v>
      </c>
      <c r="V102" s="45">
        <v>-1</v>
      </c>
      <c r="W102" s="45">
        <v>-1</v>
      </c>
      <c r="X102" s="45">
        <v>-1</v>
      </c>
      <c r="Y102" s="45">
        <v>-1</v>
      </c>
      <c r="Z102" s="45">
        <v>-1</v>
      </c>
      <c r="AA102" s="45">
        <v>-1</v>
      </c>
      <c r="AB102" s="45"/>
      <c r="AC102" s="45"/>
      <c r="AD102" s="45"/>
      <c r="AE102" s="45"/>
      <c r="AF102" s="45"/>
      <c r="AG102" s="45"/>
      <c r="AH102" s="45"/>
      <c r="AI102" s="45"/>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row>
    <row r="103" spans="1:134" ht="11.25" customHeight="1" x14ac:dyDescent="0.3">
      <c r="A103" s="28" t="e">
        <f t="array" aca="1" ref="A103" ca="1">_xludf.XLOOKUP(S103,Master_Registrations!P:P,Master_Registrations!A:A,"")</f>
        <v>#NAME?</v>
      </c>
      <c r="B103" s="39" t="s">
        <v>182</v>
      </c>
      <c r="C103" s="39">
        <v>2026</v>
      </c>
      <c r="D103" s="39" t="s">
        <v>4886</v>
      </c>
      <c r="E103" s="39">
        <v>2</v>
      </c>
      <c r="F103" s="40" t="str">
        <f t="shared" si="0"/>
        <v>VED-01-2026-GR-2</v>
      </c>
      <c r="G103" s="39" t="s">
        <v>5797</v>
      </c>
      <c r="H103" s="39" t="s">
        <v>5798</v>
      </c>
      <c r="I103" s="39"/>
      <c r="J103" s="39" t="s">
        <v>198</v>
      </c>
      <c r="K103" s="49"/>
      <c r="L103" s="49"/>
      <c r="M103" s="49"/>
      <c r="N103" s="39" t="s">
        <v>1196</v>
      </c>
      <c r="O103" s="39" t="s">
        <v>4533</v>
      </c>
      <c r="P103" s="39" t="s">
        <v>4534</v>
      </c>
      <c r="Q103" s="39" t="e">
        <f t="shared" ca="1" si="5"/>
        <v>#NAME?</v>
      </c>
      <c r="R103" s="39" t="s">
        <v>112</v>
      </c>
      <c r="S103" s="50">
        <v>9110595085</v>
      </c>
      <c r="T103" s="40" t="s">
        <v>111</v>
      </c>
      <c r="U103" s="39">
        <v>1989</v>
      </c>
      <c r="V103" s="45">
        <v>-1</v>
      </c>
      <c r="W103" s="45">
        <v>-1</v>
      </c>
      <c r="X103" s="45">
        <v>-1</v>
      </c>
      <c r="Y103" s="45">
        <v>-1</v>
      </c>
      <c r="Z103" s="45">
        <v>-1</v>
      </c>
      <c r="AA103" s="45">
        <v>-1</v>
      </c>
      <c r="AB103" s="45"/>
      <c r="AC103" s="45"/>
      <c r="AD103" s="45"/>
      <c r="AE103" s="45"/>
      <c r="AF103" s="45"/>
      <c r="AG103" s="45"/>
      <c r="AH103" s="45"/>
      <c r="AI103" s="45"/>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row>
    <row r="104" spans="1:134" ht="11.25" customHeight="1" x14ac:dyDescent="0.3">
      <c r="A104" s="28" t="e">
        <f t="array" aca="1" ref="A104" ca="1">_xludf.XLOOKUP(S104,Master_Registrations!P:P,Master_Registrations!A:A,"")</f>
        <v>#NAME?</v>
      </c>
      <c r="B104" s="39" t="s">
        <v>182</v>
      </c>
      <c r="C104" s="39">
        <v>2026</v>
      </c>
      <c r="D104" s="39" t="s">
        <v>4886</v>
      </c>
      <c r="E104" s="39">
        <v>2</v>
      </c>
      <c r="F104" s="40" t="str">
        <f t="shared" si="0"/>
        <v>VED-01-2026-GR-2</v>
      </c>
      <c r="G104" s="39" t="s">
        <v>5797</v>
      </c>
      <c r="H104" s="39" t="s">
        <v>5798</v>
      </c>
      <c r="I104" s="39"/>
      <c r="J104" s="39" t="s">
        <v>198</v>
      </c>
      <c r="K104" s="49"/>
      <c r="L104" s="49"/>
      <c r="M104" s="49"/>
      <c r="N104" s="39" t="s">
        <v>2297</v>
      </c>
      <c r="O104" s="39" t="s">
        <v>3819</v>
      </c>
      <c r="P104" s="39" t="s">
        <v>2576</v>
      </c>
      <c r="Q104" s="39" t="e">
        <f t="shared" ca="1" si="5"/>
        <v>#NAME?</v>
      </c>
      <c r="R104" s="39" t="s">
        <v>112</v>
      </c>
      <c r="S104" s="50">
        <v>9884047069</v>
      </c>
      <c r="T104" s="40" t="s">
        <v>111</v>
      </c>
      <c r="U104" s="39">
        <v>1996</v>
      </c>
      <c r="V104" s="45">
        <v>-1</v>
      </c>
      <c r="W104" s="45">
        <v>-1</v>
      </c>
      <c r="X104" s="45">
        <v>2</v>
      </c>
      <c r="Y104" s="45">
        <v>2</v>
      </c>
      <c r="Z104" s="45">
        <v>2</v>
      </c>
      <c r="AA104" s="45">
        <v>2</v>
      </c>
      <c r="AB104" s="45"/>
      <c r="AC104" s="45"/>
      <c r="AD104" s="45"/>
      <c r="AE104" s="45"/>
      <c r="AF104" s="45"/>
      <c r="AG104" s="45"/>
      <c r="AH104" s="45"/>
      <c r="AI104" s="45"/>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row>
    <row r="105" spans="1:134" ht="11.25" customHeight="1" x14ac:dyDescent="0.3">
      <c r="A105" s="28" t="e">
        <f t="array" aca="1" ref="A105" ca="1">_xludf.XLOOKUP(S105,Master_Registrations!P:P,Master_Registrations!A:A,"")</f>
        <v>#NAME?</v>
      </c>
      <c r="B105" s="28" t="s">
        <v>182</v>
      </c>
      <c r="C105" s="28">
        <v>2026</v>
      </c>
      <c r="D105" s="28" t="s">
        <v>4886</v>
      </c>
      <c r="E105" s="28">
        <v>3</v>
      </c>
      <c r="F105" s="29" t="str">
        <f t="shared" si="0"/>
        <v>VED-01-2026-GR-3</v>
      </c>
      <c r="G105" s="28" t="s">
        <v>3955</v>
      </c>
      <c r="H105" s="28" t="s">
        <v>6869</v>
      </c>
      <c r="I105" s="28"/>
      <c r="J105" s="28" t="s">
        <v>198</v>
      </c>
      <c r="K105" s="35"/>
      <c r="L105" s="35"/>
      <c r="M105" s="30"/>
      <c r="N105" s="28" t="s">
        <v>200</v>
      </c>
      <c r="O105" s="28" t="s">
        <v>4000</v>
      </c>
      <c r="P105" s="28" t="s">
        <v>495</v>
      </c>
      <c r="Q105" s="28" t="e">
        <f t="shared" ca="1" si="5"/>
        <v>#NAME?</v>
      </c>
      <c r="R105" s="28" t="s">
        <v>316</v>
      </c>
      <c r="S105" s="55">
        <v>5149726642</v>
      </c>
      <c r="T105" s="29" t="s">
        <v>402</v>
      </c>
      <c r="U105" s="28">
        <v>1985</v>
      </c>
      <c r="V105" s="33">
        <v>-1</v>
      </c>
      <c r="W105" s="33">
        <v>-1</v>
      </c>
      <c r="X105" s="33">
        <v>-1</v>
      </c>
      <c r="Y105" s="33">
        <v>-1</v>
      </c>
      <c r="Z105" s="33">
        <v>-1</v>
      </c>
      <c r="AA105" s="33">
        <v>-1</v>
      </c>
      <c r="AB105" s="33"/>
      <c r="AC105" s="33"/>
      <c r="AD105" s="33"/>
      <c r="AE105" s="33"/>
      <c r="AF105" s="33"/>
      <c r="AG105" s="33"/>
      <c r="AH105" s="33"/>
      <c r="AI105" s="33"/>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row>
    <row r="106" spans="1:134" ht="11.25" customHeight="1" x14ac:dyDescent="0.3">
      <c r="A106" s="28" t="e">
        <f t="array" aca="1" ref="A106" ca="1">_xludf.XLOOKUP(S106,Master_Registrations!P:P,Master_Registrations!A:A,"")</f>
        <v>#NAME?</v>
      </c>
      <c r="B106" s="28" t="s">
        <v>182</v>
      </c>
      <c r="C106" s="28">
        <v>2026</v>
      </c>
      <c r="D106" s="28" t="s">
        <v>4886</v>
      </c>
      <c r="E106" s="28">
        <v>3</v>
      </c>
      <c r="F106" s="29" t="str">
        <f t="shared" si="0"/>
        <v>VED-01-2026-GR-3</v>
      </c>
      <c r="G106" s="28" t="s">
        <v>3955</v>
      </c>
      <c r="H106" s="28" t="s">
        <v>6869</v>
      </c>
      <c r="I106" s="28"/>
      <c r="J106" s="28" t="s">
        <v>198</v>
      </c>
      <c r="K106" s="38"/>
      <c r="L106" s="35"/>
      <c r="M106" s="30"/>
      <c r="N106" s="28" t="s">
        <v>299</v>
      </c>
      <c r="O106" s="28" t="s">
        <v>4183</v>
      </c>
      <c r="P106" s="28" t="s">
        <v>4184</v>
      </c>
      <c r="Q106" s="28" t="e">
        <f t="shared" ca="1" si="5"/>
        <v>#NAME?</v>
      </c>
      <c r="R106" s="28" t="s">
        <v>112</v>
      </c>
      <c r="S106" s="55">
        <v>9866473937</v>
      </c>
      <c r="T106" s="29" t="s">
        <v>111</v>
      </c>
      <c r="U106" s="28">
        <v>1968</v>
      </c>
      <c r="V106" s="33">
        <v>-1</v>
      </c>
      <c r="W106" s="33">
        <v>-1</v>
      </c>
      <c r="X106" s="33">
        <v>-1</v>
      </c>
      <c r="Y106" s="33">
        <v>-1</v>
      </c>
      <c r="Z106" s="35">
        <v>-1</v>
      </c>
      <c r="AA106" s="33">
        <v>-1</v>
      </c>
      <c r="AB106" s="33"/>
      <c r="AC106" s="33"/>
      <c r="AD106" s="33"/>
      <c r="AE106" s="33"/>
      <c r="AF106" s="33"/>
      <c r="AG106" s="33"/>
      <c r="AH106" s="33"/>
      <c r="AI106" s="33"/>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row>
    <row r="107" spans="1:134" ht="11.25" customHeight="1" x14ac:dyDescent="0.3">
      <c r="A107" s="28" t="e">
        <f t="array" aca="1" ref="A107" ca="1">_xludf.XLOOKUP(S107,Master_Registrations!P:P,Master_Registrations!A:A,"")</f>
        <v>#NAME?</v>
      </c>
      <c r="B107" s="28" t="s">
        <v>182</v>
      </c>
      <c r="C107" s="28">
        <v>2026</v>
      </c>
      <c r="D107" s="28" t="s">
        <v>4886</v>
      </c>
      <c r="E107" s="28">
        <v>3</v>
      </c>
      <c r="F107" s="29" t="str">
        <f t="shared" si="0"/>
        <v>VED-01-2026-GR-3</v>
      </c>
      <c r="G107" s="28" t="s">
        <v>3955</v>
      </c>
      <c r="H107" s="28" t="s">
        <v>6869</v>
      </c>
      <c r="I107" s="28"/>
      <c r="J107" s="28" t="s">
        <v>198</v>
      </c>
      <c r="K107" s="35"/>
      <c r="L107" s="37"/>
      <c r="M107" s="30"/>
      <c r="N107" s="28" t="s">
        <v>369</v>
      </c>
      <c r="O107" s="28" t="s">
        <v>2501</v>
      </c>
      <c r="P107" s="28" t="s">
        <v>6520</v>
      </c>
      <c r="Q107" s="28" t="e">
        <f t="shared" ca="1" si="5"/>
        <v>#NAME?</v>
      </c>
      <c r="R107" s="28" t="s">
        <v>316</v>
      </c>
      <c r="S107" s="55">
        <v>6099370666</v>
      </c>
      <c r="T107" s="29" t="s">
        <v>315</v>
      </c>
      <c r="U107" s="28">
        <v>1990</v>
      </c>
      <c r="V107" s="33">
        <v>-1</v>
      </c>
      <c r="W107" s="33">
        <v>-1</v>
      </c>
      <c r="X107" s="35">
        <v>-1</v>
      </c>
      <c r="Y107" s="33">
        <v>-1</v>
      </c>
      <c r="Z107" s="33">
        <v>-1</v>
      </c>
      <c r="AA107" s="33">
        <v>-1</v>
      </c>
      <c r="AB107" s="33"/>
      <c r="AC107" s="33"/>
      <c r="AD107" s="33"/>
      <c r="AE107" s="33"/>
      <c r="AF107" s="33"/>
      <c r="AG107" s="33"/>
      <c r="AH107" s="33"/>
      <c r="AI107" s="33"/>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row>
    <row r="108" spans="1:134" ht="11.25" customHeight="1" x14ac:dyDescent="0.3">
      <c r="A108" s="28" t="e">
        <f t="array" aca="1" ref="A108" ca="1">_xludf.XLOOKUP(S108,Master_Registrations!P:P,Master_Registrations!A:A,"")</f>
        <v>#NAME?</v>
      </c>
      <c r="B108" s="28" t="s">
        <v>182</v>
      </c>
      <c r="C108" s="28">
        <v>2026</v>
      </c>
      <c r="D108" s="28" t="s">
        <v>4886</v>
      </c>
      <c r="E108" s="28">
        <v>3</v>
      </c>
      <c r="F108" s="29" t="str">
        <f t="shared" si="0"/>
        <v>VED-01-2026-GR-3</v>
      </c>
      <c r="G108" s="28" t="s">
        <v>3955</v>
      </c>
      <c r="H108" s="28" t="s">
        <v>6869</v>
      </c>
      <c r="I108" s="28"/>
      <c r="J108" s="28" t="s">
        <v>198</v>
      </c>
      <c r="K108" s="38"/>
      <c r="L108" s="38"/>
      <c r="M108" s="30"/>
      <c r="N108" s="28" t="s">
        <v>434</v>
      </c>
      <c r="O108" s="28" t="s">
        <v>1720</v>
      </c>
      <c r="P108" s="28" t="s">
        <v>1721</v>
      </c>
      <c r="Q108" s="28" t="e">
        <f t="shared" ca="1" si="5"/>
        <v>#NAME?</v>
      </c>
      <c r="R108" s="28" t="s">
        <v>112</v>
      </c>
      <c r="S108" s="55">
        <v>8978416077</v>
      </c>
      <c r="T108" s="29" t="s">
        <v>111</v>
      </c>
      <c r="U108" s="28">
        <v>1960</v>
      </c>
      <c r="V108" s="33">
        <v>1</v>
      </c>
      <c r="W108" s="33">
        <v>1</v>
      </c>
      <c r="X108" s="35">
        <v>1</v>
      </c>
      <c r="Y108" s="33">
        <v>1</v>
      </c>
      <c r="Z108" s="35">
        <v>1</v>
      </c>
      <c r="AA108" s="33">
        <v>-1</v>
      </c>
      <c r="AB108" s="33"/>
      <c r="AC108" s="33"/>
      <c r="AD108" s="33"/>
      <c r="AE108" s="33"/>
      <c r="AF108" s="33"/>
      <c r="AG108" s="33"/>
      <c r="AH108" s="33"/>
      <c r="AI108" s="33"/>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row>
    <row r="109" spans="1:134" ht="11.25" customHeight="1" x14ac:dyDescent="0.3">
      <c r="A109" s="28" t="e">
        <f t="array" aca="1" ref="A109" ca="1">_xludf.XLOOKUP(S109,Master_Registrations!P:P,Master_Registrations!A:A,"")</f>
        <v>#NAME?</v>
      </c>
      <c r="B109" s="28" t="s">
        <v>182</v>
      </c>
      <c r="C109" s="28">
        <v>2026</v>
      </c>
      <c r="D109" s="28" t="s">
        <v>4886</v>
      </c>
      <c r="E109" s="28">
        <v>3</v>
      </c>
      <c r="F109" s="29" t="str">
        <f t="shared" si="0"/>
        <v>VED-01-2026-GR-3</v>
      </c>
      <c r="G109" s="28" t="s">
        <v>3955</v>
      </c>
      <c r="H109" s="28" t="s">
        <v>6869</v>
      </c>
      <c r="I109" s="28"/>
      <c r="J109" s="28" t="s">
        <v>198</v>
      </c>
      <c r="K109" s="35"/>
      <c r="L109" s="37"/>
      <c r="M109" s="30"/>
      <c r="N109" s="28" t="s">
        <v>525</v>
      </c>
      <c r="O109" s="28" t="s">
        <v>4524</v>
      </c>
      <c r="P109" s="28" t="s">
        <v>4525</v>
      </c>
      <c r="Q109" s="28" t="e">
        <f t="shared" ca="1" si="5"/>
        <v>#NAME?</v>
      </c>
      <c r="R109" s="28" t="s">
        <v>112</v>
      </c>
      <c r="S109" s="55">
        <v>9948447196</v>
      </c>
      <c r="T109" s="29" t="s">
        <v>111</v>
      </c>
      <c r="U109" s="28">
        <v>1982</v>
      </c>
      <c r="V109" s="33">
        <v>-1</v>
      </c>
      <c r="W109" s="33">
        <v>-1</v>
      </c>
      <c r="X109" s="33">
        <v>-1</v>
      </c>
      <c r="Y109" s="33">
        <v>-1</v>
      </c>
      <c r="Z109" s="33">
        <v>-1</v>
      </c>
      <c r="AA109" s="33">
        <v>-1</v>
      </c>
      <c r="AB109" s="33"/>
      <c r="AC109" s="33"/>
      <c r="AD109" s="33"/>
      <c r="AE109" s="33"/>
      <c r="AF109" s="33"/>
      <c r="AG109" s="33"/>
      <c r="AH109" s="33"/>
      <c r="AI109" s="33"/>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row>
    <row r="110" spans="1:134" ht="11.25" customHeight="1" x14ac:dyDescent="0.3">
      <c r="A110" s="28" t="e">
        <f t="array" aca="1" ref="A110" ca="1">_xludf.XLOOKUP(S110,Master_Registrations!P:P,Master_Registrations!A:A,"")</f>
        <v>#NAME?</v>
      </c>
      <c r="B110" s="28" t="s">
        <v>182</v>
      </c>
      <c r="C110" s="28">
        <v>2026</v>
      </c>
      <c r="D110" s="28" t="s">
        <v>4886</v>
      </c>
      <c r="E110" s="28">
        <v>3</v>
      </c>
      <c r="F110" s="29" t="str">
        <f t="shared" si="0"/>
        <v>VED-01-2026-GR-3</v>
      </c>
      <c r="G110" s="28" t="s">
        <v>3955</v>
      </c>
      <c r="H110" s="28" t="s">
        <v>6869</v>
      </c>
      <c r="I110" s="28"/>
      <c r="J110" s="28" t="s">
        <v>198</v>
      </c>
      <c r="K110" s="38"/>
      <c r="L110" s="37"/>
      <c r="M110" s="30"/>
      <c r="N110" s="28" t="s">
        <v>621</v>
      </c>
      <c r="O110" s="28" t="s">
        <v>4554</v>
      </c>
      <c r="P110" s="28" t="s">
        <v>4555</v>
      </c>
      <c r="Q110" s="28" t="e">
        <f t="shared" ca="1" si="5"/>
        <v>#NAME?</v>
      </c>
      <c r="R110" s="28" t="s">
        <v>112</v>
      </c>
      <c r="S110" s="55">
        <v>9666850007</v>
      </c>
      <c r="T110" s="29" t="s">
        <v>111</v>
      </c>
      <c r="U110" s="28">
        <v>1989</v>
      </c>
      <c r="V110" s="33">
        <v>-1</v>
      </c>
      <c r="W110" s="33">
        <v>-1</v>
      </c>
      <c r="X110" s="33">
        <v>-1</v>
      </c>
      <c r="Y110" s="33">
        <v>-1</v>
      </c>
      <c r="Z110" s="33">
        <v>-1</v>
      </c>
      <c r="AA110" s="33">
        <v>-1</v>
      </c>
      <c r="AB110" s="33"/>
      <c r="AC110" s="33"/>
      <c r="AD110" s="33"/>
      <c r="AE110" s="33"/>
      <c r="AF110" s="33"/>
      <c r="AG110" s="33"/>
      <c r="AH110" s="33"/>
      <c r="AI110" s="33"/>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row>
    <row r="111" spans="1:134" ht="11.25" customHeight="1" x14ac:dyDescent="0.3">
      <c r="A111" s="28" t="e">
        <f t="array" aca="1" ref="A111" ca="1">_xludf.XLOOKUP(S111,Master_Registrations!P:P,Master_Registrations!A:A,"")</f>
        <v>#NAME?</v>
      </c>
      <c r="B111" s="28" t="s">
        <v>182</v>
      </c>
      <c r="C111" s="28">
        <v>2026</v>
      </c>
      <c r="D111" s="28" t="s">
        <v>4886</v>
      </c>
      <c r="E111" s="28">
        <v>3</v>
      </c>
      <c r="F111" s="29" t="str">
        <f t="shared" si="0"/>
        <v>VED-01-2026-GR-3</v>
      </c>
      <c r="G111" s="28" t="s">
        <v>3955</v>
      </c>
      <c r="H111" s="28" t="s">
        <v>6869</v>
      </c>
      <c r="I111" s="28"/>
      <c r="J111" s="28" t="s">
        <v>198</v>
      </c>
      <c r="K111" s="35"/>
      <c r="L111" s="37"/>
      <c r="M111" s="30"/>
      <c r="N111" s="28" t="s">
        <v>714</v>
      </c>
      <c r="O111" s="28" t="s">
        <v>4437</v>
      </c>
      <c r="P111" s="28" t="s">
        <v>4438</v>
      </c>
      <c r="Q111" s="28" t="e">
        <f t="shared" ca="1" si="5"/>
        <v>#NAME?</v>
      </c>
      <c r="R111" s="28" t="s">
        <v>112</v>
      </c>
      <c r="S111" s="55">
        <v>8328467273</v>
      </c>
      <c r="T111" s="29" t="s">
        <v>111</v>
      </c>
      <c r="U111" s="28">
        <v>1994</v>
      </c>
      <c r="V111" s="33">
        <v>-1</v>
      </c>
      <c r="W111" s="33">
        <v>-1</v>
      </c>
      <c r="X111" s="33">
        <v>-1</v>
      </c>
      <c r="Y111" s="33">
        <v>-1</v>
      </c>
      <c r="Z111" s="33">
        <v>-1</v>
      </c>
      <c r="AA111" s="33">
        <v>-1</v>
      </c>
      <c r="AB111" s="33"/>
      <c r="AC111" s="33"/>
      <c r="AD111" s="33"/>
      <c r="AE111" s="33"/>
      <c r="AF111" s="33"/>
      <c r="AG111" s="33"/>
      <c r="AH111" s="33"/>
      <c r="AI111" s="33"/>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row>
    <row r="112" spans="1:134" ht="11.25" customHeight="1" x14ac:dyDescent="0.3">
      <c r="A112" s="28" t="e">
        <f t="array" aca="1" ref="A112" ca="1">_xludf.XLOOKUP(S112,Master_Registrations!P:P,Master_Registrations!A:A,"")</f>
        <v>#NAME?</v>
      </c>
      <c r="B112" s="28" t="s">
        <v>182</v>
      </c>
      <c r="C112" s="28">
        <v>2026</v>
      </c>
      <c r="D112" s="28" t="s">
        <v>4886</v>
      </c>
      <c r="E112" s="28">
        <v>3</v>
      </c>
      <c r="F112" s="29" t="str">
        <f t="shared" si="0"/>
        <v>VED-01-2026-GR-3</v>
      </c>
      <c r="G112" s="28" t="s">
        <v>3955</v>
      </c>
      <c r="H112" s="28" t="s">
        <v>6869</v>
      </c>
      <c r="I112" s="28"/>
      <c r="J112" s="28" t="s">
        <v>198</v>
      </c>
      <c r="K112" s="38"/>
      <c r="L112" s="38"/>
      <c r="M112" s="30"/>
      <c r="N112" s="28" t="s">
        <v>786</v>
      </c>
      <c r="O112" s="28" t="s">
        <v>2537</v>
      </c>
      <c r="P112" s="28" t="s">
        <v>1443</v>
      </c>
      <c r="Q112" s="28" t="e">
        <f t="shared" ca="1" si="5"/>
        <v>#NAME?</v>
      </c>
      <c r="R112" s="28" t="s">
        <v>112</v>
      </c>
      <c r="S112" s="55">
        <v>9121551597</v>
      </c>
      <c r="T112" s="29" t="s">
        <v>111</v>
      </c>
      <c r="U112" s="28">
        <v>1975</v>
      </c>
      <c r="V112" s="33">
        <v>-1</v>
      </c>
      <c r="W112" s="33">
        <v>-1</v>
      </c>
      <c r="X112" s="33">
        <v>-1</v>
      </c>
      <c r="Y112" s="33">
        <v>-1</v>
      </c>
      <c r="Z112" s="35">
        <v>1</v>
      </c>
      <c r="AA112" s="33">
        <v>-1</v>
      </c>
      <c r="AB112" s="33"/>
      <c r="AC112" s="33"/>
      <c r="AD112" s="33"/>
      <c r="AE112" s="33"/>
      <c r="AF112" s="33"/>
      <c r="AG112" s="33"/>
      <c r="AH112" s="33"/>
      <c r="AI112" s="33"/>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row>
    <row r="113" spans="1:134" ht="11.25" customHeight="1" x14ac:dyDescent="0.3">
      <c r="A113" s="28" t="e">
        <f t="array" aca="1" ref="A113" ca="1">_xludf.XLOOKUP(S113,Master_Registrations!P:P,Master_Registrations!A:A,"")</f>
        <v>#NAME?</v>
      </c>
      <c r="B113" s="28" t="s">
        <v>182</v>
      </c>
      <c r="C113" s="28">
        <v>2026</v>
      </c>
      <c r="D113" s="28" t="s">
        <v>4886</v>
      </c>
      <c r="E113" s="28">
        <v>3</v>
      </c>
      <c r="F113" s="29" t="str">
        <f t="shared" si="0"/>
        <v>VED-01-2026-GR-3</v>
      </c>
      <c r="G113" s="28" t="s">
        <v>3955</v>
      </c>
      <c r="H113" s="28" t="s">
        <v>6869</v>
      </c>
      <c r="I113" s="28"/>
      <c r="J113" s="28" t="s">
        <v>198</v>
      </c>
      <c r="K113" s="35"/>
      <c r="L113" s="37"/>
      <c r="M113" s="30"/>
      <c r="N113" s="28" t="s">
        <v>856</v>
      </c>
      <c r="O113" s="28" t="s">
        <v>2122</v>
      </c>
      <c r="P113" s="28" t="s">
        <v>3987</v>
      </c>
      <c r="Q113" s="28" t="e">
        <f t="shared" ca="1" si="5"/>
        <v>#NAME?</v>
      </c>
      <c r="R113" s="28" t="s">
        <v>112</v>
      </c>
      <c r="S113" s="55">
        <v>9032526286</v>
      </c>
      <c r="T113" s="29" t="s">
        <v>111</v>
      </c>
      <c r="U113" s="28">
        <v>1993</v>
      </c>
      <c r="V113" s="33">
        <v>-1</v>
      </c>
      <c r="W113" s="33">
        <v>-1</v>
      </c>
      <c r="X113" s="33">
        <v>-1</v>
      </c>
      <c r="Y113" s="33">
        <v>-1</v>
      </c>
      <c r="Z113" s="33">
        <v>-1</v>
      </c>
      <c r="AA113" s="33">
        <v>-1</v>
      </c>
      <c r="AB113" s="33"/>
      <c r="AC113" s="33"/>
      <c r="AD113" s="33"/>
      <c r="AE113" s="33"/>
      <c r="AF113" s="33"/>
      <c r="AG113" s="33"/>
      <c r="AH113" s="33"/>
      <c r="AI113" s="33"/>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c r="DZ113" s="34"/>
      <c r="EA113" s="34"/>
      <c r="EB113" s="34"/>
      <c r="EC113" s="34"/>
      <c r="ED113" s="34"/>
    </row>
    <row r="114" spans="1:134" ht="11.25" customHeight="1" x14ac:dyDescent="0.3">
      <c r="A114" s="28" t="e">
        <f t="array" aca="1" ref="A114" ca="1">_xludf.XLOOKUP(S114,Master_Registrations!P:P,Master_Registrations!A:A,"")</f>
        <v>#NAME?</v>
      </c>
      <c r="B114" s="28" t="s">
        <v>182</v>
      </c>
      <c r="C114" s="28">
        <v>2026</v>
      </c>
      <c r="D114" s="28" t="s">
        <v>4886</v>
      </c>
      <c r="E114" s="28">
        <v>3</v>
      </c>
      <c r="F114" s="29" t="str">
        <f t="shared" si="0"/>
        <v>VED-01-2026-GR-3</v>
      </c>
      <c r="G114" s="28" t="s">
        <v>3955</v>
      </c>
      <c r="H114" s="28" t="s">
        <v>6869</v>
      </c>
      <c r="I114" s="28"/>
      <c r="J114" s="28" t="s">
        <v>198</v>
      </c>
      <c r="K114" s="35"/>
      <c r="L114" s="35"/>
      <c r="M114" s="30"/>
      <c r="N114" s="28" t="s">
        <v>915</v>
      </c>
      <c r="O114" s="28" t="s">
        <v>653</v>
      </c>
      <c r="P114" s="28" t="s">
        <v>4610</v>
      </c>
      <c r="Q114" s="28" t="e">
        <f t="shared" ca="1" si="5"/>
        <v>#NAME?</v>
      </c>
      <c r="R114" s="28" t="s">
        <v>112</v>
      </c>
      <c r="S114" s="55">
        <v>7200045038</v>
      </c>
      <c r="T114" s="29" t="s">
        <v>111</v>
      </c>
      <c r="U114" s="28">
        <v>1993</v>
      </c>
      <c r="V114" s="33">
        <v>-1</v>
      </c>
      <c r="W114" s="33">
        <v>-1</v>
      </c>
      <c r="X114" s="33">
        <v>-1</v>
      </c>
      <c r="Y114" s="33">
        <v>-1</v>
      </c>
      <c r="Z114" s="33">
        <v>-1</v>
      </c>
      <c r="AA114" s="33">
        <v>-1</v>
      </c>
      <c r="AB114" s="33"/>
      <c r="AC114" s="33"/>
      <c r="AD114" s="33"/>
      <c r="AE114" s="33"/>
      <c r="AF114" s="33"/>
      <c r="AG114" s="33"/>
      <c r="AH114" s="33"/>
      <c r="AI114" s="33"/>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row>
    <row r="115" spans="1:134" ht="11.25" customHeight="1" x14ac:dyDescent="0.3">
      <c r="A115" s="28" t="e">
        <f t="array" aca="1" ref="A115" ca="1">_xludf.XLOOKUP(S115,Master_Registrations!P:P,Master_Registrations!A:A,"")</f>
        <v>#NAME?</v>
      </c>
      <c r="B115" s="28" t="s">
        <v>182</v>
      </c>
      <c r="C115" s="28">
        <v>2026</v>
      </c>
      <c r="D115" s="28" t="s">
        <v>4886</v>
      </c>
      <c r="E115" s="28">
        <v>3</v>
      </c>
      <c r="F115" s="29" t="str">
        <f t="shared" si="0"/>
        <v>VED-01-2026-GR-3</v>
      </c>
      <c r="G115" s="28" t="s">
        <v>3955</v>
      </c>
      <c r="H115" s="28" t="s">
        <v>6869</v>
      </c>
      <c r="I115" s="28"/>
      <c r="J115" s="28" t="s">
        <v>198</v>
      </c>
      <c r="K115" s="38"/>
      <c r="L115" s="38"/>
      <c r="M115" s="30"/>
      <c r="N115" s="28" t="s">
        <v>973</v>
      </c>
      <c r="O115" s="28" t="s">
        <v>957</v>
      </c>
      <c r="P115" s="28" t="s">
        <v>3150</v>
      </c>
      <c r="Q115" s="28" t="e">
        <f t="shared" ca="1" si="5"/>
        <v>#NAME?</v>
      </c>
      <c r="R115" s="28" t="s">
        <v>112</v>
      </c>
      <c r="S115" s="55">
        <v>9948404499</v>
      </c>
      <c r="T115" s="29" t="s">
        <v>111</v>
      </c>
      <c r="U115" s="28">
        <v>1971</v>
      </c>
      <c r="V115" s="33">
        <v>-1</v>
      </c>
      <c r="W115" s="33">
        <v>-1</v>
      </c>
      <c r="X115" s="35">
        <v>1</v>
      </c>
      <c r="Y115" s="33">
        <v>-1</v>
      </c>
      <c r="Z115" s="35">
        <v>1</v>
      </c>
      <c r="AA115" s="33">
        <v>-1</v>
      </c>
      <c r="AB115" s="33"/>
      <c r="AC115" s="33"/>
      <c r="AD115" s="33"/>
      <c r="AE115" s="33"/>
      <c r="AF115" s="33"/>
      <c r="AG115" s="33"/>
      <c r="AH115" s="33"/>
      <c r="AI115" s="33"/>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c r="DZ115" s="34"/>
      <c r="EA115" s="34"/>
      <c r="EB115" s="34"/>
      <c r="EC115" s="34"/>
      <c r="ED115" s="34"/>
    </row>
    <row r="116" spans="1:134" ht="11.25" customHeight="1" x14ac:dyDescent="0.3">
      <c r="A116" s="28" t="e">
        <f t="array" aca="1" ref="A116" ca="1">_xludf.XLOOKUP(S116,Master_Registrations!P:P,Master_Registrations!A:A,"")</f>
        <v>#NAME?</v>
      </c>
      <c r="B116" s="28" t="s">
        <v>182</v>
      </c>
      <c r="C116" s="28">
        <v>2026</v>
      </c>
      <c r="D116" s="28" t="s">
        <v>4886</v>
      </c>
      <c r="E116" s="28">
        <v>3</v>
      </c>
      <c r="F116" s="29" t="str">
        <f t="shared" si="0"/>
        <v>VED-01-2026-GR-3</v>
      </c>
      <c r="G116" s="28" t="s">
        <v>3955</v>
      </c>
      <c r="H116" s="28" t="s">
        <v>6869</v>
      </c>
      <c r="I116" s="28"/>
      <c r="J116" s="28" t="s">
        <v>198</v>
      </c>
      <c r="K116" s="38"/>
      <c r="L116" s="37"/>
      <c r="M116" s="30"/>
      <c r="N116" s="28" t="s">
        <v>1031</v>
      </c>
      <c r="O116" s="28" t="s">
        <v>4470</v>
      </c>
      <c r="P116" s="28" t="s">
        <v>4471</v>
      </c>
      <c r="Q116" s="28" t="e">
        <f t="shared" ca="1" si="5"/>
        <v>#NAME?</v>
      </c>
      <c r="R116" s="28" t="s">
        <v>261</v>
      </c>
      <c r="S116" s="55">
        <v>428345193</v>
      </c>
      <c r="T116" s="29" t="s">
        <v>260</v>
      </c>
      <c r="U116" s="28">
        <v>1979</v>
      </c>
      <c r="V116" s="33">
        <v>-1</v>
      </c>
      <c r="W116" s="33">
        <v>-1</v>
      </c>
      <c r="X116" s="33">
        <v>-1</v>
      </c>
      <c r="Y116" s="33">
        <v>-1</v>
      </c>
      <c r="Z116" s="33">
        <v>-1</v>
      </c>
      <c r="AA116" s="33">
        <v>-1</v>
      </c>
      <c r="AB116" s="33"/>
      <c r="AC116" s="33"/>
      <c r="AD116" s="33"/>
      <c r="AE116" s="33"/>
      <c r="AF116" s="33"/>
      <c r="AG116" s="33"/>
      <c r="AH116" s="33"/>
      <c r="AI116" s="33"/>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row>
    <row r="117" spans="1:134" ht="11.25" customHeight="1" x14ac:dyDescent="0.3">
      <c r="A117" s="28" t="e">
        <f t="array" aca="1" ref="A117" ca="1">_xludf.XLOOKUP(S117,Master_Registrations!P:P,Master_Registrations!A:A,"")</f>
        <v>#NAME?</v>
      </c>
      <c r="B117" s="28" t="s">
        <v>182</v>
      </c>
      <c r="C117" s="28">
        <v>2026</v>
      </c>
      <c r="D117" s="28" t="s">
        <v>4886</v>
      </c>
      <c r="E117" s="28">
        <v>3</v>
      </c>
      <c r="F117" s="29" t="str">
        <f t="shared" si="0"/>
        <v>VED-01-2026-GR-3</v>
      </c>
      <c r="G117" s="28" t="s">
        <v>3955</v>
      </c>
      <c r="H117" s="28" t="s">
        <v>6869</v>
      </c>
      <c r="I117" s="28"/>
      <c r="J117" s="28" t="s">
        <v>198</v>
      </c>
      <c r="K117" s="35"/>
      <c r="L117" s="37">
        <v>-1</v>
      </c>
      <c r="M117" s="30"/>
      <c r="N117" s="28" t="s">
        <v>1112</v>
      </c>
      <c r="O117" s="28" t="s">
        <v>982</v>
      </c>
      <c r="P117" s="28" t="s">
        <v>2160</v>
      </c>
      <c r="Q117" s="28" t="e">
        <f t="shared" ca="1" si="5"/>
        <v>#NAME?</v>
      </c>
      <c r="R117" s="28" t="s">
        <v>112</v>
      </c>
      <c r="S117" s="55">
        <v>9177393167</v>
      </c>
      <c r="T117" s="29" t="s">
        <v>111</v>
      </c>
      <c r="U117" s="28">
        <v>1987</v>
      </c>
      <c r="V117" s="33">
        <v>1</v>
      </c>
      <c r="W117" s="33">
        <v>1</v>
      </c>
      <c r="X117" s="33">
        <v>1</v>
      </c>
      <c r="Y117" s="33">
        <v>-1</v>
      </c>
      <c r="Z117" s="33">
        <v>1</v>
      </c>
      <c r="AA117" s="33">
        <v>-1</v>
      </c>
      <c r="AB117" s="33"/>
      <c r="AC117" s="33"/>
      <c r="AD117" s="33"/>
      <c r="AE117" s="33"/>
      <c r="AF117" s="33"/>
      <c r="AG117" s="33"/>
      <c r="AH117" s="33"/>
      <c r="AI117" s="33"/>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c r="DZ117" s="34"/>
      <c r="EA117" s="34"/>
      <c r="EB117" s="34"/>
      <c r="EC117" s="34"/>
      <c r="ED117" s="34"/>
    </row>
    <row r="118" spans="1:134" ht="11.25" customHeight="1" x14ac:dyDescent="0.3">
      <c r="A118" s="28" t="e">
        <f t="array" aca="1" ref="A118" ca="1">_xludf.XLOOKUP(S118,Master_Registrations!P:P,Master_Registrations!A:A,"")</f>
        <v>#NAME?</v>
      </c>
      <c r="B118" s="28" t="s">
        <v>182</v>
      </c>
      <c r="C118" s="28">
        <v>2026</v>
      </c>
      <c r="D118" s="28" t="s">
        <v>4886</v>
      </c>
      <c r="E118" s="28">
        <v>3</v>
      </c>
      <c r="F118" s="29" t="str">
        <f t="shared" si="0"/>
        <v>VED-01-2026-GR-3</v>
      </c>
      <c r="G118" s="28" t="s">
        <v>3955</v>
      </c>
      <c r="H118" s="28" t="s">
        <v>6869</v>
      </c>
      <c r="I118" s="28"/>
      <c r="J118" s="28" t="s">
        <v>198</v>
      </c>
      <c r="K118" s="35"/>
      <c r="L118" s="37"/>
      <c r="M118" s="30"/>
      <c r="N118" s="28" t="s">
        <v>1196</v>
      </c>
      <c r="O118" s="28" t="s">
        <v>1044</v>
      </c>
      <c r="P118" s="28" t="s">
        <v>4382</v>
      </c>
      <c r="Q118" s="28" t="e">
        <f t="shared" ca="1" si="5"/>
        <v>#NAME?</v>
      </c>
      <c r="R118" s="28" t="s">
        <v>112</v>
      </c>
      <c r="S118" s="55">
        <v>9866020600</v>
      </c>
      <c r="T118" s="29" t="s">
        <v>111</v>
      </c>
      <c r="U118" s="28">
        <v>1972</v>
      </c>
      <c r="V118" s="33">
        <v>-1</v>
      </c>
      <c r="W118" s="33">
        <v>-1</v>
      </c>
      <c r="X118" s="35">
        <v>-1</v>
      </c>
      <c r="Y118" s="33">
        <v>-1</v>
      </c>
      <c r="Z118" s="33">
        <v>-1</v>
      </c>
      <c r="AA118" s="33">
        <v>-1</v>
      </c>
      <c r="AB118" s="33"/>
      <c r="AC118" s="33"/>
      <c r="AD118" s="33"/>
      <c r="AE118" s="33"/>
      <c r="AF118" s="33"/>
      <c r="AG118" s="33"/>
      <c r="AH118" s="33"/>
      <c r="AI118" s="33"/>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row>
    <row r="119" spans="1:134" ht="11.25" customHeight="1" x14ac:dyDescent="0.3">
      <c r="A119" s="28" t="e">
        <f t="array" aca="1" ref="A119" ca="1">_xludf.XLOOKUP(S119,Master_Registrations!P:P,Master_Registrations!A:A,"")</f>
        <v>#NAME?</v>
      </c>
      <c r="B119" s="28" t="s">
        <v>182</v>
      </c>
      <c r="C119" s="28">
        <v>2026</v>
      </c>
      <c r="D119" s="28" t="s">
        <v>4886</v>
      </c>
      <c r="E119" s="28">
        <v>3</v>
      </c>
      <c r="F119" s="29" t="str">
        <f t="shared" si="0"/>
        <v>VED-01-2026-GR-3</v>
      </c>
      <c r="G119" s="28" t="s">
        <v>3955</v>
      </c>
      <c r="H119" s="28" t="s">
        <v>6869</v>
      </c>
      <c r="I119" s="28"/>
      <c r="J119" s="28" t="s">
        <v>198</v>
      </c>
      <c r="K119" s="38"/>
      <c r="L119" s="38"/>
      <c r="M119" s="30"/>
      <c r="N119" s="28" t="s">
        <v>2297</v>
      </c>
      <c r="O119" s="28" t="s">
        <v>4397</v>
      </c>
      <c r="P119" s="28" t="s">
        <v>751</v>
      </c>
      <c r="Q119" s="28" t="e">
        <f t="shared" ca="1" si="5"/>
        <v>#NAME?</v>
      </c>
      <c r="R119" s="28" t="s">
        <v>316</v>
      </c>
      <c r="S119" s="55">
        <v>6026533166</v>
      </c>
      <c r="T119" s="29" t="s">
        <v>474</v>
      </c>
      <c r="U119" s="28">
        <v>1978</v>
      </c>
      <c r="V119" s="33">
        <v>-1</v>
      </c>
      <c r="W119" s="33">
        <v>-1</v>
      </c>
      <c r="X119" s="35">
        <v>1</v>
      </c>
      <c r="Y119" s="33">
        <v>-1</v>
      </c>
      <c r="Z119" s="35">
        <v>1</v>
      </c>
      <c r="AA119" s="33">
        <v>-1</v>
      </c>
      <c r="AB119" s="33"/>
      <c r="AC119" s="33"/>
      <c r="AD119" s="33"/>
      <c r="AE119" s="33"/>
      <c r="AF119" s="33"/>
      <c r="AG119" s="33"/>
      <c r="AH119" s="33"/>
      <c r="AI119" s="33"/>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c r="DZ119" s="34"/>
      <c r="EA119" s="34"/>
      <c r="EB119" s="34"/>
      <c r="EC119" s="34"/>
      <c r="ED119" s="34"/>
    </row>
    <row r="120" spans="1:134" ht="11.25" customHeight="1" x14ac:dyDescent="0.3">
      <c r="A120" s="28" t="e">
        <f t="array" aca="1" ref="A120" ca="1">_xludf.XLOOKUP(S120,Master_Registrations!P:P,Master_Registrations!A:A,"")</f>
        <v>#NAME?</v>
      </c>
      <c r="B120" s="39" t="s">
        <v>182</v>
      </c>
      <c r="C120" s="39">
        <v>2026</v>
      </c>
      <c r="D120" s="39" t="s">
        <v>4886</v>
      </c>
      <c r="E120" s="39">
        <v>4</v>
      </c>
      <c r="F120" s="40" t="str">
        <f t="shared" si="0"/>
        <v>VED-01-2026-GR-4</v>
      </c>
      <c r="G120" s="39" t="s">
        <v>4569</v>
      </c>
      <c r="H120" s="39" t="s">
        <v>7003</v>
      </c>
      <c r="I120" s="39"/>
      <c r="J120" s="39" t="s">
        <v>198</v>
      </c>
      <c r="K120" s="52"/>
      <c r="L120" s="52"/>
      <c r="M120" s="49"/>
      <c r="N120" s="39" t="s">
        <v>200</v>
      </c>
      <c r="O120" s="39" t="s">
        <v>3906</v>
      </c>
      <c r="P120" s="39" t="s">
        <v>3907</v>
      </c>
      <c r="Q120" s="39" t="e">
        <f t="shared" ca="1" si="5"/>
        <v>#NAME?</v>
      </c>
      <c r="R120" s="39" t="s">
        <v>316</v>
      </c>
      <c r="S120" s="50">
        <v>2165079464</v>
      </c>
      <c r="T120" s="40" t="s">
        <v>315</v>
      </c>
      <c r="U120" s="39">
        <v>1991</v>
      </c>
      <c r="V120" s="44">
        <v>-1</v>
      </c>
      <c r="W120" s="44">
        <v>-1</v>
      </c>
      <c r="X120" s="44">
        <v>-1</v>
      </c>
      <c r="Y120" s="44">
        <v>-1</v>
      </c>
      <c r="Z120" s="44">
        <v>-1</v>
      </c>
      <c r="AA120" s="45">
        <v>-1</v>
      </c>
      <c r="AB120" s="45"/>
      <c r="AC120" s="45"/>
      <c r="AD120" s="45"/>
      <c r="AE120" s="45"/>
      <c r="AF120" s="45"/>
      <c r="AG120" s="45"/>
      <c r="AH120" s="45"/>
      <c r="AI120" s="45"/>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c r="DX120" s="48"/>
      <c r="DY120" s="48"/>
      <c r="DZ120" s="48"/>
      <c r="EA120" s="48"/>
      <c r="EB120" s="48"/>
      <c r="EC120" s="48"/>
      <c r="ED120" s="48"/>
    </row>
    <row r="121" spans="1:134" ht="11.25" customHeight="1" x14ac:dyDescent="0.3">
      <c r="A121" s="28" t="e">
        <f t="array" aca="1" ref="A121" ca="1">_xludf.XLOOKUP(S121,Master_Registrations!P:P,Master_Registrations!A:A,"")</f>
        <v>#NAME?</v>
      </c>
      <c r="B121" s="39" t="s">
        <v>182</v>
      </c>
      <c r="C121" s="39">
        <v>2026</v>
      </c>
      <c r="D121" s="39" t="s">
        <v>4886</v>
      </c>
      <c r="E121" s="39">
        <v>4</v>
      </c>
      <c r="F121" s="40" t="str">
        <f t="shared" si="0"/>
        <v>VED-01-2026-GR-4</v>
      </c>
      <c r="G121" s="39" t="s">
        <v>4569</v>
      </c>
      <c r="H121" s="39" t="s">
        <v>7003</v>
      </c>
      <c r="I121" s="39"/>
      <c r="J121" s="39" t="s">
        <v>198</v>
      </c>
      <c r="K121" s="52"/>
      <c r="L121" s="68"/>
      <c r="M121" s="49"/>
      <c r="N121" s="39" t="s">
        <v>299</v>
      </c>
      <c r="O121" s="39" t="s">
        <v>1380</v>
      </c>
      <c r="P121" s="39" t="s">
        <v>751</v>
      </c>
      <c r="Q121" s="39" t="e">
        <f t="shared" ca="1" si="5"/>
        <v>#NAME?</v>
      </c>
      <c r="R121" s="39" t="s">
        <v>316</v>
      </c>
      <c r="S121" s="50">
        <v>8328079584</v>
      </c>
      <c r="T121" s="40" t="s">
        <v>315</v>
      </c>
      <c r="U121" s="39">
        <v>1973</v>
      </c>
      <c r="V121" s="44">
        <v>-1</v>
      </c>
      <c r="W121" s="44">
        <v>-1</v>
      </c>
      <c r="X121" s="44">
        <v>-1</v>
      </c>
      <c r="Y121" s="44">
        <v>-1</v>
      </c>
      <c r="Z121" s="44">
        <v>-1</v>
      </c>
      <c r="AA121" s="45">
        <v>-1</v>
      </c>
      <c r="AB121" s="45"/>
      <c r="AC121" s="45"/>
      <c r="AD121" s="45"/>
      <c r="AE121" s="45"/>
      <c r="AF121" s="45"/>
      <c r="AG121" s="45"/>
      <c r="AH121" s="45"/>
      <c r="AI121" s="45"/>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c r="DX121" s="48"/>
      <c r="DY121" s="48"/>
      <c r="DZ121" s="48"/>
      <c r="EA121" s="48"/>
      <c r="EB121" s="48"/>
      <c r="EC121" s="48"/>
      <c r="ED121" s="48"/>
    </row>
    <row r="122" spans="1:134" ht="11.25" customHeight="1" x14ac:dyDescent="0.3">
      <c r="A122" s="28" t="e">
        <f t="array" aca="1" ref="A122" ca="1">_xludf.XLOOKUP(S122,Master_Registrations!P:P,Master_Registrations!A:A,"")</f>
        <v>#NAME?</v>
      </c>
      <c r="B122" s="39" t="s">
        <v>182</v>
      </c>
      <c r="C122" s="39">
        <v>2026</v>
      </c>
      <c r="D122" s="39" t="s">
        <v>4886</v>
      </c>
      <c r="E122" s="39">
        <v>4</v>
      </c>
      <c r="F122" s="40" t="str">
        <f t="shared" si="0"/>
        <v>VED-01-2026-GR-4</v>
      </c>
      <c r="G122" s="39" t="s">
        <v>4569</v>
      </c>
      <c r="H122" s="39" t="s">
        <v>7003</v>
      </c>
      <c r="I122" s="39"/>
      <c r="J122" s="39" t="s">
        <v>198</v>
      </c>
      <c r="K122" s="44"/>
      <c r="L122" s="68"/>
      <c r="M122" s="49"/>
      <c r="N122" s="39" t="s">
        <v>369</v>
      </c>
      <c r="O122" s="39" t="s">
        <v>3914</v>
      </c>
      <c r="P122" s="39" t="s">
        <v>3915</v>
      </c>
      <c r="Q122" s="39" t="e">
        <f t="shared" ca="1" si="5"/>
        <v>#NAME?</v>
      </c>
      <c r="R122" s="39">
        <v>91</v>
      </c>
      <c r="S122" s="50">
        <v>7901273185</v>
      </c>
      <c r="T122" s="40" t="s">
        <v>315</v>
      </c>
      <c r="U122" s="39">
        <v>2001</v>
      </c>
      <c r="V122" s="44">
        <v>-1</v>
      </c>
      <c r="W122" s="44">
        <v>-1</v>
      </c>
      <c r="X122" s="44">
        <v>-1</v>
      </c>
      <c r="Y122" s="44">
        <v>-1</v>
      </c>
      <c r="Z122" s="44">
        <v>-1</v>
      </c>
      <c r="AA122" s="45">
        <v>-1</v>
      </c>
      <c r="AB122" s="45"/>
      <c r="AC122" s="45"/>
      <c r="AD122" s="45"/>
      <c r="AE122" s="45"/>
      <c r="AF122" s="45"/>
      <c r="AG122" s="45"/>
      <c r="AH122" s="45"/>
      <c r="AI122" s="45"/>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row>
    <row r="123" spans="1:134" ht="11.25" customHeight="1" x14ac:dyDescent="0.3">
      <c r="A123" s="28" t="e">
        <f t="array" aca="1" ref="A123" ca="1">_xludf.XLOOKUP(S123,Master_Registrations!P:P,Master_Registrations!A:A,"")</f>
        <v>#NAME?</v>
      </c>
      <c r="B123" s="39" t="s">
        <v>182</v>
      </c>
      <c r="C123" s="39">
        <v>2026</v>
      </c>
      <c r="D123" s="39" t="s">
        <v>4886</v>
      </c>
      <c r="E123" s="39">
        <v>4</v>
      </c>
      <c r="F123" s="40" t="str">
        <f t="shared" si="0"/>
        <v>VED-01-2026-GR-4</v>
      </c>
      <c r="G123" s="39" t="s">
        <v>4569</v>
      </c>
      <c r="H123" s="39" t="s">
        <v>7003</v>
      </c>
      <c r="I123" s="39"/>
      <c r="J123" s="39" t="s">
        <v>198</v>
      </c>
      <c r="K123" s="44"/>
      <c r="L123" s="68"/>
      <c r="M123" s="49"/>
      <c r="N123" s="39" t="s">
        <v>434</v>
      </c>
      <c r="O123" s="39" t="s">
        <v>3769</v>
      </c>
      <c r="P123" s="39" t="s">
        <v>4364</v>
      </c>
      <c r="Q123" s="39" t="e">
        <f t="shared" ca="1" si="5"/>
        <v>#NAME?</v>
      </c>
      <c r="R123" s="39" t="s">
        <v>316</v>
      </c>
      <c r="S123" s="50">
        <v>9592057245</v>
      </c>
      <c r="T123" s="40" t="s">
        <v>402</v>
      </c>
      <c r="U123" s="39">
        <v>1973</v>
      </c>
      <c r="V123" s="44">
        <v>-1</v>
      </c>
      <c r="W123" s="44">
        <v>-1</v>
      </c>
      <c r="X123" s="44">
        <v>-1</v>
      </c>
      <c r="Y123" s="44">
        <v>-1</v>
      </c>
      <c r="Z123" s="44">
        <v>-1</v>
      </c>
      <c r="AA123" s="45">
        <v>-1</v>
      </c>
      <c r="AB123" s="45"/>
      <c r="AC123" s="45"/>
      <c r="AD123" s="45"/>
      <c r="AE123" s="45"/>
      <c r="AF123" s="45"/>
      <c r="AG123" s="45"/>
      <c r="AH123" s="45"/>
      <c r="AI123" s="45"/>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39"/>
      <c r="CX123" s="39"/>
      <c r="CY123" s="39"/>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row>
    <row r="124" spans="1:134" ht="11.25" customHeight="1" x14ac:dyDescent="0.3">
      <c r="A124" s="28" t="e">
        <f t="array" aca="1" ref="A124" ca="1">_xludf.XLOOKUP(S124,Master_Registrations!P:P,Master_Registrations!A:A,"")</f>
        <v>#NAME?</v>
      </c>
      <c r="B124" s="39" t="s">
        <v>182</v>
      </c>
      <c r="C124" s="39">
        <v>2026</v>
      </c>
      <c r="D124" s="39" t="s">
        <v>4886</v>
      </c>
      <c r="E124" s="39">
        <v>4</v>
      </c>
      <c r="F124" s="40" t="str">
        <f t="shared" si="0"/>
        <v>VED-01-2026-GR-4</v>
      </c>
      <c r="G124" s="39" t="s">
        <v>4569</v>
      </c>
      <c r="H124" s="39" t="s">
        <v>7003</v>
      </c>
      <c r="I124" s="39"/>
      <c r="J124" s="39" t="s">
        <v>198</v>
      </c>
      <c r="K124" s="52"/>
      <c r="L124" s="68"/>
      <c r="M124" s="49"/>
      <c r="N124" s="39" t="s">
        <v>525</v>
      </c>
      <c r="O124" s="39" t="s">
        <v>2215</v>
      </c>
      <c r="P124" s="39" t="s">
        <v>2216</v>
      </c>
      <c r="Q124" s="39" t="e">
        <f t="shared" ca="1" si="5"/>
        <v>#NAME?</v>
      </c>
      <c r="R124" s="39" t="s">
        <v>112</v>
      </c>
      <c r="S124" s="50">
        <v>9989688654</v>
      </c>
      <c r="T124" s="40" t="s">
        <v>111</v>
      </c>
      <c r="U124" s="39">
        <v>1971</v>
      </c>
      <c r="V124" s="44">
        <v>-1</v>
      </c>
      <c r="W124" s="44">
        <v>-1</v>
      </c>
      <c r="X124" s="44">
        <v>-1</v>
      </c>
      <c r="Y124" s="44">
        <v>-1</v>
      </c>
      <c r="Z124" s="44">
        <v>-1</v>
      </c>
      <c r="AA124" s="45">
        <v>-1</v>
      </c>
      <c r="AB124" s="45"/>
      <c r="AC124" s="45"/>
      <c r="AD124" s="45"/>
      <c r="AE124" s="45"/>
      <c r="AF124" s="45"/>
      <c r="AG124" s="45"/>
      <c r="AH124" s="45"/>
      <c r="AI124" s="45"/>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row>
    <row r="125" spans="1:134" ht="11.25" customHeight="1" x14ac:dyDescent="0.3">
      <c r="A125" s="28" t="e">
        <f t="array" aca="1" ref="A125" ca="1">_xludf.XLOOKUP(S125,Master_Registrations!P:P,Master_Registrations!A:A,"")</f>
        <v>#NAME?</v>
      </c>
      <c r="B125" s="39" t="s">
        <v>182</v>
      </c>
      <c r="C125" s="39">
        <v>2026</v>
      </c>
      <c r="D125" s="39" t="s">
        <v>4886</v>
      </c>
      <c r="E125" s="39">
        <v>4</v>
      </c>
      <c r="F125" s="40" t="str">
        <f t="shared" si="0"/>
        <v>VED-01-2026-GR-4</v>
      </c>
      <c r="G125" s="39" t="s">
        <v>4569</v>
      </c>
      <c r="H125" s="39" t="s">
        <v>7003</v>
      </c>
      <c r="I125" s="39"/>
      <c r="J125" s="39" t="s">
        <v>198</v>
      </c>
      <c r="K125" s="52"/>
      <c r="L125" s="44"/>
      <c r="M125" s="49"/>
      <c r="N125" s="39" t="s">
        <v>621</v>
      </c>
      <c r="O125" s="39" t="s">
        <v>2016</v>
      </c>
      <c r="P125" s="39" t="s">
        <v>4687</v>
      </c>
      <c r="Q125" s="39" t="e">
        <f t="shared" ca="1" si="5"/>
        <v>#NAME?</v>
      </c>
      <c r="R125" s="39" t="s">
        <v>316</v>
      </c>
      <c r="S125" s="50">
        <v>6315121073</v>
      </c>
      <c r="T125" s="40" t="s">
        <v>402</v>
      </c>
      <c r="U125" s="39">
        <v>1990</v>
      </c>
      <c r="V125" s="44">
        <v>-1</v>
      </c>
      <c r="W125" s="44">
        <v>-1</v>
      </c>
      <c r="X125" s="44">
        <v>-1</v>
      </c>
      <c r="Y125" s="44">
        <v>-1</v>
      </c>
      <c r="Z125" s="44">
        <v>-1</v>
      </c>
      <c r="AA125" s="45">
        <v>-1</v>
      </c>
      <c r="AB125" s="45"/>
      <c r="AC125" s="45"/>
      <c r="AD125" s="45"/>
      <c r="AE125" s="45"/>
      <c r="AF125" s="45"/>
      <c r="AG125" s="45"/>
      <c r="AH125" s="45"/>
      <c r="AI125" s="45"/>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c r="CV125" s="39"/>
      <c r="CW125" s="39"/>
      <c r="CX125" s="39"/>
      <c r="CY125" s="39"/>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row>
    <row r="126" spans="1:134" ht="11.25" customHeight="1" x14ac:dyDescent="0.3">
      <c r="A126" s="28" t="e">
        <f t="array" aca="1" ref="A126" ca="1">_xludf.XLOOKUP(S126,Master_Registrations!P:P,Master_Registrations!A:A,"")</f>
        <v>#NAME?</v>
      </c>
      <c r="B126" s="39" t="s">
        <v>182</v>
      </c>
      <c r="C126" s="39">
        <v>2026</v>
      </c>
      <c r="D126" s="39" t="s">
        <v>4886</v>
      </c>
      <c r="E126" s="39">
        <v>4</v>
      </c>
      <c r="F126" s="40" t="str">
        <f t="shared" si="0"/>
        <v>VED-01-2026-GR-4</v>
      </c>
      <c r="G126" s="39" t="s">
        <v>4569</v>
      </c>
      <c r="H126" s="39" t="s">
        <v>7003</v>
      </c>
      <c r="I126" s="39"/>
      <c r="J126" s="39" t="s">
        <v>198</v>
      </c>
      <c r="K126" s="52"/>
      <c r="L126" s="52"/>
      <c r="M126" s="49"/>
      <c r="N126" s="39" t="s">
        <v>714</v>
      </c>
      <c r="O126" s="39" t="s">
        <v>4693</v>
      </c>
      <c r="P126" s="39" t="s">
        <v>4694</v>
      </c>
      <c r="Q126" s="39" t="e">
        <f t="shared" ca="1" si="5"/>
        <v>#NAME?</v>
      </c>
      <c r="R126" s="39" t="s">
        <v>316</v>
      </c>
      <c r="S126" s="50">
        <v>7047437476</v>
      </c>
      <c r="T126" s="40" t="s">
        <v>402</v>
      </c>
      <c r="U126" s="39">
        <v>1979</v>
      </c>
      <c r="V126" s="44">
        <v>-1</v>
      </c>
      <c r="W126" s="44">
        <v>-1</v>
      </c>
      <c r="X126" s="44">
        <v>-1</v>
      </c>
      <c r="Y126" s="44">
        <v>-1</v>
      </c>
      <c r="Z126" s="44">
        <v>-1</v>
      </c>
      <c r="AA126" s="45">
        <v>-1</v>
      </c>
      <c r="AB126" s="45"/>
      <c r="AC126" s="45"/>
      <c r="AD126" s="45"/>
      <c r="AE126" s="45"/>
      <c r="AF126" s="45"/>
      <c r="AG126" s="45"/>
      <c r="AH126" s="45"/>
      <c r="AI126" s="45"/>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39"/>
      <c r="CV126" s="39"/>
      <c r="CW126" s="39"/>
      <c r="CX126" s="39"/>
      <c r="CY126" s="39"/>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row>
    <row r="127" spans="1:134" ht="11.25" customHeight="1" x14ac:dyDescent="0.3">
      <c r="A127" s="28" t="e">
        <f t="array" aca="1" ref="A127" ca="1">_xludf.XLOOKUP(S127,Master_Registrations!P:P,Master_Registrations!A:A,"")</f>
        <v>#NAME?</v>
      </c>
      <c r="B127" s="39" t="s">
        <v>182</v>
      </c>
      <c r="C127" s="39">
        <v>2026</v>
      </c>
      <c r="D127" s="39" t="s">
        <v>4886</v>
      </c>
      <c r="E127" s="39">
        <v>4</v>
      </c>
      <c r="F127" s="40" t="str">
        <f t="shared" si="0"/>
        <v>VED-01-2026-GR-4</v>
      </c>
      <c r="G127" s="39" t="s">
        <v>4569</v>
      </c>
      <c r="H127" s="39" t="s">
        <v>7003</v>
      </c>
      <c r="I127" s="39"/>
      <c r="J127" s="39" t="s">
        <v>198</v>
      </c>
      <c r="K127" s="44"/>
      <c r="L127" s="68"/>
      <c r="M127" s="49"/>
      <c r="N127" s="39" t="s">
        <v>786</v>
      </c>
      <c r="O127" s="39" t="s">
        <v>1969</v>
      </c>
      <c r="P127" s="39" t="s">
        <v>225</v>
      </c>
      <c r="Q127" s="39" t="e">
        <f t="shared" ca="1" si="5"/>
        <v>#NAME?</v>
      </c>
      <c r="R127" s="39" t="s">
        <v>316</v>
      </c>
      <c r="S127" s="50">
        <v>8582310914</v>
      </c>
      <c r="T127" s="40" t="s">
        <v>315</v>
      </c>
      <c r="U127" s="39">
        <v>1979</v>
      </c>
      <c r="V127" s="44">
        <v>-1</v>
      </c>
      <c r="W127" s="44">
        <v>-1</v>
      </c>
      <c r="X127" s="44">
        <v>-1</v>
      </c>
      <c r="Y127" s="44">
        <v>-1</v>
      </c>
      <c r="Z127" s="44">
        <v>-1</v>
      </c>
      <c r="AA127" s="45">
        <v>-1</v>
      </c>
      <c r="AB127" s="45"/>
      <c r="AC127" s="45"/>
      <c r="AD127" s="45"/>
      <c r="AE127" s="45"/>
      <c r="AF127" s="45"/>
      <c r="AG127" s="45"/>
      <c r="AH127" s="45"/>
      <c r="AI127" s="45"/>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48"/>
    </row>
    <row r="128" spans="1:134" ht="11.25" customHeight="1" x14ac:dyDescent="0.3">
      <c r="A128" s="28" t="e">
        <f t="array" aca="1" ref="A128" ca="1">_xludf.XLOOKUP(S128,Master_Registrations!P:P,Master_Registrations!A:A,"")</f>
        <v>#NAME?</v>
      </c>
      <c r="B128" s="39" t="s">
        <v>182</v>
      </c>
      <c r="C128" s="39">
        <v>2026</v>
      </c>
      <c r="D128" s="39" t="s">
        <v>4886</v>
      </c>
      <c r="E128" s="39">
        <v>4</v>
      </c>
      <c r="F128" s="40" t="str">
        <f t="shared" si="0"/>
        <v>VED-01-2026-GR-4</v>
      </c>
      <c r="G128" s="39" t="s">
        <v>4569</v>
      </c>
      <c r="H128" s="39" t="s">
        <v>7003</v>
      </c>
      <c r="I128" s="39"/>
      <c r="J128" s="39" t="s">
        <v>198</v>
      </c>
      <c r="K128" s="44"/>
      <c r="L128" s="68"/>
      <c r="M128" s="49"/>
      <c r="N128" s="39" t="s">
        <v>856</v>
      </c>
      <c r="O128" s="39" t="s">
        <v>1969</v>
      </c>
      <c r="P128" s="39" t="s">
        <v>1225</v>
      </c>
      <c r="Q128" s="39" t="e">
        <f t="shared" ca="1" si="5"/>
        <v>#NAME?</v>
      </c>
      <c r="R128" s="39" t="s">
        <v>112</v>
      </c>
      <c r="S128" s="50">
        <v>8095210222</v>
      </c>
      <c r="T128" s="40" t="s">
        <v>111</v>
      </c>
      <c r="U128" s="39">
        <v>1981</v>
      </c>
      <c r="V128" s="44">
        <v>-1</v>
      </c>
      <c r="W128" s="44">
        <v>-1</v>
      </c>
      <c r="X128" s="44">
        <v>-1</v>
      </c>
      <c r="Y128" s="44">
        <v>-1</v>
      </c>
      <c r="Z128" s="44">
        <v>-1</v>
      </c>
      <c r="AA128" s="45">
        <v>-1</v>
      </c>
      <c r="AB128" s="45"/>
      <c r="AC128" s="45"/>
      <c r="AD128" s="45"/>
      <c r="AE128" s="45"/>
      <c r="AF128" s="45"/>
      <c r="AG128" s="45"/>
      <c r="AH128" s="45"/>
      <c r="AI128" s="45"/>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c r="CW128" s="39"/>
      <c r="CX128" s="39"/>
      <c r="CY128" s="39"/>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c r="DX128" s="48"/>
      <c r="DY128" s="48"/>
      <c r="DZ128" s="48"/>
      <c r="EA128" s="48"/>
      <c r="EB128" s="48"/>
      <c r="EC128" s="48"/>
      <c r="ED128" s="48"/>
    </row>
    <row r="129" spans="1:134" ht="11.25" customHeight="1" x14ac:dyDescent="0.3">
      <c r="A129" s="28" t="e">
        <f t="array" aca="1" ref="A129" ca="1">_xludf.XLOOKUP(S129,Master_Registrations!P:P,Master_Registrations!A:A,"")</f>
        <v>#NAME?</v>
      </c>
      <c r="B129" s="39" t="s">
        <v>182</v>
      </c>
      <c r="C129" s="39">
        <v>2026</v>
      </c>
      <c r="D129" s="39" t="s">
        <v>4886</v>
      </c>
      <c r="E129" s="39">
        <v>4</v>
      </c>
      <c r="F129" s="40" t="str">
        <f t="shared" si="0"/>
        <v>VED-01-2026-GR-4</v>
      </c>
      <c r="G129" s="39" t="s">
        <v>4569</v>
      </c>
      <c r="H129" s="39" t="s">
        <v>7003</v>
      </c>
      <c r="I129" s="39"/>
      <c r="J129" s="39" t="s">
        <v>198</v>
      </c>
      <c r="K129" s="52"/>
      <c r="L129" s="52"/>
      <c r="M129" s="49"/>
      <c r="N129" s="39" t="s">
        <v>915</v>
      </c>
      <c r="O129" s="39" t="s">
        <v>4505</v>
      </c>
      <c r="P129" s="39" t="s">
        <v>4506</v>
      </c>
      <c r="Q129" s="39" t="e">
        <f t="shared" ca="1" si="5"/>
        <v>#NAME?</v>
      </c>
      <c r="R129" s="39" t="s">
        <v>316</v>
      </c>
      <c r="S129" s="50">
        <v>2165542584</v>
      </c>
      <c r="T129" s="40" t="s">
        <v>402</v>
      </c>
      <c r="U129" s="39">
        <v>1986</v>
      </c>
      <c r="V129" s="44">
        <v>-1</v>
      </c>
      <c r="W129" s="44">
        <v>-1</v>
      </c>
      <c r="X129" s="44">
        <v>-1</v>
      </c>
      <c r="Y129" s="44">
        <v>-1</v>
      </c>
      <c r="Z129" s="44">
        <v>-1</v>
      </c>
      <c r="AA129" s="45">
        <v>-1</v>
      </c>
      <c r="AB129" s="45"/>
      <c r="AC129" s="45"/>
      <c r="AD129" s="45"/>
      <c r="AE129" s="45"/>
      <c r="AF129" s="45"/>
      <c r="AG129" s="45"/>
      <c r="AH129" s="45"/>
      <c r="AI129" s="45"/>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39"/>
      <c r="CX129" s="39"/>
      <c r="CY129" s="39"/>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c r="DX129" s="48"/>
      <c r="DY129" s="48"/>
      <c r="DZ129" s="48"/>
      <c r="EA129" s="48"/>
      <c r="EB129" s="48"/>
      <c r="EC129" s="48"/>
      <c r="ED129" s="48"/>
    </row>
    <row r="130" spans="1:134" ht="11.25" customHeight="1" x14ac:dyDescent="0.3">
      <c r="A130" s="28" t="e">
        <f t="array" aca="1" ref="A130" ca="1">_xludf.XLOOKUP(S130,Master_Registrations!P:P,Master_Registrations!A:A,"")</f>
        <v>#NAME?</v>
      </c>
      <c r="B130" s="39" t="s">
        <v>182</v>
      </c>
      <c r="C130" s="39">
        <v>2026</v>
      </c>
      <c r="D130" s="39" t="s">
        <v>4886</v>
      </c>
      <c r="E130" s="39">
        <v>4</v>
      </c>
      <c r="F130" s="40" t="str">
        <f t="shared" si="0"/>
        <v>VED-01-2026-GR-4</v>
      </c>
      <c r="G130" s="39" t="s">
        <v>4569</v>
      </c>
      <c r="H130" s="39" t="s">
        <v>7003</v>
      </c>
      <c r="I130" s="39"/>
      <c r="J130" s="39" t="s">
        <v>198</v>
      </c>
      <c r="K130" s="52"/>
      <c r="L130" s="52"/>
      <c r="M130" s="49"/>
      <c r="N130" s="39" t="s">
        <v>973</v>
      </c>
      <c r="O130" s="39" t="s">
        <v>4310</v>
      </c>
      <c r="P130" s="39" t="s">
        <v>4506</v>
      </c>
      <c r="Q130" s="39" t="e">
        <f t="shared" ca="1" si="5"/>
        <v>#NAME?</v>
      </c>
      <c r="R130" s="39" t="s">
        <v>316</v>
      </c>
      <c r="S130" s="50">
        <v>8607103481</v>
      </c>
      <c r="T130" s="40" t="s">
        <v>402</v>
      </c>
      <c r="U130" s="39">
        <v>1972</v>
      </c>
      <c r="V130" s="44">
        <v>1</v>
      </c>
      <c r="W130" s="44">
        <v>1</v>
      </c>
      <c r="X130" s="44">
        <v>1</v>
      </c>
      <c r="Y130" s="44">
        <v>1</v>
      </c>
      <c r="Z130" s="44">
        <v>1</v>
      </c>
      <c r="AA130" s="45">
        <v>1</v>
      </c>
      <c r="AB130" s="45">
        <v>1</v>
      </c>
      <c r="AC130" s="45"/>
      <c r="AD130" s="45"/>
      <c r="AE130" s="45"/>
      <c r="AF130" s="45"/>
      <c r="AG130" s="45"/>
      <c r="AH130" s="45"/>
      <c r="AI130" s="45"/>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c r="DX130" s="48"/>
      <c r="DY130" s="48"/>
      <c r="DZ130" s="48"/>
      <c r="EA130" s="48"/>
      <c r="EB130" s="48"/>
      <c r="EC130" s="48"/>
      <c r="ED130" s="48"/>
    </row>
    <row r="131" spans="1:134" ht="11.25" customHeight="1" x14ac:dyDescent="0.3">
      <c r="A131" s="28" t="e">
        <f t="array" aca="1" ref="A131" ca="1">_xludf.XLOOKUP(S131,Master_Registrations!P:P,Master_Registrations!A:A,"")</f>
        <v>#NAME?</v>
      </c>
      <c r="B131" s="39" t="s">
        <v>182</v>
      </c>
      <c r="C131" s="39">
        <v>2026</v>
      </c>
      <c r="D131" s="39" t="s">
        <v>4886</v>
      </c>
      <c r="E131" s="39">
        <v>4</v>
      </c>
      <c r="F131" s="40" t="str">
        <f t="shared" si="0"/>
        <v>VED-01-2026-GR-4</v>
      </c>
      <c r="G131" s="39" t="s">
        <v>4569</v>
      </c>
      <c r="H131" s="39" t="s">
        <v>7003</v>
      </c>
      <c r="I131" s="39"/>
      <c r="J131" s="39" t="s">
        <v>198</v>
      </c>
      <c r="K131" s="52"/>
      <c r="L131" s="52"/>
      <c r="M131" s="49"/>
      <c r="N131" s="39" t="s">
        <v>1031</v>
      </c>
      <c r="O131" s="39" t="s">
        <v>4700</v>
      </c>
      <c r="P131" s="39" t="s">
        <v>4701</v>
      </c>
      <c r="Q131" s="39" t="e">
        <f t="shared" ca="1" si="5"/>
        <v>#NAME?</v>
      </c>
      <c r="R131" s="39" t="s">
        <v>112</v>
      </c>
      <c r="S131" s="50">
        <v>8919823937</v>
      </c>
      <c r="T131" s="40" t="s">
        <v>111</v>
      </c>
      <c r="U131" s="39">
        <v>1972</v>
      </c>
      <c r="V131" s="44">
        <v>-1</v>
      </c>
      <c r="W131" s="44">
        <v>-1</v>
      </c>
      <c r="X131" s="44">
        <v>-1</v>
      </c>
      <c r="Y131" s="44">
        <v>-1</v>
      </c>
      <c r="Z131" s="44">
        <v>-1</v>
      </c>
      <c r="AA131" s="45">
        <v>-1</v>
      </c>
      <c r="AB131" s="45"/>
      <c r="AC131" s="45"/>
      <c r="AD131" s="45"/>
      <c r="AE131" s="45"/>
      <c r="AF131" s="45"/>
      <c r="AG131" s="45"/>
      <c r="AH131" s="45"/>
      <c r="AI131" s="45"/>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48"/>
    </row>
    <row r="132" spans="1:134" ht="11.25" customHeight="1" x14ac:dyDescent="0.3">
      <c r="A132" s="28" t="e">
        <f t="array" aca="1" ref="A132" ca="1">_xludf.XLOOKUP(S132,Master_Registrations!P:P,Master_Registrations!A:A,"")</f>
        <v>#NAME?</v>
      </c>
      <c r="B132" s="39" t="s">
        <v>182</v>
      </c>
      <c r="C132" s="39">
        <v>2026</v>
      </c>
      <c r="D132" s="39" t="s">
        <v>4886</v>
      </c>
      <c r="E132" s="39">
        <v>4</v>
      </c>
      <c r="F132" s="40" t="str">
        <f t="shared" si="0"/>
        <v>VED-01-2026-GR-4</v>
      </c>
      <c r="G132" s="39" t="s">
        <v>4569</v>
      </c>
      <c r="H132" s="39" t="s">
        <v>7003</v>
      </c>
      <c r="I132" s="39"/>
      <c r="J132" s="39" t="s">
        <v>198</v>
      </c>
      <c r="K132" s="44"/>
      <c r="L132" s="68"/>
      <c r="M132" s="49"/>
      <c r="N132" s="39" t="s">
        <v>1112</v>
      </c>
      <c r="O132" s="39" t="s">
        <v>1239</v>
      </c>
      <c r="P132" s="39" t="s">
        <v>3845</v>
      </c>
      <c r="Q132" s="39" t="e">
        <f t="shared" ca="1" si="5"/>
        <v>#NAME?</v>
      </c>
      <c r="R132" s="39" t="s">
        <v>316</v>
      </c>
      <c r="S132" s="50">
        <v>9528385452</v>
      </c>
      <c r="T132" s="40" t="s">
        <v>315</v>
      </c>
      <c r="U132" s="39">
        <v>1974</v>
      </c>
      <c r="V132" s="44">
        <v>-1</v>
      </c>
      <c r="W132" s="44">
        <v>-1</v>
      </c>
      <c r="X132" s="44">
        <v>-1</v>
      </c>
      <c r="Y132" s="44">
        <v>-1</v>
      </c>
      <c r="Z132" s="44">
        <v>-1</v>
      </c>
      <c r="AA132" s="45">
        <v>-1</v>
      </c>
      <c r="AB132" s="45"/>
      <c r="AC132" s="45"/>
      <c r="AD132" s="45"/>
      <c r="AE132" s="45"/>
      <c r="AF132" s="45"/>
      <c r="AG132" s="45"/>
      <c r="AH132" s="45"/>
      <c r="AI132" s="45"/>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39"/>
      <c r="CC132" s="39"/>
      <c r="CD132" s="39"/>
      <c r="CE132" s="39"/>
      <c r="CF132" s="39"/>
      <c r="CG132" s="39"/>
      <c r="CH132" s="39"/>
      <c r="CI132" s="39"/>
      <c r="CJ132" s="39"/>
      <c r="CK132" s="39"/>
      <c r="CL132" s="39"/>
      <c r="CM132" s="39"/>
      <c r="CN132" s="39"/>
      <c r="CO132" s="39"/>
      <c r="CP132" s="39"/>
      <c r="CQ132" s="39"/>
      <c r="CR132" s="39"/>
      <c r="CS132" s="39"/>
      <c r="CT132" s="39"/>
      <c r="CU132" s="39"/>
      <c r="CV132" s="39"/>
      <c r="CW132" s="39"/>
      <c r="CX132" s="39"/>
      <c r="CY132" s="39"/>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c r="DX132" s="48"/>
      <c r="DY132" s="48"/>
      <c r="DZ132" s="48"/>
      <c r="EA132" s="48"/>
      <c r="EB132" s="48"/>
      <c r="EC132" s="48"/>
      <c r="ED132" s="48"/>
    </row>
    <row r="133" spans="1:134" ht="11.25" customHeight="1" x14ac:dyDescent="0.3">
      <c r="A133" s="28" t="e">
        <f t="array" aca="1" ref="A133" ca="1">_xludf.XLOOKUP(S133,Master_Registrations!P:P,Master_Registrations!A:A,"")</f>
        <v>#NAME?</v>
      </c>
      <c r="B133" s="39" t="s">
        <v>182</v>
      </c>
      <c r="C133" s="39">
        <v>2026</v>
      </c>
      <c r="D133" s="39" t="s">
        <v>4886</v>
      </c>
      <c r="E133" s="39">
        <v>4</v>
      </c>
      <c r="F133" s="40" t="str">
        <f t="shared" si="0"/>
        <v>VED-01-2026-GR-4</v>
      </c>
      <c r="G133" s="39" t="s">
        <v>4569</v>
      </c>
      <c r="H133" s="39" t="s">
        <v>7003</v>
      </c>
      <c r="I133" s="39"/>
      <c r="J133" s="39" t="s">
        <v>198</v>
      </c>
      <c r="K133" s="52"/>
      <c r="L133" s="52"/>
      <c r="M133" s="49"/>
      <c r="N133" s="39" t="s">
        <v>1196</v>
      </c>
      <c r="O133" s="39" t="s">
        <v>891</v>
      </c>
      <c r="P133" s="39" t="s">
        <v>1914</v>
      </c>
      <c r="Q133" s="39" t="e">
        <f t="shared" ca="1" si="5"/>
        <v>#NAME?</v>
      </c>
      <c r="R133" s="39" t="s">
        <v>316</v>
      </c>
      <c r="S133" s="50">
        <v>4708619721</v>
      </c>
      <c r="T133" s="40" t="s">
        <v>402</v>
      </c>
      <c r="U133" s="39">
        <v>1988</v>
      </c>
      <c r="V133" s="44">
        <v>-1</v>
      </c>
      <c r="W133" s="44">
        <v>-1</v>
      </c>
      <c r="X133" s="44">
        <v>-1</v>
      </c>
      <c r="Y133" s="44">
        <v>-1</v>
      </c>
      <c r="Z133" s="44">
        <v>-1</v>
      </c>
      <c r="AA133" s="45">
        <v>-1</v>
      </c>
      <c r="AB133" s="45"/>
      <c r="AC133" s="45"/>
      <c r="AD133" s="45"/>
      <c r="AE133" s="45"/>
      <c r="AF133" s="45"/>
      <c r="AG133" s="45"/>
      <c r="AH133" s="45"/>
      <c r="AI133" s="45"/>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48"/>
    </row>
    <row r="134" spans="1:134" ht="11.25" customHeight="1" x14ac:dyDescent="0.3">
      <c r="A134" s="28" t="e">
        <f t="array" aca="1" ref="A134" ca="1">_xludf.XLOOKUP(S134,Master_Registrations!P:P,Master_Registrations!A:A,"")</f>
        <v>#NAME?</v>
      </c>
      <c r="B134" s="39" t="s">
        <v>182</v>
      </c>
      <c r="C134" s="39">
        <v>2026</v>
      </c>
      <c r="D134" s="39" t="s">
        <v>4886</v>
      </c>
      <c r="E134" s="39">
        <v>4</v>
      </c>
      <c r="F134" s="40" t="str">
        <f t="shared" si="0"/>
        <v>VED-01-2026-GR-4</v>
      </c>
      <c r="G134" s="39" t="s">
        <v>4569</v>
      </c>
      <c r="H134" s="39" t="s">
        <v>7003</v>
      </c>
      <c r="I134" s="39"/>
      <c r="J134" s="39" t="s">
        <v>198</v>
      </c>
      <c r="K134" s="52"/>
      <c r="L134" s="68"/>
      <c r="M134" s="49"/>
      <c r="N134" s="39" t="s">
        <v>2297</v>
      </c>
      <c r="O134" s="39" t="s">
        <v>1813</v>
      </c>
      <c r="P134" s="39" t="s">
        <v>4345</v>
      </c>
      <c r="Q134" s="39" t="e">
        <f t="shared" ca="1" si="5"/>
        <v>#NAME?</v>
      </c>
      <c r="R134" s="39" t="s">
        <v>316</v>
      </c>
      <c r="S134" s="50">
        <v>2488852409</v>
      </c>
      <c r="T134" s="40" t="s">
        <v>402</v>
      </c>
      <c r="U134" s="39">
        <v>1967</v>
      </c>
      <c r="V134" s="44">
        <v>-1</v>
      </c>
      <c r="W134" s="44">
        <v>-1</v>
      </c>
      <c r="X134" s="44">
        <v>-1</v>
      </c>
      <c r="Y134" s="44">
        <v>-1</v>
      </c>
      <c r="Z134" s="44">
        <v>-1</v>
      </c>
      <c r="AA134" s="45">
        <v>-1</v>
      </c>
      <c r="AB134" s="45"/>
      <c r="AC134" s="45"/>
      <c r="AD134" s="45"/>
      <c r="AE134" s="45"/>
      <c r="AF134" s="45"/>
      <c r="AG134" s="45"/>
      <c r="AH134" s="45"/>
      <c r="AI134" s="45"/>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c r="CW134" s="39"/>
      <c r="CX134" s="39"/>
      <c r="CY134" s="39"/>
      <c r="CZ134" s="48"/>
      <c r="DA134" s="48"/>
      <c r="DB134" s="48"/>
      <c r="DC134" s="48"/>
      <c r="DD134" s="48"/>
      <c r="DE134" s="48"/>
      <c r="DF134" s="48"/>
      <c r="DG134" s="48"/>
      <c r="DH134" s="48"/>
      <c r="DI134" s="48"/>
      <c r="DJ134" s="48"/>
      <c r="DK134" s="48"/>
      <c r="DL134" s="48"/>
      <c r="DM134" s="48"/>
      <c r="DN134" s="48"/>
      <c r="DO134" s="48"/>
      <c r="DP134" s="48"/>
      <c r="DQ134" s="48"/>
      <c r="DR134" s="48"/>
      <c r="DS134" s="48"/>
      <c r="DT134" s="48"/>
      <c r="DU134" s="48"/>
      <c r="DV134" s="48"/>
      <c r="DW134" s="48"/>
      <c r="DX134" s="48"/>
      <c r="DY134" s="48"/>
      <c r="DZ134" s="48"/>
      <c r="EA134" s="48"/>
      <c r="EB134" s="48"/>
      <c r="EC134" s="48"/>
      <c r="ED134" s="48"/>
    </row>
    <row r="135" spans="1:134" ht="11.25" customHeight="1" x14ac:dyDescent="0.3">
      <c r="A135" s="28" t="e">
        <f t="array" aca="1" ref="A135" ca="1">_xludf.XLOOKUP(S135,Master_Registrations!P:P,Master_Registrations!A:A,"")</f>
        <v>#NAME?</v>
      </c>
      <c r="B135" s="28" t="s">
        <v>182</v>
      </c>
      <c r="C135" s="28">
        <v>2026</v>
      </c>
      <c r="D135" s="28" t="s">
        <v>4886</v>
      </c>
      <c r="E135" s="28">
        <v>5</v>
      </c>
      <c r="F135" s="29" t="str">
        <f t="shared" si="0"/>
        <v>VED-01-2026-GR-5</v>
      </c>
      <c r="G135" s="28" t="s">
        <v>7041</v>
      </c>
      <c r="H135" s="28" t="s">
        <v>7042</v>
      </c>
      <c r="I135" s="28"/>
      <c r="J135" s="28" t="s">
        <v>198</v>
      </c>
      <c r="K135" s="30"/>
      <c r="L135" s="35"/>
      <c r="M135" s="30"/>
      <c r="N135" s="28" t="s">
        <v>200</v>
      </c>
      <c r="O135" s="28" t="s">
        <v>370</v>
      </c>
      <c r="P135" s="28" t="s">
        <v>4064</v>
      </c>
      <c r="Q135" s="28" t="e">
        <f t="shared" ca="1" si="5"/>
        <v>#NAME?</v>
      </c>
      <c r="R135" s="28" t="s">
        <v>112</v>
      </c>
      <c r="S135" s="55">
        <v>9553450385</v>
      </c>
      <c r="T135" s="29" t="s">
        <v>111</v>
      </c>
      <c r="U135" s="28">
        <v>1969</v>
      </c>
      <c r="V135" s="33">
        <v>-1</v>
      </c>
      <c r="W135" s="33">
        <v>-1</v>
      </c>
      <c r="X135" s="33">
        <v>-1</v>
      </c>
      <c r="Y135" s="33">
        <v>0</v>
      </c>
      <c r="Z135" s="33">
        <v>0</v>
      </c>
      <c r="AA135" s="33">
        <v>0</v>
      </c>
      <c r="AB135" s="33"/>
      <c r="AC135" s="33"/>
      <c r="AD135" s="33"/>
      <c r="AE135" s="33"/>
      <c r="AF135" s="33"/>
      <c r="AG135" s="33"/>
      <c r="AH135" s="33"/>
      <c r="AI135" s="33"/>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row>
    <row r="136" spans="1:134" ht="11.25" customHeight="1" x14ac:dyDescent="0.3">
      <c r="A136" s="28" t="e">
        <f t="array" aca="1" ref="A136" ca="1">_xludf.XLOOKUP(S136,Master_Registrations!P:P,Master_Registrations!A:A,"")</f>
        <v>#NAME?</v>
      </c>
      <c r="B136" s="28" t="s">
        <v>182</v>
      </c>
      <c r="C136" s="28">
        <v>2026</v>
      </c>
      <c r="D136" s="28" t="s">
        <v>4886</v>
      </c>
      <c r="E136" s="28">
        <v>5</v>
      </c>
      <c r="F136" s="29" t="str">
        <f t="shared" si="0"/>
        <v>VED-01-2026-GR-5</v>
      </c>
      <c r="G136" s="28" t="s">
        <v>7041</v>
      </c>
      <c r="H136" s="28" t="s">
        <v>7042</v>
      </c>
      <c r="I136" s="28"/>
      <c r="J136" s="28" t="s">
        <v>198</v>
      </c>
      <c r="K136" s="30"/>
      <c r="L136" s="30"/>
      <c r="M136" s="30"/>
      <c r="N136" s="28" t="s">
        <v>299</v>
      </c>
      <c r="O136" s="28" t="s">
        <v>4008</v>
      </c>
      <c r="P136" s="28" t="s">
        <v>4009</v>
      </c>
      <c r="Q136" s="28" t="e">
        <f t="shared" ca="1" si="5"/>
        <v>#NAME?</v>
      </c>
      <c r="R136" s="28" t="s">
        <v>112</v>
      </c>
      <c r="S136" s="55">
        <v>7993022789</v>
      </c>
      <c r="T136" s="29" t="s">
        <v>111</v>
      </c>
      <c r="U136" s="28">
        <v>2005</v>
      </c>
      <c r="V136" s="33">
        <v>-1</v>
      </c>
      <c r="W136" s="33">
        <v>-1</v>
      </c>
      <c r="X136" s="33">
        <v>-1</v>
      </c>
      <c r="Y136" s="33">
        <v>0</v>
      </c>
      <c r="Z136" s="33">
        <v>0</v>
      </c>
      <c r="AA136" s="33">
        <v>0</v>
      </c>
      <c r="AB136" s="33"/>
      <c r="AC136" s="33"/>
      <c r="AD136" s="33"/>
      <c r="AE136" s="33"/>
      <c r="AF136" s="33"/>
      <c r="AG136" s="33"/>
      <c r="AH136" s="33"/>
      <c r="AI136" s="33"/>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row>
    <row r="137" spans="1:134" ht="11.25" customHeight="1" x14ac:dyDescent="0.3">
      <c r="A137" s="28" t="e">
        <f t="array" aca="1" ref="A137" ca="1">_xludf.XLOOKUP(S137,Master_Registrations!P:P,Master_Registrations!A:A,"")</f>
        <v>#NAME?</v>
      </c>
      <c r="B137" s="28" t="s">
        <v>182</v>
      </c>
      <c r="C137" s="28">
        <v>2026</v>
      </c>
      <c r="D137" s="28" t="s">
        <v>4886</v>
      </c>
      <c r="E137" s="28">
        <v>5</v>
      </c>
      <c r="F137" s="29" t="str">
        <f t="shared" si="0"/>
        <v>VED-01-2026-GR-5</v>
      </c>
      <c r="G137" s="28" t="s">
        <v>7041</v>
      </c>
      <c r="H137" s="28" t="s">
        <v>7042</v>
      </c>
      <c r="I137" s="28"/>
      <c r="J137" s="28" t="s">
        <v>198</v>
      </c>
      <c r="K137" s="30"/>
      <c r="L137" s="35"/>
      <c r="M137" s="30"/>
      <c r="N137" s="28" t="s">
        <v>369</v>
      </c>
      <c r="O137" s="28" t="s">
        <v>3953</v>
      </c>
      <c r="P137" s="28" t="s">
        <v>3954</v>
      </c>
      <c r="Q137" s="28" t="e">
        <f t="shared" ca="1" si="5"/>
        <v>#NAME?</v>
      </c>
      <c r="R137" s="28" t="s">
        <v>112</v>
      </c>
      <c r="S137" s="55">
        <v>9032135375</v>
      </c>
      <c r="T137" s="29" t="s">
        <v>111</v>
      </c>
      <c r="U137" s="28">
        <v>1997</v>
      </c>
      <c r="V137" s="33">
        <v>-1</v>
      </c>
      <c r="W137" s="33">
        <v>-1</v>
      </c>
      <c r="X137" s="33">
        <v>-1</v>
      </c>
      <c r="Y137" s="33">
        <v>0</v>
      </c>
      <c r="Z137" s="33">
        <v>0</v>
      </c>
      <c r="AA137" s="33">
        <v>0</v>
      </c>
      <c r="AB137" s="33"/>
      <c r="AC137" s="33"/>
      <c r="AD137" s="33"/>
      <c r="AE137" s="33"/>
      <c r="AF137" s="33"/>
      <c r="AG137" s="33"/>
      <c r="AH137" s="33"/>
      <c r="AI137" s="33"/>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row>
    <row r="138" spans="1:134" ht="11.25" customHeight="1" x14ac:dyDescent="0.3">
      <c r="A138" s="28" t="e">
        <f t="array" aca="1" ref="A138" ca="1">_xludf.XLOOKUP(S138,Master_Registrations!P:P,Master_Registrations!A:A,"")</f>
        <v>#NAME?</v>
      </c>
      <c r="B138" s="28" t="s">
        <v>182</v>
      </c>
      <c r="C138" s="28">
        <v>2026</v>
      </c>
      <c r="D138" s="28" t="s">
        <v>4886</v>
      </c>
      <c r="E138" s="28">
        <v>5</v>
      </c>
      <c r="F138" s="29" t="str">
        <f t="shared" si="0"/>
        <v>VED-01-2026-GR-5</v>
      </c>
      <c r="G138" s="28" t="s">
        <v>7041</v>
      </c>
      <c r="H138" s="28" t="s">
        <v>7042</v>
      </c>
      <c r="I138" s="28"/>
      <c r="J138" s="28" t="s">
        <v>198</v>
      </c>
      <c r="K138" s="30"/>
      <c r="L138" s="37"/>
      <c r="M138" s="30"/>
      <c r="N138" s="28" t="s">
        <v>434</v>
      </c>
      <c r="O138" s="28" t="s">
        <v>4567</v>
      </c>
      <c r="P138" s="28" t="s">
        <v>4568</v>
      </c>
      <c r="Q138" s="28" t="e">
        <f t="shared" ca="1" si="5"/>
        <v>#NAME?</v>
      </c>
      <c r="R138" s="28" t="s">
        <v>112</v>
      </c>
      <c r="S138" s="55">
        <v>9985402306</v>
      </c>
      <c r="T138" s="29" t="s">
        <v>111</v>
      </c>
      <c r="U138" s="28">
        <v>1975</v>
      </c>
      <c r="V138" s="33">
        <v>-1</v>
      </c>
      <c r="W138" s="33">
        <v>-1</v>
      </c>
      <c r="X138" s="33">
        <v>-1</v>
      </c>
      <c r="Y138" s="33">
        <v>0</v>
      </c>
      <c r="Z138" s="33">
        <v>0</v>
      </c>
      <c r="AA138" s="33">
        <v>0</v>
      </c>
      <c r="AB138" s="33"/>
      <c r="AC138" s="33"/>
      <c r="AD138" s="33"/>
      <c r="AE138" s="33"/>
      <c r="AF138" s="33"/>
      <c r="AG138" s="33"/>
      <c r="AH138" s="33"/>
      <c r="AI138" s="33"/>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row>
    <row r="139" spans="1:134" ht="11.25" customHeight="1" x14ac:dyDescent="0.3">
      <c r="A139" s="28" t="e">
        <f t="array" aca="1" ref="A139" ca="1">_xludf.XLOOKUP(S139,Master_Registrations!P:P,Master_Registrations!A:A,"")</f>
        <v>#NAME?</v>
      </c>
      <c r="B139" s="28" t="s">
        <v>182</v>
      </c>
      <c r="C139" s="28">
        <v>2026</v>
      </c>
      <c r="D139" s="28" t="s">
        <v>4886</v>
      </c>
      <c r="E139" s="28">
        <v>5</v>
      </c>
      <c r="F139" s="29" t="str">
        <f t="shared" si="0"/>
        <v>VED-01-2026-GR-5</v>
      </c>
      <c r="G139" s="28" t="s">
        <v>7041</v>
      </c>
      <c r="H139" s="28" t="s">
        <v>7042</v>
      </c>
      <c r="I139" s="28"/>
      <c r="J139" s="28" t="s">
        <v>198</v>
      </c>
      <c r="K139" s="30"/>
      <c r="L139" s="30"/>
      <c r="M139" s="30"/>
      <c r="N139" s="28" t="s">
        <v>525</v>
      </c>
      <c r="O139" s="28" t="s">
        <v>3358</v>
      </c>
      <c r="P139" s="28" t="s">
        <v>4372</v>
      </c>
      <c r="Q139" s="28" t="e">
        <f t="shared" ca="1" si="5"/>
        <v>#NAME?</v>
      </c>
      <c r="R139" s="28" t="s">
        <v>112</v>
      </c>
      <c r="S139" s="55">
        <v>9966583961</v>
      </c>
      <c r="T139" s="29" t="s">
        <v>111</v>
      </c>
      <c r="U139" s="28">
        <v>1986</v>
      </c>
      <c r="V139" s="33">
        <v>-1</v>
      </c>
      <c r="W139" s="33">
        <v>-1</v>
      </c>
      <c r="X139" s="33">
        <v>-1</v>
      </c>
      <c r="Y139" s="33">
        <v>0</v>
      </c>
      <c r="Z139" s="33">
        <v>0</v>
      </c>
      <c r="AA139" s="33">
        <v>0</v>
      </c>
      <c r="AB139" s="33"/>
      <c r="AC139" s="33"/>
      <c r="AD139" s="33"/>
      <c r="AE139" s="33"/>
      <c r="AF139" s="33"/>
      <c r="AG139" s="33"/>
      <c r="AH139" s="33"/>
      <c r="AI139" s="33"/>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row>
    <row r="140" spans="1:134" ht="11.25" customHeight="1" x14ac:dyDescent="0.3">
      <c r="A140" s="28" t="e">
        <f t="array" aca="1" ref="A140" ca="1">_xludf.XLOOKUP(S140,Master_Registrations!P:P,Master_Registrations!A:A,"")</f>
        <v>#NAME?</v>
      </c>
      <c r="B140" s="28" t="s">
        <v>182</v>
      </c>
      <c r="C140" s="28">
        <v>2026</v>
      </c>
      <c r="D140" s="28" t="s">
        <v>4886</v>
      </c>
      <c r="E140" s="28">
        <v>5</v>
      </c>
      <c r="F140" s="29" t="str">
        <f t="shared" si="0"/>
        <v>VED-01-2026-GR-5</v>
      </c>
      <c r="G140" s="28" t="s">
        <v>7041</v>
      </c>
      <c r="H140" s="28" t="s">
        <v>7042</v>
      </c>
      <c r="I140" s="28"/>
      <c r="J140" s="28" t="s">
        <v>198</v>
      </c>
      <c r="K140" s="30"/>
      <c r="L140" s="30"/>
      <c r="M140" s="30"/>
      <c r="N140" s="28" t="s">
        <v>621</v>
      </c>
      <c r="O140" s="28" t="s">
        <v>2544</v>
      </c>
      <c r="P140" s="28" t="s">
        <v>4305</v>
      </c>
      <c r="Q140" s="28" t="e">
        <f t="shared" ca="1" si="5"/>
        <v>#NAME?</v>
      </c>
      <c r="R140" s="28" t="s">
        <v>112</v>
      </c>
      <c r="S140" s="55">
        <v>8790761286</v>
      </c>
      <c r="T140" s="29" t="s">
        <v>111</v>
      </c>
      <c r="U140" s="28">
        <v>2000</v>
      </c>
      <c r="V140" s="33">
        <v>-1</v>
      </c>
      <c r="W140" s="33">
        <v>-1</v>
      </c>
      <c r="X140" s="33">
        <v>-1</v>
      </c>
      <c r="Y140" s="33">
        <v>0</v>
      </c>
      <c r="Z140" s="33">
        <v>0</v>
      </c>
      <c r="AA140" s="33">
        <v>0</v>
      </c>
      <c r="AB140" s="33"/>
      <c r="AC140" s="33"/>
      <c r="AD140" s="33"/>
      <c r="AE140" s="33"/>
      <c r="AF140" s="33"/>
      <c r="AG140" s="33"/>
      <c r="AH140" s="33"/>
      <c r="AI140" s="33"/>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row>
    <row r="141" spans="1:134" ht="11.25" customHeight="1" x14ac:dyDescent="0.3">
      <c r="A141" s="28" t="e">
        <f t="array" aca="1" ref="A141" ca="1">_xludf.XLOOKUP(S141,Master_Registrations!P:P,Master_Registrations!A:A,"")</f>
        <v>#NAME?</v>
      </c>
      <c r="B141" s="28" t="s">
        <v>182</v>
      </c>
      <c r="C141" s="28">
        <v>2026</v>
      </c>
      <c r="D141" s="28" t="s">
        <v>4886</v>
      </c>
      <c r="E141" s="28">
        <v>5</v>
      </c>
      <c r="F141" s="29" t="str">
        <f t="shared" si="0"/>
        <v>VED-01-2026-GR-5</v>
      </c>
      <c r="G141" s="28" t="s">
        <v>7041</v>
      </c>
      <c r="H141" s="28" t="s">
        <v>7042</v>
      </c>
      <c r="I141" s="28"/>
      <c r="J141" s="28" t="s">
        <v>198</v>
      </c>
      <c r="K141" s="30"/>
      <c r="L141" s="37"/>
      <c r="M141" s="30"/>
      <c r="N141" s="28" t="s">
        <v>714</v>
      </c>
      <c r="O141" s="28" t="s">
        <v>214</v>
      </c>
      <c r="P141" s="28" t="s">
        <v>1584</v>
      </c>
      <c r="Q141" s="28" t="e">
        <f t="shared" ca="1" si="5"/>
        <v>#NAME?</v>
      </c>
      <c r="R141" s="28" t="s">
        <v>112</v>
      </c>
      <c r="S141" s="55">
        <v>9490509285</v>
      </c>
      <c r="T141" s="29" t="s">
        <v>111</v>
      </c>
      <c r="U141" s="28">
        <v>1963</v>
      </c>
      <c r="V141" s="33">
        <v>-1</v>
      </c>
      <c r="W141" s="33">
        <v>-1</v>
      </c>
      <c r="X141" s="33">
        <v>-1</v>
      </c>
      <c r="Y141" s="33">
        <v>0</v>
      </c>
      <c r="Z141" s="33">
        <v>0</v>
      </c>
      <c r="AA141" s="33">
        <v>0</v>
      </c>
      <c r="AB141" s="33"/>
      <c r="AC141" s="33"/>
      <c r="AD141" s="33"/>
      <c r="AE141" s="33"/>
      <c r="AF141" s="33"/>
      <c r="AG141" s="33"/>
      <c r="AH141" s="33"/>
      <c r="AI141" s="33"/>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row>
    <row r="142" spans="1:134" ht="11.25" customHeight="1" x14ac:dyDescent="0.3">
      <c r="A142" s="28" t="e">
        <f t="array" aca="1" ref="A142" ca="1">_xludf.XLOOKUP(S142,Master_Registrations!P:P,Master_Registrations!A:A,"")</f>
        <v>#NAME?</v>
      </c>
      <c r="B142" s="28" t="s">
        <v>182</v>
      </c>
      <c r="C142" s="28">
        <v>2026</v>
      </c>
      <c r="D142" s="28" t="s">
        <v>4886</v>
      </c>
      <c r="E142" s="28">
        <v>5</v>
      </c>
      <c r="F142" s="29" t="str">
        <f t="shared" si="0"/>
        <v>VED-01-2026-GR-5</v>
      </c>
      <c r="G142" s="28" t="s">
        <v>7041</v>
      </c>
      <c r="H142" s="28" t="s">
        <v>7042</v>
      </c>
      <c r="I142" s="28"/>
      <c r="J142" s="28" t="s">
        <v>198</v>
      </c>
      <c r="K142" s="30"/>
      <c r="L142" s="37"/>
      <c r="M142" s="30"/>
      <c r="N142" s="28" t="s">
        <v>786</v>
      </c>
      <c r="O142" s="28" t="s">
        <v>214</v>
      </c>
      <c r="P142" s="28" t="s">
        <v>3836</v>
      </c>
      <c r="Q142" s="28" t="e">
        <f t="shared" ca="1" si="5"/>
        <v>#NAME?</v>
      </c>
      <c r="R142" s="28" t="s">
        <v>112</v>
      </c>
      <c r="S142" s="55">
        <v>7981966069</v>
      </c>
      <c r="T142" s="29" t="s">
        <v>111</v>
      </c>
      <c r="U142" s="28">
        <v>1994</v>
      </c>
      <c r="V142" s="33">
        <v>-1</v>
      </c>
      <c r="W142" s="33">
        <v>-1</v>
      </c>
      <c r="X142" s="33">
        <v>-1</v>
      </c>
      <c r="Y142" s="33">
        <v>0</v>
      </c>
      <c r="Z142" s="33">
        <v>0</v>
      </c>
      <c r="AA142" s="33">
        <v>0</v>
      </c>
      <c r="AB142" s="33"/>
      <c r="AC142" s="33"/>
      <c r="AD142" s="33"/>
      <c r="AE142" s="33"/>
      <c r="AF142" s="33"/>
      <c r="AG142" s="33"/>
      <c r="AH142" s="33"/>
      <c r="AI142" s="33"/>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row>
    <row r="143" spans="1:134" ht="11.25" customHeight="1" x14ac:dyDescent="0.3">
      <c r="A143" s="28" t="e">
        <f t="array" aca="1" ref="A143" ca="1">_xludf.XLOOKUP(S143,Master_Registrations!P:P,Master_Registrations!A:A,"")</f>
        <v>#NAME?</v>
      </c>
      <c r="B143" s="28" t="s">
        <v>182</v>
      </c>
      <c r="C143" s="28">
        <v>2026</v>
      </c>
      <c r="D143" s="28" t="s">
        <v>4886</v>
      </c>
      <c r="E143" s="28">
        <v>5</v>
      </c>
      <c r="F143" s="29" t="str">
        <f t="shared" si="0"/>
        <v>VED-01-2026-GR-5</v>
      </c>
      <c r="G143" s="28" t="s">
        <v>7041</v>
      </c>
      <c r="H143" s="28" t="s">
        <v>7042</v>
      </c>
      <c r="I143" s="28"/>
      <c r="J143" s="28" t="s">
        <v>198</v>
      </c>
      <c r="K143" s="30"/>
      <c r="L143" s="30"/>
      <c r="M143" s="30"/>
      <c r="N143" s="28" t="s">
        <v>856</v>
      </c>
      <c r="O143" s="28" t="s">
        <v>3797</v>
      </c>
      <c r="P143" s="28" t="s">
        <v>3798</v>
      </c>
      <c r="Q143" s="28" t="e">
        <f t="shared" ca="1" si="5"/>
        <v>#NAME?</v>
      </c>
      <c r="R143" s="28" t="s">
        <v>112</v>
      </c>
      <c r="S143" s="55">
        <v>9384604184</v>
      </c>
      <c r="T143" s="29" t="s">
        <v>111</v>
      </c>
      <c r="U143" s="28">
        <v>2002</v>
      </c>
      <c r="V143" s="33">
        <v>-1</v>
      </c>
      <c r="W143" s="33">
        <v>-1</v>
      </c>
      <c r="X143" s="33">
        <v>-1</v>
      </c>
      <c r="Y143" s="33">
        <v>0</v>
      </c>
      <c r="Z143" s="33">
        <v>0</v>
      </c>
      <c r="AA143" s="33">
        <v>0</v>
      </c>
      <c r="AB143" s="33"/>
      <c r="AC143" s="33"/>
      <c r="AD143" s="33"/>
      <c r="AE143" s="33"/>
      <c r="AF143" s="33"/>
      <c r="AG143" s="33"/>
      <c r="AH143" s="33"/>
      <c r="AI143" s="33"/>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row>
    <row r="144" spans="1:134" ht="11.25" customHeight="1" x14ac:dyDescent="0.3">
      <c r="A144" s="28" t="e">
        <f t="array" aca="1" ref="A144" ca="1">_xludf.XLOOKUP(S144,Master_Registrations!P:P,Master_Registrations!A:A,"")</f>
        <v>#NAME?</v>
      </c>
      <c r="B144" s="28" t="s">
        <v>182</v>
      </c>
      <c r="C144" s="28">
        <v>2026</v>
      </c>
      <c r="D144" s="28" t="s">
        <v>4886</v>
      </c>
      <c r="E144" s="28">
        <v>5</v>
      </c>
      <c r="F144" s="29" t="str">
        <f t="shared" si="0"/>
        <v>VED-01-2026-GR-5</v>
      </c>
      <c r="G144" s="28" t="s">
        <v>7041</v>
      </c>
      <c r="H144" s="28" t="s">
        <v>7042</v>
      </c>
      <c r="I144" s="28"/>
      <c r="J144" s="28" t="s">
        <v>198</v>
      </c>
      <c r="K144" s="30"/>
      <c r="L144" s="35"/>
      <c r="M144" s="30"/>
      <c r="N144" s="28" t="s">
        <v>915</v>
      </c>
      <c r="O144" s="28" t="s">
        <v>1893</v>
      </c>
      <c r="P144" s="28" t="s">
        <v>2903</v>
      </c>
      <c r="Q144" s="28" t="e">
        <f t="shared" ca="1" si="5"/>
        <v>#NAME?</v>
      </c>
      <c r="R144" s="28" t="s">
        <v>112</v>
      </c>
      <c r="S144" s="55">
        <v>8121541398</v>
      </c>
      <c r="T144" s="29" t="s">
        <v>111</v>
      </c>
      <c r="U144" s="28">
        <v>1989</v>
      </c>
      <c r="V144" s="33">
        <v>-1</v>
      </c>
      <c r="W144" s="33">
        <v>-1</v>
      </c>
      <c r="X144" s="33">
        <v>-1</v>
      </c>
      <c r="Y144" s="33">
        <v>0</v>
      </c>
      <c r="Z144" s="33">
        <v>0</v>
      </c>
      <c r="AA144" s="33">
        <v>0</v>
      </c>
      <c r="AB144" s="33"/>
      <c r="AC144" s="33"/>
      <c r="AD144" s="33"/>
      <c r="AE144" s="33"/>
      <c r="AF144" s="33"/>
      <c r="AG144" s="33"/>
      <c r="AH144" s="33"/>
      <c r="AI144" s="33"/>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row>
    <row r="145" spans="1:134" ht="11.25" customHeight="1" x14ac:dyDescent="0.3">
      <c r="A145" s="28" t="e">
        <f t="array" aca="1" ref="A145" ca="1">_xludf.XLOOKUP(S145,Master_Registrations!P:P,Master_Registrations!A:A,"")</f>
        <v>#NAME?</v>
      </c>
      <c r="B145" s="39" t="s">
        <v>182</v>
      </c>
      <c r="C145" s="39">
        <v>2026</v>
      </c>
      <c r="D145" s="39" t="s">
        <v>4886</v>
      </c>
      <c r="E145" s="39">
        <v>6</v>
      </c>
      <c r="F145" s="40" t="str">
        <f t="shared" si="0"/>
        <v>VED-01-2026-GR-6</v>
      </c>
      <c r="G145" s="39" t="s">
        <v>7043</v>
      </c>
      <c r="H145" s="39" t="s">
        <v>7044</v>
      </c>
      <c r="I145" s="39"/>
      <c r="J145" s="39" t="s">
        <v>198</v>
      </c>
      <c r="K145" s="49"/>
      <c r="L145" s="49"/>
      <c r="M145" s="49"/>
      <c r="N145" s="39" t="s">
        <v>200</v>
      </c>
      <c r="O145" s="39" t="s">
        <v>3769</v>
      </c>
      <c r="P145" s="39" t="s">
        <v>3770</v>
      </c>
      <c r="Q145" s="39" t="e">
        <f t="shared" ca="1" si="5"/>
        <v>#NAME?</v>
      </c>
      <c r="R145" s="39" t="s">
        <v>316</v>
      </c>
      <c r="S145" s="50">
        <v>8607802071</v>
      </c>
      <c r="T145" s="40" t="s">
        <v>402</v>
      </c>
      <c r="U145" s="39">
        <v>2010</v>
      </c>
      <c r="V145" s="45">
        <v>-1</v>
      </c>
      <c r="W145" s="45">
        <v>-1</v>
      </c>
      <c r="X145" s="45">
        <v>-1</v>
      </c>
      <c r="Y145" s="45">
        <v>-1</v>
      </c>
      <c r="Z145" s="45">
        <v>-1</v>
      </c>
      <c r="AA145" s="45">
        <v>-1</v>
      </c>
      <c r="AB145" s="45"/>
      <c r="AC145" s="45"/>
      <c r="AD145" s="45"/>
      <c r="AE145" s="45"/>
      <c r="AF145" s="45"/>
      <c r="AG145" s="45"/>
      <c r="AH145" s="45"/>
      <c r="AI145" s="45"/>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c r="DX145" s="48"/>
      <c r="DY145" s="48"/>
      <c r="DZ145" s="48"/>
      <c r="EA145" s="48"/>
      <c r="EB145" s="48"/>
      <c r="EC145" s="48"/>
      <c r="ED145" s="48"/>
    </row>
    <row r="146" spans="1:134" ht="11.25" customHeight="1" x14ac:dyDescent="0.3">
      <c r="A146" s="28" t="e">
        <f t="array" aca="1" ref="A146" ca="1">_xludf.XLOOKUP(S146,Master_Registrations!P:P,Master_Registrations!A:A,"")</f>
        <v>#NAME?</v>
      </c>
      <c r="B146" s="39" t="s">
        <v>182</v>
      </c>
      <c r="C146" s="39">
        <v>2026</v>
      </c>
      <c r="D146" s="39" t="s">
        <v>4886</v>
      </c>
      <c r="E146" s="39">
        <v>6</v>
      </c>
      <c r="F146" s="40" t="str">
        <f t="shared" si="0"/>
        <v>VED-01-2026-GR-6</v>
      </c>
      <c r="G146" s="39" t="s">
        <v>7043</v>
      </c>
      <c r="H146" s="39" t="s">
        <v>7044</v>
      </c>
      <c r="I146" s="39"/>
      <c r="J146" s="39" t="s">
        <v>198</v>
      </c>
      <c r="K146" s="49"/>
      <c r="L146" s="68"/>
      <c r="M146" s="49"/>
      <c r="N146" s="39" t="s">
        <v>299</v>
      </c>
      <c r="O146" s="39" t="s">
        <v>4020</v>
      </c>
      <c r="P146" s="139" t="s">
        <v>4021</v>
      </c>
      <c r="Q146" s="39" t="e">
        <f t="shared" ca="1" si="5"/>
        <v>#NAME?</v>
      </c>
      <c r="R146" s="39" t="s">
        <v>316</v>
      </c>
      <c r="S146" s="50">
        <v>6474031548</v>
      </c>
      <c r="T146" s="40" t="s">
        <v>474</v>
      </c>
      <c r="U146" s="39">
        <v>1987</v>
      </c>
      <c r="V146" s="44">
        <v>1</v>
      </c>
      <c r="W146" s="45">
        <v>-1</v>
      </c>
      <c r="X146" s="44">
        <v>-1</v>
      </c>
      <c r="Y146" s="45">
        <v>-1</v>
      </c>
      <c r="Z146" s="45">
        <v>-1</v>
      </c>
      <c r="AA146" s="45">
        <v>-1</v>
      </c>
      <c r="AB146" s="45"/>
      <c r="AC146" s="45"/>
      <c r="AD146" s="45"/>
      <c r="AE146" s="45"/>
      <c r="AF146" s="45"/>
      <c r="AG146" s="45"/>
      <c r="AH146" s="45"/>
      <c r="AI146" s="45"/>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c r="BV146" s="39"/>
      <c r="BW146" s="39"/>
      <c r="BX146" s="39"/>
      <c r="BY146" s="39"/>
      <c r="BZ146" s="39"/>
      <c r="CA146" s="39"/>
      <c r="CB146" s="39"/>
      <c r="CC146" s="39"/>
      <c r="CD146" s="39"/>
      <c r="CE146" s="39"/>
      <c r="CF146" s="39"/>
      <c r="CG146" s="39"/>
      <c r="CH146" s="39"/>
      <c r="CI146" s="39"/>
      <c r="CJ146" s="39"/>
      <c r="CK146" s="39"/>
      <c r="CL146" s="39"/>
      <c r="CM146" s="39"/>
      <c r="CN146" s="39"/>
      <c r="CO146" s="39"/>
      <c r="CP146" s="39"/>
      <c r="CQ146" s="39"/>
      <c r="CR146" s="39"/>
      <c r="CS146" s="39"/>
      <c r="CT146" s="39"/>
      <c r="CU146" s="39"/>
      <c r="CV146" s="39"/>
      <c r="CW146" s="39"/>
      <c r="CX146" s="39"/>
      <c r="CY146" s="39"/>
      <c r="CZ146" s="48"/>
      <c r="DA146" s="48"/>
      <c r="DB146" s="48"/>
      <c r="DC146" s="48"/>
      <c r="DD146" s="48"/>
      <c r="DE146" s="48"/>
      <c r="DF146" s="48"/>
      <c r="DG146" s="48"/>
      <c r="DH146" s="48"/>
      <c r="DI146" s="48"/>
      <c r="DJ146" s="48"/>
      <c r="DK146" s="48"/>
      <c r="DL146" s="48"/>
      <c r="DM146" s="48"/>
      <c r="DN146" s="48"/>
      <c r="DO146" s="48"/>
      <c r="DP146" s="48"/>
      <c r="DQ146" s="48"/>
      <c r="DR146" s="48"/>
      <c r="DS146" s="48"/>
      <c r="DT146" s="48"/>
      <c r="DU146" s="48"/>
      <c r="DV146" s="48"/>
      <c r="DW146" s="48"/>
      <c r="DX146" s="48"/>
      <c r="DY146" s="48"/>
      <c r="DZ146" s="48"/>
      <c r="EA146" s="48"/>
      <c r="EB146" s="48"/>
      <c r="EC146" s="48"/>
      <c r="ED146" s="48"/>
    </row>
    <row r="147" spans="1:134" ht="11.25" customHeight="1" x14ac:dyDescent="0.3">
      <c r="A147" s="28" t="e">
        <f t="array" aca="1" ref="A147" ca="1">_xludf.XLOOKUP(S147,Master_Registrations!P:P,Master_Registrations!A:A,"")</f>
        <v>#NAME?</v>
      </c>
      <c r="B147" s="39" t="s">
        <v>182</v>
      </c>
      <c r="C147" s="39">
        <v>2026</v>
      </c>
      <c r="D147" s="39" t="s">
        <v>4886</v>
      </c>
      <c r="E147" s="39">
        <v>6</v>
      </c>
      <c r="F147" s="40" t="str">
        <f t="shared" si="0"/>
        <v>VED-01-2026-GR-6</v>
      </c>
      <c r="G147" s="39" t="s">
        <v>7043</v>
      </c>
      <c r="H147" s="39" t="s">
        <v>7044</v>
      </c>
      <c r="I147" s="39"/>
      <c r="J147" s="39" t="s">
        <v>198</v>
      </c>
      <c r="K147" s="49"/>
      <c r="L147" s="68"/>
      <c r="M147" s="49"/>
      <c r="N147" s="39" t="s">
        <v>369</v>
      </c>
      <c r="O147" s="139" t="s">
        <v>4443</v>
      </c>
      <c r="P147" s="139" t="s">
        <v>4444</v>
      </c>
      <c r="Q147" s="39" t="e">
        <f t="shared" ca="1" si="5"/>
        <v>#NAME?</v>
      </c>
      <c r="R147" s="39" t="s">
        <v>112</v>
      </c>
      <c r="S147" s="50">
        <v>9966406261</v>
      </c>
      <c r="T147" s="40" t="s">
        <v>111</v>
      </c>
      <c r="U147" s="39">
        <v>1983</v>
      </c>
      <c r="V147" s="45">
        <v>-1</v>
      </c>
      <c r="W147" s="45">
        <v>-1</v>
      </c>
      <c r="X147" s="45">
        <v>-1</v>
      </c>
      <c r="Y147" s="45">
        <v>-1</v>
      </c>
      <c r="Z147" s="45">
        <v>-1</v>
      </c>
      <c r="AA147" s="45">
        <v>-1</v>
      </c>
      <c r="AB147" s="45"/>
      <c r="AC147" s="45"/>
      <c r="AD147" s="45"/>
      <c r="AE147" s="45"/>
      <c r="AF147" s="45"/>
      <c r="AG147" s="45"/>
      <c r="AH147" s="45"/>
      <c r="AI147" s="45"/>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48"/>
    </row>
    <row r="148" spans="1:134" ht="11.25" customHeight="1" x14ac:dyDescent="0.3">
      <c r="A148" s="28" t="e">
        <f t="array" aca="1" ref="A148" ca="1">_xludf.XLOOKUP(S148,Master_Registrations!P:P,Master_Registrations!A:A,"")</f>
        <v>#NAME?</v>
      </c>
      <c r="B148" s="39" t="s">
        <v>182</v>
      </c>
      <c r="C148" s="39">
        <v>2026</v>
      </c>
      <c r="D148" s="39" t="s">
        <v>4886</v>
      </c>
      <c r="E148" s="39">
        <v>6</v>
      </c>
      <c r="F148" s="40" t="str">
        <f t="shared" si="0"/>
        <v>VED-01-2026-GR-6</v>
      </c>
      <c r="G148" s="39" t="s">
        <v>7043</v>
      </c>
      <c r="H148" s="39" t="s">
        <v>7044</v>
      </c>
      <c r="I148" s="39"/>
      <c r="J148" s="39" t="s">
        <v>198</v>
      </c>
      <c r="K148" s="49"/>
      <c r="L148" s="49"/>
      <c r="M148" s="49"/>
      <c r="N148" s="39" t="s">
        <v>434</v>
      </c>
      <c r="O148" s="39" t="s">
        <v>4059</v>
      </c>
      <c r="P148" s="39" t="s">
        <v>4060</v>
      </c>
      <c r="Q148" s="39" t="e">
        <f t="shared" ca="1" si="5"/>
        <v>#NAME?</v>
      </c>
      <c r="R148" s="39" t="s">
        <v>316</v>
      </c>
      <c r="S148" s="50">
        <v>6175841107</v>
      </c>
      <c r="T148" s="40" t="s">
        <v>402</v>
      </c>
      <c r="U148" s="39">
        <v>1986</v>
      </c>
      <c r="V148" s="45">
        <v>-1</v>
      </c>
      <c r="W148" s="45">
        <v>-1</v>
      </c>
      <c r="X148" s="45">
        <v>-1</v>
      </c>
      <c r="Y148" s="45">
        <v>-1</v>
      </c>
      <c r="Z148" s="45">
        <v>-1</v>
      </c>
      <c r="AA148" s="45">
        <v>-1</v>
      </c>
      <c r="AB148" s="45"/>
      <c r="AC148" s="45"/>
      <c r="AD148" s="45"/>
      <c r="AE148" s="45"/>
      <c r="AF148" s="45"/>
      <c r="AG148" s="45"/>
      <c r="AH148" s="45"/>
      <c r="AI148" s="45"/>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c r="BZ148" s="39"/>
      <c r="CA148" s="39"/>
      <c r="CB148" s="39"/>
      <c r="CC148" s="39"/>
      <c r="CD148" s="39"/>
      <c r="CE148" s="39"/>
      <c r="CF148" s="39"/>
      <c r="CG148" s="39"/>
      <c r="CH148" s="39"/>
      <c r="CI148" s="39"/>
      <c r="CJ148" s="39"/>
      <c r="CK148" s="39"/>
      <c r="CL148" s="39"/>
      <c r="CM148" s="39"/>
      <c r="CN148" s="39"/>
      <c r="CO148" s="39"/>
      <c r="CP148" s="39"/>
      <c r="CQ148" s="39"/>
      <c r="CR148" s="39"/>
      <c r="CS148" s="39"/>
      <c r="CT148" s="39"/>
      <c r="CU148" s="39"/>
      <c r="CV148" s="39"/>
      <c r="CW148" s="39"/>
      <c r="CX148" s="39"/>
      <c r="CY148" s="39"/>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48"/>
      <c r="DY148" s="48"/>
      <c r="DZ148" s="48"/>
      <c r="EA148" s="48"/>
      <c r="EB148" s="48"/>
      <c r="EC148" s="48"/>
      <c r="ED148" s="48"/>
    </row>
    <row r="149" spans="1:134" ht="11.25" customHeight="1" x14ac:dyDescent="0.3">
      <c r="A149" s="28" t="e">
        <f t="array" aca="1" ref="A149" ca="1">_xludf.XLOOKUP(S149,Master_Registrations!P:P,Master_Registrations!A:A,"")</f>
        <v>#NAME?</v>
      </c>
      <c r="B149" s="39" t="s">
        <v>182</v>
      </c>
      <c r="C149" s="39">
        <v>2026</v>
      </c>
      <c r="D149" s="39" t="s">
        <v>4886</v>
      </c>
      <c r="E149" s="39">
        <v>6</v>
      </c>
      <c r="F149" s="40" t="str">
        <f t="shared" si="0"/>
        <v>VED-01-2026-GR-6</v>
      </c>
      <c r="G149" s="39" t="s">
        <v>7043</v>
      </c>
      <c r="H149" s="39" t="s">
        <v>7044</v>
      </c>
      <c r="I149" s="39"/>
      <c r="J149" s="39" t="s">
        <v>198</v>
      </c>
      <c r="K149" s="49"/>
      <c r="L149" s="44"/>
      <c r="M149" s="49"/>
      <c r="N149" s="39" t="s">
        <v>525</v>
      </c>
      <c r="O149" s="39" t="s">
        <v>4514</v>
      </c>
      <c r="P149" s="39" t="s">
        <v>4515</v>
      </c>
      <c r="Q149" s="39" t="e">
        <f t="shared" ca="1" si="5"/>
        <v>#NAME?</v>
      </c>
      <c r="R149" s="39" t="s">
        <v>316</v>
      </c>
      <c r="S149" s="50">
        <v>2016061013</v>
      </c>
      <c r="T149" s="40" t="s">
        <v>402</v>
      </c>
      <c r="U149" s="39">
        <v>1978</v>
      </c>
      <c r="V149" s="44">
        <v>1</v>
      </c>
      <c r="W149" s="45">
        <v>-1</v>
      </c>
      <c r="X149" s="44">
        <v>-1</v>
      </c>
      <c r="Y149" s="45">
        <v>-1</v>
      </c>
      <c r="Z149" s="45">
        <v>-1</v>
      </c>
      <c r="AA149" s="45">
        <v>-1</v>
      </c>
      <c r="AB149" s="45"/>
      <c r="AC149" s="45"/>
      <c r="AD149" s="45"/>
      <c r="AE149" s="45"/>
      <c r="AF149" s="45"/>
      <c r="AG149" s="45"/>
      <c r="AH149" s="45"/>
      <c r="AI149" s="45"/>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row>
    <row r="150" spans="1:134" ht="11.25" customHeight="1" x14ac:dyDescent="0.3">
      <c r="A150" s="28" t="e">
        <f t="array" aca="1" ref="A150" ca="1">_xludf.XLOOKUP(S150,Master_Registrations!P:P,Master_Registrations!A:A,"")</f>
        <v>#NAME?</v>
      </c>
      <c r="B150" s="39" t="s">
        <v>182</v>
      </c>
      <c r="C150" s="39">
        <v>2026</v>
      </c>
      <c r="D150" s="39" t="s">
        <v>4886</v>
      </c>
      <c r="E150" s="39">
        <v>6</v>
      </c>
      <c r="F150" s="40" t="str">
        <f t="shared" si="0"/>
        <v>VED-01-2026-GR-6</v>
      </c>
      <c r="G150" s="39" t="s">
        <v>7043</v>
      </c>
      <c r="H150" s="39" t="s">
        <v>7044</v>
      </c>
      <c r="I150" s="39"/>
      <c r="J150" s="39" t="s">
        <v>198</v>
      </c>
      <c r="K150" s="49"/>
      <c r="L150" s="68"/>
      <c r="M150" s="49"/>
      <c r="N150" s="39" t="s">
        <v>621</v>
      </c>
      <c r="O150" s="39" t="s">
        <v>2825</v>
      </c>
      <c r="P150" s="39" t="s">
        <v>4621</v>
      </c>
      <c r="Q150" s="39" t="e">
        <f t="shared" ca="1" si="5"/>
        <v>#NAME?</v>
      </c>
      <c r="R150" s="39" t="s">
        <v>112</v>
      </c>
      <c r="S150" s="50">
        <v>9848608889</v>
      </c>
      <c r="T150" s="40" t="s">
        <v>111</v>
      </c>
      <c r="U150" s="39">
        <v>1968</v>
      </c>
      <c r="V150" s="44">
        <v>1</v>
      </c>
      <c r="W150" s="45">
        <v>-1</v>
      </c>
      <c r="X150" s="44">
        <v>1</v>
      </c>
      <c r="Y150" s="45">
        <v>-1</v>
      </c>
      <c r="Z150" s="45">
        <v>-1</v>
      </c>
      <c r="AA150" s="45">
        <v>-1</v>
      </c>
      <c r="AB150" s="45"/>
      <c r="AC150" s="45"/>
      <c r="AD150" s="45"/>
      <c r="AE150" s="45"/>
      <c r="AF150" s="45"/>
      <c r="AG150" s="45"/>
      <c r="AH150" s="45"/>
      <c r="AI150" s="45"/>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c r="CV150" s="39"/>
      <c r="CW150" s="39"/>
      <c r="CX150" s="39"/>
      <c r="CY150" s="39"/>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48"/>
      <c r="EA150" s="48"/>
      <c r="EB150" s="48"/>
      <c r="EC150" s="48"/>
      <c r="ED150" s="48"/>
    </row>
    <row r="151" spans="1:134" ht="11.25" customHeight="1" x14ac:dyDescent="0.3">
      <c r="A151" s="28" t="e">
        <f t="array" aca="1" ref="A151" ca="1">_xludf.XLOOKUP(S151,Master_Registrations!P:P,Master_Registrations!A:A,"")</f>
        <v>#NAME?</v>
      </c>
      <c r="B151" s="39" t="s">
        <v>182</v>
      </c>
      <c r="C151" s="39">
        <v>2026</v>
      </c>
      <c r="D151" s="39" t="s">
        <v>4886</v>
      </c>
      <c r="E151" s="39">
        <v>6</v>
      </c>
      <c r="F151" s="40" t="str">
        <f t="shared" si="0"/>
        <v>VED-01-2026-GR-6</v>
      </c>
      <c r="G151" s="39" t="s">
        <v>7043</v>
      </c>
      <c r="H151" s="39" t="s">
        <v>7044</v>
      </c>
      <c r="I151" s="39"/>
      <c r="J151" s="39" t="s">
        <v>198</v>
      </c>
      <c r="K151" s="49"/>
      <c r="L151" s="52"/>
      <c r="M151" s="49"/>
      <c r="N151" s="39" t="s">
        <v>714</v>
      </c>
      <c r="O151" s="39" t="s">
        <v>3827</v>
      </c>
      <c r="P151" s="39" t="s">
        <v>3828</v>
      </c>
      <c r="Q151" s="39" t="e">
        <f t="shared" ca="1" si="5"/>
        <v>#NAME?</v>
      </c>
      <c r="R151" s="39" t="s">
        <v>112</v>
      </c>
      <c r="S151" s="50">
        <v>9440564502</v>
      </c>
      <c r="T151" s="40" t="s">
        <v>111</v>
      </c>
      <c r="U151" s="39">
        <v>1977</v>
      </c>
      <c r="V151" s="44">
        <v>-1</v>
      </c>
      <c r="W151" s="45">
        <v>-1</v>
      </c>
      <c r="X151" s="45">
        <v>-1</v>
      </c>
      <c r="Y151" s="45">
        <v>-1</v>
      </c>
      <c r="Z151" s="45">
        <v>-1</v>
      </c>
      <c r="AA151" s="45">
        <v>-1</v>
      </c>
      <c r="AB151" s="45"/>
      <c r="AC151" s="45"/>
      <c r="AD151" s="45"/>
      <c r="AE151" s="45"/>
      <c r="AF151" s="45"/>
      <c r="AG151" s="45"/>
      <c r="AH151" s="45"/>
      <c r="AI151" s="45"/>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48"/>
    </row>
    <row r="152" spans="1:134" ht="11.25" customHeight="1" x14ac:dyDescent="0.3">
      <c r="A152" s="28" t="e">
        <f t="array" aca="1" ref="A152" ca="1">_xludf.XLOOKUP(S152,Master_Registrations!P:P,Master_Registrations!A:A,"")</f>
        <v>#NAME?</v>
      </c>
      <c r="B152" s="39" t="s">
        <v>182</v>
      </c>
      <c r="C152" s="39">
        <v>2026</v>
      </c>
      <c r="D152" s="39" t="s">
        <v>4886</v>
      </c>
      <c r="E152" s="39">
        <v>6</v>
      </c>
      <c r="F152" s="40" t="str">
        <f t="shared" si="0"/>
        <v>VED-01-2026-GR-6</v>
      </c>
      <c r="G152" s="39" t="s">
        <v>7043</v>
      </c>
      <c r="H152" s="39" t="s">
        <v>7044</v>
      </c>
      <c r="I152" s="39"/>
      <c r="J152" s="39" t="s">
        <v>198</v>
      </c>
      <c r="K152" s="49"/>
      <c r="L152" s="68"/>
      <c r="M152" s="49"/>
      <c r="N152" s="39" t="s">
        <v>786</v>
      </c>
      <c r="O152" s="39" t="s">
        <v>4133</v>
      </c>
      <c r="P152" s="39" t="s">
        <v>281</v>
      </c>
      <c r="Q152" s="39" t="e">
        <f t="shared" ca="1" si="5"/>
        <v>#NAME?</v>
      </c>
      <c r="R152" s="39" t="s">
        <v>112</v>
      </c>
      <c r="S152" s="50">
        <v>9885333460</v>
      </c>
      <c r="T152" s="40" t="s">
        <v>111</v>
      </c>
      <c r="U152" s="39">
        <v>1966</v>
      </c>
      <c r="V152" s="44">
        <v>1</v>
      </c>
      <c r="W152" s="45">
        <v>-1</v>
      </c>
      <c r="X152" s="45">
        <v>-1</v>
      </c>
      <c r="Y152" s="45">
        <v>-1</v>
      </c>
      <c r="Z152" s="45">
        <v>-1</v>
      </c>
      <c r="AA152" s="45">
        <v>-1</v>
      </c>
      <c r="AB152" s="45"/>
      <c r="AC152" s="45"/>
      <c r="AD152" s="45"/>
      <c r="AE152" s="45"/>
      <c r="AF152" s="45"/>
      <c r="AG152" s="45"/>
      <c r="AH152" s="45"/>
      <c r="AI152" s="45"/>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c r="BZ152" s="39"/>
      <c r="CA152" s="39"/>
      <c r="CB152" s="39"/>
      <c r="CC152" s="39"/>
      <c r="CD152" s="39"/>
      <c r="CE152" s="39"/>
      <c r="CF152" s="39"/>
      <c r="CG152" s="39"/>
      <c r="CH152" s="39"/>
      <c r="CI152" s="39"/>
      <c r="CJ152" s="39"/>
      <c r="CK152" s="39"/>
      <c r="CL152" s="39"/>
      <c r="CM152" s="39"/>
      <c r="CN152" s="39"/>
      <c r="CO152" s="39"/>
      <c r="CP152" s="39"/>
      <c r="CQ152" s="39"/>
      <c r="CR152" s="39"/>
      <c r="CS152" s="39"/>
      <c r="CT152" s="39"/>
      <c r="CU152" s="39"/>
      <c r="CV152" s="39"/>
      <c r="CW152" s="39"/>
      <c r="CX152" s="39"/>
      <c r="CY152" s="39"/>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48"/>
      <c r="EA152" s="48"/>
      <c r="EB152" s="48"/>
      <c r="EC152" s="48"/>
      <c r="ED152" s="48"/>
    </row>
    <row r="153" spans="1:134" ht="11.25" customHeight="1" x14ac:dyDescent="0.3">
      <c r="A153" s="28" t="e">
        <f t="array" aca="1" ref="A153" ca="1">_xludf.XLOOKUP(S153,Master_Registrations!P:P,Master_Registrations!A:A,"")</f>
        <v>#NAME?</v>
      </c>
      <c r="B153" s="39" t="s">
        <v>182</v>
      </c>
      <c r="C153" s="39">
        <v>2026</v>
      </c>
      <c r="D153" s="39" t="s">
        <v>4886</v>
      </c>
      <c r="E153" s="39">
        <v>6</v>
      </c>
      <c r="F153" s="40" t="str">
        <f t="shared" si="0"/>
        <v>VED-01-2026-GR-6</v>
      </c>
      <c r="G153" s="39" t="s">
        <v>7043</v>
      </c>
      <c r="H153" s="39" t="s">
        <v>7044</v>
      </c>
      <c r="I153" s="39"/>
      <c r="J153" s="39" t="s">
        <v>198</v>
      </c>
      <c r="K153" s="49"/>
      <c r="L153" s="44"/>
      <c r="M153" s="49"/>
      <c r="N153" s="39" t="s">
        <v>856</v>
      </c>
      <c r="O153" s="39" t="s">
        <v>4028</v>
      </c>
      <c r="P153" s="39" t="s">
        <v>4029</v>
      </c>
      <c r="Q153" s="39" t="e">
        <f t="shared" ca="1" si="5"/>
        <v>#NAME?</v>
      </c>
      <c r="R153" s="39" t="s">
        <v>112</v>
      </c>
      <c r="S153" s="50">
        <v>9440220577</v>
      </c>
      <c r="T153" s="40" t="s">
        <v>111</v>
      </c>
      <c r="U153" s="39">
        <v>1964</v>
      </c>
      <c r="V153" s="44">
        <v>1</v>
      </c>
      <c r="W153" s="45">
        <v>-1</v>
      </c>
      <c r="X153" s="44">
        <v>1</v>
      </c>
      <c r="Y153" s="44">
        <v>1</v>
      </c>
      <c r="Z153" s="45">
        <v>-1</v>
      </c>
      <c r="AA153" s="45">
        <v>-1</v>
      </c>
      <c r="AB153" s="45"/>
      <c r="AC153" s="45"/>
      <c r="AD153" s="45"/>
      <c r="AE153" s="45"/>
      <c r="AF153" s="45"/>
      <c r="AG153" s="45"/>
      <c r="AH153" s="45"/>
      <c r="AI153" s="45"/>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row>
    <row r="154" spans="1:134" ht="11.25" customHeight="1" x14ac:dyDescent="0.3">
      <c r="A154" s="28" t="e">
        <f t="array" aca="1" ref="A154" ca="1">_xludf.XLOOKUP(S154,Master_Registrations!P:P,Master_Registrations!A:A,"")</f>
        <v>#NAME?</v>
      </c>
      <c r="B154" s="39" t="s">
        <v>182</v>
      </c>
      <c r="C154" s="39">
        <v>2026</v>
      </c>
      <c r="D154" s="39" t="s">
        <v>4886</v>
      </c>
      <c r="E154" s="39">
        <v>6</v>
      </c>
      <c r="F154" s="40" t="str">
        <f t="shared" si="0"/>
        <v>VED-01-2026-GR-6</v>
      </c>
      <c r="G154" s="39" t="s">
        <v>7043</v>
      </c>
      <c r="H154" s="39" t="s">
        <v>7044</v>
      </c>
      <c r="I154" s="39"/>
      <c r="J154" s="39" t="s">
        <v>198</v>
      </c>
      <c r="K154" s="49"/>
      <c r="L154" s="49"/>
      <c r="M154" s="49"/>
      <c r="N154" s="39" t="s">
        <v>915</v>
      </c>
      <c r="O154" s="39" t="s">
        <v>1034</v>
      </c>
      <c r="P154" s="39" t="s">
        <v>1642</v>
      </c>
      <c r="Q154" s="39" t="e">
        <f t="shared" ca="1" si="5"/>
        <v>#NAME?</v>
      </c>
      <c r="R154" s="39" t="s">
        <v>316</v>
      </c>
      <c r="S154" s="50">
        <v>3463990853</v>
      </c>
      <c r="T154" s="40" t="s">
        <v>315</v>
      </c>
      <c r="U154" s="39">
        <v>2000</v>
      </c>
      <c r="V154" s="45">
        <v>2</v>
      </c>
      <c r="W154" s="45">
        <v>-1</v>
      </c>
      <c r="X154" s="45">
        <v>1</v>
      </c>
      <c r="Y154" s="45">
        <v>1</v>
      </c>
      <c r="Z154" s="45">
        <v>1</v>
      </c>
      <c r="AA154" s="45">
        <v>1</v>
      </c>
      <c r="AB154" s="45">
        <v>1</v>
      </c>
      <c r="AC154" s="45">
        <v>1</v>
      </c>
      <c r="AD154" s="45">
        <v>1</v>
      </c>
      <c r="AE154" s="45">
        <v>1</v>
      </c>
      <c r="AF154" s="45">
        <v>1</v>
      </c>
      <c r="AG154" s="45">
        <v>1</v>
      </c>
      <c r="AH154" s="45">
        <v>1</v>
      </c>
      <c r="AI154" s="45"/>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c r="BZ154" s="39"/>
      <c r="CA154" s="39"/>
      <c r="CB154" s="39"/>
      <c r="CC154" s="39"/>
      <c r="CD154" s="39"/>
      <c r="CE154" s="39"/>
      <c r="CF154" s="39"/>
      <c r="CG154" s="39"/>
      <c r="CH154" s="39"/>
      <c r="CI154" s="39"/>
      <c r="CJ154" s="39"/>
      <c r="CK154" s="39"/>
      <c r="CL154" s="39"/>
      <c r="CM154" s="39"/>
      <c r="CN154" s="39"/>
      <c r="CO154" s="39"/>
      <c r="CP154" s="39"/>
      <c r="CQ154" s="39"/>
      <c r="CR154" s="39"/>
      <c r="CS154" s="39"/>
      <c r="CT154" s="39"/>
      <c r="CU154" s="39"/>
      <c r="CV154" s="39"/>
      <c r="CW154" s="39"/>
      <c r="CX154" s="39"/>
      <c r="CY154" s="39"/>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48"/>
      <c r="EA154" s="48"/>
      <c r="EB154" s="48"/>
      <c r="EC154" s="48"/>
      <c r="ED154" s="48"/>
    </row>
    <row r="155" spans="1:134" ht="11.25" customHeight="1" x14ac:dyDescent="0.3">
      <c r="A155" s="28">
        <f>_xlfn.XLOOKUP(S155,Master_Registrations!P:P,Master_Registrations!A:A,"")</f>
        <v>2026</v>
      </c>
      <c r="B155" s="39" t="s">
        <v>182</v>
      </c>
      <c r="C155" s="39">
        <v>2026</v>
      </c>
      <c r="D155" s="39" t="s">
        <v>4886</v>
      </c>
      <c r="E155" s="39">
        <v>6</v>
      </c>
      <c r="F155" s="40" t="str">
        <f t="shared" si="0"/>
        <v>VED-01-2026-GR-6</v>
      </c>
      <c r="G155" s="39" t="s">
        <v>7043</v>
      </c>
      <c r="H155" s="39" t="s">
        <v>7044</v>
      </c>
      <c r="I155" s="39"/>
      <c r="J155" s="39" t="s">
        <v>198</v>
      </c>
      <c r="K155" s="49"/>
      <c r="L155" s="44"/>
      <c r="M155" s="49"/>
      <c r="N155" s="39" t="s">
        <v>973</v>
      </c>
      <c r="O155" s="39" t="s">
        <v>4169</v>
      </c>
      <c r="P155" s="39" t="s">
        <v>4170</v>
      </c>
      <c r="Q155" s="39" t="e">
        <f t="shared" ca="1" si="5"/>
        <v>#NAME?</v>
      </c>
      <c r="R155" s="39" t="s">
        <v>112</v>
      </c>
      <c r="S155" s="50">
        <v>9948282819</v>
      </c>
      <c r="T155" s="40" t="s">
        <v>111</v>
      </c>
      <c r="U155" s="39">
        <v>1990</v>
      </c>
      <c r="V155" s="44">
        <v>1</v>
      </c>
      <c r="W155" s="45">
        <v>-1</v>
      </c>
      <c r="X155" s="44">
        <v>1</v>
      </c>
      <c r="Y155" s="45">
        <v>-1</v>
      </c>
      <c r="Z155" s="45">
        <v>-1</v>
      </c>
      <c r="AA155" s="45"/>
      <c r="AB155" s="45"/>
      <c r="AC155" s="45"/>
      <c r="AD155" s="45"/>
      <c r="AE155" s="45"/>
      <c r="AF155" s="45"/>
      <c r="AG155" s="45"/>
      <c r="AH155" s="45"/>
      <c r="AI155" s="45"/>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48"/>
      <c r="EA155" s="48"/>
      <c r="EB155" s="48"/>
      <c r="EC155" s="48"/>
      <c r="ED155" s="48"/>
    </row>
    <row r="156" spans="1:134" ht="11.25" customHeight="1" x14ac:dyDescent="0.3">
      <c r="A156" s="28" t="e">
        <f t="array" aca="1" ref="A156" ca="1">_xludf.XLOOKUP(S156,Master_Registrations!P:P,Master_Registrations!A:A,"")</f>
        <v>#NAME?</v>
      </c>
      <c r="B156" s="39" t="s">
        <v>182</v>
      </c>
      <c r="C156" s="39">
        <v>2026</v>
      </c>
      <c r="D156" s="39" t="s">
        <v>4886</v>
      </c>
      <c r="E156" s="39">
        <v>6</v>
      </c>
      <c r="F156" s="40" t="str">
        <f t="shared" si="0"/>
        <v>VED-01-2026-GR-6</v>
      </c>
      <c r="G156" s="39" t="s">
        <v>7043</v>
      </c>
      <c r="H156" s="39" t="s">
        <v>7044</v>
      </c>
      <c r="I156" s="39"/>
      <c r="J156" s="39" t="s">
        <v>198</v>
      </c>
      <c r="K156" s="49"/>
      <c r="L156" s="44"/>
      <c r="M156" s="49"/>
      <c r="N156" s="39" t="s">
        <v>1031</v>
      </c>
      <c r="O156" s="39" t="s">
        <v>891</v>
      </c>
      <c r="P156" s="39" t="s">
        <v>4230</v>
      </c>
      <c r="Q156" s="39" t="e">
        <f t="shared" ca="1" si="5"/>
        <v>#NAME?</v>
      </c>
      <c r="R156" s="39" t="s">
        <v>112</v>
      </c>
      <c r="S156" s="50">
        <v>9985876613</v>
      </c>
      <c r="T156" s="40" t="s">
        <v>111</v>
      </c>
      <c r="U156" s="39">
        <v>2000</v>
      </c>
      <c r="V156" s="44">
        <v>1</v>
      </c>
      <c r="W156" s="45">
        <v>-1</v>
      </c>
      <c r="X156" s="44">
        <v>-1</v>
      </c>
      <c r="Y156" s="45">
        <v>-1</v>
      </c>
      <c r="Z156" s="45">
        <v>-1</v>
      </c>
      <c r="AA156" s="45"/>
      <c r="AB156" s="45"/>
      <c r="AC156" s="45"/>
      <c r="AD156" s="45"/>
      <c r="AE156" s="45"/>
      <c r="AF156" s="45"/>
      <c r="AG156" s="45"/>
      <c r="AH156" s="45"/>
      <c r="AI156" s="45"/>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45"/>
      <c r="BH156" s="45"/>
      <c r="BI156" s="45"/>
      <c r="BJ156" s="45"/>
      <c r="BK156" s="45"/>
      <c r="BL156" s="45"/>
      <c r="BM156" s="45"/>
      <c r="BN156" s="39"/>
      <c r="BO156" s="39"/>
      <c r="BP156" s="39"/>
      <c r="BQ156" s="39"/>
      <c r="BR156" s="39"/>
      <c r="BS156" s="39"/>
      <c r="BT156" s="39"/>
      <c r="BU156" s="39"/>
      <c r="BV156" s="39"/>
      <c r="BW156" s="39"/>
      <c r="BX156" s="39"/>
      <c r="BY156" s="39"/>
      <c r="BZ156" s="39"/>
      <c r="CA156" s="39"/>
      <c r="CB156" s="39"/>
      <c r="CC156" s="39"/>
      <c r="CD156" s="39"/>
      <c r="CE156" s="39"/>
      <c r="CF156" s="39"/>
      <c r="CG156" s="39"/>
      <c r="CH156" s="39"/>
      <c r="CI156" s="39"/>
      <c r="CJ156" s="39"/>
      <c r="CK156" s="39"/>
      <c r="CL156" s="39"/>
      <c r="CM156" s="39"/>
      <c r="CN156" s="39"/>
      <c r="CO156" s="39"/>
      <c r="CP156" s="39"/>
      <c r="CQ156" s="39"/>
      <c r="CR156" s="39"/>
      <c r="CS156" s="39"/>
      <c r="CT156" s="39"/>
      <c r="CU156" s="39"/>
      <c r="CV156" s="39"/>
      <c r="CW156" s="39"/>
      <c r="CX156" s="39"/>
      <c r="CY156" s="39"/>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48"/>
      <c r="EA156" s="48"/>
      <c r="EB156" s="48"/>
      <c r="EC156" s="48"/>
      <c r="ED156" s="48"/>
    </row>
    <row r="157" spans="1:134" ht="11.25" customHeight="1" x14ac:dyDescent="0.3">
      <c r="A157" s="28" t="e">
        <f t="array" aca="1" ref="A157" ca="1">_xludf.XLOOKUP(S157,Master_Registrations!P:P,Master_Registrations!A:A,"")</f>
        <v>#NAME?</v>
      </c>
      <c r="B157" s="39" t="s">
        <v>182</v>
      </c>
      <c r="C157" s="39">
        <v>2026</v>
      </c>
      <c r="D157" s="39" t="s">
        <v>4886</v>
      </c>
      <c r="E157" s="39">
        <v>6</v>
      </c>
      <c r="F157" s="40" t="str">
        <f t="shared" si="0"/>
        <v>VED-01-2026-GR-6</v>
      </c>
      <c r="G157" s="39" t="s">
        <v>7043</v>
      </c>
      <c r="H157" s="39" t="s">
        <v>7044</v>
      </c>
      <c r="I157" s="39"/>
      <c r="J157" s="39" t="s">
        <v>198</v>
      </c>
      <c r="K157" s="49"/>
      <c r="L157" s="44"/>
      <c r="M157" s="49"/>
      <c r="N157" s="39" t="s">
        <v>1112</v>
      </c>
      <c r="O157" s="39" t="s">
        <v>2113</v>
      </c>
      <c r="P157" s="139" t="s">
        <v>4278</v>
      </c>
      <c r="Q157" s="39" t="e">
        <f t="shared" ca="1" si="5"/>
        <v>#NAME?</v>
      </c>
      <c r="R157" s="39" t="s">
        <v>112</v>
      </c>
      <c r="S157" s="50">
        <v>9740480222</v>
      </c>
      <c r="T157" s="40" t="s">
        <v>111</v>
      </c>
      <c r="U157" s="39">
        <v>1977</v>
      </c>
      <c r="V157" s="44">
        <v>1</v>
      </c>
      <c r="W157" s="45">
        <v>-1</v>
      </c>
      <c r="X157" s="44">
        <v>1</v>
      </c>
      <c r="Y157" s="45">
        <v>-1</v>
      </c>
      <c r="Z157" s="45">
        <v>-1</v>
      </c>
      <c r="AA157" s="45"/>
      <c r="AB157" s="45"/>
      <c r="AC157" s="45"/>
      <c r="AD157" s="45"/>
      <c r="AE157" s="45"/>
      <c r="AF157" s="45"/>
      <c r="AG157" s="45"/>
      <c r="AH157" s="45"/>
      <c r="AI157" s="45"/>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39"/>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48"/>
      <c r="DA157" s="48"/>
      <c r="DB157" s="48"/>
      <c r="DC157" s="48"/>
      <c r="DD157" s="48"/>
      <c r="DE157" s="48"/>
      <c r="DF157" s="48"/>
      <c r="DG157" s="48"/>
      <c r="DH157" s="48"/>
      <c r="DI157" s="48"/>
      <c r="DJ157" s="48"/>
      <c r="DK157" s="48"/>
      <c r="DL157" s="48"/>
      <c r="DM157" s="48"/>
      <c r="DN157" s="48"/>
      <c r="DO157" s="48"/>
      <c r="DP157" s="48"/>
      <c r="DQ157" s="48"/>
      <c r="DR157" s="48"/>
      <c r="DS157" s="48"/>
      <c r="DT157" s="48"/>
      <c r="DU157" s="48"/>
      <c r="DV157" s="48"/>
      <c r="DW157" s="48"/>
      <c r="DX157" s="48"/>
      <c r="DY157" s="48"/>
      <c r="DZ157" s="48"/>
      <c r="EA157" s="48"/>
      <c r="EB157" s="48"/>
      <c r="EC157" s="48"/>
      <c r="ED157" s="48"/>
    </row>
    <row r="158" spans="1:134" ht="11.25" customHeight="1" x14ac:dyDescent="0.3">
      <c r="A158" s="28" t="e">
        <f t="array" aca="1" ref="A158" ca="1">_xludf.XLOOKUP(S158,Master_Registrations!P:P,Master_Registrations!A:A,"")</f>
        <v>#NAME?</v>
      </c>
      <c r="B158" s="39" t="s">
        <v>182</v>
      </c>
      <c r="C158" s="39">
        <v>2026</v>
      </c>
      <c r="D158" s="39" t="s">
        <v>4886</v>
      </c>
      <c r="E158" s="39">
        <v>6</v>
      </c>
      <c r="F158" s="40" t="str">
        <f t="shared" si="0"/>
        <v>VED-01-2026-GR-6</v>
      </c>
      <c r="G158" s="39" t="s">
        <v>7043</v>
      </c>
      <c r="H158" s="39" t="s">
        <v>7044</v>
      </c>
      <c r="I158" s="39"/>
      <c r="J158" s="39" t="s">
        <v>198</v>
      </c>
      <c r="K158" s="49"/>
      <c r="L158" s="44"/>
      <c r="M158" s="49"/>
      <c r="N158" s="39" t="s">
        <v>1196</v>
      </c>
      <c r="O158" s="39" t="s">
        <v>3805</v>
      </c>
      <c r="P158" s="39" t="s">
        <v>3806</v>
      </c>
      <c r="Q158" s="39" t="e">
        <f t="shared" ca="1" si="5"/>
        <v>#NAME?</v>
      </c>
      <c r="R158" s="39" t="s">
        <v>112</v>
      </c>
      <c r="S158" s="50">
        <v>9788573246</v>
      </c>
      <c r="T158" s="40" t="s">
        <v>111</v>
      </c>
      <c r="U158" s="39">
        <v>1996</v>
      </c>
      <c r="V158" s="44">
        <v>1</v>
      </c>
      <c r="W158" s="45">
        <v>-1</v>
      </c>
      <c r="X158" s="45">
        <v>-1</v>
      </c>
      <c r="Y158" s="45">
        <v>-1</v>
      </c>
      <c r="Z158" s="45">
        <v>-1</v>
      </c>
      <c r="AA158" s="45"/>
      <c r="AB158" s="45"/>
      <c r="AC158" s="45"/>
      <c r="AD158" s="45"/>
      <c r="AE158" s="45"/>
      <c r="AF158" s="45"/>
      <c r="AG158" s="45"/>
      <c r="AH158" s="45"/>
      <c r="AI158" s="45"/>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39"/>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48"/>
      <c r="DA158" s="48"/>
      <c r="DB158" s="48"/>
      <c r="DC158" s="48"/>
      <c r="DD158" s="48"/>
      <c r="DE158" s="48"/>
      <c r="DF158" s="48"/>
      <c r="DG158" s="48"/>
      <c r="DH158" s="48"/>
      <c r="DI158" s="48"/>
      <c r="DJ158" s="48"/>
      <c r="DK158" s="48"/>
      <c r="DL158" s="48"/>
      <c r="DM158" s="48"/>
      <c r="DN158" s="48"/>
      <c r="DO158" s="48"/>
      <c r="DP158" s="48"/>
      <c r="DQ158" s="48"/>
      <c r="DR158" s="48"/>
      <c r="DS158" s="48"/>
      <c r="DT158" s="48"/>
      <c r="DU158" s="48"/>
      <c r="DV158" s="48"/>
      <c r="DW158" s="48"/>
      <c r="DX158" s="48"/>
      <c r="DY158" s="48"/>
      <c r="DZ158" s="48"/>
      <c r="EA158" s="48"/>
      <c r="EB158" s="48"/>
      <c r="EC158" s="48"/>
      <c r="ED158" s="48"/>
    </row>
    <row r="159" spans="1:134" ht="11.25" customHeight="1" x14ac:dyDescent="0.3">
      <c r="A159" s="28" t="e">
        <f t="array" aca="1" ref="A159" ca="1">_xludf.XLOOKUP(S159,Master_Registrations!P:P,Master_Registrations!A:A,"")</f>
        <v>#NAME?</v>
      </c>
      <c r="B159" s="39" t="s">
        <v>182</v>
      </c>
      <c r="C159" s="39">
        <v>2026</v>
      </c>
      <c r="D159" s="39" t="s">
        <v>4886</v>
      </c>
      <c r="E159" s="39">
        <v>6</v>
      </c>
      <c r="F159" s="40" t="str">
        <f t="shared" si="0"/>
        <v>VED-01-2026-GR-6</v>
      </c>
      <c r="G159" s="39" t="s">
        <v>7043</v>
      </c>
      <c r="H159" s="39" t="s">
        <v>7044</v>
      </c>
      <c r="I159" s="39"/>
      <c r="J159" s="39" t="s">
        <v>198</v>
      </c>
      <c r="K159" s="49"/>
      <c r="L159" s="68"/>
      <c r="M159" s="49"/>
      <c r="N159" s="39" t="s">
        <v>2297</v>
      </c>
      <c r="O159" s="39" t="s">
        <v>4251</v>
      </c>
      <c r="P159" s="39" t="s">
        <v>4252</v>
      </c>
      <c r="Q159" s="39" t="e">
        <f t="shared" ca="1" si="5"/>
        <v>#NAME?</v>
      </c>
      <c r="R159" s="39" t="s">
        <v>112</v>
      </c>
      <c r="S159" s="50">
        <v>9966733447</v>
      </c>
      <c r="T159" s="40" t="s">
        <v>111</v>
      </c>
      <c r="U159" s="39">
        <v>1985</v>
      </c>
      <c r="V159" s="45">
        <v>-1</v>
      </c>
      <c r="W159" s="45">
        <v>-1</v>
      </c>
      <c r="X159" s="45">
        <v>-1</v>
      </c>
      <c r="Y159" s="45">
        <v>-1</v>
      </c>
      <c r="Z159" s="45">
        <v>-1</v>
      </c>
      <c r="AA159" s="45"/>
      <c r="AB159" s="45"/>
      <c r="AC159" s="45"/>
      <c r="AD159" s="45"/>
      <c r="AE159" s="45"/>
      <c r="AF159" s="45"/>
      <c r="AG159" s="45"/>
      <c r="AH159" s="45"/>
      <c r="AI159" s="45"/>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39"/>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48"/>
      <c r="DA159" s="48"/>
      <c r="DB159" s="48"/>
      <c r="DC159" s="48"/>
      <c r="DD159" s="48"/>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48"/>
    </row>
    <row r="160" spans="1:134" ht="11.25" customHeight="1" x14ac:dyDescent="0.3">
      <c r="A160" s="28" t="e">
        <f t="array" aca="1" ref="A160" ca="1">_xludf.XLOOKUP(S160,Master_Registrations!P:P,Master_Registrations!A:A,"")</f>
        <v>#NAME?</v>
      </c>
      <c r="B160" s="28" t="s">
        <v>182</v>
      </c>
      <c r="C160" s="28">
        <v>2026</v>
      </c>
      <c r="D160" s="28" t="s">
        <v>4886</v>
      </c>
      <c r="E160" s="28">
        <v>7</v>
      </c>
      <c r="F160" s="29" t="str">
        <f t="shared" si="0"/>
        <v>VED-01-2026-GR-7</v>
      </c>
      <c r="G160" s="28" t="s">
        <v>7045</v>
      </c>
      <c r="H160" s="28" t="s">
        <v>7046</v>
      </c>
      <c r="I160" s="28"/>
      <c r="J160" s="28" t="s">
        <v>198</v>
      </c>
      <c r="K160" s="30"/>
      <c r="L160" s="30"/>
      <c r="M160" s="30"/>
      <c r="N160" s="28" t="s">
        <v>200</v>
      </c>
      <c r="O160" s="28" t="s">
        <v>3888</v>
      </c>
      <c r="P160" s="28" t="s">
        <v>3889</v>
      </c>
      <c r="Q160" s="28" t="e">
        <f t="shared" ca="1" si="5"/>
        <v>#NAME?</v>
      </c>
      <c r="R160" s="28" t="s">
        <v>316</v>
      </c>
      <c r="S160" s="55">
        <v>2145781067</v>
      </c>
      <c r="T160" s="29" t="s">
        <v>315</v>
      </c>
      <c r="U160" s="28">
        <v>1969</v>
      </c>
      <c r="V160" s="33">
        <v>-1</v>
      </c>
      <c r="W160" s="33">
        <v>-1</v>
      </c>
      <c r="X160" s="33">
        <v>-1</v>
      </c>
      <c r="Y160" s="33">
        <v>-1</v>
      </c>
      <c r="Z160" s="33">
        <v>-1</v>
      </c>
      <c r="AA160" s="33"/>
      <c r="AB160" s="33"/>
      <c r="AC160" s="33"/>
      <c r="AD160" s="33"/>
      <c r="AE160" s="33"/>
      <c r="AF160" s="33"/>
      <c r="AG160" s="33"/>
      <c r="AH160" s="33"/>
      <c r="AI160" s="33"/>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row>
    <row r="161" spans="1:134" ht="11.25" customHeight="1" x14ac:dyDescent="0.3">
      <c r="A161" s="28" t="e">
        <f t="array" aca="1" ref="A161" ca="1">_xludf.XLOOKUP(S161,Master_Registrations!P:P,Master_Registrations!A:A,"")</f>
        <v>#NAME?</v>
      </c>
      <c r="B161" s="28" t="s">
        <v>182</v>
      </c>
      <c r="C161" s="28">
        <v>2026</v>
      </c>
      <c r="D161" s="28" t="s">
        <v>4886</v>
      </c>
      <c r="E161" s="28">
        <v>7</v>
      </c>
      <c r="F161" s="29" t="str">
        <f t="shared" si="0"/>
        <v>VED-01-2026-GR-7</v>
      </c>
      <c r="G161" s="28" t="s">
        <v>7045</v>
      </c>
      <c r="H161" s="28" t="s">
        <v>7046</v>
      </c>
      <c r="I161" s="28"/>
      <c r="J161" s="28" t="s">
        <v>198</v>
      </c>
      <c r="K161" s="30"/>
      <c r="L161" s="30"/>
      <c r="M161" s="30"/>
      <c r="N161" s="28" t="s">
        <v>299</v>
      </c>
      <c r="O161" s="28" t="s">
        <v>2987</v>
      </c>
      <c r="P161" s="28" t="s">
        <v>4081</v>
      </c>
      <c r="Q161" s="28" t="e">
        <f t="shared" ca="1" si="5"/>
        <v>#NAME?</v>
      </c>
      <c r="R161" s="28" t="s">
        <v>316</v>
      </c>
      <c r="S161" s="55">
        <v>4695868126</v>
      </c>
      <c r="T161" s="29" t="s">
        <v>315</v>
      </c>
      <c r="U161" s="28">
        <v>2010</v>
      </c>
      <c r="V161" s="33">
        <v>-1</v>
      </c>
      <c r="W161" s="33">
        <v>-1</v>
      </c>
      <c r="X161" s="33">
        <v>-1</v>
      </c>
      <c r="Y161" s="33">
        <v>-1</v>
      </c>
      <c r="Z161" s="33">
        <v>-1</v>
      </c>
      <c r="AA161" s="33"/>
      <c r="AB161" s="33"/>
      <c r="AC161" s="33"/>
      <c r="AD161" s="33"/>
      <c r="AE161" s="33"/>
      <c r="AF161" s="33"/>
      <c r="AG161" s="33"/>
      <c r="AH161" s="33"/>
      <c r="AI161" s="33"/>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row>
    <row r="162" spans="1:134" ht="11.25" customHeight="1" x14ac:dyDescent="0.3">
      <c r="A162" s="28" t="e">
        <f t="array" aca="1" ref="A162" ca="1">_xludf.XLOOKUP(S162,Master_Registrations!P:P,Master_Registrations!A:A,"")</f>
        <v>#NAME?</v>
      </c>
      <c r="B162" s="28" t="s">
        <v>182</v>
      </c>
      <c r="C162" s="28">
        <v>2026</v>
      </c>
      <c r="D162" s="28" t="s">
        <v>4886</v>
      </c>
      <c r="E162" s="28">
        <v>7</v>
      </c>
      <c r="F162" s="29" t="str">
        <f t="shared" si="0"/>
        <v>VED-01-2026-GR-7</v>
      </c>
      <c r="G162" s="28" t="s">
        <v>7045</v>
      </c>
      <c r="H162" s="28" t="s">
        <v>7046</v>
      </c>
      <c r="I162" s="28"/>
      <c r="J162" s="28" t="s">
        <v>198</v>
      </c>
      <c r="K162" s="30"/>
      <c r="L162" s="30"/>
      <c r="M162" s="30"/>
      <c r="N162" s="28" t="s">
        <v>369</v>
      </c>
      <c r="O162" s="28" t="s">
        <v>4140</v>
      </c>
      <c r="P162" s="28" t="s">
        <v>7047</v>
      </c>
      <c r="Q162" s="28" t="e">
        <f t="shared" ca="1" si="5"/>
        <v>#NAME?</v>
      </c>
      <c r="R162" s="28" t="s">
        <v>316</v>
      </c>
      <c r="S162" s="55">
        <v>8573345576</v>
      </c>
      <c r="T162" s="29" t="s">
        <v>402</v>
      </c>
      <c r="U162" s="28">
        <v>1996</v>
      </c>
      <c r="V162" s="33">
        <v>-1</v>
      </c>
      <c r="W162" s="33">
        <v>-1</v>
      </c>
      <c r="X162" s="33">
        <v>-1</v>
      </c>
      <c r="Y162" s="33">
        <v>-1</v>
      </c>
      <c r="Z162" s="33">
        <v>-1</v>
      </c>
      <c r="AA162" s="33"/>
      <c r="AB162" s="33"/>
      <c r="AC162" s="33"/>
      <c r="AD162" s="33"/>
      <c r="AE162" s="33"/>
      <c r="AF162" s="33"/>
      <c r="AG162" s="33"/>
      <c r="AH162" s="33"/>
      <c r="AI162" s="33"/>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row>
    <row r="163" spans="1:134" ht="11.25" customHeight="1" x14ac:dyDescent="0.3">
      <c r="A163" s="28" t="e">
        <f t="array" aca="1" ref="A163" ca="1">_xludf.XLOOKUP(S163,Master_Registrations!P:P,Master_Registrations!A:A,"")</f>
        <v>#NAME?</v>
      </c>
      <c r="B163" s="28" t="s">
        <v>182</v>
      </c>
      <c r="C163" s="28">
        <v>2026</v>
      </c>
      <c r="D163" s="28" t="s">
        <v>4886</v>
      </c>
      <c r="E163" s="28">
        <v>7</v>
      </c>
      <c r="F163" s="29" t="str">
        <f t="shared" si="0"/>
        <v>VED-01-2026-GR-7</v>
      </c>
      <c r="G163" s="28" t="s">
        <v>7045</v>
      </c>
      <c r="H163" s="28" t="s">
        <v>7046</v>
      </c>
      <c r="I163" s="28"/>
      <c r="J163" s="28" t="s">
        <v>198</v>
      </c>
      <c r="K163" s="30"/>
      <c r="L163" s="30"/>
      <c r="M163" s="30"/>
      <c r="N163" s="28" t="s">
        <v>434</v>
      </c>
      <c r="O163" s="28" t="s">
        <v>1969</v>
      </c>
      <c r="P163" s="28" t="s">
        <v>3553</v>
      </c>
      <c r="Q163" s="28" t="e">
        <f t="shared" ca="1" si="5"/>
        <v>#NAME?</v>
      </c>
      <c r="R163" s="28" t="s">
        <v>316</v>
      </c>
      <c r="S163" s="55">
        <v>4082306344</v>
      </c>
      <c r="T163" s="29" t="s">
        <v>474</v>
      </c>
      <c r="U163" s="28">
        <v>1976</v>
      </c>
      <c r="V163" s="33">
        <v>-1</v>
      </c>
      <c r="W163" s="33">
        <v>-1</v>
      </c>
      <c r="X163" s="33">
        <v>-1</v>
      </c>
      <c r="Y163" s="33">
        <v>-1</v>
      </c>
      <c r="Z163" s="33">
        <v>-1</v>
      </c>
      <c r="AA163" s="33"/>
      <c r="AB163" s="33"/>
      <c r="AC163" s="33"/>
      <c r="AD163" s="33"/>
      <c r="AE163" s="33"/>
      <c r="AF163" s="33"/>
      <c r="AG163" s="33"/>
      <c r="AH163" s="33"/>
      <c r="AI163" s="33"/>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row>
    <row r="164" spans="1:134" ht="11.25" customHeight="1" x14ac:dyDescent="0.3">
      <c r="A164" s="28" t="e">
        <f t="array" aca="1" ref="A164" ca="1">_xludf.XLOOKUP(S164,Master_Registrations!P:P,Master_Registrations!A:A,"")</f>
        <v>#NAME?</v>
      </c>
      <c r="B164" s="28" t="s">
        <v>182</v>
      </c>
      <c r="C164" s="28">
        <v>2026</v>
      </c>
      <c r="D164" s="28" t="s">
        <v>4886</v>
      </c>
      <c r="E164" s="28">
        <v>7</v>
      </c>
      <c r="F164" s="29" t="str">
        <f t="shared" si="0"/>
        <v>VED-01-2026-GR-7</v>
      </c>
      <c r="G164" s="28" t="s">
        <v>7045</v>
      </c>
      <c r="H164" s="28" t="s">
        <v>7046</v>
      </c>
      <c r="I164" s="28"/>
      <c r="J164" s="28" t="s">
        <v>198</v>
      </c>
      <c r="K164" s="30"/>
      <c r="L164" s="30"/>
      <c r="M164" s="30"/>
      <c r="N164" s="28" t="s">
        <v>525</v>
      </c>
      <c r="O164" s="28" t="s">
        <v>3865</v>
      </c>
      <c r="P164" s="28" t="s">
        <v>3866</v>
      </c>
      <c r="Q164" s="28" t="e">
        <f t="shared" ca="1" si="5"/>
        <v>#NAME?</v>
      </c>
      <c r="R164" s="28" t="s">
        <v>112</v>
      </c>
      <c r="S164" s="55">
        <v>7601050990</v>
      </c>
      <c r="T164" s="29" t="s">
        <v>111</v>
      </c>
      <c r="U164" s="28">
        <v>1992</v>
      </c>
      <c r="V164" s="33">
        <v>-1</v>
      </c>
      <c r="W164" s="33">
        <v>-1</v>
      </c>
      <c r="X164" s="33">
        <v>-1</v>
      </c>
      <c r="Y164" s="33">
        <v>-1</v>
      </c>
      <c r="Z164" s="33">
        <v>-1</v>
      </c>
      <c r="AA164" s="33"/>
      <c r="AB164" s="33"/>
      <c r="AC164" s="33"/>
      <c r="AD164" s="33"/>
      <c r="AE164" s="33"/>
      <c r="AF164" s="33"/>
      <c r="AG164" s="33"/>
      <c r="AH164" s="33"/>
      <c r="AI164" s="33"/>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row>
    <row r="165" spans="1:134" ht="11.25" customHeight="1" x14ac:dyDescent="0.3">
      <c r="A165" s="28" t="e">
        <f t="array" aca="1" ref="A165" ca="1">_xludf.XLOOKUP(S165,Master_Registrations!P:P,Master_Registrations!A:A,"")</f>
        <v>#NAME?</v>
      </c>
      <c r="B165" s="28" t="s">
        <v>182</v>
      </c>
      <c r="C165" s="28">
        <v>2026</v>
      </c>
      <c r="D165" s="28" t="s">
        <v>4886</v>
      </c>
      <c r="E165" s="28">
        <v>7</v>
      </c>
      <c r="F165" s="29" t="str">
        <f t="shared" si="0"/>
        <v>VED-01-2026-GR-7</v>
      </c>
      <c r="G165" s="28" t="s">
        <v>7045</v>
      </c>
      <c r="H165" s="28" t="s">
        <v>7046</v>
      </c>
      <c r="I165" s="28"/>
      <c r="J165" s="28" t="s">
        <v>198</v>
      </c>
      <c r="K165" s="30"/>
      <c r="L165" s="30"/>
      <c r="M165" s="30"/>
      <c r="N165" s="28" t="s">
        <v>621</v>
      </c>
      <c r="O165" s="28" t="s">
        <v>3872</v>
      </c>
      <c r="P165" s="28" t="s">
        <v>3873</v>
      </c>
      <c r="Q165" s="28" t="e">
        <f t="shared" ca="1" si="5"/>
        <v>#NAME?</v>
      </c>
      <c r="R165" s="28" t="s">
        <v>112</v>
      </c>
      <c r="S165" s="55">
        <v>8197603680</v>
      </c>
      <c r="T165" s="29" t="s">
        <v>111</v>
      </c>
      <c r="U165" s="28">
        <v>1983</v>
      </c>
      <c r="V165" s="33">
        <v>-1</v>
      </c>
      <c r="W165" s="33">
        <v>-1</v>
      </c>
      <c r="X165" s="33">
        <v>-1</v>
      </c>
      <c r="Y165" s="33">
        <v>-1</v>
      </c>
      <c r="Z165" s="33">
        <v>-1</v>
      </c>
      <c r="AA165" s="33"/>
      <c r="AB165" s="33"/>
      <c r="AC165" s="33"/>
      <c r="AD165" s="33"/>
      <c r="AE165" s="33"/>
      <c r="AF165" s="33"/>
      <c r="AG165" s="33"/>
      <c r="AH165" s="33"/>
      <c r="AI165" s="33"/>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row>
    <row r="166" spans="1:134" ht="11.25" customHeight="1" x14ac:dyDescent="0.3">
      <c r="A166" s="28" t="e">
        <f t="array" aca="1" ref="A166" ca="1">_xludf.XLOOKUP(S166,Master_Registrations!P:P,Master_Registrations!A:A,"")</f>
        <v>#NAME?</v>
      </c>
      <c r="B166" s="28" t="s">
        <v>182</v>
      </c>
      <c r="C166" s="28">
        <v>2026</v>
      </c>
      <c r="D166" s="28" t="s">
        <v>4886</v>
      </c>
      <c r="E166" s="28">
        <v>7</v>
      </c>
      <c r="F166" s="29" t="str">
        <f t="shared" si="0"/>
        <v>VED-01-2026-GR-7</v>
      </c>
      <c r="G166" s="28" t="s">
        <v>7045</v>
      </c>
      <c r="H166" s="28" t="s">
        <v>7046</v>
      </c>
      <c r="I166" s="28"/>
      <c r="J166" s="28" t="s">
        <v>198</v>
      </c>
      <c r="K166" s="30"/>
      <c r="L166" s="30"/>
      <c r="M166" s="30"/>
      <c r="N166" s="28" t="s">
        <v>714</v>
      </c>
      <c r="O166" s="28" t="s">
        <v>3877</v>
      </c>
      <c r="P166" s="28" t="s">
        <v>3878</v>
      </c>
      <c r="Q166" s="28" t="e">
        <f t="shared" ca="1" si="5"/>
        <v>#NAME?</v>
      </c>
      <c r="R166" s="28" t="s">
        <v>112</v>
      </c>
      <c r="S166" s="55">
        <v>9110759189</v>
      </c>
      <c r="T166" s="29" t="s">
        <v>111</v>
      </c>
      <c r="U166" s="28">
        <v>1969</v>
      </c>
      <c r="V166" s="33">
        <v>-1</v>
      </c>
      <c r="W166" s="33">
        <v>-1</v>
      </c>
      <c r="X166" s="33">
        <v>-1</v>
      </c>
      <c r="Y166" s="33">
        <v>-1</v>
      </c>
      <c r="Z166" s="33">
        <v>-1</v>
      </c>
      <c r="AA166" s="33"/>
      <c r="AB166" s="33"/>
      <c r="AC166" s="33"/>
      <c r="AD166" s="33"/>
      <c r="AE166" s="33"/>
      <c r="AF166" s="33"/>
      <c r="AG166" s="33"/>
      <c r="AH166" s="33"/>
      <c r="AI166" s="33"/>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row>
    <row r="167" spans="1:134" ht="11.25" customHeight="1" x14ac:dyDescent="0.3">
      <c r="A167" s="28" t="e">
        <f t="array" aca="1" ref="A167" ca="1">_xludf.XLOOKUP(S167,Master_Registrations!P:P,Master_Registrations!A:A,"")</f>
        <v>#NAME?</v>
      </c>
      <c r="B167" s="28" t="s">
        <v>182</v>
      </c>
      <c r="C167" s="28">
        <v>2026</v>
      </c>
      <c r="D167" s="28" t="s">
        <v>4886</v>
      </c>
      <c r="E167" s="28">
        <v>7</v>
      </c>
      <c r="F167" s="29" t="str">
        <f t="shared" si="0"/>
        <v>VED-01-2026-GR-7</v>
      </c>
      <c r="G167" s="28" t="s">
        <v>7045</v>
      </c>
      <c r="H167" s="28" t="s">
        <v>7046</v>
      </c>
      <c r="I167" s="28"/>
      <c r="J167" s="28" t="s">
        <v>198</v>
      </c>
      <c r="K167" s="30"/>
      <c r="L167" s="30"/>
      <c r="M167" s="30"/>
      <c r="N167" s="28" t="s">
        <v>786</v>
      </c>
      <c r="O167" s="28" t="s">
        <v>4548</v>
      </c>
      <c r="P167" s="28" t="s">
        <v>4549</v>
      </c>
      <c r="Q167" s="28" t="e">
        <f t="shared" ca="1" si="5"/>
        <v>#NAME?</v>
      </c>
      <c r="R167" s="28" t="s">
        <v>112</v>
      </c>
      <c r="S167" s="55">
        <v>9866789741</v>
      </c>
      <c r="T167" s="29" t="s">
        <v>111</v>
      </c>
      <c r="U167" s="28">
        <v>1982</v>
      </c>
      <c r="V167" s="33">
        <v>-1</v>
      </c>
      <c r="W167" s="33">
        <v>-1</v>
      </c>
      <c r="X167" s="33">
        <v>-1</v>
      </c>
      <c r="Y167" s="33">
        <v>-1</v>
      </c>
      <c r="Z167" s="33">
        <v>-1</v>
      </c>
      <c r="AA167" s="33"/>
      <c r="AB167" s="33"/>
      <c r="AC167" s="33"/>
      <c r="AD167" s="33"/>
      <c r="AE167" s="33"/>
      <c r="AF167" s="33"/>
      <c r="AG167" s="33"/>
      <c r="AH167" s="33"/>
      <c r="AI167" s="33"/>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row>
    <row r="168" spans="1:134" ht="11.25" customHeight="1" x14ac:dyDescent="0.3">
      <c r="A168" s="28" t="e">
        <f t="array" aca="1" ref="A168" ca="1">_xludf.XLOOKUP(S168,Master_Registrations!P:P,Master_Registrations!A:A,"")</f>
        <v>#NAME?</v>
      </c>
      <c r="B168" s="28" t="s">
        <v>182</v>
      </c>
      <c r="C168" s="28">
        <v>2026</v>
      </c>
      <c r="D168" s="28" t="s">
        <v>4886</v>
      </c>
      <c r="E168" s="28">
        <v>7</v>
      </c>
      <c r="F168" s="29" t="str">
        <f t="shared" si="0"/>
        <v>VED-01-2026-GR-7</v>
      </c>
      <c r="G168" s="28" t="s">
        <v>7045</v>
      </c>
      <c r="H168" s="28" t="s">
        <v>7046</v>
      </c>
      <c r="I168" s="28"/>
      <c r="J168" s="28" t="s">
        <v>198</v>
      </c>
      <c r="K168" s="30"/>
      <c r="L168" s="30"/>
      <c r="M168" s="30"/>
      <c r="N168" s="28" t="s">
        <v>856</v>
      </c>
      <c r="O168" s="28" t="s">
        <v>3852</v>
      </c>
      <c r="P168" s="28" t="s">
        <v>3853</v>
      </c>
      <c r="Q168" s="28" t="e">
        <f t="shared" ca="1" si="5"/>
        <v>#NAME?</v>
      </c>
      <c r="R168" s="28" t="s">
        <v>112</v>
      </c>
      <c r="S168" s="55">
        <v>7670980681</v>
      </c>
      <c r="T168" s="29" t="s">
        <v>111</v>
      </c>
      <c r="U168" s="28">
        <v>2002</v>
      </c>
      <c r="V168" s="33">
        <v>-1</v>
      </c>
      <c r="W168" s="33">
        <v>-1</v>
      </c>
      <c r="X168" s="33">
        <v>-1</v>
      </c>
      <c r="Y168" s="33">
        <v>-1</v>
      </c>
      <c r="Z168" s="33">
        <v>-1</v>
      </c>
      <c r="AA168" s="33"/>
      <c r="AB168" s="33"/>
      <c r="AC168" s="33"/>
      <c r="AD168" s="33"/>
      <c r="AE168" s="33"/>
      <c r="AF168" s="33"/>
      <c r="AG168" s="33"/>
      <c r="AH168" s="33"/>
      <c r="AI168" s="33"/>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row>
    <row r="169" spans="1:134" ht="11.25" customHeight="1" x14ac:dyDescent="0.3">
      <c r="A169" s="28" t="e">
        <f t="array" aca="1" ref="A169" ca="1">_xludf.XLOOKUP(S169,Master_Registrations!P:P,Master_Registrations!A:A,"")</f>
        <v>#NAME?</v>
      </c>
      <c r="B169" s="28" t="s">
        <v>182</v>
      </c>
      <c r="C169" s="28">
        <v>2026</v>
      </c>
      <c r="D169" s="28" t="s">
        <v>4886</v>
      </c>
      <c r="E169" s="28">
        <v>7</v>
      </c>
      <c r="F169" s="29" t="str">
        <f t="shared" si="0"/>
        <v>VED-01-2026-GR-7</v>
      </c>
      <c r="G169" s="28" t="s">
        <v>7045</v>
      </c>
      <c r="H169" s="28" t="s">
        <v>7046</v>
      </c>
      <c r="I169" s="28"/>
      <c r="J169" s="28" t="s">
        <v>198</v>
      </c>
      <c r="K169" s="30"/>
      <c r="L169" s="30"/>
      <c r="M169" s="30"/>
      <c r="N169" s="28" t="s">
        <v>915</v>
      </c>
      <c r="O169" s="28" t="s">
        <v>2649</v>
      </c>
      <c r="P169" s="140" t="s">
        <v>4358</v>
      </c>
      <c r="Q169" s="28" t="e">
        <f t="shared" ca="1" si="5"/>
        <v>#NAME?</v>
      </c>
      <c r="R169" s="28" t="s">
        <v>316</v>
      </c>
      <c r="S169" s="55">
        <v>4039918730</v>
      </c>
      <c r="T169" s="29" t="s">
        <v>474</v>
      </c>
      <c r="U169" s="28">
        <v>1975</v>
      </c>
      <c r="V169" s="33">
        <v>-1</v>
      </c>
      <c r="W169" s="33">
        <v>-1</v>
      </c>
      <c r="X169" s="33">
        <v>-1</v>
      </c>
      <c r="Y169" s="33">
        <v>-1</v>
      </c>
      <c r="Z169" s="33">
        <v>-1</v>
      </c>
      <c r="AA169" s="33"/>
      <c r="AB169" s="33"/>
      <c r="AC169" s="33"/>
      <c r="AD169" s="33"/>
      <c r="AE169" s="33"/>
      <c r="AF169" s="33"/>
      <c r="AG169" s="33"/>
      <c r="AH169" s="33"/>
      <c r="AI169" s="33"/>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row>
    <row r="170" spans="1:134" ht="11.25" customHeight="1" x14ac:dyDescent="0.3">
      <c r="A170" s="28" t="e">
        <f t="array" aca="1" ref="A170" ca="1">_xludf.XLOOKUP(S170,Master_Registrations!P:P,Master_Registrations!A:A,"")</f>
        <v>#NAME?</v>
      </c>
      <c r="B170" s="28" t="s">
        <v>182</v>
      </c>
      <c r="C170" s="28">
        <v>2026</v>
      </c>
      <c r="D170" s="28" t="s">
        <v>4886</v>
      </c>
      <c r="E170" s="28">
        <v>7</v>
      </c>
      <c r="F170" s="29" t="str">
        <f t="shared" si="0"/>
        <v>VED-01-2026-GR-7</v>
      </c>
      <c r="G170" s="28" t="s">
        <v>7045</v>
      </c>
      <c r="H170" s="28" t="s">
        <v>7046</v>
      </c>
      <c r="I170" s="28"/>
      <c r="J170" s="28" t="s">
        <v>198</v>
      </c>
      <c r="K170" s="30"/>
      <c r="L170" s="30"/>
      <c r="M170" s="30"/>
      <c r="N170" s="28" t="s">
        <v>973</v>
      </c>
      <c r="O170" s="28" t="s">
        <v>3894</v>
      </c>
      <c r="P170" s="28" t="s">
        <v>3390</v>
      </c>
      <c r="Q170" s="28" t="e">
        <f t="shared" ca="1" si="5"/>
        <v>#NAME?</v>
      </c>
      <c r="R170" s="28" t="s">
        <v>316</v>
      </c>
      <c r="S170" s="55">
        <v>5714467877</v>
      </c>
      <c r="T170" s="29" t="s">
        <v>474</v>
      </c>
      <c r="U170" s="28">
        <v>1976</v>
      </c>
      <c r="V170" s="33">
        <v>-1</v>
      </c>
      <c r="W170" s="33">
        <v>-1</v>
      </c>
      <c r="X170" s="33">
        <v>-1</v>
      </c>
      <c r="Y170" s="33">
        <v>-1</v>
      </c>
      <c r="Z170" s="33">
        <v>-1</v>
      </c>
      <c r="AA170" s="33"/>
      <c r="AB170" s="33"/>
      <c r="AC170" s="33"/>
      <c r="AD170" s="33"/>
      <c r="AE170" s="33"/>
      <c r="AF170" s="33"/>
      <c r="AG170" s="33"/>
      <c r="AH170" s="33"/>
      <c r="AI170" s="33"/>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row>
    <row r="171" spans="1:134" ht="11.25" customHeight="1" x14ac:dyDescent="0.3">
      <c r="A171" s="28" t="e">
        <f t="array" aca="1" ref="A171" ca="1">_xludf.XLOOKUP(S171,Master_Registrations!P:P,Master_Registrations!A:A,"")</f>
        <v>#NAME?</v>
      </c>
      <c r="B171" s="28" t="s">
        <v>182</v>
      </c>
      <c r="C171" s="28">
        <v>2026</v>
      </c>
      <c r="D171" s="28" t="s">
        <v>4886</v>
      </c>
      <c r="E171" s="28">
        <v>7</v>
      </c>
      <c r="F171" s="29" t="str">
        <f t="shared" si="0"/>
        <v>VED-01-2026-GR-7</v>
      </c>
      <c r="G171" s="28" t="s">
        <v>7045</v>
      </c>
      <c r="H171" s="28" t="s">
        <v>7046</v>
      </c>
      <c r="I171" s="28"/>
      <c r="J171" s="28" t="s">
        <v>198</v>
      </c>
      <c r="K171" s="30"/>
      <c r="L171" s="30"/>
      <c r="M171" s="30"/>
      <c r="N171" s="28" t="s">
        <v>1031</v>
      </c>
      <c r="O171" s="28" t="s">
        <v>3894</v>
      </c>
      <c r="P171" s="28" t="s">
        <v>3901</v>
      </c>
      <c r="Q171" s="28" t="e">
        <f t="shared" ca="1" si="5"/>
        <v>#NAME?</v>
      </c>
      <c r="R171" s="28" t="s">
        <v>316</v>
      </c>
      <c r="S171" s="55">
        <v>5714467877</v>
      </c>
      <c r="T171" s="29" t="s">
        <v>474</v>
      </c>
      <c r="U171" s="28">
        <v>2010</v>
      </c>
      <c r="V171" s="33">
        <v>-1</v>
      </c>
      <c r="W171" s="33">
        <v>-1</v>
      </c>
      <c r="X171" s="33">
        <v>-1</v>
      </c>
      <c r="Y171" s="33">
        <v>-1</v>
      </c>
      <c r="Z171" s="33">
        <v>-1</v>
      </c>
      <c r="AA171" s="33"/>
      <c r="AB171" s="33"/>
      <c r="AC171" s="33"/>
      <c r="AD171" s="33"/>
      <c r="AE171" s="33"/>
      <c r="AF171" s="33"/>
      <c r="AG171" s="33"/>
      <c r="AH171" s="33"/>
      <c r="AI171" s="33"/>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row>
    <row r="172" spans="1:134" ht="11.25" customHeight="1" x14ac:dyDescent="0.3">
      <c r="A172" s="28" t="e">
        <f t="array" aca="1" ref="A172" ca="1">_xludf.XLOOKUP(S172,Master_Registrations!P:P,Master_Registrations!A:A,"")</f>
        <v>#NAME?</v>
      </c>
      <c r="B172" s="28" t="s">
        <v>182</v>
      </c>
      <c r="C172" s="28">
        <v>2026</v>
      </c>
      <c r="D172" s="28" t="s">
        <v>4886</v>
      </c>
      <c r="E172" s="28">
        <v>7</v>
      </c>
      <c r="F172" s="29" t="str">
        <f t="shared" si="0"/>
        <v>VED-01-2026-GR-7</v>
      </c>
      <c r="G172" s="28" t="s">
        <v>7045</v>
      </c>
      <c r="H172" s="28" t="s">
        <v>7046</v>
      </c>
      <c r="I172" s="28"/>
      <c r="J172" s="28" t="s">
        <v>198</v>
      </c>
      <c r="K172" s="30"/>
      <c r="L172" s="30"/>
      <c r="M172" s="30"/>
      <c r="N172" s="28" t="s">
        <v>1112</v>
      </c>
      <c r="O172" s="28" t="s">
        <v>4648</v>
      </c>
      <c r="P172" s="28" t="s">
        <v>4649</v>
      </c>
      <c r="Q172" s="28" t="e">
        <f t="shared" ca="1" si="5"/>
        <v>#NAME?</v>
      </c>
      <c r="R172" s="28" t="s">
        <v>112</v>
      </c>
      <c r="S172" s="55">
        <v>9490230560</v>
      </c>
      <c r="T172" s="29" t="s">
        <v>111</v>
      </c>
      <c r="U172" s="28">
        <v>1995</v>
      </c>
      <c r="V172" s="33">
        <v>-1</v>
      </c>
      <c r="W172" s="33">
        <v>-1</v>
      </c>
      <c r="X172" s="33">
        <v>-1</v>
      </c>
      <c r="Y172" s="33">
        <v>-1</v>
      </c>
      <c r="Z172" s="33">
        <v>-1</v>
      </c>
      <c r="AA172" s="33"/>
      <c r="AB172" s="33"/>
      <c r="AC172" s="33"/>
      <c r="AD172" s="33"/>
      <c r="AE172" s="33"/>
      <c r="AF172" s="33"/>
      <c r="AG172" s="33"/>
      <c r="AH172" s="33"/>
      <c r="AI172" s="33"/>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row>
    <row r="173" spans="1:134" ht="11.25" customHeight="1" x14ac:dyDescent="0.3">
      <c r="A173" s="28" t="e">
        <f t="array" aca="1" ref="A173" ca="1">_xludf.XLOOKUP(S173,Master_Registrations!P:P,Master_Registrations!A:A,"")</f>
        <v>#NAME?</v>
      </c>
      <c r="B173" s="28" t="s">
        <v>182</v>
      </c>
      <c r="C173" s="28">
        <v>2026</v>
      </c>
      <c r="D173" s="28" t="s">
        <v>4886</v>
      </c>
      <c r="E173" s="28">
        <v>7</v>
      </c>
      <c r="F173" s="29" t="str">
        <f t="shared" si="0"/>
        <v>VED-01-2026-GR-7</v>
      </c>
      <c r="G173" s="28" t="s">
        <v>7045</v>
      </c>
      <c r="H173" s="28" t="s">
        <v>7046</v>
      </c>
      <c r="I173" s="28"/>
      <c r="J173" s="28" t="s">
        <v>198</v>
      </c>
      <c r="K173" s="30"/>
      <c r="L173" s="30"/>
      <c r="M173" s="30"/>
      <c r="N173" s="28" t="s">
        <v>1196</v>
      </c>
      <c r="O173" s="28" t="s">
        <v>4648</v>
      </c>
      <c r="P173" s="140" t="s">
        <v>1397</v>
      </c>
      <c r="Q173" s="28" t="e">
        <f t="shared" ca="1" si="5"/>
        <v>#NAME?</v>
      </c>
      <c r="R173" s="28" t="s">
        <v>112</v>
      </c>
      <c r="S173" s="55">
        <v>9246635560</v>
      </c>
      <c r="T173" s="29" t="s">
        <v>111</v>
      </c>
      <c r="U173" s="28">
        <v>1957</v>
      </c>
      <c r="V173" s="33">
        <v>-1</v>
      </c>
      <c r="W173" s="33">
        <v>-1</v>
      </c>
      <c r="X173" s="33">
        <v>-1</v>
      </c>
      <c r="Y173" s="33">
        <v>-1</v>
      </c>
      <c r="Z173" s="33">
        <v>-1</v>
      </c>
      <c r="AA173" s="33"/>
      <c r="AB173" s="33"/>
      <c r="AC173" s="33"/>
      <c r="AD173" s="33"/>
      <c r="AE173" s="33"/>
      <c r="AF173" s="33"/>
      <c r="AG173" s="33"/>
      <c r="AH173" s="33"/>
      <c r="AI173" s="33"/>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row>
    <row r="174" spans="1:134" ht="11.25" customHeight="1" x14ac:dyDescent="0.3">
      <c r="A174" s="28" t="e">
        <f t="array" aca="1" ref="A174" ca="1">_xludf.XLOOKUP(S174,Master_Registrations!P:P,Master_Registrations!A:A,"")</f>
        <v>#NAME?</v>
      </c>
      <c r="B174" s="28" t="s">
        <v>182</v>
      </c>
      <c r="C174" s="28">
        <v>2026</v>
      </c>
      <c r="D174" s="28" t="s">
        <v>4886</v>
      </c>
      <c r="E174" s="28">
        <v>7</v>
      </c>
      <c r="F174" s="29" t="str">
        <f t="shared" si="0"/>
        <v>VED-01-2026-GR-7</v>
      </c>
      <c r="G174" s="28" t="s">
        <v>7045</v>
      </c>
      <c r="H174" s="28" t="s">
        <v>7046</v>
      </c>
      <c r="I174" s="28"/>
      <c r="J174" s="28" t="s">
        <v>198</v>
      </c>
      <c r="K174" s="30"/>
      <c r="L174" s="30"/>
      <c r="M174" s="30"/>
      <c r="N174" s="28" t="s">
        <v>2297</v>
      </c>
      <c r="O174" s="28" t="s">
        <v>204</v>
      </c>
      <c r="P174" s="28" t="s">
        <v>2287</v>
      </c>
      <c r="Q174" s="28" t="e">
        <f t="shared" ca="1" si="5"/>
        <v>#NAME?</v>
      </c>
      <c r="R174" s="28" t="s">
        <v>112</v>
      </c>
      <c r="S174" s="55">
        <v>7013703136</v>
      </c>
      <c r="T174" s="29" t="s">
        <v>111</v>
      </c>
      <c r="U174" s="28">
        <v>1990</v>
      </c>
      <c r="V174" s="33">
        <v>-1</v>
      </c>
      <c r="W174" s="33">
        <v>-1</v>
      </c>
      <c r="X174" s="33">
        <v>-1</v>
      </c>
      <c r="Y174" s="33">
        <v>-1</v>
      </c>
      <c r="Z174" s="33">
        <v>-1</v>
      </c>
      <c r="AA174" s="33"/>
      <c r="AB174" s="33"/>
      <c r="AC174" s="33"/>
      <c r="AD174" s="33"/>
      <c r="AE174" s="33"/>
      <c r="AF174" s="33"/>
      <c r="AG174" s="33"/>
      <c r="AH174" s="33"/>
      <c r="AI174" s="33"/>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row>
    <row r="175" spans="1:134" ht="11.25" customHeight="1" x14ac:dyDescent="0.3">
      <c r="A175" s="28" t="e">
        <f t="array" aca="1" ref="A175" ca="1">_xludf.XLOOKUP(S175,Master_Registrations!P:P,Master_Registrations!A:A,"")</f>
        <v>#NAME?</v>
      </c>
      <c r="B175" s="28" t="s">
        <v>182</v>
      </c>
      <c r="C175" s="28">
        <v>2026</v>
      </c>
      <c r="D175" s="28" t="s">
        <v>4886</v>
      </c>
      <c r="E175" s="28">
        <v>7</v>
      </c>
      <c r="F175" s="29" t="str">
        <f t="shared" si="0"/>
        <v>VED-01-2026-GR-7</v>
      </c>
      <c r="G175" s="28" t="s">
        <v>7045</v>
      </c>
      <c r="H175" s="28" t="s">
        <v>7046</v>
      </c>
      <c r="I175" s="28"/>
      <c r="J175" s="28" t="s">
        <v>198</v>
      </c>
      <c r="K175" s="30"/>
      <c r="L175" s="30"/>
      <c r="M175" s="30"/>
      <c r="N175" s="28" t="s">
        <v>7048</v>
      </c>
      <c r="O175" s="28" t="s">
        <v>4678</v>
      </c>
      <c r="P175" s="28" t="s">
        <v>4679</v>
      </c>
      <c r="Q175" s="28" t="e">
        <f t="shared" ca="1" si="5"/>
        <v>#NAME?</v>
      </c>
      <c r="R175" s="28" t="s">
        <v>316</v>
      </c>
      <c r="S175" s="55">
        <v>9197256031</v>
      </c>
      <c r="T175" s="29" t="s">
        <v>315</v>
      </c>
      <c r="U175" s="28">
        <v>1975</v>
      </c>
      <c r="V175" s="33">
        <v>-1</v>
      </c>
      <c r="W175" s="33">
        <v>-1</v>
      </c>
      <c r="X175" s="33">
        <v>-1</v>
      </c>
      <c r="Y175" s="33">
        <v>-1</v>
      </c>
      <c r="Z175" s="33">
        <v>-1</v>
      </c>
      <c r="AA175" s="33"/>
      <c r="AB175" s="33"/>
      <c r="AC175" s="33"/>
      <c r="AD175" s="33"/>
      <c r="AE175" s="33"/>
      <c r="AF175" s="33"/>
      <c r="AG175" s="33"/>
      <c r="AH175" s="33"/>
      <c r="AI175" s="33"/>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row>
    <row r="176" spans="1:134" ht="11.25" customHeight="1" x14ac:dyDescent="0.3">
      <c r="A176" s="28" t="e">
        <f t="array" aca="1" ref="A176" ca="1">_xludf.XLOOKUP(S176,Master_Registrations!P:P,Master_Registrations!A:A,"")</f>
        <v>#NAME?</v>
      </c>
      <c r="B176" s="39" t="s">
        <v>182</v>
      </c>
      <c r="C176" s="39">
        <v>2026</v>
      </c>
      <c r="D176" s="39" t="s">
        <v>4886</v>
      </c>
      <c r="E176" s="39">
        <v>8</v>
      </c>
      <c r="F176" s="40" t="str">
        <f t="shared" si="0"/>
        <v>VED-01-2026-GR-8</v>
      </c>
      <c r="G176" s="39" t="s">
        <v>6501</v>
      </c>
      <c r="H176" s="39" t="s">
        <v>7049</v>
      </c>
      <c r="I176" s="39"/>
      <c r="J176" s="39" t="s">
        <v>198</v>
      </c>
      <c r="K176" s="49"/>
      <c r="L176" s="49"/>
      <c r="M176" s="49"/>
      <c r="N176" s="39" t="s">
        <v>200</v>
      </c>
      <c r="O176" s="39" t="s">
        <v>1256</v>
      </c>
      <c r="P176" s="39" t="s">
        <v>3488</v>
      </c>
      <c r="Q176" s="39" t="e">
        <f t="shared" ca="1" si="5"/>
        <v>#NAME?</v>
      </c>
      <c r="R176" s="39" t="s">
        <v>112</v>
      </c>
      <c r="S176" s="50">
        <v>9491740146</v>
      </c>
      <c r="T176" s="40" t="s">
        <v>111</v>
      </c>
      <c r="U176" s="39">
        <v>1963</v>
      </c>
      <c r="V176" s="45">
        <v>-1</v>
      </c>
      <c r="W176" s="45">
        <v>-1</v>
      </c>
      <c r="X176" s="45">
        <v>-1</v>
      </c>
      <c r="Y176" s="45">
        <v>-1</v>
      </c>
      <c r="Z176" s="45">
        <v>-1</v>
      </c>
      <c r="AA176" s="45">
        <v>-1</v>
      </c>
      <c r="AB176" s="45">
        <v>-1</v>
      </c>
      <c r="AC176" s="45">
        <v>-1</v>
      </c>
      <c r="AD176" s="45">
        <v>-1</v>
      </c>
      <c r="AE176" s="45">
        <v>-1</v>
      </c>
      <c r="AF176" s="45">
        <v>-1</v>
      </c>
      <c r="AG176" s="45">
        <v>-1</v>
      </c>
      <c r="AH176" s="45">
        <v>-1</v>
      </c>
      <c r="AI176" s="45">
        <v>-1</v>
      </c>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48"/>
      <c r="DA176" s="48"/>
      <c r="DB176" s="48"/>
      <c r="DC176" s="48"/>
      <c r="DD176" s="48"/>
      <c r="DE176" s="48"/>
      <c r="DF176" s="48"/>
      <c r="DG176" s="48"/>
      <c r="DH176" s="48"/>
      <c r="DI176" s="48"/>
      <c r="DJ176" s="48"/>
      <c r="DK176" s="48"/>
      <c r="DL176" s="48"/>
      <c r="DM176" s="48"/>
      <c r="DN176" s="48"/>
      <c r="DO176" s="48"/>
      <c r="DP176" s="48"/>
      <c r="DQ176" s="48"/>
      <c r="DR176" s="48"/>
      <c r="DS176" s="48"/>
      <c r="DT176" s="48"/>
      <c r="DU176" s="48"/>
      <c r="DV176" s="48"/>
      <c r="DW176" s="48"/>
      <c r="DX176" s="48"/>
      <c r="DY176" s="48"/>
      <c r="DZ176" s="48"/>
      <c r="EA176" s="48"/>
      <c r="EB176" s="48"/>
      <c r="EC176" s="48"/>
      <c r="ED176" s="48"/>
    </row>
    <row r="177" spans="1:134" ht="11.25" customHeight="1" x14ac:dyDescent="0.3">
      <c r="A177" s="28" t="e">
        <f t="array" aca="1" ref="A177" ca="1">_xludf.XLOOKUP(S177,Master_Registrations!P:P,Master_Registrations!A:A,"")</f>
        <v>#NAME?</v>
      </c>
      <c r="B177" s="39" t="s">
        <v>182</v>
      </c>
      <c r="C177" s="39">
        <v>2026</v>
      </c>
      <c r="D177" s="39" t="s">
        <v>4886</v>
      </c>
      <c r="E177" s="39">
        <v>8</v>
      </c>
      <c r="F177" s="40" t="str">
        <f t="shared" si="0"/>
        <v>VED-01-2026-GR-8</v>
      </c>
      <c r="G177" s="39" t="s">
        <v>6501</v>
      </c>
      <c r="H177" s="39" t="s">
        <v>7049</v>
      </c>
      <c r="I177" s="39"/>
      <c r="J177" s="39" t="s">
        <v>198</v>
      </c>
      <c r="K177" s="49"/>
      <c r="L177" s="49"/>
      <c r="M177" s="49"/>
      <c r="N177" s="39" t="s">
        <v>299</v>
      </c>
      <c r="O177" s="39" t="s">
        <v>3281</v>
      </c>
      <c r="P177" s="39" t="s">
        <v>3282</v>
      </c>
      <c r="Q177" s="39" t="e">
        <f t="shared" ca="1" si="5"/>
        <v>#NAME?</v>
      </c>
      <c r="R177" s="39" t="s">
        <v>112</v>
      </c>
      <c r="S177" s="50">
        <v>9438176522</v>
      </c>
      <c r="T177" s="40" t="s">
        <v>111</v>
      </c>
      <c r="U177" s="39">
        <v>1996</v>
      </c>
      <c r="V177" s="45">
        <v>-1</v>
      </c>
      <c r="W177" s="45">
        <v>-1</v>
      </c>
      <c r="X177" s="45">
        <v>-1</v>
      </c>
      <c r="Y177" s="45">
        <v>-1</v>
      </c>
      <c r="Z177" s="45">
        <v>-1</v>
      </c>
      <c r="AA177" s="45">
        <v>-1</v>
      </c>
      <c r="AB177" s="45">
        <v>-1</v>
      </c>
      <c r="AC177" s="45">
        <v>-1</v>
      </c>
      <c r="AD177" s="45">
        <v>-1</v>
      </c>
      <c r="AE177" s="45">
        <v>-1</v>
      </c>
      <c r="AF177" s="45">
        <v>-1</v>
      </c>
      <c r="AG177" s="45">
        <v>-1</v>
      </c>
      <c r="AH177" s="45">
        <v>-1</v>
      </c>
      <c r="AI177" s="45">
        <v>-1</v>
      </c>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c r="BZ177" s="39"/>
      <c r="CA177" s="39"/>
      <c r="CB177" s="39"/>
      <c r="CC177" s="39"/>
      <c r="CD177" s="39"/>
      <c r="CE177" s="39"/>
      <c r="CF177" s="39"/>
      <c r="CG177" s="39"/>
      <c r="CH177" s="39"/>
      <c r="CI177" s="39"/>
      <c r="CJ177" s="39"/>
      <c r="CK177" s="39"/>
      <c r="CL177" s="39"/>
      <c r="CM177" s="39"/>
      <c r="CN177" s="39"/>
      <c r="CO177" s="39"/>
      <c r="CP177" s="39"/>
      <c r="CQ177" s="39"/>
      <c r="CR177" s="39"/>
      <c r="CS177" s="39"/>
      <c r="CT177" s="39"/>
      <c r="CU177" s="39"/>
      <c r="CV177" s="39"/>
      <c r="CW177" s="39"/>
      <c r="CX177" s="39"/>
      <c r="CY177" s="39"/>
      <c r="CZ177" s="48"/>
      <c r="DA177" s="48"/>
      <c r="DB177" s="48"/>
      <c r="DC177" s="48"/>
      <c r="DD177" s="48"/>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48"/>
    </row>
    <row r="178" spans="1:134" ht="11.25" customHeight="1" x14ac:dyDescent="0.3">
      <c r="A178" s="28" t="e">
        <f t="array" aca="1" ref="A178" ca="1">_xludf.XLOOKUP(S178,Master_Registrations!P:P,Master_Registrations!A:A,"")</f>
        <v>#NAME?</v>
      </c>
      <c r="B178" s="39" t="s">
        <v>182</v>
      </c>
      <c r="C178" s="39">
        <v>2026</v>
      </c>
      <c r="D178" s="39" t="s">
        <v>4886</v>
      </c>
      <c r="E178" s="39">
        <v>8</v>
      </c>
      <c r="F178" s="40" t="str">
        <f t="shared" si="0"/>
        <v>VED-01-2026-GR-8</v>
      </c>
      <c r="G178" s="39" t="s">
        <v>6501</v>
      </c>
      <c r="H178" s="39" t="s">
        <v>7049</v>
      </c>
      <c r="I178" s="39"/>
      <c r="J178" s="39" t="s">
        <v>198</v>
      </c>
      <c r="K178" s="49"/>
      <c r="L178" s="49"/>
      <c r="M178" s="49"/>
      <c r="N178" s="39" t="s">
        <v>369</v>
      </c>
      <c r="O178" s="39" t="s">
        <v>3748</v>
      </c>
      <c r="P178" s="39" t="s">
        <v>3749</v>
      </c>
      <c r="Q178" s="39" t="e">
        <f t="shared" ca="1" si="5"/>
        <v>#NAME?</v>
      </c>
      <c r="R178" s="39" t="s">
        <v>316</v>
      </c>
      <c r="S178" s="50">
        <v>2565299300</v>
      </c>
      <c r="T178" s="40" t="s">
        <v>402</v>
      </c>
      <c r="U178" s="39">
        <v>1973</v>
      </c>
      <c r="V178" s="45">
        <v>-1</v>
      </c>
      <c r="W178" s="45">
        <v>-1</v>
      </c>
      <c r="X178" s="45">
        <v>-1</v>
      </c>
      <c r="Y178" s="45">
        <v>-1</v>
      </c>
      <c r="Z178" s="45">
        <v>-1</v>
      </c>
      <c r="AA178" s="45">
        <v>-1</v>
      </c>
      <c r="AB178" s="45">
        <v>-1</v>
      </c>
      <c r="AC178" s="45">
        <v>-1</v>
      </c>
      <c r="AD178" s="45">
        <v>-1</v>
      </c>
      <c r="AE178" s="45">
        <v>-1</v>
      </c>
      <c r="AF178" s="45">
        <v>-1</v>
      </c>
      <c r="AG178" s="45">
        <v>-1</v>
      </c>
      <c r="AH178" s="45">
        <v>-1</v>
      </c>
      <c r="AI178" s="45">
        <v>-1</v>
      </c>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c r="BZ178" s="39"/>
      <c r="CA178" s="39"/>
      <c r="CB178" s="39"/>
      <c r="CC178" s="39"/>
      <c r="CD178" s="39"/>
      <c r="CE178" s="39"/>
      <c r="CF178" s="39"/>
      <c r="CG178" s="39"/>
      <c r="CH178" s="39"/>
      <c r="CI178" s="39"/>
      <c r="CJ178" s="39"/>
      <c r="CK178" s="39"/>
      <c r="CL178" s="39"/>
      <c r="CM178" s="39"/>
      <c r="CN178" s="39"/>
      <c r="CO178" s="39"/>
      <c r="CP178" s="39"/>
      <c r="CQ178" s="39"/>
      <c r="CR178" s="39"/>
      <c r="CS178" s="39"/>
      <c r="CT178" s="39"/>
      <c r="CU178" s="39"/>
      <c r="CV178" s="39"/>
      <c r="CW178" s="39"/>
      <c r="CX178" s="39"/>
      <c r="CY178" s="39"/>
      <c r="CZ178" s="48"/>
      <c r="DA178" s="48"/>
      <c r="DB178" s="48"/>
      <c r="DC178" s="48"/>
      <c r="DD178" s="48"/>
      <c r="DE178" s="48"/>
      <c r="DF178" s="48"/>
      <c r="DG178" s="48"/>
      <c r="DH178" s="48"/>
      <c r="DI178" s="48"/>
      <c r="DJ178" s="48"/>
      <c r="DK178" s="48"/>
      <c r="DL178" s="48"/>
      <c r="DM178" s="48"/>
      <c r="DN178" s="48"/>
      <c r="DO178" s="48"/>
      <c r="DP178" s="48"/>
      <c r="DQ178" s="48"/>
      <c r="DR178" s="48"/>
      <c r="DS178" s="48"/>
      <c r="DT178" s="48"/>
      <c r="DU178" s="48"/>
      <c r="DV178" s="48"/>
      <c r="DW178" s="48"/>
      <c r="DX178" s="48"/>
      <c r="DY178" s="48"/>
      <c r="DZ178" s="48"/>
      <c r="EA178" s="48"/>
      <c r="EB178" s="48"/>
      <c r="EC178" s="48"/>
      <c r="ED178" s="48"/>
    </row>
    <row r="179" spans="1:134" ht="11.25" customHeight="1" x14ac:dyDescent="0.3">
      <c r="A179" s="28" t="e">
        <f t="array" aca="1" ref="A179" ca="1">_xludf.XLOOKUP(S179,Master_Registrations!P:P,Master_Registrations!A:A,"")</f>
        <v>#NAME?</v>
      </c>
      <c r="B179" s="39" t="s">
        <v>182</v>
      </c>
      <c r="C179" s="39">
        <v>2026</v>
      </c>
      <c r="D179" s="39" t="s">
        <v>4886</v>
      </c>
      <c r="E179" s="39">
        <v>8</v>
      </c>
      <c r="F179" s="40" t="str">
        <f t="shared" si="0"/>
        <v>VED-01-2026-GR-8</v>
      </c>
      <c r="G179" s="39" t="s">
        <v>6501</v>
      </c>
      <c r="H179" s="39" t="s">
        <v>7049</v>
      </c>
      <c r="I179" s="39"/>
      <c r="J179" s="39" t="s">
        <v>198</v>
      </c>
      <c r="K179" s="49"/>
      <c r="L179" s="49"/>
      <c r="M179" s="49"/>
      <c r="N179" s="39" t="s">
        <v>434</v>
      </c>
      <c r="O179" s="39" t="s">
        <v>3256</v>
      </c>
      <c r="P179" s="39" t="s">
        <v>2783</v>
      </c>
      <c r="Q179" s="39" t="e">
        <f t="shared" ca="1" si="5"/>
        <v>#NAME?</v>
      </c>
      <c r="R179" s="39" t="s">
        <v>112</v>
      </c>
      <c r="S179" s="50">
        <v>7207813292</v>
      </c>
      <c r="T179" s="40" t="s">
        <v>111</v>
      </c>
      <c r="U179" s="39">
        <v>1971</v>
      </c>
      <c r="V179" s="45">
        <v>-1</v>
      </c>
      <c r="W179" s="45">
        <v>-1</v>
      </c>
      <c r="X179" s="45">
        <v>-1</v>
      </c>
      <c r="Y179" s="45">
        <v>-1</v>
      </c>
      <c r="Z179" s="45">
        <v>-1</v>
      </c>
      <c r="AA179" s="45">
        <v>-1</v>
      </c>
      <c r="AB179" s="45">
        <v>-1</v>
      </c>
      <c r="AC179" s="45">
        <v>-1</v>
      </c>
      <c r="AD179" s="45">
        <v>-1</v>
      </c>
      <c r="AE179" s="45">
        <v>-1</v>
      </c>
      <c r="AF179" s="45">
        <v>-1</v>
      </c>
      <c r="AG179" s="45">
        <v>-1</v>
      </c>
      <c r="AH179" s="45">
        <v>-1</v>
      </c>
      <c r="AI179" s="45">
        <v>-1</v>
      </c>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c r="BZ179" s="39"/>
      <c r="CA179" s="39"/>
      <c r="CB179" s="39"/>
      <c r="CC179" s="39"/>
      <c r="CD179" s="39"/>
      <c r="CE179" s="39"/>
      <c r="CF179" s="39"/>
      <c r="CG179" s="39"/>
      <c r="CH179" s="39"/>
      <c r="CI179" s="39"/>
      <c r="CJ179" s="39"/>
      <c r="CK179" s="39"/>
      <c r="CL179" s="39"/>
      <c r="CM179" s="39"/>
      <c r="CN179" s="39"/>
      <c r="CO179" s="39"/>
      <c r="CP179" s="39"/>
      <c r="CQ179" s="39"/>
      <c r="CR179" s="39"/>
      <c r="CS179" s="39"/>
      <c r="CT179" s="39"/>
      <c r="CU179" s="39"/>
      <c r="CV179" s="39"/>
      <c r="CW179" s="39"/>
      <c r="CX179" s="39"/>
      <c r="CY179" s="39"/>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c r="DX179" s="48"/>
      <c r="DY179" s="48"/>
      <c r="DZ179" s="48"/>
      <c r="EA179" s="48"/>
      <c r="EB179" s="48"/>
      <c r="EC179" s="48"/>
      <c r="ED179" s="48"/>
    </row>
    <row r="180" spans="1:134" ht="11.25" customHeight="1" x14ac:dyDescent="0.3">
      <c r="A180" s="28" t="e">
        <f t="array" aca="1" ref="A180" ca="1">_xludf.XLOOKUP(S180,Master_Registrations!P:P,Master_Registrations!A:A,"")</f>
        <v>#NAME?</v>
      </c>
      <c r="B180" s="39" t="s">
        <v>182</v>
      </c>
      <c r="C180" s="39">
        <v>2026</v>
      </c>
      <c r="D180" s="39" t="s">
        <v>4886</v>
      </c>
      <c r="E180" s="39">
        <v>8</v>
      </c>
      <c r="F180" s="40" t="str">
        <f t="shared" si="0"/>
        <v>VED-01-2026-GR-8</v>
      </c>
      <c r="G180" s="39" t="s">
        <v>6501</v>
      </c>
      <c r="H180" s="39" t="s">
        <v>7049</v>
      </c>
      <c r="I180" s="39"/>
      <c r="J180" s="39" t="s">
        <v>198</v>
      </c>
      <c r="K180" s="49"/>
      <c r="L180" s="49"/>
      <c r="M180" s="49"/>
      <c r="N180" s="39" t="s">
        <v>525</v>
      </c>
      <c r="O180" s="39" t="s">
        <v>3289</v>
      </c>
      <c r="P180" s="39" t="s">
        <v>643</v>
      </c>
      <c r="Q180" s="39" t="e">
        <f t="shared" ca="1" si="5"/>
        <v>#NAME?</v>
      </c>
      <c r="R180" s="39" t="s">
        <v>112</v>
      </c>
      <c r="S180" s="50">
        <v>9500035035</v>
      </c>
      <c r="T180" s="40" t="s">
        <v>111</v>
      </c>
      <c r="U180" s="39">
        <v>1965</v>
      </c>
      <c r="V180" s="45">
        <v>-1</v>
      </c>
      <c r="W180" s="45">
        <v>-1</v>
      </c>
      <c r="X180" s="45">
        <v>-1</v>
      </c>
      <c r="Y180" s="45">
        <v>-1</v>
      </c>
      <c r="Z180" s="45">
        <v>-1</v>
      </c>
      <c r="AA180" s="45">
        <v>-1</v>
      </c>
      <c r="AB180" s="45">
        <v>-1</v>
      </c>
      <c r="AC180" s="45">
        <v>-1</v>
      </c>
      <c r="AD180" s="45">
        <v>-1</v>
      </c>
      <c r="AE180" s="45">
        <v>-1</v>
      </c>
      <c r="AF180" s="45">
        <v>-1</v>
      </c>
      <c r="AG180" s="45">
        <v>-1</v>
      </c>
      <c r="AH180" s="45">
        <v>-1</v>
      </c>
      <c r="AI180" s="45">
        <v>-1</v>
      </c>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c r="BV180" s="39"/>
      <c r="BW180" s="39"/>
      <c r="BX180" s="39"/>
      <c r="BY180" s="39"/>
      <c r="BZ180" s="39"/>
      <c r="CA180" s="39"/>
      <c r="CB180" s="39"/>
      <c r="CC180" s="39"/>
      <c r="CD180" s="39"/>
      <c r="CE180" s="39"/>
      <c r="CF180" s="39"/>
      <c r="CG180" s="39"/>
      <c r="CH180" s="39"/>
      <c r="CI180" s="39"/>
      <c r="CJ180" s="39"/>
      <c r="CK180" s="39"/>
      <c r="CL180" s="39"/>
      <c r="CM180" s="39"/>
      <c r="CN180" s="39"/>
      <c r="CO180" s="39"/>
      <c r="CP180" s="39"/>
      <c r="CQ180" s="39"/>
      <c r="CR180" s="39"/>
      <c r="CS180" s="39"/>
      <c r="CT180" s="39"/>
      <c r="CU180" s="39"/>
      <c r="CV180" s="39"/>
      <c r="CW180" s="39"/>
      <c r="CX180" s="39"/>
      <c r="CY180" s="39"/>
      <c r="CZ180" s="48"/>
      <c r="DA180" s="48"/>
      <c r="DB180" s="48"/>
      <c r="DC180" s="48"/>
      <c r="DD180" s="48"/>
      <c r="DE180" s="48"/>
      <c r="DF180" s="48"/>
      <c r="DG180" s="48"/>
      <c r="DH180" s="48"/>
      <c r="DI180" s="48"/>
      <c r="DJ180" s="48"/>
      <c r="DK180" s="48"/>
      <c r="DL180" s="48"/>
      <c r="DM180" s="48"/>
      <c r="DN180" s="48"/>
      <c r="DO180" s="48"/>
      <c r="DP180" s="48"/>
      <c r="DQ180" s="48"/>
      <c r="DR180" s="48"/>
      <c r="DS180" s="48"/>
      <c r="DT180" s="48"/>
      <c r="DU180" s="48"/>
      <c r="DV180" s="48"/>
      <c r="DW180" s="48"/>
      <c r="DX180" s="48"/>
      <c r="DY180" s="48"/>
      <c r="DZ180" s="48"/>
      <c r="EA180" s="48"/>
      <c r="EB180" s="48"/>
      <c r="EC180" s="48"/>
      <c r="ED180" s="48"/>
    </row>
    <row r="181" spans="1:134" ht="11.25" customHeight="1" x14ac:dyDescent="0.3">
      <c r="A181" s="28" t="e">
        <f t="array" aca="1" ref="A181" ca="1">_xludf.XLOOKUP(S181,Master_Registrations!P:P,Master_Registrations!A:A,"")</f>
        <v>#NAME?</v>
      </c>
      <c r="B181" s="39" t="s">
        <v>182</v>
      </c>
      <c r="C181" s="39">
        <v>2026</v>
      </c>
      <c r="D181" s="39" t="s">
        <v>4886</v>
      </c>
      <c r="E181" s="39">
        <v>8</v>
      </c>
      <c r="F181" s="40" t="str">
        <f t="shared" si="0"/>
        <v>VED-01-2026-GR-8</v>
      </c>
      <c r="G181" s="39" t="s">
        <v>6501</v>
      </c>
      <c r="H181" s="39" t="s">
        <v>7049</v>
      </c>
      <c r="I181" s="39"/>
      <c r="J181" s="39" t="s">
        <v>198</v>
      </c>
      <c r="K181" s="49"/>
      <c r="L181" s="49"/>
      <c r="M181" s="49"/>
      <c r="N181" s="39" t="s">
        <v>621</v>
      </c>
      <c r="O181" s="39" t="s">
        <v>3763</v>
      </c>
      <c r="P181" s="39" t="s">
        <v>3764</v>
      </c>
      <c r="Q181" s="39" t="e">
        <f t="shared" ca="1" si="5"/>
        <v>#NAME?</v>
      </c>
      <c r="R181" s="39" t="s">
        <v>112</v>
      </c>
      <c r="S181" s="50">
        <v>8179682092</v>
      </c>
      <c r="T181" s="40" t="s">
        <v>111</v>
      </c>
      <c r="U181" s="39">
        <v>2001</v>
      </c>
      <c r="V181" s="45">
        <v>-1</v>
      </c>
      <c r="W181" s="45">
        <v>-1</v>
      </c>
      <c r="X181" s="45">
        <v>-1</v>
      </c>
      <c r="Y181" s="45">
        <v>-1</v>
      </c>
      <c r="Z181" s="45">
        <v>-1</v>
      </c>
      <c r="AA181" s="45">
        <v>-1</v>
      </c>
      <c r="AB181" s="45">
        <v>-1</v>
      </c>
      <c r="AC181" s="45">
        <v>-1</v>
      </c>
      <c r="AD181" s="45">
        <v>-1</v>
      </c>
      <c r="AE181" s="45">
        <v>-1</v>
      </c>
      <c r="AF181" s="45">
        <v>-1</v>
      </c>
      <c r="AG181" s="45">
        <v>-1</v>
      </c>
      <c r="AH181" s="45">
        <v>-1</v>
      </c>
      <c r="AI181" s="45">
        <v>-1</v>
      </c>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c r="BZ181" s="39"/>
      <c r="CA181" s="39"/>
      <c r="CB181" s="39"/>
      <c r="CC181" s="39"/>
      <c r="CD181" s="39"/>
      <c r="CE181" s="39"/>
      <c r="CF181" s="39"/>
      <c r="CG181" s="39"/>
      <c r="CH181" s="39"/>
      <c r="CI181" s="39"/>
      <c r="CJ181" s="39"/>
      <c r="CK181" s="39"/>
      <c r="CL181" s="39"/>
      <c r="CM181" s="39"/>
      <c r="CN181" s="39"/>
      <c r="CO181" s="39"/>
      <c r="CP181" s="39"/>
      <c r="CQ181" s="39"/>
      <c r="CR181" s="39"/>
      <c r="CS181" s="39"/>
      <c r="CT181" s="39"/>
      <c r="CU181" s="39"/>
      <c r="CV181" s="39"/>
      <c r="CW181" s="39"/>
      <c r="CX181" s="39"/>
      <c r="CY181" s="39"/>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row>
    <row r="182" spans="1:134" ht="11.25" customHeight="1" x14ac:dyDescent="0.3">
      <c r="A182" s="28" t="e">
        <f t="array" aca="1" ref="A182" ca="1">_xludf.XLOOKUP(S182,Master_Registrations!P:P,Master_Registrations!A:A,"")</f>
        <v>#NAME?</v>
      </c>
      <c r="B182" s="39" t="s">
        <v>182</v>
      </c>
      <c r="C182" s="39">
        <v>2026</v>
      </c>
      <c r="D182" s="39" t="s">
        <v>4886</v>
      </c>
      <c r="E182" s="39">
        <v>8</v>
      </c>
      <c r="F182" s="40" t="str">
        <f t="shared" si="0"/>
        <v>VED-01-2026-GR-8</v>
      </c>
      <c r="G182" s="39" t="s">
        <v>6501</v>
      </c>
      <c r="H182" s="39" t="s">
        <v>7049</v>
      </c>
      <c r="I182" s="39"/>
      <c r="J182" s="39" t="s">
        <v>198</v>
      </c>
      <c r="K182" s="49"/>
      <c r="L182" s="49"/>
      <c r="M182" s="49"/>
      <c r="N182" s="39" t="s">
        <v>714</v>
      </c>
      <c r="O182" s="39" t="s">
        <v>1189</v>
      </c>
      <c r="P182" s="39" t="s">
        <v>3599</v>
      </c>
      <c r="Q182" s="39" t="e">
        <f t="shared" ca="1" si="5"/>
        <v>#NAME?</v>
      </c>
      <c r="R182" s="39">
        <v>34</v>
      </c>
      <c r="S182" s="39">
        <v>618891686</v>
      </c>
      <c r="T182" s="40" t="s">
        <v>260</v>
      </c>
      <c r="U182" s="39">
        <v>1990</v>
      </c>
      <c r="V182" s="45">
        <v>-1</v>
      </c>
      <c r="W182" s="45">
        <v>-1</v>
      </c>
      <c r="X182" s="45">
        <v>-1</v>
      </c>
      <c r="Y182" s="45">
        <v>-1</v>
      </c>
      <c r="Z182" s="45">
        <v>-1</v>
      </c>
      <c r="AA182" s="45">
        <v>-1</v>
      </c>
      <c r="AB182" s="45">
        <v>-1</v>
      </c>
      <c r="AC182" s="45">
        <v>-1</v>
      </c>
      <c r="AD182" s="45">
        <v>-1</v>
      </c>
      <c r="AE182" s="45">
        <v>-1</v>
      </c>
      <c r="AF182" s="45">
        <v>-1</v>
      </c>
      <c r="AG182" s="45">
        <v>-1</v>
      </c>
      <c r="AH182" s="45">
        <v>-1</v>
      </c>
      <c r="AI182" s="45">
        <v>-1</v>
      </c>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c r="BZ182" s="39"/>
      <c r="CA182" s="39"/>
      <c r="CB182" s="39"/>
      <c r="CC182" s="39"/>
      <c r="CD182" s="39"/>
      <c r="CE182" s="39"/>
      <c r="CF182" s="39"/>
      <c r="CG182" s="39"/>
      <c r="CH182" s="39"/>
      <c r="CI182" s="39"/>
      <c r="CJ182" s="39"/>
      <c r="CK182" s="39"/>
      <c r="CL182" s="39"/>
      <c r="CM182" s="39"/>
      <c r="CN182" s="39"/>
      <c r="CO182" s="39"/>
      <c r="CP182" s="39"/>
      <c r="CQ182" s="39"/>
      <c r="CR182" s="39"/>
      <c r="CS182" s="39"/>
      <c r="CT182" s="39"/>
      <c r="CU182" s="39"/>
      <c r="CV182" s="39"/>
      <c r="CW182" s="39"/>
      <c r="CX182" s="39"/>
      <c r="CY182" s="39"/>
      <c r="CZ182" s="48"/>
      <c r="DA182" s="48"/>
      <c r="DB182" s="48"/>
      <c r="DC182" s="48"/>
      <c r="DD182" s="48"/>
      <c r="DE182" s="48"/>
      <c r="DF182" s="48"/>
      <c r="DG182" s="48"/>
      <c r="DH182" s="48"/>
      <c r="DI182" s="48"/>
      <c r="DJ182" s="48"/>
      <c r="DK182" s="48"/>
      <c r="DL182" s="48"/>
      <c r="DM182" s="48"/>
      <c r="DN182" s="48"/>
      <c r="DO182" s="48"/>
      <c r="DP182" s="48"/>
      <c r="DQ182" s="48"/>
      <c r="DR182" s="48"/>
      <c r="DS182" s="48"/>
      <c r="DT182" s="48"/>
      <c r="DU182" s="48"/>
      <c r="DV182" s="48"/>
      <c r="DW182" s="48"/>
      <c r="DX182" s="48"/>
      <c r="DY182" s="48"/>
      <c r="DZ182" s="48"/>
      <c r="EA182" s="48"/>
      <c r="EB182" s="48"/>
      <c r="EC182" s="48"/>
      <c r="ED182" s="48"/>
    </row>
    <row r="183" spans="1:134" ht="11.25" customHeight="1" x14ac:dyDescent="0.3">
      <c r="A183" s="28" t="e">
        <f t="array" aca="1" ref="A183" ca="1">_xludf.XLOOKUP(S183,Master_Registrations!P:P,Master_Registrations!A:A,"")</f>
        <v>#NAME?</v>
      </c>
      <c r="B183" s="39" t="s">
        <v>182</v>
      </c>
      <c r="C183" s="39">
        <v>2026</v>
      </c>
      <c r="D183" s="39" t="s">
        <v>4886</v>
      </c>
      <c r="E183" s="39">
        <v>8</v>
      </c>
      <c r="F183" s="40" t="str">
        <f t="shared" si="0"/>
        <v>VED-01-2026-GR-8</v>
      </c>
      <c r="G183" s="39" t="s">
        <v>6501</v>
      </c>
      <c r="H183" s="39" t="s">
        <v>7049</v>
      </c>
      <c r="I183" s="39"/>
      <c r="J183" s="39" t="s">
        <v>198</v>
      </c>
      <c r="K183" s="49"/>
      <c r="L183" s="49"/>
      <c r="M183" s="49"/>
      <c r="N183" s="39" t="s">
        <v>786</v>
      </c>
      <c r="O183" s="39" t="s">
        <v>3086</v>
      </c>
      <c r="P183" s="39" t="s">
        <v>3087</v>
      </c>
      <c r="Q183" s="39" t="e">
        <f t="shared" ca="1" si="5"/>
        <v>#NAME?</v>
      </c>
      <c r="R183" s="39" t="s">
        <v>112</v>
      </c>
      <c r="S183" s="50">
        <v>9949506020</v>
      </c>
      <c r="T183" s="40" t="s">
        <v>111</v>
      </c>
      <c r="U183" s="39">
        <v>1984</v>
      </c>
      <c r="V183" s="45">
        <v>-1</v>
      </c>
      <c r="W183" s="45">
        <v>-1</v>
      </c>
      <c r="X183" s="45">
        <v>-1</v>
      </c>
      <c r="Y183" s="45">
        <v>-1</v>
      </c>
      <c r="Z183" s="45">
        <v>-1</v>
      </c>
      <c r="AA183" s="45">
        <v>-1</v>
      </c>
      <c r="AB183" s="45">
        <v>-1</v>
      </c>
      <c r="AC183" s="45">
        <v>-1</v>
      </c>
      <c r="AD183" s="45">
        <v>-1</v>
      </c>
      <c r="AE183" s="45">
        <v>-1</v>
      </c>
      <c r="AF183" s="45">
        <v>-1</v>
      </c>
      <c r="AG183" s="45">
        <v>-1</v>
      </c>
      <c r="AH183" s="45">
        <v>-1</v>
      </c>
      <c r="AI183" s="45">
        <v>-1</v>
      </c>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48"/>
      <c r="DA183" s="48"/>
      <c r="DB183" s="48"/>
      <c r="DC183" s="48"/>
      <c r="DD183" s="48"/>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48"/>
    </row>
    <row r="184" spans="1:134" ht="11.25" customHeight="1" x14ac:dyDescent="0.3">
      <c r="A184" s="28" t="e">
        <f t="array" aca="1" ref="A184" ca="1">_xludf.XLOOKUP(S184,Master_Registrations!P:P,Master_Registrations!A:A,"")</f>
        <v>#NAME?</v>
      </c>
      <c r="B184" s="39" t="s">
        <v>182</v>
      </c>
      <c r="C184" s="39">
        <v>2026</v>
      </c>
      <c r="D184" s="39" t="s">
        <v>4886</v>
      </c>
      <c r="E184" s="39">
        <v>8</v>
      </c>
      <c r="F184" s="40" t="str">
        <f t="shared" si="0"/>
        <v>VED-01-2026-GR-8</v>
      </c>
      <c r="G184" s="39" t="s">
        <v>6501</v>
      </c>
      <c r="H184" s="39" t="s">
        <v>7049</v>
      </c>
      <c r="I184" s="39"/>
      <c r="J184" s="39" t="s">
        <v>198</v>
      </c>
      <c r="K184" s="49"/>
      <c r="L184" s="49"/>
      <c r="M184" s="49"/>
      <c r="N184" s="39" t="s">
        <v>856</v>
      </c>
      <c r="O184" s="39" t="s">
        <v>3249</v>
      </c>
      <c r="P184" s="39" t="s">
        <v>3250</v>
      </c>
      <c r="Q184" s="39" t="e">
        <f t="shared" ca="1" si="5"/>
        <v>#NAME?</v>
      </c>
      <c r="R184" s="39" t="s">
        <v>112</v>
      </c>
      <c r="S184" s="50">
        <v>8897630950</v>
      </c>
      <c r="T184" s="40" t="s">
        <v>111</v>
      </c>
      <c r="U184" s="39">
        <v>1964</v>
      </c>
      <c r="V184" s="45">
        <v>-1</v>
      </c>
      <c r="W184" s="45">
        <v>-1</v>
      </c>
      <c r="X184" s="45">
        <v>-1</v>
      </c>
      <c r="Y184" s="45">
        <v>-1</v>
      </c>
      <c r="Z184" s="45">
        <v>-1</v>
      </c>
      <c r="AA184" s="45">
        <v>-1</v>
      </c>
      <c r="AB184" s="45">
        <v>-1</v>
      </c>
      <c r="AC184" s="45">
        <v>-1</v>
      </c>
      <c r="AD184" s="45">
        <v>-1</v>
      </c>
      <c r="AE184" s="45">
        <v>-1</v>
      </c>
      <c r="AF184" s="45">
        <v>-1</v>
      </c>
      <c r="AG184" s="45">
        <v>-1</v>
      </c>
      <c r="AH184" s="45">
        <v>-1</v>
      </c>
      <c r="AI184" s="45">
        <v>-1</v>
      </c>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c r="BZ184" s="39"/>
      <c r="CA184" s="39"/>
      <c r="CB184" s="39"/>
      <c r="CC184" s="39"/>
      <c r="CD184" s="39"/>
      <c r="CE184" s="39"/>
      <c r="CF184" s="39"/>
      <c r="CG184" s="39"/>
      <c r="CH184" s="39"/>
      <c r="CI184" s="39"/>
      <c r="CJ184" s="39"/>
      <c r="CK184" s="39"/>
      <c r="CL184" s="39"/>
      <c r="CM184" s="39"/>
      <c r="CN184" s="39"/>
      <c r="CO184" s="39"/>
      <c r="CP184" s="39"/>
      <c r="CQ184" s="39"/>
      <c r="CR184" s="39"/>
      <c r="CS184" s="39"/>
      <c r="CT184" s="39"/>
      <c r="CU184" s="39"/>
      <c r="CV184" s="39"/>
      <c r="CW184" s="39"/>
      <c r="CX184" s="39"/>
      <c r="CY184" s="39"/>
      <c r="CZ184" s="48"/>
      <c r="DA184" s="48"/>
      <c r="DB184" s="48"/>
      <c r="DC184" s="48"/>
      <c r="DD184" s="48"/>
      <c r="DE184" s="48"/>
      <c r="DF184" s="48"/>
      <c r="DG184" s="48"/>
      <c r="DH184" s="48"/>
      <c r="DI184" s="48"/>
      <c r="DJ184" s="48"/>
      <c r="DK184" s="48"/>
      <c r="DL184" s="48"/>
      <c r="DM184" s="48"/>
      <c r="DN184" s="48"/>
      <c r="DO184" s="48"/>
      <c r="DP184" s="48"/>
      <c r="DQ184" s="48"/>
      <c r="DR184" s="48"/>
      <c r="DS184" s="48"/>
      <c r="DT184" s="48"/>
      <c r="DU184" s="48"/>
      <c r="DV184" s="48"/>
      <c r="DW184" s="48"/>
      <c r="DX184" s="48"/>
      <c r="DY184" s="48"/>
      <c r="DZ184" s="48"/>
      <c r="EA184" s="48"/>
      <c r="EB184" s="48"/>
      <c r="EC184" s="48"/>
      <c r="ED184" s="48"/>
    </row>
    <row r="185" spans="1:134" ht="11.25" customHeight="1" x14ac:dyDescent="0.3">
      <c r="A185" s="28" t="e">
        <f t="array" aca="1" ref="A185" ca="1">_xludf.XLOOKUP(S185,Master_Registrations!P:P,Master_Registrations!A:A,"")</f>
        <v>#NAME?</v>
      </c>
      <c r="B185" s="39" t="s">
        <v>182</v>
      </c>
      <c r="C185" s="39">
        <v>2026</v>
      </c>
      <c r="D185" s="39" t="s">
        <v>4886</v>
      </c>
      <c r="E185" s="39">
        <v>8</v>
      </c>
      <c r="F185" s="40" t="str">
        <f t="shared" si="0"/>
        <v>VED-01-2026-GR-8</v>
      </c>
      <c r="G185" s="39" t="s">
        <v>6501</v>
      </c>
      <c r="H185" s="39" t="s">
        <v>7049</v>
      </c>
      <c r="I185" s="39"/>
      <c r="J185" s="39" t="s">
        <v>198</v>
      </c>
      <c r="K185" s="49"/>
      <c r="L185" s="49"/>
      <c r="M185" s="49"/>
      <c r="N185" s="39" t="s">
        <v>915</v>
      </c>
      <c r="O185" s="39" t="s">
        <v>186</v>
      </c>
      <c r="P185" s="39" t="s">
        <v>3140</v>
      </c>
      <c r="Q185" s="39" t="e">
        <f t="shared" ca="1" si="5"/>
        <v>#NAME?</v>
      </c>
      <c r="R185" s="39" t="s">
        <v>112</v>
      </c>
      <c r="S185" s="50">
        <v>9502980215</v>
      </c>
      <c r="T185" s="40" t="s">
        <v>111</v>
      </c>
      <c r="U185" s="39">
        <v>1965</v>
      </c>
      <c r="V185" s="45">
        <v>-1</v>
      </c>
      <c r="W185" s="45">
        <v>-1</v>
      </c>
      <c r="X185" s="45">
        <v>-1</v>
      </c>
      <c r="Y185" s="45">
        <v>-1</v>
      </c>
      <c r="Z185" s="45">
        <v>-1</v>
      </c>
      <c r="AA185" s="45">
        <v>-1</v>
      </c>
      <c r="AB185" s="45">
        <v>-1</v>
      </c>
      <c r="AC185" s="45">
        <v>-1</v>
      </c>
      <c r="AD185" s="45">
        <v>-1</v>
      </c>
      <c r="AE185" s="45">
        <v>-1</v>
      </c>
      <c r="AF185" s="45">
        <v>-1</v>
      </c>
      <c r="AG185" s="45">
        <v>-1</v>
      </c>
      <c r="AH185" s="45">
        <v>-1</v>
      </c>
      <c r="AI185" s="45">
        <v>-1</v>
      </c>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c r="DX185" s="48"/>
      <c r="DY185" s="48"/>
      <c r="DZ185" s="48"/>
      <c r="EA185" s="48"/>
      <c r="EB185" s="48"/>
      <c r="EC185" s="48"/>
      <c r="ED185" s="48"/>
    </row>
    <row r="186" spans="1:134" ht="11.25" customHeight="1" x14ac:dyDescent="0.3">
      <c r="A186" s="28" t="e">
        <f t="array" aca="1" ref="A186" ca="1">_xludf.XLOOKUP(S186,Master_Registrations!P:P,Master_Registrations!A:A,"")</f>
        <v>#NAME?</v>
      </c>
      <c r="B186" s="39" t="s">
        <v>182</v>
      </c>
      <c r="C186" s="39">
        <v>2026</v>
      </c>
      <c r="D186" s="39" t="s">
        <v>4886</v>
      </c>
      <c r="E186" s="39">
        <v>8</v>
      </c>
      <c r="F186" s="40" t="str">
        <f t="shared" si="0"/>
        <v>VED-01-2026-GR-8</v>
      </c>
      <c r="G186" s="39" t="s">
        <v>6501</v>
      </c>
      <c r="H186" s="39" t="s">
        <v>7049</v>
      </c>
      <c r="I186" s="39"/>
      <c r="J186" s="39" t="s">
        <v>198</v>
      </c>
      <c r="K186" s="49"/>
      <c r="L186" s="49"/>
      <c r="M186" s="49"/>
      <c r="N186" s="39" t="s">
        <v>973</v>
      </c>
      <c r="O186" s="39" t="s">
        <v>2262</v>
      </c>
      <c r="P186" s="39" t="s">
        <v>2263</v>
      </c>
      <c r="Q186" s="39" t="e">
        <f t="shared" ca="1" si="5"/>
        <v>#NAME?</v>
      </c>
      <c r="R186" s="39" t="s">
        <v>112</v>
      </c>
      <c r="S186" s="50">
        <v>9194510149</v>
      </c>
      <c r="T186" s="40" t="s">
        <v>315</v>
      </c>
      <c r="U186" s="39">
        <v>1978</v>
      </c>
      <c r="V186" s="45">
        <v>-1</v>
      </c>
      <c r="W186" s="45">
        <v>-1</v>
      </c>
      <c r="X186" s="45">
        <v>-1</v>
      </c>
      <c r="Y186" s="45">
        <v>-1</v>
      </c>
      <c r="Z186" s="45">
        <v>-1</v>
      </c>
      <c r="AA186" s="45">
        <v>-1</v>
      </c>
      <c r="AB186" s="45">
        <v>-1</v>
      </c>
      <c r="AC186" s="45">
        <v>-1</v>
      </c>
      <c r="AD186" s="45">
        <v>-1</v>
      </c>
      <c r="AE186" s="45">
        <v>-1</v>
      </c>
      <c r="AF186" s="45">
        <v>-1</v>
      </c>
      <c r="AG186" s="45">
        <v>-1</v>
      </c>
      <c r="AH186" s="45">
        <v>-1</v>
      </c>
      <c r="AI186" s="45">
        <v>-1</v>
      </c>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c r="BZ186" s="39"/>
      <c r="CA186" s="39"/>
      <c r="CB186" s="39"/>
      <c r="CC186" s="39"/>
      <c r="CD186" s="39"/>
      <c r="CE186" s="39"/>
      <c r="CF186" s="39"/>
      <c r="CG186" s="39"/>
      <c r="CH186" s="39"/>
      <c r="CI186" s="39"/>
      <c r="CJ186" s="39"/>
      <c r="CK186" s="39"/>
      <c r="CL186" s="39"/>
      <c r="CM186" s="39"/>
      <c r="CN186" s="39"/>
      <c r="CO186" s="39"/>
      <c r="CP186" s="39"/>
      <c r="CQ186" s="39"/>
      <c r="CR186" s="39"/>
      <c r="CS186" s="39"/>
      <c r="CT186" s="39"/>
      <c r="CU186" s="39"/>
      <c r="CV186" s="39"/>
      <c r="CW186" s="39"/>
      <c r="CX186" s="39"/>
      <c r="CY186" s="39"/>
      <c r="CZ186" s="48"/>
      <c r="DA186" s="48"/>
      <c r="DB186" s="48"/>
      <c r="DC186" s="48"/>
      <c r="DD186" s="48"/>
      <c r="DE186" s="48"/>
      <c r="DF186" s="48"/>
      <c r="DG186" s="48"/>
      <c r="DH186" s="48"/>
      <c r="DI186" s="48"/>
      <c r="DJ186" s="48"/>
      <c r="DK186" s="48"/>
      <c r="DL186" s="48"/>
      <c r="DM186" s="48"/>
      <c r="DN186" s="48"/>
      <c r="DO186" s="48"/>
      <c r="DP186" s="48"/>
      <c r="DQ186" s="48"/>
      <c r="DR186" s="48"/>
      <c r="DS186" s="48"/>
      <c r="DT186" s="48"/>
      <c r="DU186" s="48"/>
      <c r="DV186" s="48"/>
      <c r="DW186" s="48"/>
      <c r="DX186" s="48"/>
      <c r="DY186" s="48"/>
      <c r="DZ186" s="48"/>
      <c r="EA186" s="48"/>
      <c r="EB186" s="48"/>
      <c r="EC186" s="48"/>
      <c r="ED186" s="48"/>
    </row>
    <row r="187" spans="1:134" ht="11.25" customHeight="1" x14ac:dyDescent="0.3">
      <c r="A187" s="28" t="e">
        <f t="array" aca="1" ref="A187" ca="1">_xludf.XLOOKUP(S187,Master_Registrations!P:P,Master_Registrations!A:A,"")</f>
        <v>#NAME?</v>
      </c>
      <c r="B187" s="39" t="s">
        <v>182</v>
      </c>
      <c r="C187" s="39">
        <v>2026</v>
      </c>
      <c r="D187" s="39" t="s">
        <v>4886</v>
      </c>
      <c r="E187" s="39">
        <v>8</v>
      </c>
      <c r="F187" s="40" t="str">
        <f t="shared" si="0"/>
        <v>VED-01-2026-GR-8</v>
      </c>
      <c r="G187" s="39" t="s">
        <v>6501</v>
      </c>
      <c r="H187" s="39" t="s">
        <v>7049</v>
      </c>
      <c r="I187" s="39"/>
      <c r="J187" s="39" t="s">
        <v>198</v>
      </c>
      <c r="K187" s="49"/>
      <c r="L187" s="49"/>
      <c r="M187" s="49"/>
      <c r="N187" s="39" t="s">
        <v>1031</v>
      </c>
      <c r="O187" s="39" t="s">
        <v>313</v>
      </c>
      <c r="P187" s="39" t="s">
        <v>3677</v>
      </c>
      <c r="Q187" s="39" t="e">
        <f t="shared" ca="1" si="5"/>
        <v>#NAME?</v>
      </c>
      <c r="R187" s="39" t="s">
        <v>112</v>
      </c>
      <c r="S187" s="50">
        <v>9110500700</v>
      </c>
      <c r="T187" s="40" t="s">
        <v>111</v>
      </c>
      <c r="U187" s="39">
        <v>1989</v>
      </c>
      <c r="V187" s="45">
        <v>-1</v>
      </c>
      <c r="W187" s="45">
        <v>-1</v>
      </c>
      <c r="X187" s="45">
        <v>-1</v>
      </c>
      <c r="Y187" s="45">
        <v>-1</v>
      </c>
      <c r="Z187" s="45">
        <v>-1</v>
      </c>
      <c r="AA187" s="45">
        <v>-1</v>
      </c>
      <c r="AB187" s="45">
        <v>-1</v>
      </c>
      <c r="AC187" s="45">
        <v>-1</v>
      </c>
      <c r="AD187" s="45">
        <v>-1</v>
      </c>
      <c r="AE187" s="45">
        <v>-1</v>
      </c>
      <c r="AF187" s="45">
        <v>-1</v>
      </c>
      <c r="AG187" s="45">
        <v>-1</v>
      </c>
      <c r="AH187" s="45">
        <v>-1</v>
      </c>
      <c r="AI187" s="45">
        <v>-1</v>
      </c>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48"/>
      <c r="DA187" s="48"/>
      <c r="DB187" s="48"/>
      <c r="DC187" s="48"/>
      <c r="DD187" s="48"/>
      <c r="DE187" s="48"/>
      <c r="DF187" s="48"/>
      <c r="DG187" s="48"/>
      <c r="DH187" s="48"/>
      <c r="DI187" s="48"/>
      <c r="DJ187" s="48"/>
      <c r="DK187" s="48"/>
      <c r="DL187" s="48"/>
      <c r="DM187" s="48"/>
      <c r="DN187" s="48"/>
      <c r="DO187" s="48"/>
      <c r="DP187" s="48"/>
      <c r="DQ187" s="48"/>
      <c r="DR187" s="48"/>
      <c r="DS187" s="48"/>
      <c r="DT187" s="48"/>
      <c r="DU187" s="48"/>
      <c r="DV187" s="48"/>
      <c r="DW187" s="48"/>
      <c r="DX187" s="48"/>
      <c r="DY187" s="48"/>
      <c r="DZ187" s="48"/>
      <c r="EA187" s="48"/>
      <c r="EB187" s="48"/>
      <c r="EC187" s="48"/>
      <c r="ED187" s="48"/>
    </row>
    <row r="188" spans="1:134" ht="11.25" customHeight="1" x14ac:dyDescent="0.3">
      <c r="A188" s="28" t="e">
        <f t="array" aca="1" ref="A188" ca="1">_xludf.XLOOKUP(S188,Master_Registrations!P:P,Master_Registrations!A:A,"")</f>
        <v>#NAME?</v>
      </c>
      <c r="B188" s="39" t="s">
        <v>182</v>
      </c>
      <c r="C188" s="39">
        <v>2026</v>
      </c>
      <c r="D188" s="39" t="s">
        <v>4886</v>
      </c>
      <c r="E188" s="39">
        <v>8</v>
      </c>
      <c r="F188" s="40" t="str">
        <f t="shared" si="0"/>
        <v>VED-01-2026-GR-8</v>
      </c>
      <c r="G188" s="39" t="s">
        <v>6501</v>
      </c>
      <c r="H188" s="39" t="s">
        <v>7049</v>
      </c>
      <c r="I188" s="39"/>
      <c r="J188" s="39" t="s">
        <v>198</v>
      </c>
      <c r="K188" s="49"/>
      <c r="L188" s="49"/>
      <c r="M188" s="49"/>
      <c r="N188" s="39" t="s">
        <v>1112</v>
      </c>
      <c r="O188" s="39" t="s">
        <v>445</v>
      </c>
      <c r="P188" s="39" t="s">
        <v>3390</v>
      </c>
      <c r="Q188" s="39" t="e">
        <f t="shared" ca="1" si="5"/>
        <v>#NAME?</v>
      </c>
      <c r="R188" s="39" t="s">
        <v>316</v>
      </c>
      <c r="S188" s="50">
        <v>2488021056</v>
      </c>
      <c r="T188" s="40" t="s">
        <v>402</v>
      </c>
      <c r="U188" s="39">
        <v>1977</v>
      </c>
      <c r="V188" s="44">
        <v>1</v>
      </c>
      <c r="W188" s="45">
        <v>-1</v>
      </c>
      <c r="X188" s="46">
        <v>1</v>
      </c>
      <c r="Y188" s="46">
        <v>1</v>
      </c>
      <c r="Z188" s="46">
        <v>1</v>
      </c>
      <c r="AA188" s="47">
        <v>-1</v>
      </c>
      <c r="AB188" s="47">
        <v>-1</v>
      </c>
      <c r="AC188" s="45">
        <v>-1</v>
      </c>
      <c r="AD188" s="45">
        <v>-1</v>
      </c>
      <c r="AE188" s="45">
        <v>-1</v>
      </c>
      <c r="AF188" s="45">
        <v>-1</v>
      </c>
      <c r="AG188" s="45">
        <v>-1</v>
      </c>
      <c r="AH188" s="45">
        <v>-1</v>
      </c>
      <c r="AI188" s="47">
        <v>-1</v>
      </c>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c r="BZ188" s="39"/>
      <c r="CA188" s="39"/>
      <c r="CB188" s="39"/>
      <c r="CC188" s="39"/>
      <c r="CD188" s="39"/>
      <c r="CE188" s="39"/>
      <c r="CF188" s="39"/>
      <c r="CG188" s="39"/>
      <c r="CH188" s="39"/>
      <c r="CI188" s="39"/>
      <c r="CJ188" s="39"/>
      <c r="CK188" s="39"/>
      <c r="CL188" s="39"/>
      <c r="CM188" s="39"/>
      <c r="CN188" s="39"/>
      <c r="CO188" s="39"/>
      <c r="CP188" s="39"/>
      <c r="CQ188" s="39"/>
      <c r="CR188" s="39"/>
      <c r="CS188" s="39"/>
      <c r="CT188" s="39"/>
      <c r="CU188" s="39"/>
      <c r="CV188" s="39"/>
      <c r="CW188" s="39"/>
      <c r="CX188" s="39"/>
      <c r="CY188" s="39"/>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c r="DX188" s="48"/>
      <c r="DY188" s="48"/>
      <c r="DZ188" s="48"/>
      <c r="EA188" s="48"/>
      <c r="EB188" s="48"/>
      <c r="EC188" s="48"/>
      <c r="ED188" s="48"/>
    </row>
    <row r="189" spans="1:134" ht="11.25" customHeight="1" x14ac:dyDescent="0.3">
      <c r="A189" s="28" t="e">
        <f t="array" aca="1" ref="A189" ca="1">_xludf.XLOOKUP(S189,Master_Registrations!P:P,Master_Registrations!A:A,"")</f>
        <v>#NAME?</v>
      </c>
      <c r="B189" s="39" t="s">
        <v>182</v>
      </c>
      <c r="C189" s="39">
        <v>2026</v>
      </c>
      <c r="D189" s="39" t="s">
        <v>4886</v>
      </c>
      <c r="E189" s="39">
        <v>8</v>
      </c>
      <c r="F189" s="40" t="str">
        <f t="shared" si="0"/>
        <v>VED-01-2026-GR-8</v>
      </c>
      <c r="G189" s="39" t="s">
        <v>6501</v>
      </c>
      <c r="H189" s="39" t="s">
        <v>7049</v>
      </c>
      <c r="I189" s="39"/>
      <c r="J189" s="39" t="s">
        <v>198</v>
      </c>
      <c r="K189" s="49"/>
      <c r="L189" s="49"/>
      <c r="M189" s="49"/>
      <c r="N189" s="39" t="s">
        <v>1196</v>
      </c>
      <c r="O189" s="39" t="s">
        <v>347</v>
      </c>
      <c r="P189" s="39" t="s">
        <v>348</v>
      </c>
      <c r="Q189" s="39" t="e">
        <f t="shared" ca="1" si="5"/>
        <v>#NAME?</v>
      </c>
      <c r="R189" s="39" t="s">
        <v>112</v>
      </c>
      <c r="S189" s="50">
        <v>9154320012</v>
      </c>
      <c r="T189" s="40" t="s">
        <v>111</v>
      </c>
      <c r="U189" s="39">
        <v>1992</v>
      </c>
      <c r="V189" s="45">
        <v>-1</v>
      </c>
      <c r="W189" s="45">
        <v>-1</v>
      </c>
      <c r="X189" s="45">
        <v>-1</v>
      </c>
      <c r="Y189" s="45">
        <v>-1</v>
      </c>
      <c r="Z189" s="45">
        <v>-1</v>
      </c>
      <c r="AA189" s="45">
        <v>-1</v>
      </c>
      <c r="AB189" s="45">
        <v>-1</v>
      </c>
      <c r="AC189" s="45">
        <v>-1</v>
      </c>
      <c r="AD189" s="45">
        <v>-1</v>
      </c>
      <c r="AE189" s="45">
        <v>-1</v>
      </c>
      <c r="AF189" s="45">
        <v>-1</v>
      </c>
      <c r="AG189" s="45">
        <v>-1</v>
      </c>
      <c r="AH189" s="45">
        <v>-1</v>
      </c>
      <c r="AI189" s="45">
        <v>-1</v>
      </c>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48"/>
      <c r="DA189" s="48"/>
      <c r="DB189" s="48"/>
      <c r="DC189" s="48"/>
      <c r="DD189" s="48"/>
      <c r="DE189" s="48"/>
      <c r="DF189" s="48"/>
      <c r="DG189" s="48"/>
      <c r="DH189" s="48"/>
      <c r="DI189" s="48"/>
      <c r="DJ189" s="48"/>
      <c r="DK189" s="48"/>
      <c r="DL189" s="48"/>
      <c r="DM189" s="48"/>
      <c r="DN189" s="48"/>
      <c r="DO189" s="48"/>
      <c r="DP189" s="48"/>
      <c r="DQ189" s="48"/>
      <c r="DR189" s="48"/>
      <c r="DS189" s="48"/>
      <c r="DT189" s="48"/>
      <c r="DU189" s="48"/>
      <c r="DV189" s="48"/>
      <c r="DW189" s="48"/>
      <c r="DX189" s="48"/>
      <c r="DY189" s="48"/>
      <c r="DZ189" s="48"/>
      <c r="EA189" s="48"/>
      <c r="EB189" s="48"/>
      <c r="EC189" s="48"/>
      <c r="ED189" s="48"/>
    </row>
    <row r="190" spans="1:134" ht="11.25" customHeight="1" x14ac:dyDescent="0.3">
      <c r="A190" s="28" t="e">
        <f t="array" aca="1" ref="A190" ca="1">_xludf.XLOOKUP(S190,Master_Registrations!P:P,Master_Registrations!A:A,"")</f>
        <v>#NAME?</v>
      </c>
      <c r="B190" s="28" t="s">
        <v>7050</v>
      </c>
      <c r="C190" s="28">
        <v>2026</v>
      </c>
      <c r="D190" s="28" t="s">
        <v>4886</v>
      </c>
      <c r="E190" s="28">
        <v>1</v>
      </c>
      <c r="F190" s="29" t="str">
        <f t="shared" si="0"/>
        <v>VED-02-2026-GR-1</v>
      </c>
      <c r="G190" s="28" t="s">
        <v>5183</v>
      </c>
      <c r="H190" s="28" t="s">
        <v>940</v>
      </c>
      <c r="I190" s="28" t="s">
        <v>7051</v>
      </c>
      <c r="J190" s="28" t="s">
        <v>198</v>
      </c>
      <c r="K190" s="35">
        <v>1</v>
      </c>
      <c r="L190" s="35">
        <v>1</v>
      </c>
      <c r="M190" s="36"/>
      <c r="N190" s="28" t="s">
        <v>200</v>
      </c>
      <c r="O190" s="28" t="s">
        <v>1282</v>
      </c>
      <c r="P190" s="28" t="s">
        <v>6617</v>
      </c>
      <c r="Q190" s="28" t="e">
        <f t="shared" ca="1" si="5"/>
        <v>#NAME?</v>
      </c>
      <c r="R190" s="28" t="s">
        <v>112</v>
      </c>
      <c r="S190" s="55">
        <v>9347746060</v>
      </c>
      <c r="T190" s="29" t="s">
        <v>111</v>
      </c>
      <c r="U190" s="28">
        <v>1959</v>
      </c>
      <c r="V190" s="35">
        <v>1</v>
      </c>
      <c r="W190" s="33">
        <v>-1</v>
      </c>
      <c r="X190" s="35">
        <v>2</v>
      </c>
      <c r="Y190" s="35">
        <v>2</v>
      </c>
      <c r="Z190" s="35">
        <v>2</v>
      </c>
      <c r="AA190" s="35">
        <v>2</v>
      </c>
      <c r="AB190" s="35">
        <v>2</v>
      </c>
      <c r="AC190" s="35">
        <v>1</v>
      </c>
      <c r="AD190" s="35">
        <v>1</v>
      </c>
      <c r="AE190" s="35">
        <v>1</v>
      </c>
      <c r="AF190" s="35">
        <v>1</v>
      </c>
      <c r="AG190" s="35">
        <v>1</v>
      </c>
      <c r="AH190" s="35">
        <v>1</v>
      </c>
      <c r="AI190" s="33">
        <v>-1</v>
      </c>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row>
    <row r="191" spans="1:134" ht="11.25" customHeight="1" x14ac:dyDescent="0.3">
      <c r="A191" s="28">
        <f>_xlfn.XLOOKUP(S191,Master_Registrations!P:P,Master_Registrations!A:A,"")</f>
        <v>2025</v>
      </c>
      <c r="B191" s="28" t="s">
        <v>7050</v>
      </c>
      <c r="C191" s="28">
        <v>2026</v>
      </c>
      <c r="D191" s="28" t="s">
        <v>4886</v>
      </c>
      <c r="E191" s="28">
        <v>1</v>
      </c>
      <c r="F191" s="29" t="str">
        <f t="shared" si="0"/>
        <v>VED-02-2026-GR-1</v>
      </c>
      <c r="G191" s="28" t="s">
        <v>5183</v>
      </c>
      <c r="H191" s="28" t="s">
        <v>940</v>
      </c>
      <c r="I191" s="28" t="s">
        <v>7051</v>
      </c>
      <c r="J191" s="28" t="s">
        <v>198</v>
      </c>
      <c r="K191" s="35">
        <v>1</v>
      </c>
      <c r="L191" s="35">
        <v>1</v>
      </c>
      <c r="M191" s="36"/>
      <c r="N191" s="28" t="s">
        <v>299</v>
      </c>
      <c r="O191" s="28" t="s">
        <v>201</v>
      </c>
      <c r="P191" s="28" t="s">
        <v>2598</v>
      </c>
      <c r="Q191" s="28" t="e">
        <f t="shared" ca="1" si="5"/>
        <v>#NAME?</v>
      </c>
      <c r="R191" s="28" t="s">
        <v>112</v>
      </c>
      <c r="S191" s="55">
        <v>9986458997</v>
      </c>
      <c r="T191" s="29" t="s">
        <v>111</v>
      </c>
      <c r="U191" s="28">
        <v>1980</v>
      </c>
      <c r="V191" s="35">
        <v>1</v>
      </c>
      <c r="W191" s="33">
        <v>-1</v>
      </c>
      <c r="X191" s="35">
        <v>1</v>
      </c>
      <c r="Y191" s="35">
        <v>1</v>
      </c>
      <c r="Z191" s="35">
        <v>1</v>
      </c>
      <c r="AA191" s="35">
        <v>-1</v>
      </c>
      <c r="AB191" s="35">
        <v>-1</v>
      </c>
      <c r="AC191" s="33">
        <v>-1</v>
      </c>
      <c r="AD191" s="35">
        <v>1</v>
      </c>
      <c r="AE191" s="35">
        <v>1</v>
      </c>
      <c r="AF191" s="35">
        <v>1</v>
      </c>
      <c r="AG191" s="35">
        <v>1</v>
      </c>
      <c r="AH191" s="33">
        <v>-1</v>
      </c>
      <c r="AI191" s="33">
        <v>-1</v>
      </c>
      <c r="AJ191" s="33">
        <v>-1</v>
      </c>
      <c r="AK191" s="33">
        <v>-1</v>
      </c>
      <c r="AL191" s="33">
        <v>-1</v>
      </c>
      <c r="AM191" s="33">
        <v>-1</v>
      </c>
      <c r="AN191" s="33">
        <v>-1</v>
      </c>
      <c r="AO191" s="33">
        <v>-1</v>
      </c>
      <c r="AP191" s="33">
        <v>-1</v>
      </c>
      <c r="AQ191" s="33">
        <v>-1</v>
      </c>
      <c r="AR191" s="33">
        <v>-1</v>
      </c>
      <c r="AS191" s="33">
        <v>-1</v>
      </c>
      <c r="AT191" s="33">
        <v>-1</v>
      </c>
      <c r="AU191" s="33">
        <v>-1</v>
      </c>
      <c r="AV191" s="33">
        <v>-1</v>
      </c>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row>
    <row r="192" spans="1:134" ht="11.25" customHeight="1" x14ac:dyDescent="0.3">
      <c r="A192" s="28" t="e">
        <f t="array" aca="1" ref="A192" ca="1">_xludf.XLOOKUP(S192,Master_Registrations!P:P,Master_Registrations!A:A,"")</f>
        <v>#NAME?</v>
      </c>
      <c r="B192" s="28" t="s">
        <v>7050</v>
      </c>
      <c r="C192" s="28">
        <v>2026</v>
      </c>
      <c r="D192" s="28" t="s">
        <v>4886</v>
      </c>
      <c r="E192" s="28">
        <v>1</v>
      </c>
      <c r="F192" s="29" t="str">
        <f t="shared" si="0"/>
        <v>VED-02-2026-GR-1</v>
      </c>
      <c r="G192" s="28" t="s">
        <v>5183</v>
      </c>
      <c r="H192" s="28" t="s">
        <v>940</v>
      </c>
      <c r="I192" s="28" t="s">
        <v>7051</v>
      </c>
      <c r="J192" s="28" t="s">
        <v>198</v>
      </c>
      <c r="K192" s="38">
        <v>2</v>
      </c>
      <c r="L192" s="38">
        <v>2</v>
      </c>
      <c r="M192" s="36"/>
      <c r="N192" s="28" t="s">
        <v>369</v>
      </c>
      <c r="O192" s="28" t="s">
        <v>2278</v>
      </c>
      <c r="P192" s="28" t="s">
        <v>2279</v>
      </c>
      <c r="Q192" s="28" t="e">
        <f t="shared" ca="1" si="5"/>
        <v>#NAME?</v>
      </c>
      <c r="R192" s="28" t="s">
        <v>112</v>
      </c>
      <c r="S192" s="55">
        <v>7095689760</v>
      </c>
      <c r="T192" s="29" t="s">
        <v>111</v>
      </c>
      <c r="U192" s="28">
        <v>1972</v>
      </c>
      <c r="V192" s="35">
        <v>2</v>
      </c>
      <c r="W192" s="35">
        <v>2</v>
      </c>
      <c r="X192" s="35">
        <v>2</v>
      </c>
      <c r="Y192" s="35">
        <v>2</v>
      </c>
      <c r="Z192" s="35">
        <v>2</v>
      </c>
      <c r="AA192" s="35">
        <v>2</v>
      </c>
      <c r="AB192" s="35">
        <v>2</v>
      </c>
      <c r="AC192" s="35">
        <v>2</v>
      </c>
      <c r="AD192" s="35">
        <v>2</v>
      </c>
      <c r="AE192" s="35">
        <v>2</v>
      </c>
      <c r="AF192" s="35">
        <v>2</v>
      </c>
      <c r="AG192" s="35">
        <v>2</v>
      </c>
      <c r="AH192" s="35">
        <v>1</v>
      </c>
      <c r="AI192" s="33">
        <v>-1</v>
      </c>
      <c r="AJ192" s="33">
        <v>-1</v>
      </c>
      <c r="AK192" s="33">
        <v>-1</v>
      </c>
      <c r="AL192" s="33">
        <v>-1</v>
      </c>
      <c r="AM192" s="33">
        <v>-1</v>
      </c>
      <c r="AN192" s="33">
        <v>-1</v>
      </c>
      <c r="AO192" s="33">
        <v>-1</v>
      </c>
      <c r="AP192" s="33">
        <v>-1</v>
      </c>
      <c r="AQ192" s="33">
        <v>-1</v>
      </c>
      <c r="AR192" s="33">
        <v>-1</v>
      </c>
      <c r="AS192" s="33">
        <v>-1</v>
      </c>
      <c r="AT192" s="33">
        <v>-1</v>
      </c>
      <c r="AU192" s="33">
        <v>-1</v>
      </c>
      <c r="AV192" s="33">
        <v>-1</v>
      </c>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row>
    <row r="193" spans="1:134" ht="11.25" customHeight="1" x14ac:dyDescent="0.3">
      <c r="A193" s="28" t="e">
        <f t="array" aca="1" ref="A193" ca="1">_xludf.XLOOKUP(S193,Master_Registrations!P:P,Master_Registrations!A:A,"")</f>
        <v>#NAME?</v>
      </c>
      <c r="B193" s="28" t="s">
        <v>7050</v>
      </c>
      <c r="C193" s="28">
        <v>2026</v>
      </c>
      <c r="D193" s="28" t="s">
        <v>4886</v>
      </c>
      <c r="E193" s="28">
        <v>1</v>
      </c>
      <c r="F193" s="29" t="str">
        <f t="shared" si="0"/>
        <v>VED-02-2026-GR-1</v>
      </c>
      <c r="G193" s="28" t="s">
        <v>5183</v>
      </c>
      <c r="H193" s="28" t="s">
        <v>940</v>
      </c>
      <c r="I193" s="28" t="s">
        <v>7051</v>
      </c>
      <c r="J193" s="28" t="s">
        <v>198</v>
      </c>
      <c r="K193" s="35">
        <v>1</v>
      </c>
      <c r="L193" s="35">
        <v>1</v>
      </c>
      <c r="M193" s="36"/>
      <c r="N193" s="28" t="s">
        <v>434</v>
      </c>
      <c r="O193" s="28" t="s">
        <v>2199</v>
      </c>
      <c r="P193" s="28" t="s">
        <v>1858</v>
      </c>
      <c r="Q193" s="28" t="e">
        <f t="shared" ca="1" si="5"/>
        <v>#NAME?</v>
      </c>
      <c r="R193" s="28" t="s">
        <v>112</v>
      </c>
      <c r="S193" s="55">
        <v>9840893389</v>
      </c>
      <c r="T193" s="29" t="s">
        <v>111</v>
      </c>
      <c r="U193" s="28">
        <v>1991</v>
      </c>
      <c r="V193" s="35">
        <v>1</v>
      </c>
      <c r="W193" s="33">
        <v>-1</v>
      </c>
      <c r="X193" s="35">
        <v>1</v>
      </c>
      <c r="Y193" s="35">
        <v>1</v>
      </c>
      <c r="Z193" s="35">
        <v>1</v>
      </c>
      <c r="AA193" s="35">
        <v>1</v>
      </c>
      <c r="AB193" s="35">
        <v>1</v>
      </c>
      <c r="AC193" s="35">
        <v>1</v>
      </c>
      <c r="AD193" s="33">
        <v>-1</v>
      </c>
      <c r="AE193" s="33">
        <v>-1</v>
      </c>
      <c r="AF193" s="33">
        <v>-1</v>
      </c>
      <c r="AG193" s="33">
        <v>-1</v>
      </c>
      <c r="AH193" s="35">
        <v>1</v>
      </c>
      <c r="AI193" s="33">
        <v>-1</v>
      </c>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row>
    <row r="194" spans="1:134" ht="11.25" customHeight="1" x14ac:dyDescent="0.3">
      <c r="A194" s="28" t="e">
        <f t="array" aca="1" ref="A194" ca="1">_xludf.XLOOKUP(S194,Master_Registrations!P:P,Master_Registrations!A:A,"")</f>
        <v>#NAME?</v>
      </c>
      <c r="B194" s="28" t="s">
        <v>7050</v>
      </c>
      <c r="C194" s="28">
        <v>2026</v>
      </c>
      <c r="D194" s="28" t="s">
        <v>4886</v>
      </c>
      <c r="E194" s="28">
        <v>1</v>
      </c>
      <c r="F194" s="29" t="str">
        <f t="shared" si="0"/>
        <v>VED-02-2026-GR-1</v>
      </c>
      <c r="G194" s="28" t="s">
        <v>5183</v>
      </c>
      <c r="H194" s="28" t="s">
        <v>940</v>
      </c>
      <c r="I194" s="28" t="s">
        <v>7051</v>
      </c>
      <c r="J194" s="28" t="s">
        <v>198</v>
      </c>
      <c r="K194" s="37">
        <v>-1</v>
      </c>
      <c r="L194" s="37">
        <v>-1</v>
      </c>
      <c r="M194" s="36"/>
      <c r="N194" s="28" t="s">
        <v>525</v>
      </c>
      <c r="O194" s="28" t="s">
        <v>2420</v>
      </c>
      <c r="P194" s="28" t="s">
        <v>2421</v>
      </c>
      <c r="Q194" s="28" t="e">
        <f t="shared" ca="1" si="5"/>
        <v>#NAME?</v>
      </c>
      <c r="R194" s="28" t="s">
        <v>112</v>
      </c>
      <c r="S194" s="55">
        <v>9959455005</v>
      </c>
      <c r="T194" s="29" t="s">
        <v>111</v>
      </c>
      <c r="U194" s="28">
        <v>1958</v>
      </c>
      <c r="V194" s="35">
        <v>1</v>
      </c>
      <c r="W194" s="33">
        <v>-1</v>
      </c>
      <c r="X194" s="35">
        <v>-1</v>
      </c>
      <c r="Y194" s="35">
        <v>-1</v>
      </c>
      <c r="Z194" s="35">
        <v>-1</v>
      </c>
      <c r="AA194" s="35">
        <v>-1</v>
      </c>
      <c r="AB194" s="35">
        <v>-1</v>
      </c>
      <c r="AC194" s="33">
        <v>-1</v>
      </c>
      <c r="AD194" s="33">
        <v>-1</v>
      </c>
      <c r="AE194" s="33">
        <v>-1</v>
      </c>
      <c r="AF194" s="33">
        <v>-1</v>
      </c>
      <c r="AG194" s="33">
        <v>-1</v>
      </c>
      <c r="AH194" s="33">
        <v>-1</v>
      </c>
      <c r="AI194" s="33">
        <v>-1</v>
      </c>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row>
    <row r="195" spans="1:134" ht="11.25" customHeight="1" x14ac:dyDescent="0.3">
      <c r="A195" s="28" t="e">
        <f t="array" aca="1" ref="A195" ca="1">_xludf.XLOOKUP(S195,Master_Registrations!P:P,Master_Registrations!A:A,"")</f>
        <v>#NAME?</v>
      </c>
      <c r="B195" s="28" t="s">
        <v>7050</v>
      </c>
      <c r="C195" s="28">
        <v>2026</v>
      </c>
      <c r="D195" s="28" t="s">
        <v>4886</v>
      </c>
      <c r="E195" s="28">
        <v>1</v>
      </c>
      <c r="F195" s="29" t="str">
        <f t="shared" si="0"/>
        <v>VED-02-2026-GR-1</v>
      </c>
      <c r="G195" s="28" t="s">
        <v>5183</v>
      </c>
      <c r="H195" s="28" t="s">
        <v>940</v>
      </c>
      <c r="I195" s="28" t="s">
        <v>7051</v>
      </c>
      <c r="J195" s="28" t="s">
        <v>198</v>
      </c>
      <c r="K195" s="36"/>
      <c r="L195" s="36"/>
      <c r="M195" s="36"/>
      <c r="N195" s="28" t="s">
        <v>621</v>
      </c>
      <c r="O195" s="28" t="s">
        <v>1692</v>
      </c>
      <c r="P195" s="28" t="s">
        <v>2857</v>
      </c>
      <c r="Q195" s="28" t="e">
        <f t="shared" ca="1" si="5"/>
        <v>#NAME?</v>
      </c>
      <c r="R195" s="28" t="s">
        <v>112</v>
      </c>
      <c r="S195" s="55">
        <v>8978803381</v>
      </c>
      <c r="T195" s="29" t="s">
        <v>111</v>
      </c>
      <c r="U195" s="28">
        <v>1993</v>
      </c>
      <c r="V195" s="35">
        <v>1</v>
      </c>
      <c r="W195" s="33">
        <v>-1</v>
      </c>
      <c r="X195" s="35">
        <v>1</v>
      </c>
      <c r="Y195" s="35">
        <v>1</v>
      </c>
      <c r="Z195" s="35">
        <v>1</v>
      </c>
      <c r="AA195" s="35">
        <v>1</v>
      </c>
      <c r="AB195" s="35">
        <v>1</v>
      </c>
      <c r="AC195" s="35">
        <v>1</v>
      </c>
      <c r="AD195" s="35">
        <v>1</v>
      </c>
      <c r="AE195" s="33">
        <v>-1</v>
      </c>
      <c r="AF195" s="33">
        <v>-1</v>
      </c>
      <c r="AG195" s="33">
        <v>-1</v>
      </c>
      <c r="AH195" s="35">
        <v>1</v>
      </c>
      <c r="AI195" s="33">
        <v>-1</v>
      </c>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row>
    <row r="196" spans="1:134" ht="11.25" customHeight="1" x14ac:dyDescent="0.3">
      <c r="A196" s="28" t="e">
        <f t="array" aca="1" ref="A196" ca="1">_xludf.XLOOKUP(S196,Master_Registrations!P:P,Master_Registrations!A:A,"")</f>
        <v>#NAME?</v>
      </c>
      <c r="B196" s="28" t="s">
        <v>7050</v>
      </c>
      <c r="C196" s="28">
        <v>2026</v>
      </c>
      <c r="D196" s="28" t="s">
        <v>4886</v>
      </c>
      <c r="E196" s="28">
        <v>1</v>
      </c>
      <c r="F196" s="29" t="str">
        <f t="shared" si="0"/>
        <v>VED-02-2026-GR-1</v>
      </c>
      <c r="G196" s="28" t="s">
        <v>5183</v>
      </c>
      <c r="H196" s="28" t="s">
        <v>940</v>
      </c>
      <c r="I196" s="28" t="s">
        <v>7051</v>
      </c>
      <c r="J196" s="28" t="s">
        <v>198</v>
      </c>
      <c r="K196" s="35">
        <v>1</v>
      </c>
      <c r="L196" s="35">
        <v>1</v>
      </c>
      <c r="M196" s="36"/>
      <c r="N196" s="28" t="s">
        <v>714</v>
      </c>
      <c r="O196" s="28" t="s">
        <v>143</v>
      </c>
      <c r="P196" s="28" t="s">
        <v>862</v>
      </c>
      <c r="Q196" s="28" t="e">
        <f t="shared" ca="1" si="5"/>
        <v>#NAME?</v>
      </c>
      <c r="R196" s="28" t="s">
        <v>112</v>
      </c>
      <c r="S196" s="55">
        <v>9704614600</v>
      </c>
      <c r="T196" s="29" t="s">
        <v>111</v>
      </c>
      <c r="U196" s="28">
        <v>1981</v>
      </c>
      <c r="V196" s="35">
        <v>1</v>
      </c>
      <c r="W196" s="33">
        <v>-1</v>
      </c>
      <c r="X196" s="35">
        <v>2</v>
      </c>
      <c r="Y196" s="35">
        <v>2</v>
      </c>
      <c r="Z196" s="35">
        <v>2</v>
      </c>
      <c r="AA196" s="35">
        <v>2</v>
      </c>
      <c r="AB196" s="35">
        <v>2</v>
      </c>
      <c r="AC196" s="35">
        <v>2</v>
      </c>
      <c r="AD196" s="35">
        <v>2</v>
      </c>
      <c r="AE196" s="35">
        <v>2</v>
      </c>
      <c r="AF196" s="35">
        <v>2</v>
      </c>
      <c r="AG196" s="35">
        <v>2</v>
      </c>
      <c r="AH196" s="35">
        <v>2</v>
      </c>
      <c r="AI196" s="33">
        <v>-1</v>
      </c>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row>
    <row r="197" spans="1:134" ht="11.25" customHeight="1" x14ac:dyDescent="0.3">
      <c r="A197" s="28" t="e">
        <f t="array" aca="1" ref="A197" ca="1">_xludf.XLOOKUP(S197,Master_Registrations!P:P,Master_Registrations!A:A,"")</f>
        <v>#NAME?</v>
      </c>
      <c r="B197" s="28" t="s">
        <v>7050</v>
      </c>
      <c r="C197" s="28">
        <v>2026</v>
      </c>
      <c r="D197" s="28" t="s">
        <v>4886</v>
      </c>
      <c r="E197" s="28">
        <v>1</v>
      </c>
      <c r="F197" s="29" t="str">
        <f t="shared" si="0"/>
        <v>VED-02-2026-GR-1</v>
      </c>
      <c r="G197" s="28" t="s">
        <v>5183</v>
      </c>
      <c r="H197" s="28" t="s">
        <v>940</v>
      </c>
      <c r="I197" s="28" t="s">
        <v>7051</v>
      </c>
      <c r="J197" s="28" t="s">
        <v>198</v>
      </c>
      <c r="K197" s="35">
        <v>1</v>
      </c>
      <c r="L197" s="35">
        <v>1</v>
      </c>
      <c r="M197" s="36"/>
      <c r="N197" s="28" t="s">
        <v>786</v>
      </c>
      <c r="O197" s="28" t="s">
        <v>2475</v>
      </c>
      <c r="P197" s="28" t="s">
        <v>2476</v>
      </c>
      <c r="Q197" s="28" t="e">
        <f t="shared" ca="1" si="5"/>
        <v>#NAME?</v>
      </c>
      <c r="R197" s="28" t="s">
        <v>112</v>
      </c>
      <c r="S197" s="55">
        <v>9963034201</v>
      </c>
      <c r="T197" s="29" t="s">
        <v>111</v>
      </c>
      <c r="U197" s="28">
        <v>1958</v>
      </c>
      <c r="V197" s="35">
        <v>1</v>
      </c>
      <c r="W197" s="33">
        <v>-1</v>
      </c>
      <c r="X197" s="35">
        <v>1</v>
      </c>
      <c r="Y197" s="35">
        <v>1</v>
      </c>
      <c r="Z197" s="35">
        <v>1</v>
      </c>
      <c r="AA197" s="35">
        <v>1</v>
      </c>
      <c r="AB197" s="35">
        <v>1</v>
      </c>
      <c r="AC197" s="33">
        <v>-1</v>
      </c>
      <c r="AD197" s="33">
        <v>-1</v>
      </c>
      <c r="AE197" s="35">
        <v>1</v>
      </c>
      <c r="AF197" s="35">
        <v>1</v>
      </c>
      <c r="AG197" s="35">
        <v>1</v>
      </c>
      <c r="AH197" s="35">
        <v>1</v>
      </c>
      <c r="AI197" s="33">
        <v>-1</v>
      </c>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row>
    <row r="198" spans="1:134" ht="11.25" customHeight="1" x14ac:dyDescent="0.3">
      <c r="A198" s="28" t="e">
        <f t="array" aca="1" ref="A198" ca="1">_xludf.XLOOKUP(S198,Master_Registrations!P:P,Master_Registrations!A:A,"")</f>
        <v>#NAME?</v>
      </c>
      <c r="B198" s="28" t="s">
        <v>7050</v>
      </c>
      <c r="C198" s="28">
        <v>2026</v>
      </c>
      <c r="D198" s="28" t="s">
        <v>4886</v>
      </c>
      <c r="E198" s="28">
        <v>1</v>
      </c>
      <c r="F198" s="29" t="str">
        <f t="shared" si="0"/>
        <v>VED-02-2026-GR-1</v>
      </c>
      <c r="G198" s="28" t="s">
        <v>5183</v>
      </c>
      <c r="H198" s="28" t="s">
        <v>940</v>
      </c>
      <c r="I198" s="28" t="s">
        <v>7051</v>
      </c>
      <c r="J198" s="28" t="s">
        <v>198</v>
      </c>
      <c r="K198" s="38"/>
      <c r="L198" s="38"/>
      <c r="M198" s="38"/>
      <c r="N198" s="28" t="s">
        <v>856</v>
      </c>
      <c r="O198" s="28" t="s">
        <v>2806</v>
      </c>
      <c r="P198" s="28" t="s">
        <v>2807</v>
      </c>
      <c r="Q198" s="28" t="e">
        <f t="shared" ca="1" si="5"/>
        <v>#NAME?</v>
      </c>
      <c r="R198" s="28" t="s">
        <v>112</v>
      </c>
      <c r="S198" s="55">
        <v>9705607612</v>
      </c>
      <c r="T198" s="29" t="s">
        <v>111</v>
      </c>
      <c r="U198" s="28">
        <v>1991</v>
      </c>
      <c r="V198" s="35">
        <v>2</v>
      </c>
      <c r="W198" s="35">
        <v>2</v>
      </c>
      <c r="X198" s="35">
        <v>2</v>
      </c>
      <c r="Y198" s="35">
        <v>2</v>
      </c>
      <c r="Z198" s="35">
        <v>2</v>
      </c>
      <c r="AA198" s="35">
        <v>2</v>
      </c>
      <c r="AB198" s="35">
        <v>2</v>
      </c>
      <c r="AC198" s="35">
        <v>2</v>
      </c>
      <c r="AD198" s="35">
        <v>2</v>
      </c>
      <c r="AE198" s="35">
        <v>2</v>
      </c>
      <c r="AF198" s="35">
        <v>2</v>
      </c>
      <c r="AG198" s="35">
        <v>2</v>
      </c>
      <c r="AH198" s="35">
        <v>2</v>
      </c>
      <c r="AI198" s="35">
        <v>3</v>
      </c>
      <c r="AJ198" s="33">
        <v>-1</v>
      </c>
      <c r="AK198" s="33">
        <v>-1</v>
      </c>
      <c r="AL198" s="33">
        <v>-1</v>
      </c>
      <c r="AM198" s="33">
        <v>-1</v>
      </c>
      <c r="AN198" s="33">
        <v>-1</v>
      </c>
      <c r="AO198" s="33">
        <v>-1</v>
      </c>
      <c r="AP198" s="33">
        <v>-1</v>
      </c>
      <c r="AQ198" s="33">
        <v>-1</v>
      </c>
      <c r="AR198" s="33">
        <v>-1</v>
      </c>
      <c r="AS198" s="33">
        <v>-1</v>
      </c>
      <c r="AT198" s="33">
        <v>-1</v>
      </c>
      <c r="AU198" s="33">
        <v>-1</v>
      </c>
      <c r="AV198" s="33">
        <v>-1</v>
      </c>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row>
    <row r="199" spans="1:134" ht="11.25" customHeight="1" x14ac:dyDescent="0.3">
      <c r="A199" s="28" t="e">
        <f t="array" aca="1" ref="A199" ca="1">_xludf.XLOOKUP(S199,Master_Registrations!P:P,Master_Registrations!A:A,"")</f>
        <v>#NAME?</v>
      </c>
      <c r="B199" s="28" t="s">
        <v>7050</v>
      </c>
      <c r="C199" s="28">
        <v>2026</v>
      </c>
      <c r="D199" s="28" t="s">
        <v>4886</v>
      </c>
      <c r="E199" s="28">
        <v>1</v>
      </c>
      <c r="F199" s="29" t="str">
        <f t="shared" si="0"/>
        <v>VED-02-2026-GR-1</v>
      </c>
      <c r="G199" s="28" t="s">
        <v>5183</v>
      </c>
      <c r="H199" s="28" t="s">
        <v>940</v>
      </c>
      <c r="I199" s="28" t="s">
        <v>7051</v>
      </c>
      <c r="J199" s="28" t="s">
        <v>198</v>
      </c>
      <c r="K199" s="37">
        <v>-1</v>
      </c>
      <c r="L199" s="37">
        <v>-1</v>
      </c>
      <c r="M199" s="36"/>
      <c r="N199" s="28" t="s">
        <v>915</v>
      </c>
      <c r="O199" s="28" t="s">
        <v>1774</v>
      </c>
      <c r="P199" s="28" t="s">
        <v>1377</v>
      </c>
      <c r="Q199" s="28" t="e">
        <f t="shared" ca="1" si="5"/>
        <v>#NAME?</v>
      </c>
      <c r="R199" s="28" t="s">
        <v>112</v>
      </c>
      <c r="S199" s="55">
        <v>9010023248</v>
      </c>
      <c r="T199" s="29" t="s">
        <v>111</v>
      </c>
      <c r="U199" s="28">
        <v>1957</v>
      </c>
      <c r="V199" s="35">
        <v>1</v>
      </c>
      <c r="W199" s="33">
        <v>-1</v>
      </c>
      <c r="X199" s="35">
        <v>1</v>
      </c>
      <c r="Y199" s="35">
        <v>1</v>
      </c>
      <c r="Z199" s="35">
        <v>1</v>
      </c>
      <c r="AA199" s="35">
        <v>1</v>
      </c>
      <c r="AB199" s="35">
        <v>1</v>
      </c>
      <c r="AC199" s="33">
        <v>-1</v>
      </c>
      <c r="AD199" s="33">
        <v>-1</v>
      </c>
      <c r="AE199" s="35">
        <v>1</v>
      </c>
      <c r="AF199" s="35">
        <v>1</v>
      </c>
      <c r="AG199" s="35">
        <v>1</v>
      </c>
      <c r="AH199" s="35">
        <v>-1</v>
      </c>
      <c r="AI199" s="33">
        <v>-1</v>
      </c>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row>
    <row r="200" spans="1:134" ht="11.25" customHeight="1" x14ac:dyDescent="0.3">
      <c r="A200" s="28" t="e">
        <f t="array" aca="1" ref="A200" ca="1">_xludf.XLOOKUP(S200,Master_Registrations!P:P,Master_Registrations!A:A,"")</f>
        <v>#NAME?</v>
      </c>
      <c r="B200" s="28" t="s">
        <v>7050</v>
      </c>
      <c r="C200" s="28">
        <v>2026</v>
      </c>
      <c r="D200" s="28" t="s">
        <v>4886</v>
      </c>
      <c r="E200" s="28">
        <v>1</v>
      </c>
      <c r="F200" s="29" t="str">
        <f t="shared" si="0"/>
        <v>VED-02-2026-GR-1</v>
      </c>
      <c r="G200" s="28" t="s">
        <v>5183</v>
      </c>
      <c r="H200" s="28" t="s">
        <v>940</v>
      </c>
      <c r="I200" s="28" t="s">
        <v>7051</v>
      </c>
      <c r="J200" s="28" t="s">
        <v>198</v>
      </c>
      <c r="K200" s="35">
        <v>1</v>
      </c>
      <c r="L200" s="35">
        <v>1</v>
      </c>
      <c r="M200" s="36"/>
      <c r="N200" s="28" t="s">
        <v>973</v>
      </c>
      <c r="O200" s="28" t="s">
        <v>2230</v>
      </c>
      <c r="P200" s="28" t="s">
        <v>2231</v>
      </c>
      <c r="Q200" s="28" t="e">
        <f t="shared" ca="1" si="5"/>
        <v>#NAME?</v>
      </c>
      <c r="R200" s="28" t="s">
        <v>112</v>
      </c>
      <c r="S200" s="55">
        <v>9491382756</v>
      </c>
      <c r="T200" s="29" t="s">
        <v>111</v>
      </c>
      <c r="U200" s="28">
        <v>1962</v>
      </c>
      <c r="V200" s="35">
        <v>2</v>
      </c>
      <c r="W200" s="35">
        <v>2</v>
      </c>
      <c r="X200" s="35">
        <v>2</v>
      </c>
      <c r="Y200" s="35">
        <v>2</v>
      </c>
      <c r="Z200" s="35">
        <v>2</v>
      </c>
      <c r="AA200" s="35">
        <v>2</v>
      </c>
      <c r="AB200" s="35">
        <v>2</v>
      </c>
      <c r="AC200" s="35">
        <v>2</v>
      </c>
      <c r="AD200" s="35">
        <v>2</v>
      </c>
      <c r="AE200" s="35">
        <v>2</v>
      </c>
      <c r="AF200" s="35">
        <v>2</v>
      </c>
      <c r="AG200" s="35">
        <v>2</v>
      </c>
      <c r="AH200" s="35">
        <v>2</v>
      </c>
      <c r="AI200" s="33">
        <v>-1</v>
      </c>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row>
    <row r="201" spans="1:134" ht="11.25" customHeight="1" x14ac:dyDescent="0.3">
      <c r="A201" s="28" t="e">
        <f t="array" aca="1" ref="A201" ca="1">_xludf.XLOOKUP(S201,Master_Registrations!P:P,Master_Registrations!A:A,"")</f>
        <v>#NAME?</v>
      </c>
      <c r="B201" s="28" t="s">
        <v>7050</v>
      </c>
      <c r="C201" s="28">
        <v>2026</v>
      </c>
      <c r="D201" s="28" t="s">
        <v>4886</v>
      </c>
      <c r="E201" s="28">
        <v>1</v>
      </c>
      <c r="F201" s="29" t="str">
        <f t="shared" si="0"/>
        <v>VED-02-2026-GR-1</v>
      </c>
      <c r="G201" s="28" t="s">
        <v>5183</v>
      </c>
      <c r="H201" s="28" t="s">
        <v>940</v>
      </c>
      <c r="I201" s="28" t="s">
        <v>7051</v>
      </c>
      <c r="J201" s="28" t="s">
        <v>198</v>
      </c>
      <c r="K201" s="38">
        <v>2</v>
      </c>
      <c r="L201" s="35">
        <v>1</v>
      </c>
      <c r="M201" s="36"/>
      <c r="N201" s="28" t="s">
        <v>1031</v>
      </c>
      <c r="O201" s="28" t="s">
        <v>622</v>
      </c>
      <c r="P201" s="28" t="s">
        <v>2592</v>
      </c>
      <c r="Q201" s="28" t="e">
        <f t="shared" ca="1" si="5"/>
        <v>#NAME?</v>
      </c>
      <c r="R201" s="28" t="s">
        <v>112</v>
      </c>
      <c r="S201" s="55">
        <v>8790998177</v>
      </c>
      <c r="T201" s="29" t="s">
        <v>111</v>
      </c>
      <c r="U201" s="28">
        <v>1988</v>
      </c>
      <c r="V201" s="33">
        <v>-1</v>
      </c>
      <c r="W201" s="33">
        <v>-1</v>
      </c>
      <c r="X201" s="35">
        <v>1</v>
      </c>
      <c r="Y201" s="35">
        <v>1</v>
      </c>
      <c r="Z201" s="33">
        <v>-1</v>
      </c>
      <c r="AA201" s="33">
        <v>-1</v>
      </c>
      <c r="AB201" s="33">
        <v>-1</v>
      </c>
      <c r="AC201" s="33">
        <v>-1</v>
      </c>
      <c r="AD201" s="33">
        <v>-1</v>
      </c>
      <c r="AE201" s="33">
        <v>-1</v>
      </c>
      <c r="AF201" s="33">
        <v>-1</v>
      </c>
      <c r="AG201" s="33">
        <v>-1</v>
      </c>
      <c r="AH201" s="33">
        <v>-1</v>
      </c>
      <c r="AI201" s="33">
        <v>-1</v>
      </c>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row>
    <row r="202" spans="1:134" ht="11.25" customHeight="1" x14ac:dyDescent="0.3">
      <c r="A202" s="28" t="e">
        <f t="array" aca="1" ref="A202" ca="1">_xludf.XLOOKUP(S202,Master_Registrations!P:P,Master_Registrations!A:A,"")</f>
        <v>#NAME?</v>
      </c>
      <c r="B202" s="28" t="s">
        <v>7050</v>
      </c>
      <c r="C202" s="28">
        <v>2026</v>
      </c>
      <c r="D202" s="28" t="s">
        <v>4886</v>
      </c>
      <c r="E202" s="28">
        <v>1</v>
      </c>
      <c r="F202" s="29" t="str">
        <f t="shared" si="0"/>
        <v>VED-02-2026-GR-1</v>
      </c>
      <c r="G202" s="28" t="s">
        <v>5183</v>
      </c>
      <c r="H202" s="28" t="s">
        <v>940</v>
      </c>
      <c r="I202" s="28" t="s">
        <v>7051</v>
      </c>
      <c r="J202" s="28" t="s">
        <v>198</v>
      </c>
      <c r="K202" s="35">
        <v>1</v>
      </c>
      <c r="L202" s="35">
        <v>1</v>
      </c>
      <c r="M202" s="36"/>
      <c r="N202" s="28" t="s">
        <v>1112</v>
      </c>
      <c r="O202" s="28" t="s">
        <v>634</v>
      </c>
      <c r="P202" s="28" t="s">
        <v>2304</v>
      </c>
      <c r="Q202" s="28" t="e">
        <f t="shared" ca="1" si="5"/>
        <v>#NAME?</v>
      </c>
      <c r="R202" s="28" t="s">
        <v>112</v>
      </c>
      <c r="S202" s="55">
        <v>9966016096</v>
      </c>
      <c r="T202" s="29" t="s">
        <v>111</v>
      </c>
      <c r="U202" s="28">
        <v>1982</v>
      </c>
      <c r="V202" s="35">
        <v>1</v>
      </c>
      <c r="W202" s="33">
        <v>-1</v>
      </c>
      <c r="X202" s="35">
        <v>1</v>
      </c>
      <c r="Y202" s="35">
        <v>1</v>
      </c>
      <c r="Z202" s="35">
        <v>1</v>
      </c>
      <c r="AA202" s="35">
        <v>1</v>
      </c>
      <c r="AB202" s="35">
        <v>1</v>
      </c>
      <c r="AC202" s="33">
        <v>-1</v>
      </c>
      <c r="AD202" s="33">
        <v>-1</v>
      </c>
      <c r="AE202" s="35">
        <v>1</v>
      </c>
      <c r="AF202" s="35">
        <v>1</v>
      </c>
      <c r="AG202" s="35">
        <v>1</v>
      </c>
      <c r="AH202" s="35">
        <v>1</v>
      </c>
      <c r="AI202" s="33">
        <v>-1</v>
      </c>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4"/>
    </row>
    <row r="203" spans="1:134" ht="11.25" customHeight="1" x14ac:dyDescent="0.3">
      <c r="A203" s="28" t="e">
        <f t="array" aca="1" ref="A203" ca="1">_xludf.XLOOKUP(S203,Master_Registrations!P:P,Master_Registrations!A:A,"")</f>
        <v>#NAME?</v>
      </c>
      <c r="B203" s="28" t="s">
        <v>7050</v>
      </c>
      <c r="C203" s="28">
        <v>2026</v>
      </c>
      <c r="D203" s="28" t="s">
        <v>4886</v>
      </c>
      <c r="E203" s="28">
        <v>1</v>
      </c>
      <c r="F203" s="29" t="str">
        <f t="shared" si="0"/>
        <v>VED-02-2026-GR-1</v>
      </c>
      <c r="G203" s="28" t="s">
        <v>5183</v>
      </c>
      <c r="H203" s="28" t="s">
        <v>940</v>
      </c>
      <c r="I203" s="28" t="s">
        <v>7051</v>
      </c>
      <c r="J203" s="28" t="s">
        <v>198</v>
      </c>
      <c r="K203" s="35">
        <v>1</v>
      </c>
      <c r="L203" s="37">
        <v>-1</v>
      </c>
      <c r="M203" s="36"/>
      <c r="N203" s="28" t="s">
        <v>1196</v>
      </c>
      <c r="O203" s="28" t="s">
        <v>2238</v>
      </c>
      <c r="P203" s="28" t="s">
        <v>2239</v>
      </c>
      <c r="Q203" s="28" t="e">
        <f t="shared" ca="1" si="5"/>
        <v>#NAME?</v>
      </c>
      <c r="R203" s="28" t="s">
        <v>112</v>
      </c>
      <c r="S203" s="55">
        <v>9985165833</v>
      </c>
      <c r="T203" s="29" t="s">
        <v>111</v>
      </c>
      <c r="U203" s="28">
        <v>1955</v>
      </c>
      <c r="V203" s="35">
        <v>1</v>
      </c>
      <c r="W203" s="33">
        <v>-1</v>
      </c>
      <c r="X203" s="35">
        <v>1</v>
      </c>
      <c r="Y203" s="35">
        <v>1</v>
      </c>
      <c r="Z203" s="35">
        <v>1</v>
      </c>
      <c r="AA203" s="35">
        <v>1</v>
      </c>
      <c r="AB203" s="35">
        <v>1</v>
      </c>
      <c r="AC203" s="35">
        <v>-1</v>
      </c>
      <c r="AD203" s="35">
        <v>1</v>
      </c>
      <c r="AE203" s="35">
        <v>-1</v>
      </c>
      <c r="AF203" s="35">
        <v>-1</v>
      </c>
      <c r="AG203" s="35">
        <v>-1</v>
      </c>
      <c r="AH203" s="35">
        <v>-1</v>
      </c>
      <c r="AI203" s="33">
        <v>-1</v>
      </c>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row>
    <row r="204" spans="1:134" ht="11.25" customHeight="1" x14ac:dyDescent="0.3">
      <c r="A204" s="28" t="e">
        <f t="array" aca="1" ref="A204" ca="1">_xludf.XLOOKUP(S204,Master_Registrations!P:P,Master_Registrations!A:A,"")</f>
        <v>#NAME?</v>
      </c>
      <c r="B204" s="28" t="s">
        <v>7050</v>
      </c>
      <c r="C204" s="28">
        <v>2026</v>
      </c>
      <c r="D204" s="28" t="s">
        <v>4886</v>
      </c>
      <c r="E204" s="28">
        <v>1</v>
      </c>
      <c r="F204" s="29" t="str">
        <f t="shared" si="0"/>
        <v>VED-02-2026-GR-1</v>
      </c>
      <c r="G204" s="28" t="s">
        <v>5183</v>
      </c>
      <c r="H204" s="28" t="s">
        <v>940</v>
      </c>
      <c r="I204" s="28" t="s">
        <v>7051</v>
      </c>
      <c r="J204" s="28" t="s">
        <v>198</v>
      </c>
      <c r="K204" s="35">
        <v>1</v>
      </c>
      <c r="L204" s="35">
        <v>1</v>
      </c>
      <c r="M204" s="36"/>
      <c r="N204" s="28" t="s">
        <v>2297</v>
      </c>
      <c r="O204" s="28" t="s">
        <v>186</v>
      </c>
      <c r="P204" s="28" t="s">
        <v>187</v>
      </c>
      <c r="Q204" s="28" t="e">
        <f t="shared" ca="1" si="5"/>
        <v>#NAME?</v>
      </c>
      <c r="R204" s="28" t="s">
        <v>112</v>
      </c>
      <c r="S204" s="55">
        <v>9515248299</v>
      </c>
      <c r="T204" s="29" t="s">
        <v>111</v>
      </c>
      <c r="U204" s="28">
        <v>1993</v>
      </c>
      <c r="V204" s="35">
        <v>1</v>
      </c>
      <c r="W204" s="33">
        <v>-1</v>
      </c>
      <c r="X204" s="35">
        <v>2</v>
      </c>
      <c r="Y204" s="35">
        <v>2</v>
      </c>
      <c r="Z204" s="35">
        <v>2</v>
      </c>
      <c r="AA204" s="35">
        <v>1</v>
      </c>
      <c r="AB204" s="35">
        <v>2</v>
      </c>
      <c r="AC204" s="35">
        <v>1</v>
      </c>
      <c r="AD204" s="35">
        <v>1</v>
      </c>
      <c r="AE204" s="35">
        <v>1</v>
      </c>
      <c r="AF204" s="35">
        <v>1</v>
      </c>
      <c r="AG204" s="35">
        <v>1</v>
      </c>
      <c r="AH204" s="35">
        <v>1</v>
      </c>
      <c r="AI204" s="33">
        <v>-1</v>
      </c>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c r="DZ204" s="34"/>
      <c r="EA204" s="34"/>
      <c r="EB204" s="34"/>
      <c r="EC204" s="34"/>
      <c r="ED204" s="34"/>
    </row>
    <row r="205" spans="1:134" ht="11.25" customHeight="1" x14ac:dyDescent="0.3">
      <c r="A205" s="28" t="e">
        <f t="array" aca="1" ref="A205" ca="1">_xludf.XLOOKUP(S205,Master_Registrations!P:P,Master_Registrations!A:A,"")</f>
        <v>#NAME?</v>
      </c>
      <c r="B205" s="28" t="s">
        <v>7050</v>
      </c>
      <c r="C205" s="28">
        <v>2026</v>
      </c>
      <c r="D205" s="28" t="s">
        <v>4886</v>
      </c>
      <c r="E205" s="28">
        <v>1</v>
      </c>
      <c r="F205" s="29" t="str">
        <f t="shared" si="0"/>
        <v>VED-02-2026-GR-1</v>
      </c>
      <c r="G205" s="28" t="s">
        <v>5183</v>
      </c>
      <c r="H205" s="28" t="s">
        <v>940</v>
      </c>
      <c r="I205" s="28" t="s">
        <v>7051</v>
      </c>
      <c r="J205" s="28" t="s">
        <v>198</v>
      </c>
      <c r="K205" s="36"/>
      <c r="L205" s="36"/>
      <c r="M205" s="36"/>
      <c r="N205" s="28" t="s">
        <v>7048</v>
      </c>
      <c r="O205" s="28" t="s">
        <v>2967</v>
      </c>
      <c r="P205" s="28" t="s">
        <v>2968</v>
      </c>
      <c r="Q205" s="28" t="e">
        <f t="shared" ca="1" si="5"/>
        <v>#NAME?</v>
      </c>
      <c r="R205" s="28" t="s">
        <v>112</v>
      </c>
      <c r="S205" s="55">
        <v>8885146544</v>
      </c>
      <c r="T205" s="29" t="s">
        <v>111</v>
      </c>
      <c r="U205" s="28">
        <v>1970</v>
      </c>
      <c r="V205" s="35">
        <v>1</v>
      </c>
      <c r="W205" s="33">
        <v>-1</v>
      </c>
      <c r="X205" s="35">
        <v>1</v>
      </c>
      <c r="Y205" s="35">
        <v>1</v>
      </c>
      <c r="Z205" s="35">
        <v>1</v>
      </c>
      <c r="AA205" s="35">
        <v>1</v>
      </c>
      <c r="AB205" s="35">
        <v>1</v>
      </c>
      <c r="AC205" s="35">
        <v>1</v>
      </c>
      <c r="AD205" s="35">
        <v>1</v>
      </c>
      <c r="AE205" s="35">
        <v>1</v>
      </c>
      <c r="AF205" s="35">
        <v>1</v>
      </c>
      <c r="AG205" s="35">
        <v>1</v>
      </c>
      <c r="AH205" s="35">
        <v>1</v>
      </c>
      <c r="AI205" s="33">
        <v>-1</v>
      </c>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row>
    <row r="206" spans="1:134" ht="11.25" customHeight="1" x14ac:dyDescent="0.3">
      <c r="A206" s="28" t="e">
        <f t="array" aca="1" ref="A206" ca="1">_xludf.XLOOKUP(S206,Master_Registrations!P:P,Master_Registrations!A:A,"")</f>
        <v>#NAME?</v>
      </c>
      <c r="B206" s="28" t="s">
        <v>7050</v>
      </c>
      <c r="C206" s="28">
        <v>2026</v>
      </c>
      <c r="D206" s="28" t="s">
        <v>4886</v>
      </c>
      <c r="E206" s="28">
        <v>1</v>
      </c>
      <c r="F206" s="29" t="str">
        <f t="shared" si="0"/>
        <v>VED-02-2026-GR-1</v>
      </c>
      <c r="G206" s="28" t="s">
        <v>5183</v>
      </c>
      <c r="H206" s="28" t="s">
        <v>940</v>
      </c>
      <c r="I206" s="28" t="s">
        <v>7051</v>
      </c>
      <c r="J206" s="28" t="s">
        <v>198</v>
      </c>
      <c r="K206" s="36"/>
      <c r="L206" s="36"/>
      <c r="M206" s="36"/>
      <c r="N206" s="28" t="s">
        <v>7052</v>
      </c>
      <c r="O206" s="28" t="s">
        <v>2951</v>
      </c>
      <c r="P206" s="28" t="s">
        <v>2952</v>
      </c>
      <c r="Q206" s="28" t="e">
        <f t="shared" ca="1" si="5"/>
        <v>#NAME?</v>
      </c>
      <c r="R206" s="28" t="s">
        <v>112</v>
      </c>
      <c r="S206" s="55">
        <v>9177520607</v>
      </c>
      <c r="T206" s="29" t="s">
        <v>111</v>
      </c>
      <c r="U206" s="28">
        <v>1990</v>
      </c>
      <c r="V206" s="35">
        <v>1</v>
      </c>
      <c r="W206" s="33">
        <v>-1</v>
      </c>
      <c r="X206" s="35">
        <v>1</v>
      </c>
      <c r="Y206" s="35">
        <v>1</v>
      </c>
      <c r="Z206" s="35">
        <v>1</v>
      </c>
      <c r="AA206" s="35">
        <v>1</v>
      </c>
      <c r="AB206" s="35">
        <v>1</v>
      </c>
      <c r="AC206" s="35">
        <v>1</v>
      </c>
      <c r="AD206" s="35">
        <v>1</v>
      </c>
      <c r="AE206" s="35">
        <v>1</v>
      </c>
      <c r="AF206" s="35">
        <v>1</v>
      </c>
      <c r="AG206" s="35">
        <v>1</v>
      </c>
      <c r="AH206" s="35">
        <v>1</v>
      </c>
      <c r="AI206" s="33">
        <v>-1</v>
      </c>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c r="DZ206" s="34"/>
      <c r="EA206" s="34"/>
      <c r="EB206" s="34"/>
      <c r="EC206" s="34"/>
      <c r="ED206" s="34"/>
    </row>
    <row r="207" spans="1:134" ht="11.25" customHeight="1" x14ac:dyDescent="0.3">
      <c r="A207" s="28" t="e">
        <f t="array" aca="1" ref="A207" ca="1">_xludf.XLOOKUP(S207,Master_Registrations!P:P,Master_Registrations!A:A,"")</f>
        <v>#NAME?</v>
      </c>
      <c r="B207" s="28" t="s">
        <v>7050</v>
      </c>
      <c r="C207" s="28">
        <v>2026</v>
      </c>
      <c r="D207" s="28" t="s">
        <v>4886</v>
      </c>
      <c r="E207" s="28">
        <v>1</v>
      </c>
      <c r="F207" s="29" t="str">
        <f t="shared" si="0"/>
        <v>VED-02-2026-GR-1</v>
      </c>
      <c r="G207" s="28" t="s">
        <v>5183</v>
      </c>
      <c r="H207" s="28" t="s">
        <v>940</v>
      </c>
      <c r="I207" s="28" t="s">
        <v>7051</v>
      </c>
      <c r="J207" s="28" t="s">
        <v>198</v>
      </c>
      <c r="K207" s="37">
        <v>-1</v>
      </c>
      <c r="L207" s="35">
        <v>1</v>
      </c>
      <c r="M207" s="36"/>
      <c r="N207" s="28" t="s">
        <v>7053</v>
      </c>
      <c r="O207" s="28" t="s">
        <v>6509</v>
      </c>
      <c r="P207" s="28" t="s">
        <v>2820</v>
      </c>
      <c r="Q207" s="28" t="e">
        <f t="shared" ca="1" si="5"/>
        <v>#NAME?</v>
      </c>
      <c r="R207" s="28" t="s">
        <v>112</v>
      </c>
      <c r="S207" s="55">
        <v>9052526395</v>
      </c>
      <c r="T207" s="29" t="s">
        <v>111</v>
      </c>
      <c r="U207" s="28">
        <v>1982</v>
      </c>
      <c r="V207" s="35">
        <v>1</v>
      </c>
      <c r="W207" s="33">
        <v>-1</v>
      </c>
      <c r="X207" s="35">
        <v>2</v>
      </c>
      <c r="Y207" s="35">
        <v>1</v>
      </c>
      <c r="Z207" s="35">
        <v>2</v>
      </c>
      <c r="AA207" s="35">
        <v>1</v>
      </c>
      <c r="AB207" s="35">
        <v>2</v>
      </c>
      <c r="AC207" s="35">
        <v>1</v>
      </c>
      <c r="AD207" s="33">
        <v>-1</v>
      </c>
      <c r="AE207" s="35">
        <v>1</v>
      </c>
      <c r="AF207" s="35">
        <v>1</v>
      </c>
      <c r="AG207" s="35">
        <v>1</v>
      </c>
      <c r="AH207" s="35">
        <v>-1</v>
      </c>
      <c r="AI207" s="33">
        <v>-1</v>
      </c>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row>
    <row r="208" spans="1:134" ht="11.25" customHeight="1" x14ac:dyDescent="0.3">
      <c r="A208" s="28" t="e">
        <f t="array" aca="1" ref="A208" ca="1">_xludf.XLOOKUP(S208,Master_Registrations!P:P,Master_Registrations!A:A,"")</f>
        <v>#NAME?</v>
      </c>
      <c r="B208" s="39" t="s">
        <v>7050</v>
      </c>
      <c r="C208" s="39">
        <v>2026</v>
      </c>
      <c r="D208" s="39" t="s">
        <v>4886</v>
      </c>
      <c r="E208" s="39">
        <v>2</v>
      </c>
      <c r="F208" s="40" t="str">
        <f t="shared" si="0"/>
        <v>VED-02-2026-GR-2</v>
      </c>
      <c r="G208" s="39" t="s">
        <v>7054</v>
      </c>
      <c r="H208" s="39" t="s">
        <v>7055</v>
      </c>
      <c r="I208" s="39" t="s">
        <v>7056</v>
      </c>
      <c r="J208" s="39" t="s">
        <v>198</v>
      </c>
      <c r="K208" s="72"/>
      <c r="L208" s="52"/>
      <c r="M208" s="72"/>
      <c r="N208" s="39" t="s">
        <v>200</v>
      </c>
      <c r="O208" s="39" t="s">
        <v>2492</v>
      </c>
      <c r="P208" s="39" t="s">
        <v>2493</v>
      </c>
      <c r="Q208" s="39" t="e">
        <f t="shared" ca="1" si="5"/>
        <v>#NAME?</v>
      </c>
      <c r="R208" s="39" t="s">
        <v>112</v>
      </c>
      <c r="S208" s="50">
        <v>8884090003</v>
      </c>
      <c r="T208" s="40" t="s">
        <v>111</v>
      </c>
      <c r="U208" s="39">
        <v>1990</v>
      </c>
      <c r="V208" s="44">
        <v>2</v>
      </c>
      <c r="W208" s="44">
        <v>2</v>
      </c>
      <c r="X208" s="44">
        <v>2</v>
      </c>
      <c r="Y208" s="44">
        <v>2</v>
      </c>
      <c r="Z208" s="44">
        <v>2</v>
      </c>
      <c r="AA208" s="44">
        <v>2</v>
      </c>
      <c r="AB208" s="44">
        <v>2</v>
      </c>
      <c r="AC208" s="44">
        <v>2</v>
      </c>
      <c r="AD208" s="44">
        <v>2</v>
      </c>
      <c r="AE208" s="44">
        <v>2</v>
      </c>
      <c r="AF208" s="44">
        <v>2</v>
      </c>
      <c r="AG208" s="44">
        <v>2</v>
      </c>
      <c r="AH208" s="44">
        <v>2</v>
      </c>
      <c r="AI208" s="44">
        <v>3</v>
      </c>
      <c r="AJ208" s="44">
        <v>2</v>
      </c>
      <c r="AK208" s="44">
        <v>2</v>
      </c>
      <c r="AL208" s="44">
        <v>2</v>
      </c>
      <c r="AM208" s="44">
        <v>2</v>
      </c>
      <c r="AN208" s="44">
        <v>2</v>
      </c>
      <c r="AO208" s="44">
        <v>2</v>
      </c>
      <c r="AP208" s="44">
        <v>1</v>
      </c>
      <c r="AQ208" s="45">
        <v>-1</v>
      </c>
      <c r="AR208" s="45">
        <v>-1</v>
      </c>
      <c r="AS208" s="45">
        <v>-1</v>
      </c>
      <c r="AT208" s="45">
        <v>-1</v>
      </c>
      <c r="AU208" s="45">
        <v>-1</v>
      </c>
      <c r="AV208" s="45">
        <v>-1</v>
      </c>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c r="BV208" s="39"/>
      <c r="BW208" s="39"/>
      <c r="BX208" s="39"/>
      <c r="BY208" s="39"/>
      <c r="BZ208" s="39"/>
      <c r="CA208" s="39"/>
      <c r="CB208" s="39"/>
      <c r="CC208" s="39"/>
      <c r="CD208" s="39"/>
      <c r="CE208" s="39"/>
      <c r="CF208" s="39"/>
      <c r="CG208" s="39"/>
      <c r="CH208" s="39"/>
      <c r="CI208" s="39"/>
      <c r="CJ208" s="39"/>
      <c r="CK208" s="39"/>
      <c r="CL208" s="39"/>
      <c r="CM208" s="39"/>
      <c r="CN208" s="39"/>
      <c r="CO208" s="39"/>
      <c r="CP208" s="39"/>
      <c r="CQ208" s="39"/>
      <c r="CR208" s="39"/>
      <c r="CS208" s="39"/>
      <c r="CT208" s="39"/>
      <c r="CU208" s="39"/>
      <c r="CV208" s="39"/>
      <c r="CW208" s="39"/>
      <c r="CX208" s="39"/>
      <c r="CY208" s="39"/>
      <c r="CZ208" s="48"/>
      <c r="DA208" s="48"/>
      <c r="DB208" s="48"/>
      <c r="DC208" s="48"/>
      <c r="DD208" s="48"/>
      <c r="DE208" s="48"/>
      <c r="DF208" s="48"/>
      <c r="DG208" s="48"/>
      <c r="DH208" s="48"/>
      <c r="DI208" s="48"/>
      <c r="DJ208" s="48"/>
      <c r="DK208" s="48"/>
      <c r="DL208" s="48"/>
      <c r="DM208" s="48"/>
      <c r="DN208" s="48"/>
      <c r="DO208" s="48"/>
      <c r="DP208" s="48"/>
      <c r="DQ208" s="48"/>
      <c r="DR208" s="48"/>
      <c r="DS208" s="48"/>
      <c r="DT208" s="48"/>
      <c r="DU208" s="48"/>
      <c r="DV208" s="48"/>
      <c r="DW208" s="48"/>
      <c r="DX208" s="48"/>
      <c r="DY208" s="48"/>
      <c r="DZ208" s="48"/>
      <c r="EA208" s="48"/>
      <c r="EB208" s="48"/>
      <c r="EC208" s="48"/>
      <c r="ED208" s="48"/>
    </row>
    <row r="209" spans="1:134" ht="11.25" customHeight="1" x14ac:dyDescent="0.3">
      <c r="A209" s="28" t="e">
        <f t="array" aca="1" ref="A209" ca="1">_xludf.XLOOKUP(S209,Master_Registrations!P:P,Master_Registrations!A:A,"")</f>
        <v>#NAME?</v>
      </c>
      <c r="B209" s="39" t="s">
        <v>7050</v>
      </c>
      <c r="C209" s="39">
        <v>2026</v>
      </c>
      <c r="D209" s="39" t="s">
        <v>4886</v>
      </c>
      <c r="E209" s="39">
        <v>2</v>
      </c>
      <c r="F209" s="40" t="str">
        <f t="shared" si="0"/>
        <v>VED-02-2026-GR-2</v>
      </c>
      <c r="G209" s="39" t="s">
        <v>7057</v>
      </c>
      <c r="H209" s="39" t="s">
        <v>7055</v>
      </c>
      <c r="I209" s="39" t="s">
        <v>7056</v>
      </c>
      <c r="J209" s="39" t="s">
        <v>198</v>
      </c>
      <c r="K209" s="72"/>
      <c r="L209" s="68">
        <v>-1</v>
      </c>
      <c r="M209" s="72"/>
      <c r="N209" s="39" t="s">
        <v>299</v>
      </c>
      <c r="O209" s="39" t="s">
        <v>1524</v>
      </c>
      <c r="P209" s="39" t="s">
        <v>2467</v>
      </c>
      <c r="Q209" s="39" t="e">
        <f t="shared" ca="1" si="5"/>
        <v>#NAME?</v>
      </c>
      <c r="R209" s="39" t="s">
        <v>112</v>
      </c>
      <c r="S209" s="50">
        <v>9618884192</v>
      </c>
      <c r="T209" s="40" t="s">
        <v>111</v>
      </c>
      <c r="U209" s="39">
        <v>1975</v>
      </c>
      <c r="V209" s="44">
        <v>1</v>
      </c>
      <c r="W209" s="44">
        <v>1</v>
      </c>
      <c r="X209" s="44">
        <v>2</v>
      </c>
      <c r="Y209" s="44">
        <v>2</v>
      </c>
      <c r="Z209" s="44">
        <v>2</v>
      </c>
      <c r="AA209" s="44">
        <v>2</v>
      </c>
      <c r="AB209" s="44">
        <v>1</v>
      </c>
      <c r="AC209" s="44">
        <v>1</v>
      </c>
      <c r="AD209" s="44">
        <v>1</v>
      </c>
      <c r="AE209" s="44">
        <v>1</v>
      </c>
      <c r="AF209" s="44">
        <v>1</v>
      </c>
      <c r="AG209" s="44">
        <v>1</v>
      </c>
      <c r="AH209" s="44">
        <v>1</v>
      </c>
      <c r="AI209" s="45">
        <v>-1</v>
      </c>
      <c r="AJ209" s="44">
        <v>1</v>
      </c>
      <c r="AK209" s="44">
        <v>1</v>
      </c>
      <c r="AL209" s="44">
        <v>1</v>
      </c>
      <c r="AM209" s="44">
        <v>1</v>
      </c>
      <c r="AN209" s="44">
        <v>1</v>
      </c>
      <c r="AO209" s="44">
        <v>1</v>
      </c>
      <c r="AP209" s="44">
        <v>1</v>
      </c>
      <c r="AQ209" s="45">
        <v>-1</v>
      </c>
      <c r="AR209" s="45">
        <v>-1</v>
      </c>
      <c r="AS209" s="45">
        <v>-1</v>
      </c>
      <c r="AT209" s="45">
        <v>-1</v>
      </c>
      <c r="AU209" s="45">
        <v>-1</v>
      </c>
      <c r="AV209" s="45">
        <v>-1</v>
      </c>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39"/>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48"/>
      <c r="DA209" s="48"/>
      <c r="DB209" s="48"/>
      <c r="DC209" s="48"/>
      <c r="DD209" s="48"/>
      <c r="DE209" s="48"/>
      <c r="DF209" s="48"/>
      <c r="DG209" s="48"/>
      <c r="DH209" s="48"/>
      <c r="DI209" s="48"/>
      <c r="DJ209" s="48"/>
      <c r="DK209" s="48"/>
      <c r="DL209" s="48"/>
      <c r="DM209" s="48"/>
      <c r="DN209" s="48"/>
      <c r="DO209" s="48"/>
      <c r="DP209" s="48"/>
      <c r="DQ209" s="48"/>
      <c r="DR209" s="48"/>
      <c r="DS209" s="48"/>
      <c r="DT209" s="48"/>
      <c r="DU209" s="48"/>
      <c r="DV209" s="48"/>
      <c r="DW209" s="48"/>
      <c r="DX209" s="48"/>
      <c r="DY209" s="48"/>
      <c r="DZ209" s="48"/>
      <c r="EA209" s="48"/>
      <c r="EB209" s="48"/>
      <c r="EC209" s="48"/>
      <c r="ED209" s="48"/>
    </row>
    <row r="210" spans="1:134" ht="11.25" customHeight="1" x14ac:dyDescent="0.3">
      <c r="A210" s="28" t="e">
        <f t="array" aca="1" ref="A210" ca="1">_xludf.XLOOKUP(S210,Master_Registrations!P:P,Master_Registrations!A:A,"")</f>
        <v>#NAME?</v>
      </c>
      <c r="B210" s="39" t="s">
        <v>7050</v>
      </c>
      <c r="C210" s="39">
        <v>2026</v>
      </c>
      <c r="D210" s="39" t="s">
        <v>4886</v>
      </c>
      <c r="E210" s="39">
        <v>2</v>
      </c>
      <c r="F210" s="40" t="str">
        <f t="shared" si="0"/>
        <v>VED-02-2026-GR-2</v>
      </c>
      <c r="G210" s="39" t="s">
        <v>7057</v>
      </c>
      <c r="H210" s="39" t="s">
        <v>7055</v>
      </c>
      <c r="I210" s="39" t="s">
        <v>7056</v>
      </c>
      <c r="J210" s="39" t="s">
        <v>198</v>
      </c>
      <c r="K210" s="72"/>
      <c r="L210" s="68">
        <v>-1</v>
      </c>
      <c r="M210" s="72"/>
      <c r="N210" s="39" t="s">
        <v>369</v>
      </c>
      <c r="O210" s="39" t="s">
        <v>1692</v>
      </c>
      <c r="P210" s="39" t="s">
        <v>2271</v>
      </c>
      <c r="Q210" s="39" t="e">
        <f t="shared" ca="1" si="5"/>
        <v>#NAME?</v>
      </c>
      <c r="R210" s="39" t="s">
        <v>112</v>
      </c>
      <c r="S210" s="50">
        <v>9908866584</v>
      </c>
      <c r="T210" s="40" t="s">
        <v>111</v>
      </c>
      <c r="U210" s="39">
        <v>1989</v>
      </c>
      <c r="V210" s="44">
        <v>1</v>
      </c>
      <c r="W210" s="44">
        <v>1</v>
      </c>
      <c r="X210" s="44">
        <v>1</v>
      </c>
      <c r="Y210" s="44">
        <v>1</v>
      </c>
      <c r="Z210" s="44">
        <v>1</v>
      </c>
      <c r="AA210" s="44">
        <v>1</v>
      </c>
      <c r="AB210" s="44">
        <v>1</v>
      </c>
      <c r="AC210" s="44">
        <v>1</v>
      </c>
      <c r="AD210" s="44">
        <v>1</v>
      </c>
      <c r="AE210" s="44">
        <v>1</v>
      </c>
      <c r="AF210" s="44">
        <v>1</v>
      </c>
      <c r="AG210" s="44">
        <v>1</v>
      </c>
      <c r="AH210" s="44">
        <v>1</v>
      </c>
      <c r="AI210" s="45">
        <v>-1</v>
      </c>
      <c r="AJ210" s="44">
        <v>1</v>
      </c>
      <c r="AK210" s="44">
        <v>1</v>
      </c>
      <c r="AL210" s="44">
        <v>1</v>
      </c>
      <c r="AM210" s="44">
        <v>1</v>
      </c>
      <c r="AN210" s="44">
        <v>1</v>
      </c>
      <c r="AO210" s="44">
        <v>2</v>
      </c>
      <c r="AP210" s="44">
        <v>-1</v>
      </c>
      <c r="AQ210" s="45">
        <v>-1</v>
      </c>
      <c r="AR210" s="45">
        <v>-1</v>
      </c>
      <c r="AS210" s="45">
        <v>-1</v>
      </c>
      <c r="AT210" s="45">
        <v>-1</v>
      </c>
      <c r="AU210" s="45">
        <v>-1</v>
      </c>
      <c r="AV210" s="45">
        <v>-1</v>
      </c>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c r="BZ210" s="39"/>
      <c r="CA210" s="39"/>
      <c r="CB210" s="39"/>
      <c r="CC210" s="39"/>
      <c r="CD210" s="39"/>
      <c r="CE210" s="39"/>
      <c r="CF210" s="39"/>
      <c r="CG210" s="39"/>
      <c r="CH210" s="39"/>
      <c r="CI210" s="39"/>
      <c r="CJ210" s="39"/>
      <c r="CK210" s="39"/>
      <c r="CL210" s="39"/>
      <c r="CM210" s="39"/>
      <c r="CN210" s="39"/>
      <c r="CO210" s="39"/>
      <c r="CP210" s="39"/>
      <c r="CQ210" s="39"/>
      <c r="CR210" s="39"/>
      <c r="CS210" s="39"/>
      <c r="CT210" s="39"/>
      <c r="CU210" s="39"/>
      <c r="CV210" s="39"/>
      <c r="CW210" s="39"/>
      <c r="CX210" s="39"/>
      <c r="CY210" s="39"/>
      <c r="CZ210" s="48"/>
      <c r="DA210" s="48"/>
      <c r="DB210" s="48"/>
      <c r="DC210" s="48"/>
      <c r="DD210" s="48"/>
      <c r="DE210" s="48"/>
      <c r="DF210" s="48"/>
      <c r="DG210" s="48"/>
      <c r="DH210" s="48"/>
      <c r="DI210" s="48"/>
      <c r="DJ210" s="48"/>
      <c r="DK210" s="48"/>
      <c r="DL210" s="48"/>
      <c r="DM210" s="48"/>
      <c r="DN210" s="48"/>
      <c r="DO210" s="48"/>
      <c r="DP210" s="48"/>
      <c r="DQ210" s="48"/>
      <c r="DR210" s="48"/>
      <c r="DS210" s="48"/>
      <c r="DT210" s="48"/>
      <c r="DU210" s="48"/>
      <c r="DV210" s="48"/>
      <c r="DW210" s="48"/>
      <c r="DX210" s="48"/>
      <c r="DY210" s="48"/>
      <c r="DZ210" s="48"/>
      <c r="EA210" s="48"/>
      <c r="EB210" s="48"/>
      <c r="EC210" s="48"/>
      <c r="ED210" s="48"/>
    </row>
    <row r="211" spans="1:134" ht="11.25" customHeight="1" x14ac:dyDescent="0.3">
      <c r="A211" s="28" t="e">
        <f t="array" aca="1" ref="A211" ca="1">_xludf.XLOOKUP(S211,Master_Registrations!P:P,Master_Registrations!A:A,"")</f>
        <v>#NAME?</v>
      </c>
      <c r="B211" s="39" t="s">
        <v>7050</v>
      </c>
      <c r="C211" s="39">
        <v>2026</v>
      </c>
      <c r="D211" s="39" t="s">
        <v>4886</v>
      </c>
      <c r="E211" s="39">
        <v>2</v>
      </c>
      <c r="F211" s="40" t="str">
        <f t="shared" si="0"/>
        <v>VED-02-2026-GR-2</v>
      </c>
      <c r="G211" s="39" t="s">
        <v>7057</v>
      </c>
      <c r="H211" s="39" t="s">
        <v>7055</v>
      </c>
      <c r="I211" s="39" t="s">
        <v>7056</v>
      </c>
      <c r="J211" s="39" t="s">
        <v>198</v>
      </c>
      <c r="K211" s="72"/>
      <c r="L211" s="52"/>
      <c r="M211" s="72"/>
      <c r="N211" s="39" t="s">
        <v>434</v>
      </c>
      <c r="O211" s="39" t="s">
        <v>2132</v>
      </c>
      <c r="P211" s="39" t="s">
        <v>2133</v>
      </c>
      <c r="Q211" s="39" t="e">
        <f t="shared" ca="1" si="5"/>
        <v>#NAME?</v>
      </c>
      <c r="R211" s="39" t="s">
        <v>112</v>
      </c>
      <c r="S211" s="50">
        <v>9381583342</v>
      </c>
      <c r="T211" s="40" t="s">
        <v>111</v>
      </c>
      <c r="U211" s="39">
        <v>2008</v>
      </c>
      <c r="V211" s="44">
        <v>2</v>
      </c>
      <c r="W211" s="44">
        <v>2</v>
      </c>
      <c r="X211" s="44">
        <v>2</v>
      </c>
      <c r="Y211" s="44">
        <v>2</v>
      </c>
      <c r="Z211" s="44">
        <v>2</v>
      </c>
      <c r="AA211" s="44">
        <v>2</v>
      </c>
      <c r="AB211" s="44">
        <v>2</v>
      </c>
      <c r="AC211" s="44">
        <v>2</v>
      </c>
      <c r="AD211" s="44">
        <v>2</v>
      </c>
      <c r="AE211" s="44">
        <v>2</v>
      </c>
      <c r="AF211" s="44">
        <v>1</v>
      </c>
      <c r="AG211" s="44">
        <v>1</v>
      </c>
      <c r="AH211" s="44">
        <v>1</v>
      </c>
      <c r="AI211" s="45">
        <v>-1</v>
      </c>
      <c r="AJ211" s="44">
        <v>1</v>
      </c>
      <c r="AK211" s="44">
        <v>1</v>
      </c>
      <c r="AL211" s="44">
        <v>1</v>
      </c>
      <c r="AM211" s="44">
        <v>1</v>
      </c>
      <c r="AN211" s="44">
        <v>2</v>
      </c>
      <c r="AO211" s="44">
        <v>2</v>
      </c>
      <c r="AP211" s="44">
        <v>-1</v>
      </c>
      <c r="AQ211" s="45">
        <v>-1</v>
      </c>
      <c r="AR211" s="45">
        <v>-1</v>
      </c>
      <c r="AS211" s="45">
        <v>-1</v>
      </c>
      <c r="AT211" s="45">
        <v>-1</v>
      </c>
      <c r="AU211" s="45">
        <v>-1</v>
      </c>
      <c r="AV211" s="45">
        <v>-1</v>
      </c>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39"/>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48"/>
      <c r="DA211" s="48"/>
      <c r="DB211" s="48"/>
      <c r="DC211" s="48"/>
      <c r="DD211" s="48"/>
      <c r="DE211" s="48"/>
      <c r="DF211" s="48"/>
      <c r="DG211" s="48"/>
      <c r="DH211" s="48"/>
      <c r="DI211" s="48"/>
      <c r="DJ211" s="48"/>
      <c r="DK211" s="48"/>
      <c r="DL211" s="48"/>
      <c r="DM211" s="48"/>
      <c r="DN211" s="48"/>
      <c r="DO211" s="48"/>
      <c r="DP211" s="48"/>
      <c r="DQ211" s="48"/>
      <c r="DR211" s="48"/>
      <c r="DS211" s="48"/>
      <c r="DT211" s="48"/>
      <c r="DU211" s="48"/>
      <c r="DV211" s="48"/>
      <c r="DW211" s="48"/>
      <c r="DX211" s="48"/>
      <c r="DY211" s="48"/>
      <c r="DZ211" s="48"/>
      <c r="EA211" s="48"/>
      <c r="EB211" s="48"/>
      <c r="EC211" s="48"/>
      <c r="ED211" s="48"/>
    </row>
    <row r="212" spans="1:134" ht="11.25" customHeight="1" x14ac:dyDescent="0.3">
      <c r="A212" s="28" t="e">
        <f t="array" aca="1" ref="A212" ca="1">_xludf.XLOOKUP(S212,Master_Registrations!P:P,Master_Registrations!A:A,"")</f>
        <v>#NAME?</v>
      </c>
      <c r="B212" s="39" t="s">
        <v>7050</v>
      </c>
      <c r="C212" s="39">
        <v>2026</v>
      </c>
      <c r="D212" s="39" t="s">
        <v>4886</v>
      </c>
      <c r="E212" s="39">
        <v>2</v>
      </c>
      <c r="F212" s="40" t="str">
        <f t="shared" si="0"/>
        <v>VED-02-2026-GR-2</v>
      </c>
      <c r="G212" s="39" t="s">
        <v>7057</v>
      </c>
      <c r="H212" s="39" t="s">
        <v>7055</v>
      </c>
      <c r="I212" s="39" t="s">
        <v>7056</v>
      </c>
      <c r="J212" s="39" t="s">
        <v>198</v>
      </c>
      <c r="K212" s="72"/>
      <c r="L212" s="68">
        <v>-1</v>
      </c>
      <c r="M212" s="72"/>
      <c r="N212" s="39" t="s">
        <v>525</v>
      </c>
      <c r="O212" s="39" t="s">
        <v>2065</v>
      </c>
      <c r="P212" s="39" t="s">
        <v>2066</v>
      </c>
      <c r="Q212" s="39" t="e">
        <f t="shared" ca="1" si="5"/>
        <v>#NAME?</v>
      </c>
      <c r="R212" s="39" t="s">
        <v>112</v>
      </c>
      <c r="S212" s="50">
        <v>8099933996</v>
      </c>
      <c r="T212" s="40" t="s">
        <v>111</v>
      </c>
      <c r="U212" s="39">
        <v>1980</v>
      </c>
      <c r="V212" s="44">
        <v>1</v>
      </c>
      <c r="W212" s="44">
        <v>1</v>
      </c>
      <c r="X212" s="44">
        <v>2</v>
      </c>
      <c r="Y212" s="44">
        <v>2</v>
      </c>
      <c r="Z212" s="44">
        <v>2</v>
      </c>
      <c r="AA212" s="44">
        <v>2</v>
      </c>
      <c r="AB212" s="44">
        <v>2</v>
      </c>
      <c r="AC212" s="44">
        <v>2</v>
      </c>
      <c r="AD212" s="44">
        <v>1</v>
      </c>
      <c r="AE212" s="44">
        <v>1</v>
      </c>
      <c r="AF212" s="44">
        <v>1</v>
      </c>
      <c r="AG212" s="44">
        <v>1</v>
      </c>
      <c r="AH212" s="44">
        <v>1</v>
      </c>
      <c r="AI212" s="45">
        <v>-1</v>
      </c>
      <c r="AJ212" s="44">
        <v>1</v>
      </c>
      <c r="AK212" s="44">
        <v>1</v>
      </c>
      <c r="AL212" s="44">
        <v>1</v>
      </c>
      <c r="AM212" s="44">
        <v>1</v>
      </c>
      <c r="AN212" s="44">
        <v>2</v>
      </c>
      <c r="AO212" s="44">
        <v>2</v>
      </c>
      <c r="AP212" s="44">
        <v>-1</v>
      </c>
      <c r="AQ212" s="45">
        <v>-1</v>
      </c>
      <c r="AR212" s="45">
        <v>-1</v>
      </c>
      <c r="AS212" s="45">
        <v>-1</v>
      </c>
      <c r="AT212" s="45">
        <v>-1</v>
      </c>
      <c r="AU212" s="45">
        <v>-1</v>
      </c>
      <c r="AV212" s="45">
        <v>-1</v>
      </c>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c r="BV212" s="39"/>
      <c r="BW212" s="39"/>
      <c r="BX212" s="39"/>
      <c r="BY212" s="39"/>
      <c r="BZ212" s="39"/>
      <c r="CA212" s="39"/>
      <c r="CB212" s="39"/>
      <c r="CC212" s="39"/>
      <c r="CD212" s="39"/>
      <c r="CE212" s="39"/>
      <c r="CF212" s="39"/>
      <c r="CG212" s="39"/>
      <c r="CH212" s="39"/>
      <c r="CI212" s="39"/>
      <c r="CJ212" s="39"/>
      <c r="CK212" s="39"/>
      <c r="CL212" s="39"/>
      <c r="CM212" s="39"/>
      <c r="CN212" s="39"/>
      <c r="CO212" s="39"/>
      <c r="CP212" s="39"/>
      <c r="CQ212" s="39"/>
      <c r="CR212" s="39"/>
      <c r="CS212" s="39"/>
      <c r="CT212" s="39"/>
      <c r="CU212" s="39"/>
      <c r="CV212" s="39"/>
      <c r="CW212" s="39"/>
      <c r="CX212" s="39"/>
      <c r="CY212" s="39"/>
      <c r="CZ212" s="48"/>
      <c r="DA212" s="48"/>
      <c r="DB212" s="48"/>
      <c r="DC212" s="48"/>
      <c r="DD212" s="48"/>
      <c r="DE212" s="48"/>
      <c r="DF212" s="48"/>
      <c r="DG212" s="48"/>
      <c r="DH212" s="48"/>
      <c r="DI212" s="48"/>
      <c r="DJ212" s="48"/>
      <c r="DK212" s="48"/>
      <c r="DL212" s="48"/>
      <c r="DM212" s="48"/>
      <c r="DN212" s="48"/>
      <c r="DO212" s="48"/>
      <c r="DP212" s="48"/>
      <c r="DQ212" s="48"/>
      <c r="DR212" s="48"/>
      <c r="DS212" s="48"/>
      <c r="DT212" s="48"/>
      <c r="DU212" s="48"/>
      <c r="DV212" s="48"/>
      <c r="DW212" s="48"/>
      <c r="DX212" s="48"/>
      <c r="DY212" s="48"/>
      <c r="DZ212" s="48"/>
      <c r="EA212" s="48"/>
      <c r="EB212" s="48"/>
      <c r="EC212" s="48"/>
      <c r="ED212" s="48"/>
    </row>
    <row r="213" spans="1:134" ht="11.25" customHeight="1" x14ac:dyDescent="0.3">
      <c r="A213" s="28" t="e">
        <f t="array" aca="1" ref="A213" ca="1">_xludf.XLOOKUP(S213,Master_Registrations!P:P,Master_Registrations!A:A,"")</f>
        <v>#NAME?</v>
      </c>
      <c r="B213" s="39" t="s">
        <v>7050</v>
      </c>
      <c r="C213" s="39">
        <v>2026</v>
      </c>
      <c r="D213" s="39" t="s">
        <v>4886</v>
      </c>
      <c r="E213" s="39">
        <v>2</v>
      </c>
      <c r="F213" s="40" t="str">
        <f t="shared" si="0"/>
        <v>VED-02-2026-GR-2</v>
      </c>
      <c r="G213" s="39" t="s">
        <v>7057</v>
      </c>
      <c r="H213" s="39" t="s">
        <v>7055</v>
      </c>
      <c r="I213" s="39" t="s">
        <v>7056</v>
      </c>
      <c r="J213" s="39" t="s">
        <v>198</v>
      </c>
      <c r="K213" s="72"/>
      <c r="L213" s="44">
        <v>-1</v>
      </c>
      <c r="M213" s="72"/>
      <c r="N213" s="39" t="s">
        <v>621</v>
      </c>
      <c r="O213" s="39" t="s">
        <v>2138</v>
      </c>
      <c r="P213" s="39" t="s">
        <v>1331</v>
      </c>
      <c r="Q213" s="39" t="e">
        <f t="shared" ca="1" si="5"/>
        <v>#NAME?</v>
      </c>
      <c r="R213" s="39" t="s">
        <v>112</v>
      </c>
      <c r="S213" s="50">
        <v>9441465399</v>
      </c>
      <c r="T213" s="40" t="s">
        <v>111</v>
      </c>
      <c r="U213" s="39">
        <v>1963</v>
      </c>
      <c r="V213" s="44">
        <v>-1</v>
      </c>
      <c r="W213" s="44">
        <v>-1</v>
      </c>
      <c r="X213" s="44">
        <v>-1</v>
      </c>
      <c r="Y213" s="44">
        <v>-1</v>
      </c>
      <c r="Z213" s="44">
        <v>-1</v>
      </c>
      <c r="AA213" s="44">
        <v>-1</v>
      </c>
      <c r="AB213" s="44">
        <v>-1</v>
      </c>
      <c r="AC213" s="44">
        <v>-1</v>
      </c>
      <c r="AD213" s="44">
        <v>-1</v>
      </c>
      <c r="AE213" s="44">
        <v>-1</v>
      </c>
      <c r="AF213" s="44">
        <v>-1</v>
      </c>
      <c r="AG213" s="44">
        <v>-1</v>
      </c>
      <c r="AH213" s="44">
        <v>-1</v>
      </c>
      <c r="AI213" s="45">
        <v>-1</v>
      </c>
      <c r="AJ213" s="44">
        <v>-1</v>
      </c>
      <c r="AK213" s="44">
        <v>-1</v>
      </c>
      <c r="AL213" s="44">
        <v>-1</v>
      </c>
      <c r="AM213" s="44">
        <v>-1</v>
      </c>
      <c r="AN213" s="44">
        <v>-1</v>
      </c>
      <c r="AO213" s="44">
        <v>-1</v>
      </c>
      <c r="AP213" s="44">
        <v>-1</v>
      </c>
      <c r="AQ213" s="45">
        <v>-1</v>
      </c>
      <c r="AR213" s="45">
        <v>-1</v>
      </c>
      <c r="AS213" s="45">
        <v>-1</v>
      </c>
      <c r="AT213" s="45">
        <v>-1</v>
      </c>
      <c r="AU213" s="45">
        <v>-1</v>
      </c>
      <c r="AV213" s="45">
        <v>-1</v>
      </c>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c r="BV213" s="39"/>
      <c r="BW213" s="39"/>
      <c r="BX213" s="39"/>
      <c r="BY213" s="39"/>
      <c r="BZ213" s="39"/>
      <c r="CA213" s="39"/>
      <c r="CB213" s="39"/>
      <c r="CC213" s="39"/>
      <c r="CD213" s="39"/>
      <c r="CE213" s="39"/>
      <c r="CF213" s="39"/>
      <c r="CG213" s="39"/>
      <c r="CH213" s="39"/>
      <c r="CI213" s="39"/>
      <c r="CJ213" s="39"/>
      <c r="CK213" s="39"/>
      <c r="CL213" s="39"/>
      <c r="CM213" s="39"/>
      <c r="CN213" s="39"/>
      <c r="CO213" s="39"/>
      <c r="CP213" s="39"/>
      <c r="CQ213" s="39"/>
      <c r="CR213" s="39"/>
      <c r="CS213" s="39"/>
      <c r="CT213" s="39"/>
      <c r="CU213" s="39"/>
      <c r="CV213" s="39"/>
      <c r="CW213" s="39"/>
      <c r="CX213" s="39"/>
      <c r="CY213" s="39"/>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row>
    <row r="214" spans="1:134" ht="11.25" customHeight="1" x14ac:dyDescent="0.3">
      <c r="A214" s="28" t="e">
        <f t="array" aca="1" ref="A214" ca="1">_xludf.XLOOKUP(S214,Master_Registrations!P:P,Master_Registrations!A:A,"")</f>
        <v>#NAME?</v>
      </c>
      <c r="B214" s="28" t="s">
        <v>7050</v>
      </c>
      <c r="C214" s="28">
        <v>2026</v>
      </c>
      <c r="D214" s="28" t="s">
        <v>4886</v>
      </c>
      <c r="E214" s="28">
        <v>3</v>
      </c>
      <c r="F214" s="29" t="str">
        <f t="shared" si="0"/>
        <v>VED-02-2026-GR-3</v>
      </c>
      <c r="G214" s="28" t="s">
        <v>2422</v>
      </c>
      <c r="H214" s="28" t="s">
        <v>7058</v>
      </c>
      <c r="I214" s="28"/>
      <c r="J214" s="28" t="s">
        <v>198</v>
      </c>
      <c r="K214" s="38"/>
      <c r="L214" s="38"/>
      <c r="M214" s="38"/>
      <c r="N214" s="28" t="s">
        <v>200</v>
      </c>
      <c r="O214" s="28" t="s">
        <v>2337</v>
      </c>
      <c r="P214" s="28" t="s">
        <v>2338</v>
      </c>
      <c r="Q214" s="28" t="e">
        <f t="shared" ca="1" si="5"/>
        <v>#NAME?</v>
      </c>
      <c r="R214" s="28" t="s">
        <v>316</v>
      </c>
      <c r="S214" s="55">
        <v>7047247859</v>
      </c>
      <c r="T214" s="29" t="s">
        <v>402</v>
      </c>
      <c r="U214" s="28">
        <v>1979</v>
      </c>
      <c r="V214" s="35">
        <v>2</v>
      </c>
      <c r="W214" s="35">
        <v>2</v>
      </c>
      <c r="X214" s="35">
        <v>2</v>
      </c>
      <c r="Y214" s="35">
        <v>2</v>
      </c>
      <c r="Z214" s="35">
        <v>2</v>
      </c>
      <c r="AA214" s="35">
        <v>2</v>
      </c>
      <c r="AB214" s="35">
        <v>2</v>
      </c>
      <c r="AC214" s="35">
        <v>2</v>
      </c>
      <c r="AD214" s="35">
        <v>2</v>
      </c>
      <c r="AE214" s="35">
        <v>2</v>
      </c>
      <c r="AF214" s="35">
        <v>2</v>
      </c>
      <c r="AG214" s="35">
        <v>2</v>
      </c>
      <c r="AH214" s="35">
        <v>2</v>
      </c>
      <c r="AI214" s="35">
        <v>3</v>
      </c>
      <c r="AJ214" s="35">
        <v>2</v>
      </c>
      <c r="AK214" s="35">
        <v>2</v>
      </c>
      <c r="AL214" s="35">
        <v>2</v>
      </c>
      <c r="AM214" s="35">
        <v>2</v>
      </c>
      <c r="AN214" s="35">
        <v>2</v>
      </c>
      <c r="AO214" s="35">
        <v>2</v>
      </c>
      <c r="AP214" s="35">
        <v>2</v>
      </c>
      <c r="AQ214" s="35">
        <v>2</v>
      </c>
      <c r="AR214" s="35">
        <v>2</v>
      </c>
      <c r="AS214" s="35">
        <v>2</v>
      </c>
      <c r="AT214" s="35">
        <v>2</v>
      </c>
      <c r="AU214" s="35">
        <v>2</v>
      </c>
      <c r="AV214" s="35">
        <v>2</v>
      </c>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c r="DZ214" s="34"/>
      <c r="EA214" s="34"/>
      <c r="EB214" s="34"/>
      <c r="EC214" s="34"/>
      <c r="ED214" s="34"/>
    </row>
    <row r="215" spans="1:134" ht="11.25" customHeight="1" x14ac:dyDescent="0.3">
      <c r="A215" s="28" t="e">
        <f t="array" aca="1" ref="A215" ca="1">_xludf.XLOOKUP(S215,Master_Registrations!P:P,Master_Registrations!A:A,"")</f>
        <v>#NAME?</v>
      </c>
      <c r="B215" s="28" t="s">
        <v>7050</v>
      </c>
      <c r="C215" s="28">
        <v>2026</v>
      </c>
      <c r="D215" s="28" t="s">
        <v>4886</v>
      </c>
      <c r="E215" s="28">
        <v>3</v>
      </c>
      <c r="F215" s="29" t="str">
        <f t="shared" si="0"/>
        <v>VED-02-2026-GR-3</v>
      </c>
      <c r="G215" s="28" t="s">
        <v>7059</v>
      </c>
      <c r="H215" s="28" t="s">
        <v>7058</v>
      </c>
      <c r="I215" s="28"/>
      <c r="J215" s="28" t="s">
        <v>198</v>
      </c>
      <c r="K215" s="38">
        <v>2</v>
      </c>
      <c r="L215" s="38">
        <v>2</v>
      </c>
      <c r="M215" s="38">
        <v>2</v>
      </c>
      <c r="N215" s="28" t="s">
        <v>299</v>
      </c>
      <c r="O215" s="28" t="s">
        <v>2185</v>
      </c>
      <c r="P215" s="28" t="s">
        <v>2186</v>
      </c>
      <c r="Q215" s="28" t="e">
        <f t="shared" ca="1" si="5"/>
        <v>#NAME?</v>
      </c>
      <c r="R215" s="28" t="s">
        <v>316</v>
      </c>
      <c r="S215" s="55">
        <v>8452481946</v>
      </c>
      <c r="T215" s="29" t="s">
        <v>402</v>
      </c>
      <c r="U215" s="28">
        <v>1954</v>
      </c>
      <c r="V215" s="35">
        <v>2</v>
      </c>
      <c r="W215" s="35">
        <v>2</v>
      </c>
      <c r="X215" s="35">
        <v>2</v>
      </c>
      <c r="Y215" s="35">
        <v>2</v>
      </c>
      <c r="Z215" s="35">
        <v>2</v>
      </c>
      <c r="AA215" s="35">
        <v>2</v>
      </c>
      <c r="AB215" s="35">
        <v>2</v>
      </c>
      <c r="AC215" s="35">
        <v>2</v>
      </c>
      <c r="AD215" s="35">
        <v>2</v>
      </c>
      <c r="AE215" s="35">
        <v>2</v>
      </c>
      <c r="AF215" s="35">
        <v>2</v>
      </c>
      <c r="AG215" s="35">
        <v>2</v>
      </c>
      <c r="AH215" s="35">
        <v>2</v>
      </c>
      <c r="AI215" s="33">
        <v>-1</v>
      </c>
      <c r="AJ215" s="35">
        <v>1</v>
      </c>
      <c r="AK215" s="35">
        <v>1</v>
      </c>
      <c r="AL215" s="35">
        <v>-1</v>
      </c>
      <c r="AM215" s="35">
        <v>2</v>
      </c>
      <c r="AN215" s="35">
        <v>1</v>
      </c>
      <c r="AO215" s="35">
        <v>2</v>
      </c>
      <c r="AP215" s="35">
        <v>2</v>
      </c>
      <c r="AQ215" s="35">
        <v>2</v>
      </c>
      <c r="AR215" s="35">
        <v>-1</v>
      </c>
      <c r="AS215" s="33">
        <v>-1</v>
      </c>
      <c r="AT215" s="35">
        <v>-1</v>
      </c>
      <c r="AU215" s="33">
        <v>-1</v>
      </c>
      <c r="AV215" s="33">
        <v>-1</v>
      </c>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row>
    <row r="216" spans="1:134" ht="11.25" customHeight="1" x14ac:dyDescent="0.3">
      <c r="A216" s="28" t="e">
        <f t="array" aca="1" ref="A216" ca="1">_xludf.XLOOKUP(S216,Master_Registrations!P:P,Master_Registrations!A:A,"")</f>
        <v>#NAME?</v>
      </c>
      <c r="B216" s="28" t="s">
        <v>7050</v>
      </c>
      <c r="C216" s="28">
        <v>2026</v>
      </c>
      <c r="D216" s="28" t="s">
        <v>4886</v>
      </c>
      <c r="E216" s="28">
        <v>3</v>
      </c>
      <c r="F216" s="29" t="str">
        <f t="shared" si="0"/>
        <v>VED-02-2026-GR-3</v>
      </c>
      <c r="G216" s="28" t="s">
        <v>7059</v>
      </c>
      <c r="H216" s="28" t="s">
        <v>7058</v>
      </c>
      <c r="I216" s="28"/>
      <c r="J216" s="28" t="s">
        <v>198</v>
      </c>
      <c r="K216" s="38"/>
      <c r="L216" s="38"/>
      <c r="M216" s="38"/>
      <c r="N216" s="28" t="s">
        <v>369</v>
      </c>
      <c r="O216" s="28" t="s">
        <v>2016</v>
      </c>
      <c r="P216" s="28" t="s">
        <v>1443</v>
      </c>
      <c r="Q216" s="28" t="e">
        <f t="shared" ca="1" si="5"/>
        <v>#NAME?</v>
      </c>
      <c r="R216" s="28" t="s">
        <v>316</v>
      </c>
      <c r="S216" s="55">
        <v>2258029920</v>
      </c>
      <c r="T216" s="29" t="s">
        <v>315</v>
      </c>
      <c r="U216" s="28">
        <v>1972</v>
      </c>
      <c r="V216" s="35">
        <v>2</v>
      </c>
      <c r="W216" s="35">
        <v>2</v>
      </c>
      <c r="X216" s="35">
        <v>2</v>
      </c>
      <c r="Y216" s="35">
        <v>2</v>
      </c>
      <c r="Z216" s="35">
        <v>2</v>
      </c>
      <c r="AA216" s="35">
        <v>2</v>
      </c>
      <c r="AB216" s="35">
        <v>2</v>
      </c>
      <c r="AC216" s="35">
        <v>2</v>
      </c>
      <c r="AD216" s="35">
        <v>2</v>
      </c>
      <c r="AE216" s="35">
        <v>2</v>
      </c>
      <c r="AF216" s="35">
        <v>2</v>
      </c>
      <c r="AG216" s="35">
        <v>2</v>
      </c>
      <c r="AH216" s="35">
        <v>2</v>
      </c>
      <c r="AI216" s="35">
        <v>3</v>
      </c>
      <c r="AJ216" s="35">
        <v>2</v>
      </c>
      <c r="AK216" s="35">
        <v>-1</v>
      </c>
      <c r="AL216" s="35">
        <v>2</v>
      </c>
      <c r="AM216" s="35">
        <v>1</v>
      </c>
      <c r="AN216" s="35">
        <v>2</v>
      </c>
      <c r="AO216" s="35">
        <v>1</v>
      </c>
      <c r="AP216" s="35">
        <v>1</v>
      </c>
      <c r="AQ216" s="35">
        <v>1</v>
      </c>
      <c r="AR216" s="35">
        <v>-1</v>
      </c>
      <c r="AS216" s="33">
        <v>-1</v>
      </c>
      <c r="AT216" s="35">
        <v>-1</v>
      </c>
      <c r="AU216" s="33">
        <v>-1</v>
      </c>
      <c r="AV216" s="33">
        <v>-1</v>
      </c>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c r="DZ216" s="34"/>
      <c r="EA216" s="34"/>
      <c r="EB216" s="34"/>
      <c r="EC216" s="34"/>
      <c r="ED216" s="34"/>
    </row>
    <row r="217" spans="1:134" ht="11.25" customHeight="1" x14ac:dyDescent="0.3">
      <c r="A217" s="28" t="e">
        <f t="array" aca="1" ref="A217" ca="1">_xludf.XLOOKUP(S217,Master_Registrations!P:P,Master_Registrations!A:A,"")</f>
        <v>#NAME?</v>
      </c>
      <c r="B217" s="28" t="s">
        <v>7050</v>
      </c>
      <c r="C217" s="28">
        <v>2026</v>
      </c>
      <c r="D217" s="28" t="s">
        <v>4886</v>
      </c>
      <c r="E217" s="28">
        <v>3</v>
      </c>
      <c r="F217" s="29" t="str">
        <f t="shared" si="0"/>
        <v>VED-02-2026-GR-3</v>
      </c>
      <c r="G217" s="28" t="s">
        <v>7059</v>
      </c>
      <c r="H217" s="28" t="s">
        <v>7058</v>
      </c>
      <c r="I217" s="28"/>
      <c r="J217" s="28" t="s">
        <v>198</v>
      </c>
      <c r="K217" s="35"/>
      <c r="L217" s="38"/>
      <c r="M217" s="38"/>
      <c r="N217" s="28" t="s">
        <v>434</v>
      </c>
      <c r="O217" s="28" t="s">
        <v>2522</v>
      </c>
      <c r="P217" s="28" t="s">
        <v>2560</v>
      </c>
      <c r="Q217" s="28" t="e">
        <f t="shared" ca="1" si="5"/>
        <v>#NAME?</v>
      </c>
      <c r="R217" s="28" t="s">
        <v>316</v>
      </c>
      <c r="S217" s="55">
        <v>6094685062</v>
      </c>
      <c r="T217" s="29" t="s">
        <v>474</v>
      </c>
      <c r="U217" s="28">
        <v>1976</v>
      </c>
      <c r="V217" s="35">
        <v>2</v>
      </c>
      <c r="W217" s="35">
        <v>2</v>
      </c>
      <c r="X217" s="35">
        <v>2</v>
      </c>
      <c r="Y217" s="35">
        <v>2</v>
      </c>
      <c r="Z217" s="35">
        <v>2</v>
      </c>
      <c r="AA217" s="35">
        <v>2</v>
      </c>
      <c r="AB217" s="35">
        <v>2</v>
      </c>
      <c r="AC217" s="35">
        <v>2</v>
      </c>
      <c r="AD217" s="35">
        <v>2</v>
      </c>
      <c r="AE217" s="35">
        <v>2</v>
      </c>
      <c r="AF217" s="35">
        <v>2</v>
      </c>
      <c r="AG217" s="35">
        <v>2</v>
      </c>
      <c r="AH217" s="35">
        <v>2</v>
      </c>
      <c r="AI217" s="35">
        <v>3</v>
      </c>
      <c r="AJ217" s="35">
        <v>2</v>
      </c>
      <c r="AK217" s="35">
        <v>2</v>
      </c>
      <c r="AL217" s="35">
        <v>2</v>
      </c>
      <c r="AM217" s="35">
        <v>2</v>
      </c>
      <c r="AN217" s="35">
        <v>2</v>
      </c>
      <c r="AO217" s="35">
        <v>2</v>
      </c>
      <c r="AP217" s="35">
        <v>2</v>
      </c>
      <c r="AQ217" s="35">
        <v>2</v>
      </c>
      <c r="AR217" s="35">
        <v>2</v>
      </c>
      <c r="AS217" s="33">
        <v>-1</v>
      </c>
      <c r="AT217" s="35">
        <v>2</v>
      </c>
      <c r="AU217" s="33">
        <v>-1</v>
      </c>
      <c r="AV217" s="33">
        <v>-1</v>
      </c>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row>
    <row r="218" spans="1:134" ht="11.25" customHeight="1" x14ac:dyDescent="0.3">
      <c r="A218" s="28" t="e">
        <f t="array" aca="1" ref="A218" ca="1">_xludf.XLOOKUP(S218,Master_Registrations!P:P,Master_Registrations!A:A,"")</f>
        <v>#NAME?</v>
      </c>
      <c r="B218" s="28" t="s">
        <v>7050</v>
      </c>
      <c r="C218" s="28">
        <v>2026</v>
      </c>
      <c r="D218" s="28" t="s">
        <v>4886</v>
      </c>
      <c r="E218" s="28">
        <v>3</v>
      </c>
      <c r="F218" s="29" t="str">
        <f t="shared" si="0"/>
        <v>VED-02-2026-GR-3</v>
      </c>
      <c r="G218" s="28" t="s">
        <v>7059</v>
      </c>
      <c r="H218" s="28" t="s">
        <v>7058</v>
      </c>
      <c r="I218" s="28"/>
      <c r="J218" s="28" t="s">
        <v>198</v>
      </c>
      <c r="K218" s="35">
        <v>1</v>
      </c>
      <c r="L218" s="38">
        <v>2</v>
      </c>
      <c r="M218" s="38">
        <v>2</v>
      </c>
      <c r="N218" s="28" t="s">
        <v>525</v>
      </c>
      <c r="O218" s="28" t="s">
        <v>1433</v>
      </c>
      <c r="P218" s="28" t="s">
        <v>2734</v>
      </c>
      <c r="Q218" s="28" t="e">
        <f t="shared" ca="1" si="5"/>
        <v>#NAME?</v>
      </c>
      <c r="R218" s="28" t="s">
        <v>316</v>
      </c>
      <c r="S218" s="55">
        <v>2622391929</v>
      </c>
      <c r="T218" s="29" t="s">
        <v>315</v>
      </c>
      <c r="U218" s="28">
        <v>1982</v>
      </c>
      <c r="V218" s="35">
        <v>2</v>
      </c>
      <c r="W218" s="35">
        <v>2</v>
      </c>
      <c r="X218" s="35">
        <v>2</v>
      </c>
      <c r="Y218" s="35">
        <v>2</v>
      </c>
      <c r="Z218" s="35">
        <v>2</v>
      </c>
      <c r="AA218" s="35">
        <v>2</v>
      </c>
      <c r="AB218" s="35">
        <v>2</v>
      </c>
      <c r="AC218" s="35">
        <v>2</v>
      </c>
      <c r="AD218" s="35">
        <v>2</v>
      </c>
      <c r="AE218" s="35">
        <v>2</v>
      </c>
      <c r="AF218" s="35">
        <v>2</v>
      </c>
      <c r="AG218" s="35">
        <v>2</v>
      </c>
      <c r="AH218" s="35">
        <v>1</v>
      </c>
      <c r="AI218" s="33">
        <v>-1</v>
      </c>
      <c r="AJ218" s="35">
        <v>-1</v>
      </c>
      <c r="AK218" s="35">
        <v>-1</v>
      </c>
      <c r="AL218" s="35">
        <v>-1</v>
      </c>
      <c r="AM218" s="35">
        <v>-1</v>
      </c>
      <c r="AN218" s="35">
        <v>2</v>
      </c>
      <c r="AO218" s="35">
        <v>2</v>
      </c>
      <c r="AP218" s="35">
        <v>2</v>
      </c>
      <c r="AQ218" s="35">
        <v>2</v>
      </c>
      <c r="AR218" s="35">
        <v>-1</v>
      </c>
      <c r="AS218" s="33">
        <v>-1</v>
      </c>
      <c r="AT218" s="35">
        <v>-1</v>
      </c>
      <c r="AU218" s="33">
        <v>-1</v>
      </c>
      <c r="AV218" s="33">
        <v>-1</v>
      </c>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c r="DZ218" s="34"/>
      <c r="EA218" s="34"/>
      <c r="EB218" s="34"/>
      <c r="EC218" s="34"/>
      <c r="ED218" s="34"/>
    </row>
    <row r="219" spans="1:134" ht="11.25" customHeight="1" x14ac:dyDescent="0.3">
      <c r="A219" s="28" t="e">
        <f t="array" aca="1" ref="A219" ca="1">_xludf.XLOOKUP(S219,Master_Registrations!P:P,Master_Registrations!A:A,"")</f>
        <v>#NAME?</v>
      </c>
      <c r="B219" s="28" t="s">
        <v>7050</v>
      </c>
      <c r="C219" s="28">
        <v>2026</v>
      </c>
      <c r="D219" s="28" t="s">
        <v>4886</v>
      </c>
      <c r="E219" s="28">
        <v>3</v>
      </c>
      <c r="F219" s="29" t="str">
        <f t="shared" si="0"/>
        <v>VED-02-2026-GR-3</v>
      </c>
      <c r="G219" s="28" t="s">
        <v>7059</v>
      </c>
      <c r="H219" s="28" t="s">
        <v>7058</v>
      </c>
      <c r="I219" s="28"/>
      <c r="J219" s="28" t="s">
        <v>198</v>
      </c>
      <c r="K219" s="38"/>
      <c r="L219" s="38"/>
      <c r="M219" s="38"/>
      <c r="N219" s="28" t="s">
        <v>621</v>
      </c>
      <c r="O219" s="28" t="s">
        <v>1524</v>
      </c>
      <c r="P219" s="28" t="s">
        <v>1525</v>
      </c>
      <c r="Q219" s="28" t="e">
        <f t="shared" ca="1" si="5"/>
        <v>#NAME?</v>
      </c>
      <c r="R219" s="28" t="s">
        <v>112</v>
      </c>
      <c r="S219" s="55">
        <v>9500054858</v>
      </c>
      <c r="T219" s="29" t="s">
        <v>111</v>
      </c>
      <c r="U219" s="28">
        <v>1970</v>
      </c>
      <c r="V219" s="35">
        <v>2</v>
      </c>
      <c r="W219" s="35">
        <v>2</v>
      </c>
      <c r="X219" s="35">
        <v>2</v>
      </c>
      <c r="Y219" s="35">
        <v>2</v>
      </c>
      <c r="Z219" s="35">
        <v>2</v>
      </c>
      <c r="AA219" s="35">
        <v>2</v>
      </c>
      <c r="AB219" s="35">
        <v>2</v>
      </c>
      <c r="AC219" s="35">
        <v>2</v>
      </c>
      <c r="AD219" s="35">
        <v>2</v>
      </c>
      <c r="AE219" s="35">
        <v>2</v>
      </c>
      <c r="AF219" s="35">
        <v>2</v>
      </c>
      <c r="AG219" s="35">
        <v>2</v>
      </c>
      <c r="AH219" s="35">
        <v>2</v>
      </c>
      <c r="AI219" s="35">
        <v>3</v>
      </c>
      <c r="AJ219" s="35">
        <v>2</v>
      </c>
      <c r="AK219" s="35">
        <v>1</v>
      </c>
      <c r="AL219" s="35">
        <v>-1</v>
      </c>
      <c r="AM219" s="35">
        <v>-1</v>
      </c>
      <c r="AN219" s="35">
        <v>-1</v>
      </c>
      <c r="AO219" s="35">
        <v>-1</v>
      </c>
      <c r="AP219" s="35">
        <v>-1</v>
      </c>
      <c r="AQ219" s="35">
        <v>-1</v>
      </c>
      <c r="AR219" s="35">
        <v>-1</v>
      </c>
      <c r="AS219" s="33">
        <v>-1</v>
      </c>
      <c r="AT219" s="35">
        <v>-1</v>
      </c>
      <c r="AU219" s="33">
        <v>-1</v>
      </c>
      <c r="AV219" s="33">
        <v>-1</v>
      </c>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row>
    <row r="220" spans="1:134" ht="11.25" customHeight="1" x14ac:dyDescent="0.3">
      <c r="A220" s="28" t="e">
        <f t="array" aca="1" ref="A220" ca="1">_xludf.XLOOKUP(S220,Master_Registrations!P:P,Master_Registrations!A:A,"")</f>
        <v>#NAME?</v>
      </c>
      <c r="B220" s="28" t="s">
        <v>7050</v>
      </c>
      <c r="C220" s="28">
        <v>2026</v>
      </c>
      <c r="D220" s="28" t="s">
        <v>4886</v>
      </c>
      <c r="E220" s="28">
        <v>3</v>
      </c>
      <c r="F220" s="29" t="str">
        <f t="shared" si="0"/>
        <v>VED-02-2026-GR-3</v>
      </c>
      <c r="G220" s="28" t="s">
        <v>7059</v>
      </c>
      <c r="H220" s="28" t="s">
        <v>7058</v>
      </c>
      <c r="I220" s="28"/>
      <c r="J220" s="28" t="s">
        <v>198</v>
      </c>
      <c r="K220" s="35">
        <v>1</v>
      </c>
      <c r="L220" s="38">
        <v>2</v>
      </c>
      <c r="M220" s="35">
        <v>1</v>
      </c>
      <c r="N220" s="28" t="s">
        <v>714</v>
      </c>
      <c r="O220" s="28" t="s">
        <v>2691</v>
      </c>
      <c r="P220" s="28" t="s">
        <v>495</v>
      </c>
      <c r="Q220" s="28" t="e">
        <f t="shared" ca="1" si="5"/>
        <v>#NAME?</v>
      </c>
      <c r="R220" s="28" t="s">
        <v>316</v>
      </c>
      <c r="S220" s="55">
        <v>9452130112</v>
      </c>
      <c r="T220" s="29" t="s">
        <v>315</v>
      </c>
      <c r="U220" s="28">
        <v>1981</v>
      </c>
      <c r="V220" s="35">
        <v>2</v>
      </c>
      <c r="W220" s="35">
        <v>2</v>
      </c>
      <c r="X220" s="35">
        <v>2</v>
      </c>
      <c r="Y220" s="35">
        <v>2</v>
      </c>
      <c r="Z220" s="35">
        <v>2</v>
      </c>
      <c r="AA220" s="35">
        <v>2</v>
      </c>
      <c r="AB220" s="35">
        <v>2</v>
      </c>
      <c r="AC220" s="35">
        <v>2</v>
      </c>
      <c r="AD220" s="35">
        <v>2</v>
      </c>
      <c r="AE220" s="35">
        <v>-1</v>
      </c>
      <c r="AF220" s="35">
        <v>-1</v>
      </c>
      <c r="AG220" s="35">
        <v>-1</v>
      </c>
      <c r="AH220" s="35">
        <v>2</v>
      </c>
      <c r="AI220" s="33">
        <v>-1</v>
      </c>
      <c r="AJ220" s="35">
        <v>-1</v>
      </c>
      <c r="AK220" s="35">
        <v>-1</v>
      </c>
      <c r="AL220" s="35">
        <v>-1</v>
      </c>
      <c r="AM220" s="35">
        <v>-1</v>
      </c>
      <c r="AN220" s="35">
        <v>-1</v>
      </c>
      <c r="AO220" s="35">
        <v>-1</v>
      </c>
      <c r="AP220" s="35">
        <v>-1</v>
      </c>
      <c r="AQ220" s="35">
        <v>-1</v>
      </c>
      <c r="AR220" s="35">
        <v>-1</v>
      </c>
      <c r="AS220" s="33">
        <v>-1</v>
      </c>
      <c r="AT220" s="35">
        <v>-1</v>
      </c>
      <c r="AU220" s="33">
        <v>-1</v>
      </c>
      <c r="AV220" s="33">
        <v>-1</v>
      </c>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c r="DZ220" s="34"/>
      <c r="EA220" s="34"/>
      <c r="EB220" s="34"/>
      <c r="EC220" s="34"/>
      <c r="ED220" s="34"/>
    </row>
    <row r="221" spans="1:134" ht="11.25" customHeight="1" x14ac:dyDescent="0.3">
      <c r="A221" s="28" t="e">
        <f t="array" aca="1" ref="A221" ca="1">_xludf.XLOOKUP(S221,Master_Registrations!P:P,Master_Registrations!A:A,"")</f>
        <v>#NAME?</v>
      </c>
      <c r="B221" s="28" t="s">
        <v>7050</v>
      </c>
      <c r="C221" s="28">
        <v>2026</v>
      </c>
      <c r="D221" s="28" t="s">
        <v>4886</v>
      </c>
      <c r="E221" s="28">
        <v>3</v>
      </c>
      <c r="F221" s="29" t="str">
        <f t="shared" si="0"/>
        <v>VED-02-2026-GR-3</v>
      </c>
      <c r="G221" s="28" t="s">
        <v>7059</v>
      </c>
      <c r="H221" s="28" t="s">
        <v>7058</v>
      </c>
      <c r="I221" s="28"/>
      <c r="J221" s="28" t="s">
        <v>198</v>
      </c>
      <c r="K221" s="35"/>
      <c r="L221" s="38"/>
      <c r="M221" s="38"/>
      <c r="N221" s="28" t="s">
        <v>786</v>
      </c>
      <c r="O221" s="28" t="s">
        <v>531</v>
      </c>
      <c r="P221" s="28" t="s">
        <v>2460</v>
      </c>
      <c r="Q221" s="28" t="e">
        <f t="shared" ca="1" si="5"/>
        <v>#NAME?</v>
      </c>
      <c r="R221" s="28" t="s">
        <v>316</v>
      </c>
      <c r="S221" s="55">
        <v>2066587733</v>
      </c>
      <c r="T221" s="29" t="s">
        <v>315</v>
      </c>
      <c r="U221" s="28">
        <v>1981</v>
      </c>
      <c r="V221" s="35">
        <v>2</v>
      </c>
      <c r="W221" s="35">
        <v>2</v>
      </c>
      <c r="X221" s="35">
        <v>2</v>
      </c>
      <c r="Y221" s="35">
        <v>2</v>
      </c>
      <c r="Z221" s="35">
        <v>2</v>
      </c>
      <c r="AA221" s="35">
        <v>2</v>
      </c>
      <c r="AB221" s="35">
        <v>2</v>
      </c>
      <c r="AC221" s="35">
        <v>2</v>
      </c>
      <c r="AD221" s="35">
        <v>2</v>
      </c>
      <c r="AE221" s="35">
        <v>2</v>
      </c>
      <c r="AF221" s="35">
        <v>2</v>
      </c>
      <c r="AG221" s="35">
        <v>2</v>
      </c>
      <c r="AH221" s="35">
        <v>2</v>
      </c>
      <c r="AI221" s="35">
        <v>3</v>
      </c>
      <c r="AJ221" s="35">
        <v>2</v>
      </c>
      <c r="AK221" s="35">
        <v>-1</v>
      </c>
      <c r="AL221" s="35">
        <v>-1</v>
      </c>
      <c r="AM221" s="35">
        <v>2</v>
      </c>
      <c r="AN221" s="35">
        <v>2</v>
      </c>
      <c r="AO221" s="35">
        <v>-1</v>
      </c>
      <c r="AP221" s="35">
        <v>-1</v>
      </c>
      <c r="AQ221" s="35">
        <v>-1</v>
      </c>
      <c r="AR221" s="35">
        <v>-1</v>
      </c>
      <c r="AS221" s="33">
        <v>-1</v>
      </c>
      <c r="AT221" s="35">
        <v>-1</v>
      </c>
      <c r="AU221" s="33">
        <v>-1</v>
      </c>
      <c r="AV221" s="33">
        <v>-1</v>
      </c>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row>
    <row r="222" spans="1:134" ht="11.25" customHeight="1" x14ac:dyDescent="0.3">
      <c r="A222" s="28" t="e">
        <f t="array" aca="1" ref="A222" ca="1">_xludf.XLOOKUP(S222,Master_Registrations!P:P,Master_Registrations!A:A,"")</f>
        <v>#NAME?</v>
      </c>
      <c r="B222" s="28" t="s">
        <v>7050</v>
      </c>
      <c r="C222" s="28">
        <v>2026</v>
      </c>
      <c r="D222" s="28" t="s">
        <v>4886</v>
      </c>
      <c r="E222" s="28">
        <v>3</v>
      </c>
      <c r="F222" s="29" t="str">
        <f t="shared" si="0"/>
        <v>VED-02-2026-GR-3</v>
      </c>
      <c r="G222" s="28" t="s">
        <v>7059</v>
      </c>
      <c r="H222" s="28" t="s">
        <v>7058</v>
      </c>
      <c r="I222" s="28"/>
      <c r="J222" s="28" t="s">
        <v>198</v>
      </c>
      <c r="K222" s="38"/>
      <c r="L222" s="38"/>
      <c r="M222" s="38"/>
      <c r="N222" s="28" t="s">
        <v>856</v>
      </c>
      <c r="O222" s="28" t="s">
        <v>1774</v>
      </c>
      <c r="P222" s="28" t="s">
        <v>2168</v>
      </c>
      <c r="Q222" s="28" t="e">
        <f t="shared" ca="1" si="5"/>
        <v>#NAME?</v>
      </c>
      <c r="R222" s="28" t="s">
        <v>316</v>
      </c>
      <c r="S222" s="28">
        <v>8609048328</v>
      </c>
      <c r="T222" s="29" t="s">
        <v>315</v>
      </c>
      <c r="U222" s="28">
        <v>1984</v>
      </c>
      <c r="V222" s="35">
        <v>2</v>
      </c>
      <c r="W222" s="35">
        <v>2</v>
      </c>
      <c r="X222" s="35">
        <v>2</v>
      </c>
      <c r="Y222" s="35">
        <v>2</v>
      </c>
      <c r="Z222" s="35">
        <v>2</v>
      </c>
      <c r="AA222" s="35">
        <v>2</v>
      </c>
      <c r="AB222" s="35">
        <v>2</v>
      </c>
      <c r="AC222" s="35">
        <v>2</v>
      </c>
      <c r="AD222" s="35">
        <v>2</v>
      </c>
      <c r="AE222" s="35">
        <v>2</v>
      </c>
      <c r="AF222" s="35">
        <v>2</v>
      </c>
      <c r="AG222" s="35">
        <v>2</v>
      </c>
      <c r="AH222" s="35">
        <v>2</v>
      </c>
      <c r="AI222" s="35">
        <v>3</v>
      </c>
      <c r="AJ222" s="35">
        <v>1</v>
      </c>
      <c r="AK222" s="35">
        <v>-1</v>
      </c>
      <c r="AL222" s="35">
        <v>-1</v>
      </c>
      <c r="AM222" s="35">
        <v>-1</v>
      </c>
      <c r="AN222" s="35">
        <v>-1</v>
      </c>
      <c r="AO222" s="35">
        <v>-1</v>
      </c>
      <c r="AP222" s="35">
        <v>-1</v>
      </c>
      <c r="AQ222" s="35">
        <v>-1</v>
      </c>
      <c r="AR222" s="35">
        <v>-1</v>
      </c>
      <c r="AS222" s="33">
        <v>-1</v>
      </c>
      <c r="AT222" s="35">
        <v>-1</v>
      </c>
      <c r="AU222" s="33">
        <v>-1</v>
      </c>
      <c r="AV222" s="33">
        <v>-1</v>
      </c>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c r="DZ222" s="34"/>
      <c r="EA222" s="34"/>
      <c r="EB222" s="34"/>
      <c r="EC222" s="34"/>
      <c r="ED222" s="34"/>
    </row>
    <row r="223" spans="1:134" ht="11.25" customHeight="1" x14ac:dyDescent="0.3">
      <c r="A223" s="28" t="e">
        <f t="array" aca="1" ref="A223" ca="1">_xludf.XLOOKUP(S223,Master_Registrations!P:P,Master_Registrations!A:A,"")</f>
        <v>#NAME?</v>
      </c>
      <c r="B223" s="28" t="s">
        <v>7050</v>
      </c>
      <c r="C223" s="28">
        <v>2026</v>
      </c>
      <c r="D223" s="28" t="s">
        <v>4886</v>
      </c>
      <c r="E223" s="28">
        <v>3</v>
      </c>
      <c r="F223" s="29" t="str">
        <f t="shared" si="0"/>
        <v>VED-02-2026-GR-3</v>
      </c>
      <c r="G223" s="28" t="s">
        <v>7059</v>
      </c>
      <c r="H223" s="28" t="s">
        <v>7058</v>
      </c>
      <c r="I223" s="28"/>
      <c r="J223" s="28" t="s">
        <v>198</v>
      </c>
      <c r="K223" s="35"/>
      <c r="L223" s="38"/>
      <c r="M223" s="38"/>
      <c r="N223" s="28" t="s">
        <v>915</v>
      </c>
      <c r="O223" s="28" t="s">
        <v>2453</v>
      </c>
      <c r="P223" s="28" t="s">
        <v>2454</v>
      </c>
      <c r="Q223" s="28" t="e">
        <f t="shared" ca="1" si="5"/>
        <v>#NAME?</v>
      </c>
      <c r="R223" s="28" t="s">
        <v>112</v>
      </c>
      <c r="S223" s="55">
        <v>9966052462</v>
      </c>
      <c r="T223" s="29" t="s">
        <v>111</v>
      </c>
      <c r="U223" s="28">
        <v>1985</v>
      </c>
      <c r="V223" s="35">
        <v>2</v>
      </c>
      <c r="W223" s="35">
        <v>2</v>
      </c>
      <c r="X223" s="35">
        <v>2</v>
      </c>
      <c r="Y223" s="35">
        <v>2</v>
      </c>
      <c r="Z223" s="35">
        <v>2</v>
      </c>
      <c r="AA223" s="35">
        <v>2</v>
      </c>
      <c r="AB223" s="35">
        <v>2</v>
      </c>
      <c r="AC223" s="35">
        <v>2</v>
      </c>
      <c r="AD223" s="35">
        <v>2</v>
      </c>
      <c r="AE223" s="35">
        <v>2</v>
      </c>
      <c r="AF223" s="35">
        <v>2</v>
      </c>
      <c r="AG223" s="35">
        <v>2</v>
      </c>
      <c r="AH223" s="35">
        <v>2</v>
      </c>
      <c r="AI223" s="35">
        <v>3</v>
      </c>
      <c r="AJ223" s="35">
        <v>-1</v>
      </c>
      <c r="AK223" s="35">
        <v>-1</v>
      </c>
      <c r="AL223" s="35">
        <v>-1</v>
      </c>
      <c r="AM223" s="35">
        <v>2</v>
      </c>
      <c r="AN223" s="35">
        <v>2</v>
      </c>
      <c r="AO223" s="35">
        <v>2</v>
      </c>
      <c r="AP223" s="35">
        <v>2</v>
      </c>
      <c r="AQ223" s="35">
        <v>-1</v>
      </c>
      <c r="AR223" s="35">
        <v>-1</v>
      </c>
      <c r="AS223" s="33">
        <v>-1</v>
      </c>
      <c r="AT223" s="35">
        <v>-1</v>
      </c>
      <c r="AU223" s="33">
        <v>-1</v>
      </c>
      <c r="AV223" s="33">
        <v>-1</v>
      </c>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row>
    <row r="224" spans="1:134" ht="11.25" customHeight="1" x14ac:dyDescent="0.3">
      <c r="A224" s="28" t="e">
        <f t="array" aca="1" ref="A224" ca="1">_xludf.XLOOKUP(S224,Master_Registrations!P:P,Master_Registrations!A:A,"")</f>
        <v>#NAME?</v>
      </c>
      <c r="B224" s="28" t="s">
        <v>7050</v>
      </c>
      <c r="C224" s="28">
        <v>2026</v>
      </c>
      <c r="D224" s="28" t="s">
        <v>4886</v>
      </c>
      <c r="E224" s="28">
        <v>3</v>
      </c>
      <c r="F224" s="29" t="str">
        <f t="shared" si="0"/>
        <v>VED-02-2026-GR-3</v>
      </c>
      <c r="G224" s="28" t="s">
        <v>7059</v>
      </c>
      <c r="H224" s="28" t="s">
        <v>7058</v>
      </c>
      <c r="I224" s="28"/>
      <c r="J224" s="28" t="s">
        <v>198</v>
      </c>
      <c r="K224" s="35"/>
      <c r="L224" s="38"/>
      <c r="M224" s="38"/>
      <c r="N224" s="28" t="s">
        <v>973</v>
      </c>
      <c r="O224" s="28" t="s">
        <v>2314</v>
      </c>
      <c r="P224" s="28" t="s">
        <v>187</v>
      </c>
      <c r="Q224" s="28" t="e">
        <f t="shared" ca="1" si="5"/>
        <v>#NAME?</v>
      </c>
      <c r="R224" s="28" t="s">
        <v>316</v>
      </c>
      <c r="S224" s="55">
        <v>5178947513</v>
      </c>
      <c r="T224" s="29" t="s">
        <v>402</v>
      </c>
      <c r="U224" s="28">
        <v>1988</v>
      </c>
      <c r="V224" s="35">
        <v>2</v>
      </c>
      <c r="W224" s="35">
        <v>2</v>
      </c>
      <c r="X224" s="35">
        <v>2</v>
      </c>
      <c r="Y224" s="35">
        <v>2</v>
      </c>
      <c r="Z224" s="35">
        <v>2</v>
      </c>
      <c r="AA224" s="35">
        <v>2</v>
      </c>
      <c r="AB224" s="35">
        <v>2</v>
      </c>
      <c r="AC224" s="35">
        <v>2</v>
      </c>
      <c r="AD224" s="35">
        <v>2</v>
      </c>
      <c r="AE224" s="35">
        <v>2</v>
      </c>
      <c r="AF224" s="35">
        <v>2</v>
      </c>
      <c r="AG224" s="35">
        <v>2</v>
      </c>
      <c r="AH224" s="35">
        <v>2</v>
      </c>
      <c r="AI224" s="35">
        <v>3</v>
      </c>
      <c r="AJ224" s="35">
        <v>2</v>
      </c>
      <c r="AK224" s="35">
        <v>-1</v>
      </c>
      <c r="AL224" s="35">
        <v>-1</v>
      </c>
      <c r="AM224" s="35">
        <v>2</v>
      </c>
      <c r="AN224" s="35">
        <v>-1</v>
      </c>
      <c r="AO224" s="35">
        <v>1</v>
      </c>
      <c r="AP224" s="35">
        <v>-1</v>
      </c>
      <c r="AQ224" s="35">
        <v>-1</v>
      </c>
      <c r="AR224" s="35">
        <v>-1</v>
      </c>
      <c r="AS224" s="33">
        <v>-1</v>
      </c>
      <c r="AT224" s="35">
        <v>-1</v>
      </c>
      <c r="AU224" s="33">
        <v>-1</v>
      </c>
      <c r="AV224" s="33">
        <v>-1</v>
      </c>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34"/>
      <c r="DZ224" s="34"/>
      <c r="EA224" s="34"/>
      <c r="EB224" s="34"/>
      <c r="EC224" s="34"/>
      <c r="ED224" s="34"/>
    </row>
    <row r="225" spans="1:134" ht="11.25" customHeight="1" x14ac:dyDescent="0.3">
      <c r="A225" s="28" t="e">
        <f t="array" aca="1" ref="A225" ca="1">_xludf.XLOOKUP(S225,Master_Registrations!P:P,Master_Registrations!A:A,"")</f>
        <v>#NAME?</v>
      </c>
      <c r="B225" s="28" t="s">
        <v>7050</v>
      </c>
      <c r="C225" s="28">
        <v>2026</v>
      </c>
      <c r="D225" s="28" t="s">
        <v>4886</v>
      </c>
      <c r="E225" s="28">
        <v>3</v>
      </c>
      <c r="F225" s="29" t="str">
        <f t="shared" si="0"/>
        <v>VED-02-2026-GR-3</v>
      </c>
      <c r="G225" s="28" t="s">
        <v>7059</v>
      </c>
      <c r="H225" s="28" t="s">
        <v>7058</v>
      </c>
      <c r="I225" s="28"/>
      <c r="J225" s="28" t="s">
        <v>198</v>
      </c>
      <c r="K225" s="38">
        <v>2</v>
      </c>
      <c r="L225" s="38">
        <v>2</v>
      </c>
      <c r="M225" s="38">
        <v>2</v>
      </c>
      <c r="N225" s="28" t="s">
        <v>1031</v>
      </c>
      <c r="O225" s="28" t="s">
        <v>2175</v>
      </c>
      <c r="P225" s="28" t="s">
        <v>2176</v>
      </c>
      <c r="Q225" s="28" t="e">
        <f t="shared" ca="1" si="5"/>
        <v>#NAME?</v>
      </c>
      <c r="R225" s="28" t="s">
        <v>316</v>
      </c>
      <c r="S225" s="55">
        <v>3314017624</v>
      </c>
      <c r="T225" s="29" t="s">
        <v>315</v>
      </c>
      <c r="U225" s="28">
        <v>1971</v>
      </c>
      <c r="V225" s="35">
        <v>2</v>
      </c>
      <c r="W225" s="35">
        <v>2</v>
      </c>
      <c r="X225" s="35">
        <v>2</v>
      </c>
      <c r="Y225" s="35">
        <v>2</v>
      </c>
      <c r="Z225" s="35">
        <v>2</v>
      </c>
      <c r="AA225" s="35">
        <v>2</v>
      </c>
      <c r="AB225" s="35">
        <v>2</v>
      </c>
      <c r="AC225" s="35">
        <v>2</v>
      </c>
      <c r="AD225" s="35">
        <v>2</v>
      </c>
      <c r="AE225" s="35">
        <v>2</v>
      </c>
      <c r="AF225" s="35">
        <v>2</v>
      </c>
      <c r="AG225" s="35">
        <v>2</v>
      </c>
      <c r="AH225" s="35">
        <v>2</v>
      </c>
      <c r="AI225" s="33">
        <v>-1</v>
      </c>
      <c r="AJ225" s="35">
        <v>2</v>
      </c>
      <c r="AK225" s="35">
        <v>-1</v>
      </c>
      <c r="AL225" s="35">
        <v>-1</v>
      </c>
      <c r="AM225" s="35">
        <v>-1</v>
      </c>
      <c r="AN225" s="35">
        <v>-1</v>
      </c>
      <c r="AO225" s="35">
        <v>2</v>
      </c>
      <c r="AP225" s="35">
        <v>-1</v>
      </c>
      <c r="AQ225" s="35">
        <v>-1</v>
      </c>
      <c r="AR225" s="35">
        <v>-1</v>
      </c>
      <c r="AS225" s="33">
        <v>-1</v>
      </c>
      <c r="AT225" s="35">
        <v>-1</v>
      </c>
      <c r="AU225" s="33">
        <v>-1</v>
      </c>
      <c r="AV225" s="33">
        <v>-1</v>
      </c>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c r="DZ225" s="34"/>
      <c r="EA225" s="34"/>
      <c r="EB225" s="34"/>
      <c r="EC225" s="34"/>
      <c r="ED225" s="34"/>
    </row>
    <row r="226" spans="1:134" ht="11.25" customHeight="1" x14ac:dyDescent="0.3">
      <c r="A226" s="28" t="e">
        <f t="array" aca="1" ref="A226" ca="1">_xludf.XLOOKUP(S226,Master_Registrations!P:P,Master_Registrations!A:A,"")</f>
        <v>#NAME?</v>
      </c>
      <c r="B226" s="39" t="s">
        <v>7050</v>
      </c>
      <c r="C226" s="39">
        <v>2026</v>
      </c>
      <c r="D226" s="39" t="s">
        <v>4886</v>
      </c>
      <c r="E226" s="39">
        <v>4</v>
      </c>
      <c r="F226" s="40" t="str">
        <f t="shared" si="0"/>
        <v>VED-02-2026-GR-4</v>
      </c>
      <c r="G226" s="39" t="s">
        <v>4569</v>
      </c>
      <c r="H226" s="39" t="s">
        <v>3717</v>
      </c>
      <c r="I226" s="39"/>
      <c r="J226" s="39" t="s">
        <v>198</v>
      </c>
      <c r="K226" s="52"/>
      <c r="L226" s="52"/>
      <c r="M226" s="52"/>
      <c r="N226" s="39" t="s">
        <v>200</v>
      </c>
      <c r="O226" s="39" t="s">
        <v>3311</v>
      </c>
      <c r="P226" s="39" t="s">
        <v>3312</v>
      </c>
      <c r="Q226" s="39" t="e">
        <f t="shared" ca="1" si="5"/>
        <v>#NAME?</v>
      </c>
      <c r="R226" s="39" t="s">
        <v>316</v>
      </c>
      <c r="S226" s="50">
        <v>9727430267</v>
      </c>
      <c r="T226" s="40" t="s">
        <v>315</v>
      </c>
      <c r="U226" s="39">
        <v>1981</v>
      </c>
      <c r="V226" s="44">
        <v>2</v>
      </c>
      <c r="W226" s="44">
        <v>2</v>
      </c>
      <c r="X226" s="44">
        <v>2</v>
      </c>
      <c r="Y226" s="44">
        <v>2</v>
      </c>
      <c r="Z226" s="44">
        <v>2</v>
      </c>
      <c r="AA226" s="44">
        <v>2</v>
      </c>
      <c r="AB226" s="44">
        <v>2</v>
      </c>
      <c r="AC226" s="44">
        <v>2</v>
      </c>
      <c r="AD226" s="44">
        <v>2</v>
      </c>
      <c r="AE226" s="44">
        <v>2</v>
      </c>
      <c r="AF226" s="44">
        <v>2</v>
      </c>
      <c r="AG226" s="44">
        <v>2</v>
      </c>
      <c r="AH226" s="44">
        <v>2</v>
      </c>
      <c r="AI226" s="44">
        <v>3</v>
      </c>
      <c r="AJ226" s="44">
        <v>2</v>
      </c>
      <c r="AK226" s="44">
        <v>2</v>
      </c>
      <c r="AL226" s="44">
        <v>2</v>
      </c>
      <c r="AM226" s="44">
        <v>2</v>
      </c>
      <c r="AN226" s="44">
        <v>2</v>
      </c>
      <c r="AO226" s="44">
        <v>2</v>
      </c>
      <c r="AP226" s="44">
        <v>2</v>
      </c>
      <c r="AQ226" s="44">
        <v>2</v>
      </c>
      <c r="AR226" s="44">
        <v>2</v>
      </c>
      <c r="AS226" s="45">
        <v>-1</v>
      </c>
      <c r="AT226" s="45">
        <v>-1</v>
      </c>
      <c r="AU226" s="45">
        <v>-1</v>
      </c>
      <c r="AV226" s="45">
        <v>-1</v>
      </c>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c r="BV226" s="39"/>
      <c r="BW226" s="39"/>
      <c r="BX226" s="39"/>
      <c r="BY226" s="39"/>
      <c r="BZ226" s="39"/>
      <c r="CA226" s="39"/>
      <c r="CB226" s="39"/>
      <c r="CC226" s="39"/>
      <c r="CD226" s="39"/>
      <c r="CE226" s="39"/>
      <c r="CF226" s="39"/>
      <c r="CG226" s="39"/>
      <c r="CH226" s="39"/>
      <c r="CI226" s="39"/>
      <c r="CJ226" s="39"/>
      <c r="CK226" s="39"/>
      <c r="CL226" s="39"/>
      <c r="CM226" s="39"/>
      <c r="CN226" s="39"/>
      <c r="CO226" s="39"/>
      <c r="CP226" s="39"/>
      <c r="CQ226" s="39"/>
      <c r="CR226" s="39"/>
      <c r="CS226" s="39"/>
      <c r="CT226" s="39"/>
      <c r="CU226" s="39"/>
      <c r="CV226" s="39"/>
      <c r="CW226" s="39"/>
      <c r="CX226" s="39"/>
      <c r="CY226" s="39"/>
      <c r="CZ226" s="48"/>
      <c r="DA226" s="48"/>
      <c r="DB226" s="48"/>
      <c r="DC226" s="48"/>
      <c r="DD226" s="48"/>
      <c r="DE226" s="48"/>
      <c r="DF226" s="48"/>
      <c r="DG226" s="48"/>
      <c r="DH226" s="48"/>
      <c r="DI226" s="48"/>
      <c r="DJ226" s="48"/>
      <c r="DK226" s="48"/>
      <c r="DL226" s="48"/>
      <c r="DM226" s="48"/>
      <c r="DN226" s="48"/>
      <c r="DO226" s="48"/>
      <c r="DP226" s="48"/>
      <c r="DQ226" s="48"/>
      <c r="DR226" s="48"/>
      <c r="DS226" s="48"/>
      <c r="DT226" s="48"/>
      <c r="DU226" s="48"/>
      <c r="DV226" s="48"/>
      <c r="DW226" s="48"/>
      <c r="DX226" s="48"/>
      <c r="DY226" s="48"/>
      <c r="DZ226" s="48"/>
      <c r="EA226" s="48"/>
      <c r="EB226" s="48"/>
      <c r="EC226" s="48"/>
      <c r="ED226" s="48"/>
    </row>
    <row r="227" spans="1:134" ht="11.25" customHeight="1" x14ac:dyDescent="0.3">
      <c r="A227" s="28" t="e">
        <f t="array" aca="1" ref="A227" ca="1">_xludf.XLOOKUP(S227,Master_Registrations!P:P,Master_Registrations!A:A,"")</f>
        <v>#NAME?</v>
      </c>
      <c r="B227" s="39" t="s">
        <v>7050</v>
      </c>
      <c r="C227" s="39">
        <v>2026</v>
      </c>
      <c r="D227" s="39" t="s">
        <v>4886</v>
      </c>
      <c r="E227" s="39">
        <v>4</v>
      </c>
      <c r="F227" s="40" t="str">
        <f t="shared" si="0"/>
        <v>VED-02-2026-GR-4</v>
      </c>
      <c r="G227" s="39" t="s">
        <v>4569</v>
      </c>
      <c r="H227" s="39" t="s">
        <v>3717</v>
      </c>
      <c r="I227" s="39"/>
      <c r="J227" s="39" t="s">
        <v>198</v>
      </c>
      <c r="K227" s="44"/>
      <c r="L227" s="44"/>
      <c r="M227" s="49"/>
      <c r="N227" s="39" t="s">
        <v>299</v>
      </c>
      <c r="O227" s="39" t="s">
        <v>370</v>
      </c>
      <c r="P227" s="39" t="s">
        <v>2933</v>
      </c>
      <c r="Q227" s="39" t="e">
        <f t="shared" ca="1" si="5"/>
        <v>#NAME?</v>
      </c>
      <c r="R227" s="39" t="s">
        <v>316</v>
      </c>
      <c r="S227" s="50">
        <v>8184307054</v>
      </c>
      <c r="T227" s="40" t="s">
        <v>474</v>
      </c>
      <c r="U227" s="39">
        <v>1973</v>
      </c>
      <c r="V227" s="44">
        <v>2</v>
      </c>
      <c r="W227" s="45">
        <v>-1</v>
      </c>
      <c r="X227" s="44">
        <v>2</v>
      </c>
      <c r="Y227" s="44">
        <v>2</v>
      </c>
      <c r="Z227" s="44">
        <v>2</v>
      </c>
      <c r="AA227" s="44">
        <v>2</v>
      </c>
      <c r="AB227" s="44">
        <v>-1</v>
      </c>
      <c r="AC227" s="44">
        <v>-1</v>
      </c>
      <c r="AD227" s="44">
        <v>-1</v>
      </c>
      <c r="AE227" s="44">
        <v>-1</v>
      </c>
      <c r="AF227" s="44">
        <v>-1</v>
      </c>
      <c r="AG227" s="44">
        <v>-1</v>
      </c>
      <c r="AH227" s="44">
        <v>-1</v>
      </c>
      <c r="AI227" s="45">
        <v>-1</v>
      </c>
      <c r="AJ227" s="44">
        <v>-1</v>
      </c>
      <c r="AK227" s="45">
        <v>-1</v>
      </c>
      <c r="AL227" s="44">
        <v>-1</v>
      </c>
      <c r="AM227" s="44">
        <v>-1</v>
      </c>
      <c r="AN227" s="44">
        <v>-1</v>
      </c>
      <c r="AO227" s="44">
        <v>-1</v>
      </c>
      <c r="AP227" s="45">
        <v>-1</v>
      </c>
      <c r="AQ227" s="45">
        <v>-1</v>
      </c>
      <c r="AR227" s="45">
        <v>-1</v>
      </c>
      <c r="AS227" s="45">
        <v>-1</v>
      </c>
      <c r="AT227" s="45">
        <v>-1</v>
      </c>
      <c r="AU227" s="45">
        <v>-1</v>
      </c>
      <c r="AV227" s="45">
        <v>-1</v>
      </c>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c r="BV227" s="39"/>
      <c r="BW227" s="39"/>
      <c r="BX227" s="39"/>
      <c r="BY227" s="39"/>
      <c r="BZ227" s="39"/>
      <c r="CA227" s="39"/>
      <c r="CB227" s="39"/>
      <c r="CC227" s="39"/>
      <c r="CD227" s="39"/>
      <c r="CE227" s="39"/>
      <c r="CF227" s="39"/>
      <c r="CG227" s="39"/>
      <c r="CH227" s="39"/>
      <c r="CI227" s="39"/>
      <c r="CJ227" s="39"/>
      <c r="CK227" s="39"/>
      <c r="CL227" s="39"/>
      <c r="CM227" s="39"/>
      <c r="CN227" s="39"/>
      <c r="CO227" s="39"/>
      <c r="CP227" s="39"/>
      <c r="CQ227" s="39"/>
      <c r="CR227" s="39"/>
      <c r="CS227" s="39"/>
      <c r="CT227" s="39"/>
      <c r="CU227" s="39"/>
      <c r="CV227" s="39"/>
      <c r="CW227" s="39"/>
      <c r="CX227" s="39"/>
      <c r="CY227" s="39"/>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c r="DX227" s="48"/>
      <c r="DY227" s="48"/>
      <c r="DZ227" s="48"/>
      <c r="EA227" s="48"/>
      <c r="EB227" s="48"/>
      <c r="EC227" s="48"/>
      <c r="ED227" s="48"/>
    </row>
    <row r="228" spans="1:134" ht="11.25" customHeight="1" x14ac:dyDescent="0.3">
      <c r="A228" s="28" t="e">
        <f t="array" aca="1" ref="A228" ca="1">_xludf.XLOOKUP(S228,Master_Registrations!P:P,Master_Registrations!A:A,"")</f>
        <v>#NAME?</v>
      </c>
      <c r="B228" s="39" t="s">
        <v>7050</v>
      </c>
      <c r="C228" s="39">
        <v>2026</v>
      </c>
      <c r="D228" s="39" t="s">
        <v>4886</v>
      </c>
      <c r="E228" s="39">
        <v>4</v>
      </c>
      <c r="F228" s="40" t="str">
        <f t="shared" si="0"/>
        <v>VED-02-2026-GR-4</v>
      </c>
      <c r="G228" s="39" t="s">
        <v>4569</v>
      </c>
      <c r="H228" s="39" t="s">
        <v>3717</v>
      </c>
      <c r="I228" s="39"/>
      <c r="J228" s="39" t="s">
        <v>198</v>
      </c>
      <c r="K228" s="52"/>
      <c r="L228" s="52"/>
      <c r="M228" s="52"/>
      <c r="N228" s="39" t="s">
        <v>369</v>
      </c>
      <c r="O228" s="39" t="s">
        <v>3068</v>
      </c>
      <c r="P228" s="39" t="s">
        <v>3069</v>
      </c>
      <c r="Q228" s="39" t="e">
        <f t="shared" ca="1" si="5"/>
        <v>#NAME?</v>
      </c>
      <c r="R228" s="39" t="s">
        <v>112</v>
      </c>
      <c r="S228" s="50">
        <v>9620891935</v>
      </c>
      <c r="T228" s="40" t="s">
        <v>315</v>
      </c>
      <c r="U228" s="39">
        <v>1977</v>
      </c>
      <c r="V228" s="44">
        <v>2</v>
      </c>
      <c r="W228" s="44">
        <v>2</v>
      </c>
      <c r="X228" s="44">
        <v>2</v>
      </c>
      <c r="Y228" s="44">
        <v>2</v>
      </c>
      <c r="Z228" s="44">
        <v>2</v>
      </c>
      <c r="AA228" s="44">
        <v>2</v>
      </c>
      <c r="AB228" s="44">
        <v>2</v>
      </c>
      <c r="AC228" s="44">
        <v>2</v>
      </c>
      <c r="AD228" s="44">
        <v>2</v>
      </c>
      <c r="AE228" s="44">
        <v>2</v>
      </c>
      <c r="AF228" s="44">
        <v>2</v>
      </c>
      <c r="AG228" s="44">
        <v>2</v>
      </c>
      <c r="AH228" s="44">
        <v>1</v>
      </c>
      <c r="AI228" s="45">
        <v>-1</v>
      </c>
      <c r="AJ228" s="44">
        <v>-1</v>
      </c>
      <c r="AK228" s="45">
        <v>-1</v>
      </c>
      <c r="AL228" s="44">
        <v>-1</v>
      </c>
      <c r="AM228" s="44">
        <v>-1</v>
      </c>
      <c r="AN228" s="44">
        <v>-1</v>
      </c>
      <c r="AO228" s="44">
        <v>-1</v>
      </c>
      <c r="AP228" s="45">
        <v>-1</v>
      </c>
      <c r="AQ228" s="45">
        <v>-1</v>
      </c>
      <c r="AR228" s="45">
        <v>-1</v>
      </c>
      <c r="AS228" s="45">
        <v>-1</v>
      </c>
      <c r="AT228" s="45">
        <v>-1</v>
      </c>
      <c r="AU228" s="45">
        <v>-1</v>
      </c>
      <c r="AV228" s="45">
        <v>-1</v>
      </c>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c r="BV228" s="39"/>
      <c r="BW228" s="39"/>
      <c r="BX228" s="39"/>
      <c r="BY228" s="39"/>
      <c r="BZ228" s="39"/>
      <c r="CA228" s="39"/>
      <c r="CB228" s="39"/>
      <c r="CC228" s="39"/>
      <c r="CD228" s="39"/>
      <c r="CE228" s="39"/>
      <c r="CF228" s="39"/>
      <c r="CG228" s="39"/>
      <c r="CH228" s="39"/>
      <c r="CI228" s="39"/>
      <c r="CJ228" s="39"/>
      <c r="CK228" s="39"/>
      <c r="CL228" s="39"/>
      <c r="CM228" s="39"/>
      <c r="CN228" s="39"/>
      <c r="CO228" s="39"/>
      <c r="CP228" s="39"/>
      <c r="CQ228" s="39"/>
      <c r="CR228" s="39"/>
      <c r="CS228" s="39"/>
      <c r="CT228" s="39"/>
      <c r="CU228" s="39"/>
      <c r="CV228" s="39"/>
      <c r="CW228" s="39"/>
      <c r="CX228" s="39"/>
      <c r="CY228" s="39"/>
      <c r="CZ228" s="48"/>
      <c r="DA228" s="48"/>
      <c r="DB228" s="48"/>
      <c r="DC228" s="48"/>
      <c r="DD228" s="48"/>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row>
    <row r="229" spans="1:134" ht="11.25" customHeight="1" x14ac:dyDescent="0.3">
      <c r="A229" s="28" t="e">
        <f t="array" aca="1" ref="A229" ca="1">_xludf.XLOOKUP(S229,Master_Registrations!P:P,Master_Registrations!A:A,"")</f>
        <v>#NAME?</v>
      </c>
      <c r="B229" s="39" t="s">
        <v>7050</v>
      </c>
      <c r="C229" s="39">
        <v>2026</v>
      </c>
      <c r="D229" s="39" t="s">
        <v>4886</v>
      </c>
      <c r="E229" s="39">
        <v>4</v>
      </c>
      <c r="F229" s="40" t="str">
        <f t="shared" si="0"/>
        <v>VED-02-2026-GR-4</v>
      </c>
      <c r="G229" s="39" t="s">
        <v>4569</v>
      </c>
      <c r="H229" s="39" t="s">
        <v>3717</v>
      </c>
      <c r="I229" s="39"/>
      <c r="J229" s="39" t="s">
        <v>198</v>
      </c>
      <c r="K229" s="44"/>
      <c r="L229" s="44"/>
      <c r="M229" s="49"/>
      <c r="N229" s="39" t="s">
        <v>434</v>
      </c>
      <c r="O229" s="39" t="s">
        <v>3200</v>
      </c>
      <c r="P229" s="39" t="s">
        <v>3201</v>
      </c>
      <c r="Q229" s="39" t="e">
        <f t="shared" ca="1" si="5"/>
        <v>#NAME?</v>
      </c>
      <c r="R229" s="39" t="s">
        <v>316</v>
      </c>
      <c r="S229" s="50">
        <v>2039473369</v>
      </c>
      <c r="T229" s="40" t="s">
        <v>474</v>
      </c>
      <c r="U229" s="39">
        <v>1984</v>
      </c>
      <c r="V229" s="44">
        <v>1</v>
      </c>
      <c r="W229" s="45">
        <v>-1</v>
      </c>
      <c r="X229" s="44">
        <v>-1</v>
      </c>
      <c r="Y229" s="44">
        <v>-1</v>
      </c>
      <c r="Z229" s="44">
        <v>2</v>
      </c>
      <c r="AA229" s="44">
        <v>-1</v>
      </c>
      <c r="AB229" s="44">
        <v>2</v>
      </c>
      <c r="AC229" s="44">
        <v>-1</v>
      </c>
      <c r="AD229" s="44">
        <v>-1</v>
      </c>
      <c r="AE229" s="44">
        <v>2</v>
      </c>
      <c r="AF229" s="44">
        <v>2</v>
      </c>
      <c r="AG229" s="44">
        <v>2</v>
      </c>
      <c r="AH229" s="44">
        <v>-1</v>
      </c>
      <c r="AI229" s="45">
        <v>-1</v>
      </c>
      <c r="AJ229" s="44">
        <v>-1</v>
      </c>
      <c r="AK229" s="45">
        <v>-1</v>
      </c>
      <c r="AL229" s="44">
        <v>-1</v>
      </c>
      <c r="AM229" s="44">
        <v>-1</v>
      </c>
      <c r="AN229" s="44">
        <v>-1</v>
      </c>
      <c r="AO229" s="44">
        <v>-1</v>
      </c>
      <c r="AP229" s="45">
        <v>-1</v>
      </c>
      <c r="AQ229" s="45">
        <v>-1</v>
      </c>
      <c r="AR229" s="45">
        <v>-1</v>
      </c>
      <c r="AS229" s="45">
        <v>-1</v>
      </c>
      <c r="AT229" s="45">
        <v>-1</v>
      </c>
      <c r="AU229" s="45">
        <v>-1</v>
      </c>
      <c r="AV229" s="45">
        <v>-1</v>
      </c>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39"/>
      <c r="BZ229" s="39"/>
      <c r="CA229" s="39"/>
      <c r="CB229" s="39"/>
      <c r="CC229" s="39"/>
      <c r="CD229" s="39"/>
      <c r="CE229" s="39"/>
      <c r="CF229" s="39"/>
      <c r="CG229" s="39"/>
      <c r="CH229" s="39"/>
      <c r="CI229" s="39"/>
      <c r="CJ229" s="39"/>
      <c r="CK229" s="39"/>
      <c r="CL229" s="39"/>
      <c r="CM229" s="39"/>
      <c r="CN229" s="39"/>
      <c r="CO229" s="39"/>
      <c r="CP229" s="39"/>
      <c r="CQ229" s="39"/>
      <c r="CR229" s="39"/>
      <c r="CS229" s="39"/>
      <c r="CT229" s="39"/>
      <c r="CU229" s="39"/>
      <c r="CV229" s="39"/>
      <c r="CW229" s="39"/>
      <c r="CX229" s="39"/>
      <c r="CY229" s="39"/>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c r="DX229" s="48"/>
      <c r="DY229" s="48"/>
      <c r="DZ229" s="48"/>
      <c r="EA229" s="48"/>
      <c r="EB229" s="48"/>
      <c r="EC229" s="48"/>
      <c r="ED229" s="48"/>
    </row>
    <row r="230" spans="1:134" ht="11.25" customHeight="1" x14ac:dyDescent="0.3">
      <c r="A230" s="28" t="e">
        <f t="array" aca="1" ref="A230" ca="1">_xludf.XLOOKUP(S230,Master_Registrations!P:P,Master_Registrations!A:A,"")</f>
        <v>#NAME?</v>
      </c>
      <c r="B230" s="39" t="s">
        <v>7050</v>
      </c>
      <c r="C230" s="39">
        <v>2026</v>
      </c>
      <c r="D230" s="39" t="s">
        <v>4886</v>
      </c>
      <c r="E230" s="39">
        <v>4</v>
      </c>
      <c r="F230" s="40" t="str">
        <f t="shared" si="0"/>
        <v>VED-02-2026-GR-4</v>
      </c>
      <c r="G230" s="39" t="s">
        <v>4569</v>
      </c>
      <c r="H230" s="39" t="s">
        <v>3717</v>
      </c>
      <c r="I230" s="39"/>
      <c r="J230" s="39" t="s">
        <v>198</v>
      </c>
      <c r="K230" s="44"/>
      <c r="L230" s="44"/>
      <c r="M230" s="44"/>
      <c r="N230" s="39" t="s">
        <v>525</v>
      </c>
      <c r="O230" s="39" t="s">
        <v>3123</v>
      </c>
      <c r="P230" s="39" t="s">
        <v>3124</v>
      </c>
      <c r="Q230" s="39" t="e">
        <f t="shared" ca="1" si="5"/>
        <v>#NAME?</v>
      </c>
      <c r="R230" s="39" t="s">
        <v>316</v>
      </c>
      <c r="S230" s="50">
        <v>9452756722</v>
      </c>
      <c r="T230" s="40" t="s">
        <v>315</v>
      </c>
      <c r="U230" s="39">
        <v>1977</v>
      </c>
      <c r="V230" s="44">
        <v>2</v>
      </c>
      <c r="W230" s="44">
        <v>2</v>
      </c>
      <c r="X230" s="44">
        <v>2</v>
      </c>
      <c r="Y230" s="44">
        <v>2</v>
      </c>
      <c r="Z230" s="44">
        <v>2</v>
      </c>
      <c r="AA230" s="44">
        <v>2</v>
      </c>
      <c r="AB230" s="44">
        <v>2</v>
      </c>
      <c r="AC230" s="44">
        <v>2</v>
      </c>
      <c r="AD230" s="44">
        <v>2</v>
      </c>
      <c r="AE230" s="44">
        <v>2</v>
      </c>
      <c r="AF230" s="44">
        <v>2</v>
      </c>
      <c r="AG230" s="44">
        <v>2</v>
      </c>
      <c r="AH230" s="44">
        <v>2</v>
      </c>
      <c r="AI230" s="45">
        <v>-1</v>
      </c>
      <c r="AJ230" s="44">
        <v>2</v>
      </c>
      <c r="AK230" s="45">
        <v>-1</v>
      </c>
      <c r="AL230" s="44">
        <v>2</v>
      </c>
      <c r="AM230" s="44">
        <v>2</v>
      </c>
      <c r="AN230" s="44">
        <v>2</v>
      </c>
      <c r="AO230" s="44">
        <v>2</v>
      </c>
      <c r="AP230" s="45">
        <v>-1</v>
      </c>
      <c r="AQ230" s="45">
        <v>-1</v>
      </c>
      <c r="AR230" s="45">
        <v>-1</v>
      </c>
      <c r="AS230" s="45">
        <v>-1</v>
      </c>
      <c r="AT230" s="45">
        <v>-1</v>
      </c>
      <c r="AU230" s="45">
        <v>-1</v>
      </c>
      <c r="AV230" s="45">
        <v>-1</v>
      </c>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c r="BV230" s="39"/>
      <c r="BW230" s="39"/>
      <c r="BX230" s="39"/>
      <c r="BY230" s="39"/>
      <c r="BZ230" s="39"/>
      <c r="CA230" s="39"/>
      <c r="CB230" s="39"/>
      <c r="CC230" s="39"/>
      <c r="CD230" s="39"/>
      <c r="CE230" s="39"/>
      <c r="CF230" s="39"/>
      <c r="CG230" s="39"/>
      <c r="CH230" s="39"/>
      <c r="CI230" s="39"/>
      <c r="CJ230" s="39"/>
      <c r="CK230" s="39"/>
      <c r="CL230" s="39"/>
      <c r="CM230" s="39"/>
      <c r="CN230" s="39"/>
      <c r="CO230" s="39"/>
      <c r="CP230" s="39"/>
      <c r="CQ230" s="39"/>
      <c r="CR230" s="39"/>
      <c r="CS230" s="39"/>
      <c r="CT230" s="39"/>
      <c r="CU230" s="39"/>
      <c r="CV230" s="39"/>
      <c r="CW230" s="39"/>
      <c r="CX230" s="39"/>
      <c r="CY230" s="39"/>
      <c r="CZ230" s="48"/>
      <c r="DA230" s="48"/>
      <c r="DB230" s="48"/>
      <c r="DC230" s="48"/>
      <c r="DD230" s="48"/>
      <c r="DE230" s="48"/>
      <c r="DF230" s="48"/>
      <c r="DG230" s="48"/>
      <c r="DH230" s="48"/>
      <c r="DI230" s="48"/>
      <c r="DJ230" s="48"/>
      <c r="DK230" s="48"/>
      <c r="DL230" s="48"/>
      <c r="DM230" s="48"/>
      <c r="DN230" s="48"/>
      <c r="DO230" s="48"/>
      <c r="DP230" s="48"/>
      <c r="DQ230" s="48"/>
      <c r="DR230" s="48"/>
      <c r="DS230" s="48"/>
      <c r="DT230" s="48"/>
      <c r="DU230" s="48"/>
      <c r="DV230" s="48"/>
      <c r="DW230" s="48"/>
      <c r="DX230" s="48"/>
      <c r="DY230" s="48"/>
      <c r="DZ230" s="48"/>
      <c r="EA230" s="48"/>
      <c r="EB230" s="48"/>
      <c r="EC230" s="48"/>
      <c r="ED230" s="48"/>
    </row>
    <row r="231" spans="1:134" ht="11.25" customHeight="1" x14ac:dyDescent="0.3">
      <c r="A231" s="28" t="e">
        <f t="array" aca="1" ref="A231" ca="1">_xludf.XLOOKUP(S231,Master_Registrations!P:P,Master_Registrations!A:A,"")</f>
        <v>#NAME?</v>
      </c>
      <c r="B231" s="39" t="s">
        <v>7050</v>
      </c>
      <c r="C231" s="39">
        <v>2026</v>
      </c>
      <c r="D231" s="39" t="s">
        <v>4886</v>
      </c>
      <c r="E231" s="39">
        <v>4</v>
      </c>
      <c r="F231" s="40" t="str">
        <f t="shared" si="0"/>
        <v>VED-02-2026-GR-4</v>
      </c>
      <c r="G231" s="39" t="s">
        <v>4569</v>
      </c>
      <c r="H231" s="39" t="s">
        <v>3717</v>
      </c>
      <c r="I231" s="39"/>
      <c r="J231" s="39" t="s">
        <v>198</v>
      </c>
      <c r="K231" s="44"/>
      <c r="L231" s="44"/>
      <c r="M231" s="49"/>
      <c r="N231" s="39" t="s">
        <v>621</v>
      </c>
      <c r="O231" s="39" t="s">
        <v>472</v>
      </c>
      <c r="P231" s="39" t="s">
        <v>473</v>
      </c>
      <c r="Q231" s="39" t="e">
        <f t="shared" ca="1" si="5"/>
        <v>#NAME?</v>
      </c>
      <c r="R231" s="39" t="s">
        <v>316</v>
      </c>
      <c r="S231" s="50">
        <v>8509806681</v>
      </c>
      <c r="T231" s="40" t="s">
        <v>474</v>
      </c>
      <c r="U231" s="39">
        <v>1992</v>
      </c>
      <c r="V231" s="44">
        <v>1</v>
      </c>
      <c r="W231" s="45">
        <v>1</v>
      </c>
      <c r="X231" s="44">
        <v>1</v>
      </c>
      <c r="Y231" s="44">
        <v>1</v>
      </c>
      <c r="Z231" s="44">
        <v>1</v>
      </c>
      <c r="AA231" s="44">
        <v>-1</v>
      </c>
      <c r="AB231" s="44">
        <v>1</v>
      </c>
      <c r="AC231" s="44">
        <v>-1</v>
      </c>
      <c r="AD231" s="44">
        <v>-1</v>
      </c>
      <c r="AE231" s="44">
        <v>1</v>
      </c>
      <c r="AF231" s="44">
        <v>1</v>
      </c>
      <c r="AG231" s="44">
        <v>1</v>
      </c>
      <c r="AH231" s="44">
        <v>1</v>
      </c>
      <c r="AI231" s="45">
        <v>-1</v>
      </c>
      <c r="AJ231" s="44">
        <v>-1</v>
      </c>
      <c r="AK231" s="45">
        <v>-1</v>
      </c>
      <c r="AL231" s="44">
        <v>1</v>
      </c>
      <c r="AM231" s="44">
        <v>-1</v>
      </c>
      <c r="AN231" s="44">
        <v>1</v>
      </c>
      <c r="AO231" s="44">
        <v>-1</v>
      </c>
      <c r="AP231" s="45">
        <v>-1</v>
      </c>
      <c r="AQ231" s="45">
        <v>-1</v>
      </c>
      <c r="AR231" s="45">
        <v>-1</v>
      </c>
      <c r="AS231" s="45">
        <v>-1</v>
      </c>
      <c r="AT231" s="45">
        <v>-1</v>
      </c>
      <c r="AU231" s="45">
        <v>-1</v>
      </c>
      <c r="AV231" s="45">
        <v>-1</v>
      </c>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39"/>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48"/>
      <c r="DA231" s="48"/>
      <c r="DB231" s="48"/>
      <c r="DC231" s="48"/>
      <c r="DD231" s="48"/>
      <c r="DE231" s="48"/>
      <c r="DF231" s="48"/>
      <c r="DG231" s="48"/>
      <c r="DH231" s="48"/>
      <c r="DI231" s="48"/>
      <c r="DJ231" s="48"/>
      <c r="DK231" s="48"/>
      <c r="DL231" s="48"/>
      <c r="DM231" s="48"/>
      <c r="DN231" s="48"/>
      <c r="DO231" s="48"/>
      <c r="DP231" s="48"/>
      <c r="DQ231" s="48"/>
      <c r="DR231" s="48"/>
      <c r="DS231" s="48"/>
      <c r="DT231" s="48"/>
      <c r="DU231" s="48"/>
      <c r="DV231" s="48"/>
      <c r="DW231" s="48"/>
      <c r="DX231" s="48"/>
      <c r="DY231" s="48"/>
      <c r="DZ231" s="48"/>
      <c r="EA231" s="48"/>
      <c r="EB231" s="48"/>
      <c r="EC231" s="48"/>
      <c r="ED231" s="48"/>
    </row>
    <row r="232" spans="1:134" ht="11.25" customHeight="1" x14ac:dyDescent="0.3">
      <c r="A232" s="28" t="e">
        <f t="array" aca="1" ref="A232" ca="1">_xludf.XLOOKUP(S232,Master_Registrations!P:P,Master_Registrations!A:A,"")</f>
        <v>#NAME?</v>
      </c>
      <c r="B232" s="39" t="s">
        <v>7050</v>
      </c>
      <c r="C232" s="39">
        <v>2026</v>
      </c>
      <c r="D232" s="39" t="s">
        <v>4886</v>
      </c>
      <c r="E232" s="39">
        <v>4</v>
      </c>
      <c r="F232" s="40" t="str">
        <f t="shared" si="0"/>
        <v>VED-02-2026-GR-4</v>
      </c>
      <c r="G232" s="39" t="s">
        <v>4569</v>
      </c>
      <c r="H232" s="39" t="s">
        <v>3717</v>
      </c>
      <c r="I232" s="39"/>
      <c r="J232" s="39" t="s">
        <v>198</v>
      </c>
      <c r="K232" s="52"/>
      <c r="L232" s="52"/>
      <c r="M232" s="52"/>
      <c r="N232" s="39" t="s">
        <v>714</v>
      </c>
      <c r="O232" s="39" t="s">
        <v>3078</v>
      </c>
      <c r="P232" s="39" t="s">
        <v>281</v>
      </c>
      <c r="Q232" s="39" t="e">
        <f t="shared" ca="1" si="5"/>
        <v>#NAME?</v>
      </c>
      <c r="R232" s="39" t="s">
        <v>316</v>
      </c>
      <c r="S232" s="50">
        <v>9087451779</v>
      </c>
      <c r="T232" s="40" t="s">
        <v>315</v>
      </c>
      <c r="U232" s="39">
        <v>1973</v>
      </c>
      <c r="V232" s="44">
        <v>2</v>
      </c>
      <c r="W232" s="44">
        <v>2</v>
      </c>
      <c r="X232" s="44">
        <v>2</v>
      </c>
      <c r="Y232" s="44">
        <v>2</v>
      </c>
      <c r="Z232" s="44">
        <v>2</v>
      </c>
      <c r="AA232" s="44">
        <v>2</v>
      </c>
      <c r="AB232" s="44">
        <v>2</v>
      </c>
      <c r="AC232" s="44">
        <v>2</v>
      </c>
      <c r="AD232" s="44">
        <v>2</v>
      </c>
      <c r="AE232" s="44">
        <v>2</v>
      </c>
      <c r="AF232" s="44">
        <v>2</v>
      </c>
      <c r="AG232" s="44">
        <v>2</v>
      </c>
      <c r="AH232" s="44">
        <v>2</v>
      </c>
      <c r="AI232" s="44">
        <v>3</v>
      </c>
      <c r="AJ232" s="44">
        <v>-1</v>
      </c>
      <c r="AK232" s="45">
        <v>-1</v>
      </c>
      <c r="AL232" s="44">
        <v>-1</v>
      </c>
      <c r="AM232" s="44">
        <v>-1</v>
      </c>
      <c r="AN232" s="44">
        <v>-1</v>
      </c>
      <c r="AO232" s="44">
        <v>-1</v>
      </c>
      <c r="AP232" s="45">
        <v>-1</v>
      </c>
      <c r="AQ232" s="45">
        <v>-1</v>
      </c>
      <c r="AR232" s="45">
        <v>-1</v>
      </c>
      <c r="AS232" s="45">
        <v>-1</v>
      </c>
      <c r="AT232" s="45">
        <v>-1</v>
      </c>
      <c r="AU232" s="45">
        <v>-1</v>
      </c>
      <c r="AV232" s="45">
        <v>-1</v>
      </c>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c r="BV232" s="39"/>
      <c r="BW232" s="39"/>
      <c r="BX232" s="39"/>
      <c r="BY232" s="39"/>
      <c r="BZ232" s="39"/>
      <c r="CA232" s="39"/>
      <c r="CB232" s="39"/>
      <c r="CC232" s="39"/>
      <c r="CD232" s="39"/>
      <c r="CE232" s="39"/>
      <c r="CF232" s="39"/>
      <c r="CG232" s="39"/>
      <c r="CH232" s="39"/>
      <c r="CI232" s="39"/>
      <c r="CJ232" s="39"/>
      <c r="CK232" s="39"/>
      <c r="CL232" s="39"/>
      <c r="CM232" s="39"/>
      <c r="CN232" s="39"/>
      <c r="CO232" s="39"/>
      <c r="CP232" s="39"/>
      <c r="CQ232" s="39"/>
      <c r="CR232" s="39"/>
      <c r="CS232" s="39"/>
      <c r="CT232" s="39"/>
      <c r="CU232" s="39"/>
      <c r="CV232" s="39"/>
      <c r="CW232" s="39"/>
      <c r="CX232" s="39"/>
      <c r="CY232" s="39"/>
      <c r="CZ232" s="48"/>
      <c r="DA232" s="48"/>
      <c r="DB232" s="48"/>
      <c r="DC232" s="48"/>
      <c r="DD232" s="48"/>
      <c r="DE232" s="48"/>
      <c r="DF232" s="48"/>
      <c r="DG232" s="48"/>
      <c r="DH232" s="48"/>
      <c r="DI232" s="48"/>
      <c r="DJ232" s="48"/>
      <c r="DK232" s="48"/>
      <c r="DL232" s="48"/>
      <c r="DM232" s="48"/>
      <c r="DN232" s="48"/>
      <c r="DO232" s="48"/>
      <c r="DP232" s="48"/>
      <c r="DQ232" s="48"/>
      <c r="DR232" s="48"/>
      <c r="DS232" s="48"/>
      <c r="DT232" s="48"/>
      <c r="DU232" s="48"/>
      <c r="DV232" s="48"/>
      <c r="DW232" s="48"/>
      <c r="DX232" s="48"/>
      <c r="DY232" s="48"/>
      <c r="DZ232" s="48"/>
      <c r="EA232" s="48"/>
      <c r="EB232" s="48"/>
      <c r="EC232" s="48"/>
      <c r="ED232" s="48"/>
    </row>
    <row r="233" spans="1:134" ht="11.25" customHeight="1" x14ac:dyDescent="0.3">
      <c r="A233" s="28" t="e">
        <f t="array" aca="1" ref="A233" ca="1">_xludf.XLOOKUP(S233,Master_Registrations!P:P,Master_Registrations!A:A,"")</f>
        <v>#NAME?</v>
      </c>
      <c r="B233" s="39" t="s">
        <v>7050</v>
      </c>
      <c r="C233" s="39">
        <v>2026</v>
      </c>
      <c r="D233" s="39" t="s">
        <v>4886</v>
      </c>
      <c r="E233" s="39">
        <v>4</v>
      </c>
      <c r="F233" s="40" t="str">
        <f t="shared" si="0"/>
        <v>VED-02-2026-GR-4</v>
      </c>
      <c r="G233" s="39" t="s">
        <v>4569</v>
      </c>
      <c r="H233" s="39" t="s">
        <v>3717</v>
      </c>
      <c r="I233" s="39"/>
      <c r="J233" s="39" t="s">
        <v>198</v>
      </c>
      <c r="K233" s="52"/>
      <c r="L233" s="52"/>
      <c r="M233" s="52"/>
      <c r="N233" s="39" t="s">
        <v>786</v>
      </c>
      <c r="O233" s="39" t="s">
        <v>2782</v>
      </c>
      <c r="P233" s="39" t="s">
        <v>2783</v>
      </c>
      <c r="Q233" s="39" t="e">
        <f t="shared" ca="1" si="5"/>
        <v>#NAME?</v>
      </c>
      <c r="R233" s="39" t="s">
        <v>316</v>
      </c>
      <c r="S233" s="50">
        <v>2487978940</v>
      </c>
      <c r="T233" s="40" t="s">
        <v>315</v>
      </c>
      <c r="U233" s="39">
        <v>1977</v>
      </c>
      <c r="V233" s="44">
        <v>2</v>
      </c>
      <c r="W233" s="44">
        <v>2</v>
      </c>
      <c r="X233" s="44">
        <v>2</v>
      </c>
      <c r="Y233" s="44">
        <v>2</v>
      </c>
      <c r="Z233" s="44">
        <v>2</v>
      </c>
      <c r="AA233" s="44">
        <v>2</v>
      </c>
      <c r="AB233" s="44">
        <v>2</v>
      </c>
      <c r="AC233" s="44">
        <v>2</v>
      </c>
      <c r="AD233" s="44">
        <v>2</v>
      </c>
      <c r="AE233" s="44">
        <v>2</v>
      </c>
      <c r="AF233" s="44">
        <v>2</v>
      </c>
      <c r="AG233" s="44">
        <v>-1</v>
      </c>
      <c r="AH233" s="44">
        <v>-1</v>
      </c>
      <c r="AI233" s="45">
        <v>-1</v>
      </c>
      <c r="AJ233" s="44">
        <v>-1</v>
      </c>
      <c r="AK233" s="45">
        <v>-1</v>
      </c>
      <c r="AL233" s="44">
        <v>-1</v>
      </c>
      <c r="AM233" s="44">
        <v>-1</v>
      </c>
      <c r="AN233" s="44">
        <v>-1</v>
      </c>
      <c r="AO233" s="44">
        <v>-1</v>
      </c>
      <c r="AP233" s="45">
        <v>-1</v>
      </c>
      <c r="AQ233" s="45">
        <v>-1</v>
      </c>
      <c r="AR233" s="45">
        <v>-1</v>
      </c>
      <c r="AS233" s="45">
        <v>-1</v>
      </c>
      <c r="AT233" s="45">
        <v>-1</v>
      </c>
      <c r="AU233" s="45">
        <v>-1</v>
      </c>
      <c r="AV233" s="45">
        <v>-1</v>
      </c>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c r="BV233" s="39"/>
      <c r="BW233" s="39"/>
      <c r="BX233" s="39"/>
      <c r="BY233" s="39"/>
      <c r="BZ233" s="39"/>
      <c r="CA233" s="39"/>
      <c r="CB233" s="39"/>
      <c r="CC233" s="39"/>
      <c r="CD233" s="39"/>
      <c r="CE233" s="39"/>
      <c r="CF233" s="39"/>
      <c r="CG233" s="39"/>
      <c r="CH233" s="39"/>
      <c r="CI233" s="39"/>
      <c r="CJ233" s="39"/>
      <c r="CK233" s="39"/>
      <c r="CL233" s="39"/>
      <c r="CM233" s="39"/>
      <c r="CN233" s="39"/>
      <c r="CO233" s="39"/>
      <c r="CP233" s="39"/>
      <c r="CQ233" s="39"/>
      <c r="CR233" s="39"/>
      <c r="CS233" s="39"/>
      <c r="CT233" s="39"/>
      <c r="CU233" s="39"/>
      <c r="CV233" s="39"/>
      <c r="CW233" s="39"/>
      <c r="CX233" s="39"/>
      <c r="CY233" s="39"/>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c r="DX233" s="48"/>
      <c r="DY233" s="48"/>
      <c r="DZ233" s="48"/>
      <c r="EA233" s="48"/>
      <c r="EB233" s="48"/>
      <c r="EC233" s="48"/>
      <c r="ED233" s="48"/>
    </row>
    <row r="234" spans="1:134" ht="11.25" customHeight="1" x14ac:dyDescent="0.3">
      <c r="A234" s="28" t="e">
        <f t="array" aca="1" ref="A234" ca="1">_xludf.XLOOKUP(S234,Master_Registrations!P:P,Master_Registrations!A:A,"")</f>
        <v>#NAME?</v>
      </c>
      <c r="B234" s="39" t="s">
        <v>7050</v>
      </c>
      <c r="C234" s="39">
        <v>2026</v>
      </c>
      <c r="D234" s="39" t="s">
        <v>4886</v>
      </c>
      <c r="E234" s="39">
        <v>4</v>
      </c>
      <c r="F234" s="40" t="str">
        <f t="shared" si="0"/>
        <v>VED-02-2026-GR-4</v>
      </c>
      <c r="G234" s="39" t="s">
        <v>4569</v>
      </c>
      <c r="H234" s="39" t="s">
        <v>3717</v>
      </c>
      <c r="I234" s="39"/>
      <c r="J234" s="39" t="s">
        <v>198</v>
      </c>
      <c r="K234" s="52"/>
      <c r="L234" s="52"/>
      <c r="M234" s="52"/>
      <c r="N234" s="39" t="s">
        <v>856</v>
      </c>
      <c r="O234" s="39" t="s">
        <v>3273</v>
      </c>
      <c r="P234" s="39" t="s">
        <v>3274</v>
      </c>
      <c r="Q234" s="39" t="e">
        <f t="shared" ca="1" si="5"/>
        <v>#NAME?</v>
      </c>
      <c r="R234" s="39" t="s">
        <v>112</v>
      </c>
      <c r="S234" s="50">
        <v>9916301199</v>
      </c>
      <c r="T234" s="40" t="s">
        <v>315</v>
      </c>
      <c r="U234" s="39">
        <v>1988</v>
      </c>
      <c r="V234" s="44">
        <v>2</v>
      </c>
      <c r="W234" s="44">
        <v>2</v>
      </c>
      <c r="X234" s="44">
        <v>2</v>
      </c>
      <c r="Y234" s="44">
        <v>2</v>
      </c>
      <c r="Z234" s="44">
        <v>2</v>
      </c>
      <c r="AA234" s="44">
        <v>2</v>
      </c>
      <c r="AB234" s="44">
        <v>2</v>
      </c>
      <c r="AC234" s="44">
        <v>2</v>
      </c>
      <c r="AD234" s="44">
        <v>2</v>
      </c>
      <c r="AE234" s="44">
        <v>2</v>
      </c>
      <c r="AF234" s="44">
        <v>2</v>
      </c>
      <c r="AG234" s="44">
        <v>2</v>
      </c>
      <c r="AH234" s="44">
        <v>2</v>
      </c>
      <c r="AI234" s="44">
        <v>3</v>
      </c>
      <c r="AJ234" s="44">
        <v>2</v>
      </c>
      <c r="AK234" s="45">
        <v>-1</v>
      </c>
      <c r="AL234" s="44">
        <v>-1</v>
      </c>
      <c r="AM234" s="44">
        <v>2</v>
      </c>
      <c r="AN234" s="44">
        <v>2</v>
      </c>
      <c r="AO234" s="44">
        <v>2</v>
      </c>
      <c r="AP234" s="45">
        <v>-1</v>
      </c>
      <c r="AQ234" s="45">
        <v>-1</v>
      </c>
      <c r="AR234" s="45">
        <v>-1</v>
      </c>
      <c r="AS234" s="45">
        <v>-1</v>
      </c>
      <c r="AT234" s="45">
        <v>-1</v>
      </c>
      <c r="AU234" s="45">
        <v>-1</v>
      </c>
      <c r="AV234" s="45">
        <v>-1</v>
      </c>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c r="BV234" s="39"/>
      <c r="BW234" s="39"/>
      <c r="BX234" s="39"/>
      <c r="BY234" s="39"/>
      <c r="BZ234" s="39"/>
      <c r="CA234" s="39"/>
      <c r="CB234" s="39"/>
      <c r="CC234" s="39"/>
      <c r="CD234" s="39"/>
      <c r="CE234" s="39"/>
      <c r="CF234" s="39"/>
      <c r="CG234" s="39"/>
      <c r="CH234" s="39"/>
      <c r="CI234" s="39"/>
      <c r="CJ234" s="39"/>
      <c r="CK234" s="39"/>
      <c r="CL234" s="39"/>
      <c r="CM234" s="39"/>
      <c r="CN234" s="39"/>
      <c r="CO234" s="39"/>
      <c r="CP234" s="39"/>
      <c r="CQ234" s="39"/>
      <c r="CR234" s="39"/>
      <c r="CS234" s="39"/>
      <c r="CT234" s="39"/>
      <c r="CU234" s="39"/>
      <c r="CV234" s="39"/>
      <c r="CW234" s="39"/>
      <c r="CX234" s="39"/>
      <c r="CY234" s="39"/>
      <c r="CZ234" s="48"/>
      <c r="DA234" s="48"/>
      <c r="DB234" s="48"/>
      <c r="DC234" s="48"/>
      <c r="DD234" s="48"/>
      <c r="DE234" s="48"/>
      <c r="DF234" s="48"/>
      <c r="DG234" s="48"/>
      <c r="DH234" s="48"/>
      <c r="DI234" s="48"/>
      <c r="DJ234" s="48"/>
      <c r="DK234" s="48"/>
      <c r="DL234" s="48"/>
      <c r="DM234" s="48"/>
      <c r="DN234" s="48"/>
      <c r="DO234" s="48"/>
      <c r="DP234" s="48"/>
      <c r="DQ234" s="48"/>
      <c r="DR234" s="48"/>
      <c r="DS234" s="48"/>
      <c r="DT234" s="48"/>
      <c r="DU234" s="48"/>
      <c r="DV234" s="48"/>
      <c r="DW234" s="48"/>
      <c r="DX234" s="48"/>
      <c r="DY234" s="48"/>
      <c r="DZ234" s="48"/>
      <c r="EA234" s="48"/>
      <c r="EB234" s="48"/>
      <c r="EC234" s="48"/>
      <c r="ED234" s="48"/>
    </row>
    <row r="235" spans="1:134" ht="11.25" customHeight="1" x14ac:dyDescent="0.3">
      <c r="A235" s="28" t="e">
        <f t="array" aca="1" ref="A235" ca="1">_xludf.XLOOKUP(S235,Master_Registrations!P:P,Master_Registrations!A:A,"")</f>
        <v>#NAME?</v>
      </c>
      <c r="B235" s="39" t="s">
        <v>7050</v>
      </c>
      <c r="C235" s="39">
        <v>2026</v>
      </c>
      <c r="D235" s="39" t="s">
        <v>4886</v>
      </c>
      <c r="E235" s="39">
        <v>4</v>
      </c>
      <c r="F235" s="40" t="str">
        <f t="shared" si="0"/>
        <v>VED-02-2026-GR-4</v>
      </c>
      <c r="G235" s="39" t="s">
        <v>4569</v>
      </c>
      <c r="H235" s="39" t="s">
        <v>3717</v>
      </c>
      <c r="I235" s="39"/>
      <c r="J235" s="39" t="s">
        <v>198</v>
      </c>
      <c r="K235" s="44"/>
      <c r="L235" s="44"/>
      <c r="M235" s="49"/>
      <c r="N235" s="39" t="s">
        <v>915</v>
      </c>
      <c r="O235" s="39" t="s">
        <v>3723</v>
      </c>
      <c r="P235" s="39" t="s">
        <v>2221</v>
      </c>
      <c r="Q235" s="39" t="e">
        <f t="shared" ca="1" si="5"/>
        <v>#NAME?</v>
      </c>
      <c r="R235" s="39" t="s">
        <v>316</v>
      </c>
      <c r="S235" s="50">
        <v>5059203734</v>
      </c>
      <c r="T235" s="40" t="s">
        <v>474</v>
      </c>
      <c r="U235" s="39">
        <v>1975</v>
      </c>
      <c r="V235" s="44">
        <v>-1</v>
      </c>
      <c r="W235" s="45">
        <v>-1</v>
      </c>
      <c r="X235" s="44">
        <v>2</v>
      </c>
      <c r="Y235" s="44">
        <v>2</v>
      </c>
      <c r="Z235" s="44">
        <v>2</v>
      </c>
      <c r="AA235" s="44">
        <v>2</v>
      </c>
      <c r="AB235" s="44">
        <v>2</v>
      </c>
      <c r="AC235" s="44">
        <v>2</v>
      </c>
      <c r="AD235" s="44">
        <v>2</v>
      </c>
      <c r="AE235" s="44">
        <v>-1</v>
      </c>
      <c r="AF235" s="44">
        <v>-1</v>
      </c>
      <c r="AG235" s="44">
        <v>-1</v>
      </c>
      <c r="AH235" s="44">
        <v>-1</v>
      </c>
      <c r="AI235" s="45">
        <v>-1</v>
      </c>
      <c r="AJ235" s="44">
        <v>-1</v>
      </c>
      <c r="AK235" s="45">
        <v>-1</v>
      </c>
      <c r="AL235" s="44">
        <v>-1</v>
      </c>
      <c r="AM235" s="44">
        <v>-1</v>
      </c>
      <c r="AN235" s="44">
        <v>-1</v>
      </c>
      <c r="AO235" s="44">
        <v>-1</v>
      </c>
      <c r="AP235" s="45">
        <v>-1</v>
      </c>
      <c r="AQ235" s="45">
        <v>-1</v>
      </c>
      <c r="AR235" s="45">
        <v>-1</v>
      </c>
      <c r="AS235" s="45">
        <v>-1</v>
      </c>
      <c r="AT235" s="45">
        <v>-1</v>
      </c>
      <c r="AU235" s="45">
        <v>-1</v>
      </c>
      <c r="AV235" s="45">
        <v>-1</v>
      </c>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39"/>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c r="DX235" s="48"/>
      <c r="DY235" s="48"/>
      <c r="DZ235" s="48"/>
      <c r="EA235" s="48"/>
      <c r="EB235" s="48"/>
      <c r="EC235" s="48"/>
      <c r="ED235" s="48"/>
    </row>
    <row r="236" spans="1:134" ht="11.25" customHeight="1" x14ac:dyDescent="0.3">
      <c r="A236" s="28" t="e">
        <f t="array" aca="1" ref="A236" ca="1">_xludf.XLOOKUP(S236,Master_Registrations!P:P,Master_Registrations!A:A,"")</f>
        <v>#NAME?</v>
      </c>
      <c r="B236" s="39" t="s">
        <v>7050</v>
      </c>
      <c r="C236" s="39">
        <v>2026</v>
      </c>
      <c r="D236" s="39" t="s">
        <v>4886</v>
      </c>
      <c r="E236" s="39">
        <v>4</v>
      </c>
      <c r="F236" s="40" t="str">
        <f t="shared" si="0"/>
        <v>VED-02-2026-GR-4</v>
      </c>
      <c r="G236" s="39" t="s">
        <v>4569</v>
      </c>
      <c r="H236" s="39" t="s">
        <v>3717</v>
      </c>
      <c r="I236" s="39"/>
      <c r="J236" s="39" t="s">
        <v>198</v>
      </c>
      <c r="K236" s="44"/>
      <c r="L236" s="68"/>
      <c r="M236" s="49"/>
      <c r="N236" s="39" t="s">
        <v>973</v>
      </c>
      <c r="O236" s="39" t="s">
        <v>3408</v>
      </c>
      <c r="P236" s="39" t="s">
        <v>3409</v>
      </c>
      <c r="Q236" s="39" t="e">
        <f t="shared" ca="1" si="5"/>
        <v>#NAME?</v>
      </c>
      <c r="R236" s="39" t="s">
        <v>316</v>
      </c>
      <c r="S236" s="50">
        <v>8653328505</v>
      </c>
      <c r="T236" s="40" t="s">
        <v>402</v>
      </c>
      <c r="U236" s="39">
        <v>1971</v>
      </c>
      <c r="V236" s="44">
        <v>1</v>
      </c>
      <c r="W236" s="45">
        <v>-1</v>
      </c>
      <c r="X236" s="44">
        <v>2</v>
      </c>
      <c r="Y236" s="44">
        <v>2</v>
      </c>
      <c r="Z236" s="44">
        <v>2</v>
      </c>
      <c r="AA236" s="44">
        <v>-1</v>
      </c>
      <c r="AB236" s="44">
        <v>2</v>
      </c>
      <c r="AC236" s="44">
        <v>2</v>
      </c>
      <c r="AD236" s="44">
        <v>2</v>
      </c>
      <c r="AE236" s="44">
        <v>-1</v>
      </c>
      <c r="AF236" s="44">
        <v>-1</v>
      </c>
      <c r="AG236" s="44">
        <v>-1</v>
      </c>
      <c r="AH236" s="44">
        <v>-1</v>
      </c>
      <c r="AI236" s="45">
        <v>-1</v>
      </c>
      <c r="AJ236" s="44">
        <v>-1</v>
      </c>
      <c r="AK236" s="45">
        <v>-1</v>
      </c>
      <c r="AL236" s="44">
        <v>-1</v>
      </c>
      <c r="AM236" s="44">
        <v>-1</v>
      </c>
      <c r="AN236" s="44">
        <v>-1</v>
      </c>
      <c r="AO236" s="44">
        <v>-1</v>
      </c>
      <c r="AP236" s="45">
        <v>-1</v>
      </c>
      <c r="AQ236" s="45">
        <v>-1</v>
      </c>
      <c r="AR236" s="45">
        <v>-1</v>
      </c>
      <c r="AS236" s="45">
        <v>-1</v>
      </c>
      <c r="AT236" s="45">
        <v>-1</v>
      </c>
      <c r="AU236" s="45">
        <v>-1</v>
      </c>
      <c r="AV236" s="45">
        <v>-1</v>
      </c>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c r="BV236" s="39"/>
      <c r="BW236" s="39"/>
      <c r="BX236" s="39"/>
      <c r="BY236" s="39"/>
      <c r="BZ236" s="39"/>
      <c r="CA236" s="39"/>
      <c r="CB236" s="39"/>
      <c r="CC236" s="39"/>
      <c r="CD236" s="39"/>
      <c r="CE236" s="39"/>
      <c r="CF236" s="39"/>
      <c r="CG236" s="39"/>
      <c r="CH236" s="39"/>
      <c r="CI236" s="39"/>
      <c r="CJ236" s="39"/>
      <c r="CK236" s="39"/>
      <c r="CL236" s="39"/>
      <c r="CM236" s="39"/>
      <c r="CN236" s="39"/>
      <c r="CO236" s="39"/>
      <c r="CP236" s="39"/>
      <c r="CQ236" s="39"/>
      <c r="CR236" s="39"/>
      <c r="CS236" s="39"/>
      <c r="CT236" s="39"/>
      <c r="CU236" s="39"/>
      <c r="CV236" s="39"/>
      <c r="CW236" s="39"/>
      <c r="CX236" s="39"/>
      <c r="CY236" s="39"/>
      <c r="CZ236" s="48"/>
      <c r="DA236" s="48"/>
      <c r="DB236" s="48"/>
      <c r="DC236" s="48"/>
      <c r="DD236" s="48"/>
      <c r="DE236" s="48"/>
      <c r="DF236" s="48"/>
      <c r="DG236" s="48"/>
      <c r="DH236" s="48"/>
      <c r="DI236" s="48"/>
      <c r="DJ236" s="48"/>
      <c r="DK236" s="48"/>
      <c r="DL236" s="48"/>
      <c r="DM236" s="48"/>
      <c r="DN236" s="48"/>
      <c r="DO236" s="48"/>
      <c r="DP236" s="48"/>
      <c r="DQ236" s="48"/>
      <c r="DR236" s="48"/>
      <c r="DS236" s="48"/>
      <c r="DT236" s="48"/>
      <c r="DU236" s="48"/>
      <c r="DV236" s="48"/>
      <c r="DW236" s="48"/>
      <c r="DX236" s="48"/>
      <c r="DY236" s="48"/>
      <c r="DZ236" s="48"/>
      <c r="EA236" s="48"/>
      <c r="EB236" s="48"/>
      <c r="EC236" s="48"/>
      <c r="ED236" s="48"/>
    </row>
    <row r="237" spans="1:134" ht="11.25" customHeight="1" x14ac:dyDescent="0.3">
      <c r="A237" s="28" t="e">
        <f t="array" aca="1" ref="A237" ca="1">_xludf.XLOOKUP(S237,Master_Registrations!P:P,Master_Registrations!A:A,"")</f>
        <v>#NAME?</v>
      </c>
      <c r="B237" s="39" t="s">
        <v>7050</v>
      </c>
      <c r="C237" s="39">
        <v>2026</v>
      </c>
      <c r="D237" s="39" t="s">
        <v>4886</v>
      </c>
      <c r="E237" s="39">
        <v>4</v>
      </c>
      <c r="F237" s="40" t="str">
        <f t="shared" si="0"/>
        <v>VED-02-2026-GR-4</v>
      </c>
      <c r="G237" s="39" t="s">
        <v>4569</v>
      </c>
      <c r="H237" s="39" t="s">
        <v>3717</v>
      </c>
      <c r="I237" s="39"/>
      <c r="J237" s="39" t="s">
        <v>198</v>
      </c>
      <c r="K237" s="44"/>
      <c r="L237" s="44">
        <v>-1</v>
      </c>
      <c r="M237" s="49"/>
      <c r="N237" s="39" t="s">
        <v>1031</v>
      </c>
      <c r="O237" s="39" t="s">
        <v>1499</v>
      </c>
      <c r="P237" s="39" t="s">
        <v>1500</v>
      </c>
      <c r="Q237" s="39" t="e">
        <f t="shared" ca="1" si="5"/>
        <v>#NAME?</v>
      </c>
      <c r="R237" s="39" t="s">
        <v>316</v>
      </c>
      <c r="S237" s="50">
        <v>4046619333</v>
      </c>
      <c r="T237" s="40" t="s">
        <v>474</v>
      </c>
      <c r="U237" s="39">
        <v>1982</v>
      </c>
      <c r="V237" s="44">
        <v>-1</v>
      </c>
      <c r="W237" s="45">
        <v>-1</v>
      </c>
      <c r="X237" s="44">
        <v>-1</v>
      </c>
      <c r="Y237" s="44">
        <v>-1</v>
      </c>
      <c r="Z237" s="44">
        <v>-1</v>
      </c>
      <c r="AA237" s="44">
        <v>-1</v>
      </c>
      <c r="AB237" s="44">
        <v>-1</v>
      </c>
      <c r="AC237" s="44">
        <v>-1</v>
      </c>
      <c r="AD237" s="44">
        <v>-1</v>
      </c>
      <c r="AE237" s="44">
        <v>-1</v>
      </c>
      <c r="AF237" s="44">
        <v>-1</v>
      </c>
      <c r="AG237" s="44">
        <v>-1</v>
      </c>
      <c r="AH237" s="44">
        <v>-1</v>
      </c>
      <c r="AI237" s="45">
        <v>-1</v>
      </c>
      <c r="AJ237" s="44">
        <v>-1</v>
      </c>
      <c r="AK237" s="45">
        <v>-1</v>
      </c>
      <c r="AL237" s="44">
        <v>-1</v>
      </c>
      <c r="AM237" s="44">
        <v>-1</v>
      </c>
      <c r="AN237" s="44">
        <v>-1</v>
      </c>
      <c r="AO237" s="44">
        <v>-1</v>
      </c>
      <c r="AP237" s="45">
        <v>-1</v>
      </c>
      <c r="AQ237" s="45">
        <v>-1</v>
      </c>
      <c r="AR237" s="45">
        <v>-1</v>
      </c>
      <c r="AS237" s="45">
        <v>-1</v>
      </c>
      <c r="AT237" s="45">
        <v>-1</v>
      </c>
      <c r="AU237" s="45">
        <v>-1</v>
      </c>
      <c r="AV237" s="45">
        <v>-1</v>
      </c>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c r="BZ237" s="39"/>
      <c r="CA237" s="39"/>
      <c r="CB237" s="39"/>
      <c r="CC237" s="39"/>
      <c r="CD237" s="39"/>
      <c r="CE237" s="39"/>
      <c r="CF237" s="39"/>
      <c r="CG237" s="39"/>
      <c r="CH237" s="39"/>
      <c r="CI237" s="39"/>
      <c r="CJ237" s="39"/>
      <c r="CK237" s="39"/>
      <c r="CL237" s="39"/>
      <c r="CM237" s="39"/>
      <c r="CN237" s="39"/>
      <c r="CO237" s="39"/>
      <c r="CP237" s="39"/>
      <c r="CQ237" s="39"/>
      <c r="CR237" s="39"/>
      <c r="CS237" s="39"/>
      <c r="CT237" s="39"/>
      <c r="CU237" s="39"/>
      <c r="CV237" s="39"/>
      <c r="CW237" s="39"/>
      <c r="CX237" s="39"/>
      <c r="CY237" s="39"/>
      <c r="CZ237" s="48"/>
      <c r="DA237" s="48"/>
      <c r="DB237" s="48"/>
      <c r="DC237" s="48"/>
      <c r="DD237" s="48"/>
      <c r="DE237" s="48"/>
      <c r="DF237" s="48"/>
      <c r="DG237" s="48"/>
      <c r="DH237" s="48"/>
      <c r="DI237" s="48"/>
      <c r="DJ237" s="48"/>
      <c r="DK237" s="48"/>
      <c r="DL237" s="48"/>
      <c r="DM237" s="48"/>
      <c r="DN237" s="48"/>
      <c r="DO237" s="48"/>
      <c r="DP237" s="48"/>
      <c r="DQ237" s="48"/>
      <c r="DR237" s="48"/>
      <c r="DS237" s="48"/>
      <c r="DT237" s="48"/>
      <c r="DU237" s="48"/>
      <c r="DV237" s="48"/>
      <c r="DW237" s="48"/>
      <c r="DX237" s="48"/>
      <c r="DY237" s="48"/>
      <c r="DZ237" s="48"/>
      <c r="EA237" s="48"/>
      <c r="EB237" s="48"/>
      <c r="EC237" s="48"/>
      <c r="ED237" s="48"/>
    </row>
    <row r="238" spans="1:134" ht="11.25" customHeight="1" x14ac:dyDescent="0.3">
      <c r="A238" s="28" t="e">
        <f t="array" aca="1" ref="A238" ca="1">_xludf.XLOOKUP(S238,Master_Registrations!P:P,Master_Registrations!A:A,"")</f>
        <v>#NAME?</v>
      </c>
      <c r="B238" s="39" t="s">
        <v>7050</v>
      </c>
      <c r="C238" s="39">
        <v>2026</v>
      </c>
      <c r="D238" s="39" t="s">
        <v>4886</v>
      </c>
      <c r="E238" s="39">
        <v>4</v>
      </c>
      <c r="F238" s="40" t="str">
        <f t="shared" si="0"/>
        <v>VED-02-2026-GR-4</v>
      </c>
      <c r="G238" s="39" t="s">
        <v>4569</v>
      </c>
      <c r="H238" s="39" t="s">
        <v>3717</v>
      </c>
      <c r="I238" s="39"/>
      <c r="J238" s="39" t="s">
        <v>198</v>
      </c>
      <c r="K238" s="44"/>
      <c r="L238" s="68"/>
      <c r="M238" s="68"/>
      <c r="N238" s="39" t="s">
        <v>1112</v>
      </c>
      <c r="O238" s="39" t="s">
        <v>3296</v>
      </c>
      <c r="P238" s="39" t="s">
        <v>3297</v>
      </c>
      <c r="Q238" s="39" t="e">
        <f t="shared" ca="1" si="5"/>
        <v>#NAME?</v>
      </c>
      <c r="R238" s="39" t="s">
        <v>316</v>
      </c>
      <c r="S238" s="50">
        <v>8329691386</v>
      </c>
      <c r="T238" s="40" t="s">
        <v>315</v>
      </c>
      <c r="U238" s="39">
        <v>1977</v>
      </c>
      <c r="V238" s="44">
        <v>2</v>
      </c>
      <c r="W238" s="45">
        <v>-1</v>
      </c>
      <c r="X238" s="44">
        <v>2</v>
      </c>
      <c r="Y238" s="44">
        <v>2</v>
      </c>
      <c r="Z238" s="44">
        <v>2</v>
      </c>
      <c r="AA238" s="44">
        <v>1</v>
      </c>
      <c r="AB238" s="44">
        <v>-1</v>
      </c>
      <c r="AC238" s="44">
        <v>-1</v>
      </c>
      <c r="AD238" s="44">
        <v>-1</v>
      </c>
      <c r="AE238" s="44">
        <v>2</v>
      </c>
      <c r="AF238" s="44">
        <v>2</v>
      </c>
      <c r="AG238" s="44">
        <v>-1</v>
      </c>
      <c r="AH238" s="44">
        <v>-1</v>
      </c>
      <c r="AI238" s="45">
        <v>-1</v>
      </c>
      <c r="AJ238" s="44">
        <v>-1</v>
      </c>
      <c r="AK238" s="45">
        <v>-1</v>
      </c>
      <c r="AL238" s="44">
        <v>-1</v>
      </c>
      <c r="AM238" s="44">
        <v>-1</v>
      </c>
      <c r="AN238" s="44">
        <v>-1</v>
      </c>
      <c r="AO238" s="44">
        <v>-1</v>
      </c>
      <c r="AP238" s="45">
        <v>-1</v>
      </c>
      <c r="AQ238" s="45">
        <v>-1</v>
      </c>
      <c r="AR238" s="45">
        <v>-1</v>
      </c>
      <c r="AS238" s="45">
        <v>-1</v>
      </c>
      <c r="AT238" s="45">
        <v>-1</v>
      </c>
      <c r="AU238" s="45">
        <v>-1</v>
      </c>
      <c r="AV238" s="45">
        <v>-1</v>
      </c>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c r="BZ238" s="39"/>
      <c r="CA238" s="39"/>
      <c r="CB238" s="39"/>
      <c r="CC238" s="39"/>
      <c r="CD238" s="39"/>
      <c r="CE238" s="39"/>
      <c r="CF238" s="39"/>
      <c r="CG238" s="39"/>
      <c r="CH238" s="39"/>
      <c r="CI238" s="39"/>
      <c r="CJ238" s="39"/>
      <c r="CK238" s="39"/>
      <c r="CL238" s="39"/>
      <c r="CM238" s="39"/>
      <c r="CN238" s="39"/>
      <c r="CO238" s="39"/>
      <c r="CP238" s="39"/>
      <c r="CQ238" s="39"/>
      <c r="CR238" s="39"/>
      <c r="CS238" s="39"/>
      <c r="CT238" s="39"/>
      <c r="CU238" s="39"/>
      <c r="CV238" s="39"/>
      <c r="CW238" s="39"/>
      <c r="CX238" s="39"/>
      <c r="CY238" s="39"/>
      <c r="CZ238" s="48"/>
      <c r="DA238" s="48"/>
      <c r="DB238" s="48"/>
      <c r="DC238" s="48"/>
      <c r="DD238" s="48"/>
      <c r="DE238" s="48"/>
      <c r="DF238" s="48"/>
      <c r="DG238" s="48"/>
      <c r="DH238" s="48"/>
      <c r="DI238" s="48"/>
      <c r="DJ238" s="48"/>
      <c r="DK238" s="48"/>
      <c r="DL238" s="48"/>
      <c r="DM238" s="48"/>
      <c r="DN238" s="48"/>
      <c r="DO238" s="48"/>
      <c r="DP238" s="48"/>
      <c r="DQ238" s="48"/>
      <c r="DR238" s="48"/>
      <c r="DS238" s="48"/>
      <c r="DT238" s="48"/>
      <c r="DU238" s="48"/>
      <c r="DV238" s="48"/>
      <c r="DW238" s="48"/>
      <c r="DX238" s="48"/>
      <c r="DY238" s="48"/>
      <c r="DZ238" s="48"/>
      <c r="EA238" s="48"/>
      <c r="EB238" s="48"/>
      <c r="EC238" s="48"/>
      <c r="ED238" s="48"/>
    </row>
    <row r="239" spans="1:134" ht="11.25" customHeight="1" x14ac:dyDescent="0.3">
      <c r="A239" s="28" t="e">
        <f t="array" aca="1" ref="A239" ca="1">_xludf.XLOOKUP(S239,Master_Registrations!P:P,Master_Registrations!A:A,"")</f>
        <v>#NAME?</v>
      </c>
      <c r="B239" s="39" t="s">
        <v>7050</v>
      </c>
      <c r="C239" s="39">
        <v>2026</v>
      </c>
      <c r="D239" s="39" t="s">
        <v>4886</v>
      </c>
      <c r="E239" s="39">
        <v>4</v>
      </c>
      <c r="F239" s="40" t="str">
        <f t="shared" si="0"/>
        <v>VED-02-2026-GR-4</v>
      </c>
      <c r="G239" s="39" t="s">
        <v>4569</v>
      </c>
      <c r="H239" s="39" t="s">
        <v>3717</v>
      </c>
      <c r="I239" s="39"/>
      <c r="J239" s="39" t="s">
        <v>198</v>
      </c>
      <c r="K239" s="52"/>
      <c r="L239" s="52"/>
      <c r="M239" s="52"/>
      <c r="N239" s="39" t="s">
        <v>1196</v>
      </c>
      <c r="O239" s="39" t="s">
        <v>3624</v>
      </c>
      <c r="P239" s="39" t="s">
        <v>3625</v>
      </c>
      <c r="Q239" s="39" t="e">
        <f t="shared" ca="1" si="5"/>
        <v>#NAME?</v>
      </c>
      <c r="R239" s="39" t="s">
        <v>112</v>
      </c>
      <c r="S239" s="50">
        <v>5103666736</v>
      </c>
      <c r="T239" s="40" t="s">
        <v>111</v>
      </c>
      <c r="U239" s="39">
        <v>1968</v>
      </c>
      <c r="V239" s="44">
        <v>2</v>
      </c>
      <c r="W239" s="44">
        <v>2</v>
      </c>
      <c r="X239" s="44">
        <v>2</v>
      </c>
      <c r="Y239" s="44">
        <v>2</v>
      </c>
      <c r="Z239" s="44">
        <v>2</v>
      </c>
      <c r="AA239" s="44">
        <v>2</v>
      </c>
      <c r="AB239" s="44">
        <v>2</v>
      </c>
      <c r="AC239" s="44">
        <v>2</v>
      </c>
      <c r="AD239" s="44">
        <v>2</v>
      </c>
      <c r="AE239" s="44">
        <v>2</v>
      </c>
      <c r="AF239" s="44">
        <v>2</v>
      </c>
      <c r="AG239" s="44">
        <v>2</v>
      </c>
      <c r="AH239" s="44">
        <v>2</v>
      </c>
      <c r="AI239" s="45">
        <v>-1</v>
      </c>
      <c r="AJ239" s="44">
        <v>2</v>
      </c>
      <c r="AK239" s="45">
        <v>-1</v>
      </c>
      <c r="AL239" s="44">
        <v>-1</v>
      </c>
      <c r="AM239" s="44">
        <v>2</v>
      </c>
      <c r="AN239" s="44">
        <v>2</v>
      </c>
      <c r="AO239" s="44">
        <v>2</v>
      </c>
      <c r="AP239" s="45">
        <v>-1</v>
      </c>
      <c r="AQ239" s="45">
        <v>-1</v>
      </c>
      <c r="AR239" s="45">
        <v>-1</v>
      </c>
      <c r="AS239" s="45">
        <v>-1</v>
      </c>
      <c r="AT239" s="45">
        <v>-1</v>
      </c>
      <c r="AU239" s="45">
        <v>-1</v>
      </c>
      <c r="AV239" s="45">
        <v>-1</v>
      </c>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c r="BV239" s="39"/>
      <c r="BW239" s="39"/>
      <c r="BX239" s="39"/>
      <c r="BY239" s="39"/>
      <c r="BZ239" s="39"/>
      <c r="CA239" s="39"/>
      <c r="CB239" s="39"/>
      <c r="CC239" s="39"/>
      <c r="CD239" s="39"/>
      <c r="CE239" s="39"/>
      <c r="CF239" s="39"/>
      <c r="CG239" s="39"/>
      <c r="CH239" s="39"/>
      <c r="CI239" s="39"/>
      <c r="CJ239" s="39"/>
      <c r="CK239" s="39"/>
      <c r="CL239" s="39"/>
      <c r="CM239" s="39"/>
      <c r="CN239" s="39"/>
      <c r="CO239" s="39"/>
      <c r="CP239" s="39"/>
      <c r="CQ239" s="39"/>
      <c r="CR239" s="39"/>
      <c r="CS239" s="39"/>
      <c r="CT239" s="39"/>
      <c r="CU239" s="39"/>
      <c r="CV239" s="39"/>
      <c r="CW239" s="39"/>
      <c r="CX239" s="39"/>
      <c r="CY239" s="39"/>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c r="DX239" s="48"/>
      <c r="DY239" s="48"/>
      <c r="DZ239" s="48"/>
      <c r="EA239" s="48"/>
      <c r="EB239" s="48"/>
      <c r="EC239" s="48"/>
      <c r="ED239" s="48"/>
    </row>
    <row r="240" spans="1:134" ht="11.25" customHeight="1" x14ac:dyDescent="0.3">
      <c r="A240" s="28" t="e">
        <f t="array" aca="1" ref="A240" ca="1">_xludf.XLOOKUP(S240,Master_Registrations!P:P,Master_Registrations!A:A,"")</f>
        <v>#NAME?</v>
      </c>
      <c r="B240" s="39" t="s">
        <v>7050</v>
      </c>
      <c r="C240" s="39">
        <v>2026</v>
      </c>
      <c r="D240" s="39" t="s">
        <v>4886</v>
      </c>
      <c r="E240" s="39">
        <v>4</v>
      </c>
      <c r="F240" s="40" t="str">
        <f t="shared" si="0"/>
        <v>VED-02-2026-GR-4</v>
      </c>
      <c r="G240" s="39" t="s">
        <v>4569</v>
      </c>
      <c r="H240" s="39" t="s">
        <v>3717</v>
      </c>
      <c r="I240" s="39"/>
      <c r="J240" s="39" t="s">
        <v>198</v>
      </c>
      <c r="K240" s="52"/>
      <c r="L240" s="52"/>
      <c r="M240" s="52"/>
      <c r="N240" s="39" t="s">
        <v>2297</v>
      </c>
      <c r="O240" s="39" t="s">
        <v>3102</v>
      </c>
      <c r="P240" s="39" t="s">
        <v>3103</v>
      </c>
      <c r="Q240" s="39" t="e">
        <f t="shared" ca="1" si="5"/>
        <v>#NAME?</v>
      </c>
      <c r="R240" s="39" t="s">
        <v>316</v>
      </c>
      <c r="S240" s="50">
        <v>9192498849</v>
      </c>
      <c r="T240" s="40" t="s">
        <v>402</v>
      </c>
      <c r="U240" s="39">
        <v>1970</v>
      </c>
      <c r="V240" s="44">
        <v>2</v>
      </c>
      <c r="W240" s="44">
        <v>2</v>
      </c>
      <c r="X240" s="44">
        <v>2</v>
      </c>
      <c r="Y240" s="44">
        <v>2</v>
      </c>
      <c r="Z240" s="44">
        <v>2</v>
      </c>
      <c r="AA240" s="44">
        <v>2</v>
      </c>
      <c r="AB240" s="44">
        <v>2</v>
      </c>
      <c r="AC240" s="44">
        <v>2</v>
      </c>
      <c r="AD240" s="44">
        <v>2</v>
      </c>
      <c r="AE240" s="44">
        <v>2</v>
      </c>
      <c r="AF240" s="44">
        <v>2</v>
      </c>
      <c r="AG240" s="44">
        <v>2</v>
      </c>
      <c r="AH240" s="44">
        <v>2</v>
      </c>
      <c r="AI240" s="45">
        <v>-1</v>
      </c>
      <c r="AJ240" s="44">
        <v>1</v>
      </c>
      <c r="AK240" s="45">
        <v>-1</v>
      </c>
      <c r="AL240" s="44">
        <v>-1</v>
      </c>
      <c r="AM240" s="44">
        <v>-1</v>
      </c>
      <c r="AN240" s="44">
        <v>1</v>
      </c>
      <c r="AO240" s="44">
        <v>-1</v>
      </c>
      <c r="AP240" s="45">
        <v>-1</v>
      </c>
      <c r="AQ240" s="45">
        <v>-1</v>
      </c>
      <c r="AR240" s="45">
        <v>-1</v>
      </c>
      <c r="AS240" s="45">
        <v>-1</v>
      </c>
      <c r="AT240" s="45">
        <v>-1</v>
      </c>
      <c r="AU240" s="45">
        <v>-1</v>
      </c>
      <c r="AV240" s="45">
        <v>-1</v>
      </c>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c r="BV240" s="39"/>
      <c r="BW240" s="39"/>
      <c r="BX240" s="39"/>
      <c r="BY240" s="39"/>
      <c r="BZ240" s="39"/>
      <c r="CA240" s="39"/>
      <c r="CB240" s="39"/>
      <c r="CC240" s="39"/>
      <c r="CD240" s="39"/>
      <c r="CE240" s="39"/>
      <c r="CF240" s="39"/>
      <c r="CG240" s="39"/>
      <c r="CH240" s="39"/>
      <c r="CI240" s="39"/>
      <c r="CJ240" s="39"/>
      <c r="CK240" s="39"/>
      <c r="CL240" s="39"/>
      <c r="CM240" s="39"/>
      <c r="CN240" s="39"/>
      <c r="CO240" s="39"/>
      <c r="CP240" s="39"/>
      <c r="CQ240" s="39"/>
      <c r="CR240" s="39"/>
      <c r="CS240" s="39"/>
      <c r="CT240" s="39"/>
      <c r="CU240" s="39"/>
      <c r="CV240" s="39"/>
      <c r="CW240" s="39"/>
      <c r="CX240" s="39"/>
      <c r="CY240" s="39"/>
      <c r="CZ240" s="48"/>
      <c r="DA240" s="48"/>
      <c r="DB240" s="48"/>
      <c r="DC240" s="48"/>
      <c r="DD240" s="48"/>
      <c r="DE240" s="48"/>
      <c r="DF240" s="48"/>
      <c r="DG240" s="48"/>
      <c r="DH240" s="48"/>
      <c r="DI240" s="48"/>
      <c r="DJ240" s="48"/>
      <c r="DK240" s="48"/>
      <c r="DL240" s="48"/>
      <c r="DM240" s="48"/>
      <c r="DN240" s="48"/>
      <c r="DO240" s="48"/>
      <c r="DP240" s="48"/>
      <c r="DQ240" s="48"/>
      <c r="DR240" s="48"/>
      <c r="DS240" s="48"/>
      <c r="DT240" s="48"/>
      <c r="DU240" s="48"/>
      <c r="DV240" s="48"/>
      <c r="DW240" s="48"/>
      <c r="DX240" s="48"/>
      <c r="DY240" s="48"/>
      <c r="DZ240" s="48"/>
      <c r="EA240" s="48"/>
      <c r="EB240" s="48"/>
      <c r="EC240" s="48"/>
      <c r="ED240" s="48"/>
    </row>
    <row r="241" spans="1:134" ht="11.25" customHeight="1" x14ac:dyDescent="0.3">
      <c r="A241" s="28" t="e">
        <f t="array" aca="1" ref="A241" ca="1">_xludf.XLOOKUP(S241,Master_Registrations!P:P,Master_Registrations!A:A,"")</f>
        <v>#NAME?</v>
      </c>
      <c r="B241" s="28" t="s">
        <v>7050</v>
      </c>
      <c r="C241" s="28">
        <v>2026</v>
      </c>
      <c r="D241" s="28" t="s">
        <v>4886</v>
      </c>
      <c r="E241" s="28">
        <v>5</v>
      </c>
      <c r="F241" s="29" t="str">
        <f t="shared" si="0"/>
        <v>VED-02-2026-GR-5</v>
      </c>
      <c r="G241" s="28" t="s">
        <v>7060</v>
      </c>
      <c r="H241" s="28" t="s">
        <v>7061</v>
      </c>
      <c r="I241" s="28"/>
      <c r="J241" s="28" t="s">
        <v>198</v>
      </c>
      <c r="K241" s="35"/>
      <c r="L241" s="35"/>
      <c r="M241" s="30"/>
      <c r="N241" s="28" t="s">
        <v>200</v>
      </c>
      <c r="O241" s="28" t="s">
        <v>1282</v>
      </c>
      <c r="P241" s="28" t="s">
        <v>3586</v>
      </c>
      <c r="Q241" s="28" t="e">
        <f t="shared" ca="1" si="5"/>
        <v>#NAME?</v>
      </c>
      <c r="R241" s="28" t="s">
        <v>261</v>
      </c>
      <c r="S241" s="55">
        <v>431228074</v>
      </c>
      <c r="T241" s="29" t="s">
        <v>260</v>
      </c>
      <c r="U241" s="28">
        <v>1981</v>
      </c>
      <c r="V241" s="36">
        <v>1</v>
      </c>
      <c r="W241" s="36">
        <v>1</v>
      </c>
      <c r="X241" s="73">
        <v>1</v>
      </c>
      <c r="Y241" s="73">
        <v>1</v>
      </c>
      <c r="Z241" s="73">
        <v>1</v>
      </c>
      <c r="AA241" s="73">
        <v>1</v>
      </c>
      <c r="AB241" s="73">
        <v>1</v>
      </c>
      <c r="AC241" s="73">
        <v>1</v>
      </c>
      <c r="AD241" s="73">
        <v>1</v>
      </c>
      <c r="AE241" s="73">
        <v>1</v>
      </c>
      <c r="AF241" s="73">
        <v>1</v>
      </c>
      <c r="AG241" s="73">
        <v>1</v>
      </c>
      <c r="AH241" s="73">
        <v>1</v>
      </c>
      <c r="AI241" s="33"/>
      <c r="AJ241" s="28">
        <v>1</v>
      </c>
      <c r="AK241" s="28">
        <v>1</v>
      </c>
      <c r="AL241" s="28">
        <v>1</v>
      </c>
      <c r="AM241" s="28">
        <v>-1</v>
      </c>
      <c r="AN241" s="28">
        <v>-1</v>
      </c>
      <c r="AO241" s="28">
        <v>-1</v>
      </c>
      <c r="AP241" s="28">
        <v>-1</v>
      </c>
      <c r="AQ241" s="28">
        <v>-1</v>
      </c>
      <c r="AR241" s="28">
        <v>-1</v>
      </c>
      <c r="AS241" s="28">
        <v>-1</v>
      </c>
      <c r="AT241" s="28">
        <v>-1</v>
      </c>
      <c r="AU241" s="28">
        <v>-1</v>
      </c>
      <c r="AV241" s="28">
        <v>-1</v>
      </c>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34"/>
      <c r="DZ241" s="34"/>
      <c r="EA241" s="34"/>
      <c r="EB241" s="34"/>
      <c r="EC241" s="34"/>
      <c r="ED241" s="34"/>
    </row>
    <row r="242" spans="1:134" ht="11.25" customHeight="1" x14ac:dyDescent="0.3">
      <c r="A242" s="28" t="e">
        <f t="array" aca="1" ref="A242" ca="1">_xludf.XLOOKUP(S242,Master_Registrations!P:P,Master_Registrations!A:A,"")</f>
        <v>#NAME?</v>
      </c>
      <c r="B242" s="28" t="s">
        <v>7050</v>
      </c>
      <c r="C242" s="28">
        <v>2026</v>
      </c>
      <c r="D242" s="28" t="s">
        <v>4886</v>
      </c>
      <c r="E242" s="28">
        <v>5</v>
      </c>
      <c r="F242" s="29" t="str">
        <f t="shared" si="0"/>
        <v>VED-02-2026-GR-5</v>
      </c>
      <c r="G242" s="28" t="s">
        <v>7062</v>
      </c>
      <c r="H242" s="28" t="s">
        <v>7061</v>
      </c>
      <c r="I242" s="28"/>
      <c r="J242" s="28" t="s">
        <v>198</v>
      </c>
      <c r="K242" s="35"/>
      <c r="L242" s="35"/>
      <c r="M242" s="30"/>
      <c r="N242" s="28" t="s">
        <v>299</v>
      </c>
      <c r="O242" s="28" t="s">
        <v>2254</v>
      </c>
      <c r="P242" s="28" t="s">
        <v>3533</v>
      </c>
      <c r="Q242" s="28" t="e">
        <f t="shared" ca="1" si="5"/>
        <v>#NAME?</v>
      </c>
      <c r="R242" s="28" t="s">
        <v>112</v>
      </c>
      <c r="S242" s="55">
        <v>8885442951</v>
      </c>
      <c r="T242" s="29" t="s">
        <v>111</v>
      </c>
      <c r="U242" s="28">
        <v>1960</v>
      </c>
      <c r="V242" s="33">
        <v>-1</v>
      </c>
      <c r="W242" s="33">
        <v>-1</v>
      </c>
      <c r="X242" s="35">
        <v>1</v>
      </c>
      <c r="Y242" s="35">
        <v>1</v>
      </c>
      <c r="Z242" s="35">
        <v>1</v>
      </c>
      <c r="AA242" s="35">
        <v>1</v>
      </c>
      <c r="AB242" s="35">
        <v>1</v>
      </c>
      <c r="AC242" s="35">
        <v>1</v>
      </c>
      <c r="AD242" s="35">
        <v>1</v>
      </c>
      <c r="AE242" s="35">
        <v>1</v>
      </c>
      <c r="AF242" s="35">
        <v>1</v>
      </c>
      <c r="AG242" s="35">
        <v>1</v>
      </c>
      <c r="AH242" s="35">
        <v>1</v>
      </c>
      <c r="AI242" s="33">
        <v>-1</v>
      </c>
      <c r="AJ242" s="35">
        <v>1</v>
      </c>
      <c r="AK242" s="35">
        <v>1</v>
      </c>
      <c r="AL242" s="33">
        <v>-1</v>
      </c>
      <c r="AM242" s="33">
        <v>-1</v>
      </c>
      <c r="AN242" s="33">
        <v>-1</v>
      </c>
      <c r="AO242" s="33">
        <v>-1</v>
      </c>
      <c r="AP242" s="33">
        <v>-1</v>
      </c>
      <c r="AQ242" s="33">
        <v>-1</v>
      </c>
      <c r="AR242" s="33">
        <v>-1</v>
      </c>
      <c r="AS242" s="33">
        <v>-1</v>
      </c>
      <c r="AT242" s="33">
        <v>-1</v>
      </c>
      <c r="AU242" s="33">
        <v>-1</v>
      </c>
      <c r="AV242" s="33">
        <v>-1</v>
      </c>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8"/>
      <c r="CO242" s="28"/>
      <c r="CP242" s="28"/>
      <c r="CQ242" s="28"/>
      <c r="CR242" s="28"/>
      <c r="CS242" s="28"/>
      <c r="CT242" s="28"/>
      <c r="CU242" s="28"/>
      <c r="CV242" s="28"/>
      <c r="CW242" s="28"/>
      <c r="CX242" s="28"/>
      <c r="CY242" s="28"/>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c r="DZ242" s="34"/>
      <c r="EA242" s="34"/>
      <c r="EB242" s="34"/>
      <c r="EC242" s="34"/>
      <c r="ED242" s="34"/>
    </row>
    <row r="243" spans="1:134" ht="11.25" customHeight="1" x14ac:dyDescent="0.3">
      <c r="A243" s="28" t="e">
        <f t="array" aca="1" ref="A243" ca="1">_xludf.XLOOKUP(S243,Master_Registrations!P:P,Master_Registrations!A:A,"")</f>
        <v>#NAME?</v>
      </c>
      <c r="B243" s="28" t="s">
        <v>7050</v>
      </c>
      <c r="C243" s="28">
        <v>2026</v>
      </c>
      <c r="D243" s="28" t="s">
        <v>4886</v>
      </c>
      <c r="E243" s="28">
        <v>5</v>
      </c>
      <c r="F243" s="29" t="str">
        <f t="shared" si="0"/>
        <v>VED-02-2026-GR-5</v>
      </c>
      <c r="G243" s="28" t="s">
        <v>7062</v>
      </c>
      <c r="H243" s="28" t="s">
        <v>7061</v>
      </c>
      <c r="I243" s="28"/>
      <c r="J243" s="28" t="s">
        <v>198</v>
      </c>
      <c r="K243" s="35"/>
      <c r="L243" s="35"/>
      <c r="M243" s="30"/>
      <c r="N243" s="28" t="s">
        <v>369</v>
      </c>
      <c r="O243" s="28" t="s">
        <v>2016</v>
      </c>
      <c r="P243" s="28" t="s">
        <v>520</v>
      </c>
      <c r="Q243" s="28" t="e">
        <f t="shared" ca="1" si="5"/>
        <v>#NAME?</v>
      </c>
      <c r="R243" s="28" t="s">
        <v>316</v>
      </c>
      <c r="S243" s="55">
        <v>8053046983</v>
      </c>
      <c r="T243" s="29" t="s">
        <v>474</v>
      </c>
      <c r="U243" s="28">
        <v>1975</v>
      </c>
      <c r="V243" s="35">
        <v>2</v>
      </c>
      <c r="W243" s="33">
        <v>-1</v>
      </c>
      <c r="X243" s="35">
        <v>2</v>
      </c>
      <c r="Y243" s="35">
        <v>2</v>
      </c>
      <c r="Z243" s="35">
        <v>2</v>
      </c>
      <c r="AA243" s="35">
        <v>2</v>
      </c>
      <c r="AB243" s="35">
        <v>2</v>
      </c>
      <c r="AC243" s="35">
        <v>1</v>
      </c>
      <c r="AD243" s="35">
        <v>2</v>
      </c>
      <c r="AE243" s="35">
        <v>2</v>
      </c>
      <c r="AF243" s="35">
        <v>2</v>
      </c>
      <c r="AG243" s="35">
        <v>2</v>
      </c>
      <c r="AH243" s="35">
        <v>1</v>
      </c>
      <c r="AI243" s="33">
        <v>-1</v>
      </c>
      <c r="AJ243" s="33">
        <v>-1</v>
      </c>
      <c r="AK243" s="33">
        <v>-1</v>
      </c>
      <c r="AL243" s="33">
        <v>-1</v>
      </c>
      <c r="AM243" s="33">
        <v>-1</v>
      </c>
      <c r="AN243" s="33">
        <v>-1</v>
      </c>
      <c r="AO243" s="33">
        <v>-1</v>
      </c>
      <c r="AP243" s="33">
        <v>-1</v>
      </c>
      <c r="AQ243" s="33">
        <v>-1</v>
      </c>
      <c r="AR243" s="33">
        <v>-1</v>
      </c>
      <c r="AS243" s="33">
        <v>-1</v>
      </c>
      <c r="AT243" s="33">
        <v>-1</v>
      </c>
      <c r="AU243" s="33">
        <v>-1</v>
      </c>
      <c r="AV243" s="33">
        <v>-1</v>
      </c>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34"/>
      <c r="DZ243" s="34"/>
      <c r="EA243" s="34"/>
      <c r="EB243" s="34"/>
      <c r="EC243" s="34"/>
      <c r="ED243" s="34"/>
    </row>
    <row r="244" spans="1:134" ht="11.25" customHeight="1" x14ac:dyDescent="0.3">
      <c r="A244" s="28" t="e">
        <f t="array" aca="1" ref="A244" ca="1">_xludf.XLOOKUP(S244,Master_Registrations!P:P,Master_Registrations!A:A,"")</f>
        <v>#NAME?</v>
      </c>
      <c r="B244" s="28" t="s">
        <v>7050</v>
      </c>
      <c r="C244" s="28">
        <v>2026</v>
      </c>
      <c r="D244" s="28" t="s">
        <v>4886</v>
      </c>
      <c r="E244" s="28">
        <v>5</v>
      </c>
      <c r="F244" s="29" t="str">
        <f t="shared" si="0"/>
        <v>VED-02-2026-GR-5</v>
      </c>
      <c r="G244" s="28" t="s">
        <v>7062</v>
      </c>
      <c r="H244" s="28" t="s">
        <v>7061</v>
      </c>
      <c r="I244" s="28"/>
      <c r="J244" s="28" t="s">
        <v>198</v>
      </c>
      <c r="K244" s="37"/>
      <c r="L244" s="37"/>
      <c r="M244" s="30"/>
      <c r="N244" s="28" t="s">
        <v>434</v>
      </c>
      <c r="O244" s="28" t="s">
        <v>848</v>
      </c>
      <c r="P244" s="28" t="s">
        <v>849</v>
      </c>
      <c r="Q244" s="28" t="e">
        <f t="shared" ca="1" si="5"/>
        <v>#NAME?</v>
      </c>
      <c r="R244" s="28" t="s">
        <v>112</v>
      </c>
      <c r="S244" s="55">
        <v>8790788333</v>
      </c>
      <c r="T244" s="29" t="s">
        <v>111</v>
      </c>
      <c r="U244" s="28">
        <v>1971</v>
      </c>
      <c r="V244" s="35">
        <v>1</v>
      </c>
      <c r="W244" s="35">
        <v>1</v>
      </c>
      <c r="X244" s="35">
        <v>1</v>
      </c>
      <c r="Y244" s="35">
        <v>1</v>
      </c>
      <c r="Z244" s="35">
        <v>1</v>
      </c>
      <c r="AA244" s="35">
        <v>1</v>
      </c>
      <c r="AB244" s="35">
        <v>1</v>
      </c>
      <c r="AC244" s="35">
        <v>1</v>
      </c>
      <c r="AD244" s="35">
        <v>1</v>
      </c>
      <c r="AE244" s="35">
        <v>1</v>
      </c>
      <c r="AF244" s="33">
        <v>-1</v>
      </c>
      <c r="AG244" s="33">
        <v>-1</v>
      </c>
      <c r="AH244" s="35">
        <v>-1</v>
      </c>
      <c r="AI244" s="33">
        <v>-1</v>
      </c>
      <c r="AJ244" s="58">
        <v>-1</v>
      </c>
      <c r="AK244" s="58">
        <v>-1</v>
      </c>
      <c r="AL244" s="58">
        <v>-1</v>
      </c>
      <c r="AM244" s="58">
        <v>-1</v>
      </c>
      <c r="AN244" s="58">
        <v>-1</v>
      </c>
      <c r="AO244" s="58">
        <v>-1</v>
      </c>
      <c r="AP244" s="33">
        <v>-1</v>
      </c>
      <c r="AQ244" s="33">
        <v>-1</v>
      </c>
      <c r="AR244" s="58">
        <v>-1</v>
      </c>
      <c r="AS244" s="33">
        <v>-1</v>
      </c>
      <c r="AT244" s="33">
        <v>-1</v>
      </c>
      <c r="AU244" s="35">
        <v>-1</v>
      </c>
      <c r="AV244" s="33">
        <v>-1</v>
      </c>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row>
    <row r="245" spans="1:134" ht="11.25" customHeight="1" x14ac:dyDescent="0.3">
      <c r="A245" s="28" t="e">
        <f t="array" aca="1" ref="A245" ca="1">_xludf.XLOOKUP(S245,Master_Registrations!P:P,Master_Registrations!A:A,"")</f>
        <v>#NAME?</v>
      </c>
      <c r="B245" s="28" t="s">
        <v>7050</v>
      </c>
      <c r="C245" s="28">
        <v>2026</v>
      </c>
      <c r="D245" s="28" t="s">
        <v>4886</v>
      </c>
      <c r="E245" s="28">
        <v>5</v>
      </c>
      <c r="F245" s="29" t="str">
        <f t="shared" si="0"/>
        <v>VED-02-2026-GR-5</v>
      </c>
      <c r="G245" s="28" t="s">
        <v>7062</v>
      </c>
      <c r="H245" s="28" t="s">
        <v>7061</v>
      </c>
      <c r="I245" s="28"/>
      <c r="J245" s="28" t="s">
        <v>198</v>
      </c>
      <c r="K245" s="35"/>
      <c r="L245" s="35"/>
      <c r="M245" s="30"/>
      <c r="N245" s="28" t="s">
        <v>525</v>
      </c>
      <c r="O245" s="28" t="s">
        <v>1632</v>
      </c>
      <c r="P245" s="28" t="s">
        <v>3756</v>
      </c>
      <c r="Q245" s="28" t="e">
        <f t="shared" ca="1" si="5"/>
        <v>#NAME?</v>
      </c>
      <c r="R245" s="28" t="s">
        <v>112</v>
      </c>
      <c r="S245" s="55">
        <v>9494253298</v>
      </c>
      <c r="T245" s="29" t="s">
        <v>111</v>
      </c>
      <c r="U245" s="28">
        <v>1982</v>
      </c>
      <c r="V245" s="33">
        <v>-1</v>
      </c>
      <c r="W245" s="33">
        <v>-1</v>
      </c>
      <c r="X245" s="35">
        <v>1</v>
      </c>
      <c r="Y245" s="35">
        <v>1</v>
      </c>
      <c r="Z245" s="35">
        <v>1</v>
      </c>
      <c r="AA245" s="35">
        <v>1</v>
      </c>
      <c r="AB245" s="33">
        <v>-1</v>
      </c>
      <c r="AC245" s="35">
        <v>1</v>
      </c>
      <c r="AD245" s="35">
        <v>1</v>
      </c>
      <c r="AE245" s="35">
        <v>1</v>
      </c>
      <c r="AF245" s="33">
        <v>-1</v>
      </c>
      <c r="AG245" s="33">
        <v>-1</v>
      </c>
      <c r="AH245" s="33">
        <v>-1</v>
      </c>
      <c r="AI245" s="33">
        <v>-1</v>
      </c>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c r="DZ245" s="34"/>
      <c r="EA245" s="34"/>
      <c r="EB245" s="34"/>
      <c r="EC245" s="34"/>
      <c r="ED245" s="34"/>
    </row>
    <row r="246" spans="1:134" ht="11.25" customHeight="1" x14ac:dyDescent="0.3">
      <c r="A246" s="28" t="e">
        <f t="array" aca="1" ref="A246" ca="1">_xludf.XLOOKUP(S246,Master_Registrations!P:P,Master_Registrations!A:A,"")</f>
        <v>#NAME?</v>
      </c>
      <c r="B246" s="28" t="s">
        <v>7050</v>
      </c>
      <c r="C246" s="28">
        <v>2026</v>
      </c>
      <c r="D246" s="28" t="s">
        <v>4886</v>
      </c>
      <c r="E246" s="28">
        <v>5</v>
      </c>
      <c r="F246" s="29" t="str">
        <f t="shared" si="0"/>
        <v>VED-02-2026-GR-5</v>
      </c>
      <c r="G246" s="28" t="s">
        <v>7062</v>
      </c>
      <c r="H246" s="28" t="s">
        <v>7061</v>
      </c>
      <c r="I246" s="28"/>
      <c r="J246" s="28" t="s">
        <v>198</v>
      </c>
      <c r="K246" s="35"/>
      <c r="L246" s="35"/>
      <c r="M246" s="30"/>
      <c r="N246" s="28" t="s">
        <v>621</v>
      </c>
      <c r="O246" s="28" t="s">
        <v>576</v>
      </c>
      <c r="P246" s="28" t="s">
        <v>3177</v>
      </c>
      <c r="Q246" s="28" t="e">
        <f t="shared" ca="1" si="5"/>
        <v>#NAME?</v>
      </c>
      <c r="R246" s="28" t="s">
        <v>112</v>
      </c>
      <c r="S246" s="55">
        <v>9440138133</v>
      </c>
      <c r="T246" s="29" t="s">
        <v>111</v>
      </c>
      <c r="U246" s="28">
        <v>1964</v>
      </c>
      <c r="V246" s="33">
        <v>-1</v>
      </c>
      <c r="W246" s="33">
        <v>-1</v>
      </c>
      <c r="X246" s="35">
        <v>1</v>
      </c>
      <c r="Y246" s="35">
        <v>1</v>
      </c>
      <c r="Z246" s="35">
        <v>1</v>
      </c>
      <c r="AA246" s="35">
        <v>1</v>
      </c>
      <c r="AB246" s="35">
        <v>1</v>
      </c>
      <c r="AC246" s="35">
        <v>1</v>
      </c>
      <c r="AD246" s="35">
        <v>1</v>
      </c>
      <c r="AE246" s="35">
        <v>1</v>
      </c>
      <c r="AF246" s="35">
        <v>1</v>
      </c>
      <c r="AG246" s="35">
        <v>1</v>
      </c>
      <c r="AH246" s="35">
        <v>1</v>
      </c>
      <c r="AI246" s="33">
        <v>-1</v>
      </c>
      <c r="AJ246" s="35">
        <v>1</v>
      </c>
      <c r="AK246" s="33">
        <v>-1</v>
      </c>
      <c r="AL246" s="33">
        <v>-1</v>
      </c>
      <c r="AM246" s="33">
        <v>-1</v>
      </c>
      <c r="AN246" s="33">
        <v>-1</v>
      </c>
      <c r="AO246" s="33">
        <v>-1</v>
      </c>
      <c r="AP246" s="33">
        <v>-1</v>
      </c>
      <c r="AQ246" s="33">
        <v>-1</v>
      </c>
      <c r="AR246" s="33">
        <v>-1</v>
      </c>
      <c r="AS246" s="33">
        <v>-1</v>
      </c>
      <c r="AT246" s="33">
        <v>-1</v>
      </c>
      <c r="AU246" s="33">
        <v>-1</v>
      </c>
      <c r="AV246" s="33">
        <v>-1</v>
      </c>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c r="DZ246" s="34"/>
      <c r="EA246" s="34"/>
      <c r="EB246" s="34"/>
      <c r="EC246" s="34"/>
      <c r="ED246" s="34"/>
    </row>
    <row r="247" spans="1:134" ht="11.25" customHeight="1" x14ac:dyDescent="0.3">
      <c r="A247" s="28" t="e">
        <f t="array" aca="1" ref="A247" ca="1">_xludf.XLOOKUP(S247,Master_Registrations!P:P,Master_Registrations!A:A,"")</f>
        <v>#NAME?</v>
      </c>
      <c r="B247" s="39" t="s">
        <v>7050</v>
      </c>
      <c r="C247" s="39">
        <v>2026</v>
      </c>
      <c r="D247" s="39" t="s">
        <v>4886</v>
      </c>
      <c r="E247" s="39">
        <v>6</v>
      </c>
      <c r="F247" s="40" t="str">
        <f t="shared" si="0"/>
        <v>VED-02-2026-GR-6</v>
      </c>
      <c r="G247" s="39" t="s">
        <v>7043</v>
      </c>
      <c r="H247" s="39" t="s">
        <v>4889</v>
      </c>
      <c r="I247" s="39"/>
      <c r="J247" s="39" t="s">
        <v>198</v>
      </c>
      <c r="K247" s="44"/>
      <c r="L247" s="44"/>
      <c r="M247" s="44"/>
      <c r="N247" s="39" t="s">
        <v>200</v>
      </c>
      <c r="O247" s="39" t="s">
        <v>3149</v>
      </c>
      <c r="P247" s="39" t="s">
        <v>3150</v>
      </c>
      <c r="Q247" s="39" t="e">
        <f t="shared" ca="1" si="5"/>
        <v>#NAME?</v>
      </c>
      <c r="R247" s="39" t="s">
        <v>112</v>
      </c>
      <c r="S247" s="50">
        <v>9004996402</v>
      </c>
      <c r="T247" s="40" t="s">
        <v>111</v>
      </c>
      <c r="U247" s="39">
        <v>1982</v>
      </c>
      <c r="V247" s="44">
        <v>1</v>
      </c>
      <c r="W247" s="45">
        <v>-1</v>
      </c>
      <c r="X247" s="44">
        <v>1</v>
      </c>
      <c r="Y247" s="44">
        <v>1</v>
      </c>
      <c r="Z247" s="44">
        <v>1</v>
      </c>
      <c r="AA247" s="44">
        <v>1</v>
      </c>
      <c r="AB247" s="44">
        <v>1</v>
      </c>
      <c r="AC247" s="45">
        <v>-1</v>
      </c>
      <c r="AD247" s="44">
        <v>1</v>
      </c>
      <c r="AE247" s="44">
        <v>1</v>
      </c>
      <c r="AF247" s="44">
        <v>1</v>
      </c>
      <c r="AG247" s="44">
        <v>1</v>
      </c>
      <c r="AH247" s="45">
        <v>-1</v>
      </c>
      <c r="AI247" s="45">
        <v>-1</v>
      </c>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39"/>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48"/>
      <c r="DA247" s="48"/>
      <c r="DB247" s="48"/>
      <c r="DC247" s="48"/>
      <c r="DD247" s="48"/>
      <c r="DE247" s="48"/>
      <c r="DF247" s="48"/>
      <c r="DG247" s="48"/>
      <c r="DH247" s="48"/>
      <c r="DI247" s="48"/>
      <c r="DJ247" s="48"/>
      <c r="DK247" s="48"/>
      <c r="DL247" s="48"/>
      <c r="DM247" s="48"/>
      <c r="DN247" s="48"/>
      <c r="DO247" s="48"/>
      <c r="DP247" s="48"/>
      <c r="DQ247" s="48"/>
      <c r="DR247" s="48"/>
      <c r="DS247" s="48"/>
      <c r="DT247" s="48"/>
      <c r="DU247" s="48"/>
      <c r="DV247" s="48"/>
      <c r="DW247" s="48"/>
      <c r="DX247" s="48"/>
      <c r="DY247" s="48"/>
      <c r="DZ247" s="48"/>
      <c r="EA247" s="48"/>
      <c r="EB247" s="48"/>
      <c r="EC247" s="48"/>
      <c r="ED247" s="48"/>
    </row>
    <row r="248" spans="1:134" ht="11.25" customHeight="1" x14ac:dyDescent="0.3">
      <c r="A248" s="28" t="e">
        <f t="array" aca="1" ref="A248" ca="1">_xludf.XLOOKUP(S248,Master_Registrations!P:P,Master_Registrations!A:A,"")</f>
        <v>#NAME?</v>
      </c>
      <c r="B248" s="39" t="s">
        <v>7050</v>
      </c>
      <c r="C248" s="39">
        <v>2026</v>
      </c>
      <c r="D248" s="39" t="s">
        <v>4886</v>
      </c>
      <c r="E248" s="39">
        <v>6</v>
      </c>
      <c r="F248" s="40" t="str">
        <f t="shared" si="0"/>
        <v>VED-02-2026-GR-6</v>
      </c>
      <c r="G248" s="39" t="s">
        <v>7043</v>
      </c>
      <c r="H248" s="39" t="s">
        <v>4889</v>
      </c>
      <c r="I248" s="39"/>
      <c r="J248" s="39" t="s">
        <v>198</v>
      </c>
      <c r="K248" s="44"/>
      <c r="L248" s="68"/>
      <c r="M248" s="49"/>
      <c r="N248" s="39" t="s">
        <v>299</v>
      </c>
      <c r="O248" s="39" t="s">
        <v>2896</v>
      </c>
      <c r="P248" s="39" t="s">
        <v>2897</v>
      </c>
      <c r="Q248" s="39" t="e">
        <f t="shared" ca="1" si="5"/>
        <v>#NAME?</v>
      </c>
      <c r="R248" s="39" t="s">
        <v>112</v>
      </c>
      <c r="S248" s="50">
        <v>9866399637</v>
      </c>
      <c r="T248" s="40" t="s">
        <v>111</v>
      </c>
      <c r="U248" s="39">
        <v>1981</v>
      </c>
      <c r="V248" s="45">
        <v>-1</v>
      </c>
      <c r="W248" s="45">
        <v>-1</v>
      </c>
      <c r="X248" s="45">
        <v>-1</v>
      </c>
      <c r="Y248" s="44">
        <v>1</v>
      </c>
      <c r="Z248" s="44">
        <v>1</v>
      </c>
      <c r="AA248" s="45">
        <v>-1</v>
      </c>
      <c r="AB248" s="45">
        <v>-1</v>
      </c>
      <c r="AC248" s="45">
        <v>-1</v>
      </c>
      <c r="AD248" s="45">
        <v>-1</v>
      </c>
      <c r="AE248" s="45">
        <v>-1</v>
      </c>
      <c r="AF248" s="45">
        <v>-1</v>
      </c>
      <c r="AG248" s="45">
        <v>-1</v>
      </c>
      <c r="AH248" s="45">
        <v>-1</v>
      </c>
      <c r="AI248" s="45">
        <v>-1</v>
      </c>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c r="BV248" s="39"/>
      <c r="BW248" s="39"/>
      <c r="BX248" s="39"/>
      <c r="BY248" s="39"/>
      <c r="BZ248" s="39"/>
      <c r="CA248" s="39"/>
      <c r="CB248" s="39"/>
      <c r="CC248" s="39"/>
      <c r="CD248" s="39"/>
      <c r="CE248" s="39"/>
      <c r="CF248" s="39"/>
      <c r="CG248" s="39"/>
      <c r="CH248" s="39"/>
      <c r="CI248" s="39"/>
      <c r="CJ248" s="39"/>
      <c r="CK248" s="39"/>
      <c r="CL248" s="39"/>
      <c r="CM248" s="39"/>
      <c r="CN248" s="39"/>
      <c r="CO248" s="39"/>
      <c r="CP248" s="39"/>
      <c r="CQ248" s="39"/>
      <c r="CR248" s="39"/>
      <c r="CS248" s="39"/>
      <c r="CT248" s="39"/>
      <c r="CU248" s="39"/>
      <c r="CV248" s="39"/>
      <c r="CW248" s="39"/>
      <c r="CX248" s="39"/>
      <c r="CY248" s="39"/>
      <c r="CZ248" s="48"/>
      <c r="DA248" s="48"/>
      <c r="DB248" s="48"/>
      <c r="DC248" s="48"/>
      <c r="DD248" s="48"/>
      <c r="DE248" s="48"/>
      <c r="DF248" s="48"/>
      <c r="DG248" s="48"/>
      <c r="DH248" s="48"/>
      <c r="DI248" s="48"/>
      <c r="DJ248" s="48"/>
      <c r="DK248" s="48"/>
      <c r="DL248" s="48"/>
      <c r="DM248" s="48"/>
      <c r="DN248" s="48"/>
      <c r="DO248" s="48"/>
      <c r="DP248" s="48"/>
      <c r="DQ248" s="48"/>
      <c r="DR248" s="48"/>
      <c r="DS248" s="48"/>
      <c r="DT248" s="48"/>
      <c r="DU248" s="48"/>
      <c r="DV248" s="48"/>
      <c r="DW248" s="48"/>
      <c r="DX248" s="48"/>
      <c r="DY248" s="48"/>
      <c r="DZ248" s="48"/>
      <c r="EA248" s="48"/>
      <c r="EB248" s="48"/>
      <c r="EC248" s="48"/>
      <c r="ED248" s="48"/>
    </row>
    <row r="249" spans="1:134" ht="11.25" customHeight="1" x14ac:dyDescent="0.3">
      <c r="A249" s="28" t="e">
        <f t="array" aca="1" ref="A249" ca="1">_xludf.XLOOKUP(S249,Master_Registrations!P:P,Master_Registrations!A:A,"")</f>
        <v>#NAME?</v>
      </c>
      <c r="B249" s="39" t="s">
        <v>7050</v>
      </c>
      <c r="C249" s="39">
        <v>2026</v>
      </c>
      <c r="D249" s="39" t="s">
        <v>4886</v>
      </c>
      <c r="E249" s="39">
        <v>6</v>
      </c>
      <c r="F249" s="40" t="str">
        <f t="shared" si="0"/>
        <v>VED-02-2026-GR-6</v>
      </c>
      <c r="G249" s="39" t="s">
        <v>7043</v>
      </c>
      <c r="H249" s="39" t="s">
        <v>4889</v>
      </c>
      <c r="I249" s="39"/>
      <c r="J249" s="39" t="s">
        <v>198</v>
      </c>
      <c r="K249" s="44"/>
      <c r="L249" s="44"/>
      <c r="M249" s="44"/>
      <c r="N249" s="39" t="s">
        <v>369</v>
      </c>
      <c r="O249" s="39" t="s">
        <v>1766</v>
      </c>
      <c r="P249" s="39" t="s">
        <v>3187</v>
      </c>
      <c r="Q249" s="39" t="e">
        <f t="shared" ca="1" si="5"/>
        <v>#NAME?</v>
      </c>
      <c r="R249" s="39" t="s">
        <v>112</v>
      </c>
      <c r="S249" s="50">
        <v>9059164711</v>
      </c>
      <c r="T249" s="40" t="s">
        <v>111</v>
      </c>
      <c r="U249" s="39">
        <v>1982</v>
      </c>
      <c r="V249" s="44">
        <v>-1</v>
      </c>
      <c r="W249" s="44">
        <v>-1</v>
      </c>
      <c r="X249" s="44">
        <v>-1</v>
      </c>
      <c r="Y249" s="44">
        <v>-1</v>
      </c>
      <c r="Z249" s="44">
        <v>-1</v>
      </c>
      <c r="AA249" s="44">
        <v>-1</v>
      </c>
      <c r="AB249" s="44">
        <v>-1</v>
      </c>
      <c r="AC249" s="44">
        <v>-1</v>
      </c>
      <c r="AD249" s="44">
        <v>-1</v>
      </c>
      <c r="AE249" s="44">
        <v>-1</v>
      </c>
      <c r="AF249" s="44">
        <v>-1</v>
      </c>
      <c r="AG249" s="44">
        <v>-1</v>
      </c>
      <c r="AH249" s="44">
        <v>-1</v>
      </c>
      <c r="AI249" s="45">
        <v>-1</v>
      </c>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c r="BZ249" s="39"/>
      <c r="CA249" s="39"/>
      <c r="CB249" s="39"/>
      <c r="CC249" s="39"/>
      <c r="CD249" s="39"/>
      <c r="CE249" s="39"/>
      <c r="CF249" s="39"/>
      <c r="CG249" s="39"/>
      <c r="CH249" s="39"/>
      <c r="CI249" s="39"/>
      <c r="CJ249" s="39"/>
      <c r="CK249" s="39"/>
      <c r="CL249" s="39"/>
      <c r="CM249" s="39"/>
      <c r="CN249" s="39"/>
      <c r="CO249" s="39"/>
      <c r="CP249" s="39"/>
      <c r="CQ249" s="39"/>
      <c r="CR249" s="39"/>
      <c r="CS249" s="39"/>
      <c r="CT249" s="39"/>
      <c r="CU249" s="39"/>
      <c r="CV249" s="39"/>
      <c r="CW249" s="39"/>
      <c r="CX249" s="39"/>
      <c r="CY249" s="39"/>
      <c r="CZ249" s="48"/>
      <c r="DA249" s="48"/>
      <c r="DB249" s="48"/>
      <c r="DC249" s="48"/>
      <c r="DD249" s="48"/>
      <c r="DE249" s="48"/>
      <c r="DF249" s="48"/>
      <c r="DG249" s="48"/>
      <c r="DH249" s="48"/>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48"/>
    </row>
    <row r="250" spans="1:134" ht="11.25" customHeight="1" x14ac:dyDescent="0.3">
      <c r="A250" s="28" t="e">
        <f t="array" aca="1" ref="A250" ca="1">_xludf.XLOOKUP(S250,Master_Registrations!P:P,Master_Registrations!A:A,"")</f>
        <v>#NAME?</v>
      </c>
      <c r="B250" s="39" t="s">
        <v>7050</v>
      </c>
      <c r="C250" s="39">
        <v>2026</v>
      </c>
      <c r="D250" s="39" t="s">
        <v>4886</v>
      </c>
      <c r="E250" s="39">
        <v>6</v>
      </c>
      <c r="F250" s="40" t="str">
        <f t="shared" si="0"/>
        <v>VED-02-2026-GR-6</v>
      </c>
      <c r="G250" s="39" t="s">
        <v>7043</v>
      </c>
      <c r="H250" s="39" t="s">
        <v>4889</v>
      </c>
      <c r="I250" s="39"/>
      <c r="J250" s="39" t="s">
        <v>198</v>
      </c>
      <c r="K250" s="44"/>
      <c r="L250" s="44"/>
      <c r="M250" s="49"/>
      <c r="N250" s="39" t="s">
        <v>434</v>
      </c>
      <c r="O250" s="39" t="s">
        <v>3058</v>
      </c>
      <c r="P250" s="39" t="s">
        <v>3059</v>
      </c>
      <c r="Q250" s="39" t="e">
        <f t="shared" ca="1" si="5"/>
        <v>#NAME?</v>
      </c>
      <c r="R250" s="39" t="s">
        <v>112</v>
      </c>
      <c r="S250" s="50">
        <v>9885492694</v>
      </c>
      <c r="T250" s="40" t="s">
        <v>111</v>
      </c>
      <c r="U250" s="39">
        <v>1961</v>
      </c>
      <c r="V250" s="44">
        <v>1</v>
      </c>
      <c r="W250" s="45">
        <v>-1</v>
      </c>
      <c r="X250" s="44">
        <v>1</v>
      </c>
      <c r="Y250" s="44">
        <v>1</v>
      </c>
      <c r="Z250" s="44">
        <v>1</v>
      </c>
      <c r="AA250" s="44">
        <v>1</v>
      </c>
      <c r="AB250" s="44">
        <v>1</v>
      </c>
      <c r="AC250" s="45">
        <v>-1</v>
      </c>
      <c r="AD250" s="45">
        <v>-1</v>
      </c>
      <c r="AE250" s="45">
        <v>-1</v>
      </c>
      <c r="AF250" s="45">
        <v>-1</v>
      </c>
      <c r="AG250" s="45">
        <v>-1</v>
      </c>
      <c r="AH250" s="45">
        <v>-1</v>
      </c>
      <c r="AI250" s="45">
        <v>-1</v>
      </c>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c r="BZ250" s="39"/>
      <c r="CA250" s="39"/>
      <c r="CB250" s="39"/>
      <c r="CC250" s="39"/>
      <c r="CD250" s="39"/>
      <c r="CE250" s="39"/>
      <c r="CF250" s="39"/>
      <c r="CG250" s="39"/>
      <c r="CH250" s="39"/>
      <c r="CI250" s="39"/>
      <c r="CJ250" s="39"/>
      <c r="CK250" s="39"/>
      <c r="CL250" s="39"/>
      <c r="CM250" s="39"/>
      <c r="CN250" s="39"/>
      <c r="CO250" s="39"/>
      <c r="CP250" s="39"/>
      <c r="CQ250" s="39"/>
      <c r="CR250" s="39"/>
      <c r="CS250" s="39"/>
      <c r="CT250" s="39"/>
      <c r="CU250" s="39"/>
      <c r="CV250" s="39"/>
      <c r="CW250" s="39"/>
      <c r="CX250" s="39"/>
      <c r="CY250" s="39"/>
      <c r="CZ250" s="48"/>
      <c r="DA250" s="48"/>
      <c r="DB250" s="48"/>
      <c r="DC250" s="48"/>
      <c r="DD250" s="48"/>
      <c r="DE250" s="48"/>
      <c r="DF250" s="48"/>
      <c r="DG250" s="48"/>
      <c r="DH250" s="48"/>
      <c r="DI250" s="48"/>
      <c r="DJ250" s="48"/>
      <c r="DK250" s="48"/>
      <c r="DL250" s="48"/>
      <c r="DM250" s="48"/>
      <c r="DN250" s="48"/>
      <c r="DO250" s="48"/>
      <c r="DP250" s="48"/>
      <c r="DQ250" s="48"/>
      <c r="DR250" s="48"/>
      <c r="DS250" s="48"/>
      <c r="DT250" s="48"/>
      <c r="DU250" s="48"/>
      <c r="DV250" s="48"/>
      <c r="DW250" s="48"/>
      <c r="DX250" s="48"/>
      <c r="DY250" s="48"/>
      <c r="DZ250" s="48"/>
      <c r="EA250" s="48"/>
      <c r="EB250" s="48"/>
      <c r="EC250" s="48"/>
      <c r="ED250" s="48"/>
    </row>
    <row r="251" spans="1:134" ht="11.25" customHeight="1" x14ac:dyDescent="0.3">
      <c r="A251" s="28" t="e">
        <f t="array" aca="1" ref="A251" ca="1">_xludf.XLOOKUP(S251,Master_Registrations!P:P,Master_Registrations!A:A,"")</f>
        <v>#NAME?</v>
      </c>
      <c r="B251" s="39" t="s">
        <v>7050</v>
      </c>
      <c r="C251" s="39">
        <v>2026</v>
      </c>
      <c r="D251" s="39" t="s">
        <v>4886</v>
      </c>
      <c r="E251" s="39">
        <v>6</v>
      </c>
      <c r="F251" s="40" t="str">
        <f t="shared" si="0"/>
        <v>VED-02-2026-GR-6</v>
      </c>
      <c r="G251" s="39" t="s">
        <v>7043</v>
      </c>
      <c r="H251" s="39" t="s">
        <v>4889</v>
      </c>
      <c r="I251" s="39"/>
      <c r="J251" s="39" t="s">
        <v>198</v>
      </c>
      <c r="K251" s="52"/>
      <c r="L251" s="52"/>
      <c r="M251" s="52"/>
      <c r="N251" s="39" t="s">
        <v>525</v>
      </c>
      <c r="O251" s="39" t="s">
        <v>3335</v>
      </c>
      <c r="P251" s="39" t="s">
        <v>3336</v>
      </c>
      <c r="Q251" s="39" t="e">
        <f t="shared" ca="1" si="5"/>
        <v>#NAME?</v>
      </c>
      <c r="R251" s="39" t="s">
        <v>112</v>
      </c>
      <c r="S251" s="50">
        <v>9948128444</v>
      </c>
      <c r="T251" s="40" t="s">
        <v>111</v>
      </c>
      <c r="U251" s="39">
        <v>1992</v>
      </c>
      <c r="V251" s="44">
        <v>2</v>
      </c>
      <c r="W251" s="44">
        <v>2</v>
      </c>
      <c r="X251" s="44">
        <v>2</v>
      </c>
      <c r="Y251" s="44">
        <v>2</v>
      </c>
      <c r="Z251" s="44">
        <v>2</v>
      </c>
      <c r="AA251" s="44">
        <v>2</v>
      </c>
      <c r="AB251" s="44">
        <v>2</v>
      </c>
      <c r="AC251" s="44">
        <v>2</v>
      </c>
      <c r="AD251" s="44">
        <v>2</v>
      </c>
      <c r="AE251" s="44">
        <v>2</v>
      </c>
      <c r="AF251" s="44">
        <v>2</v>
      </c>
      <c r="AG251" s="44">
        <v>2</v>
      </c>
      <c r="AH251" s="44">
        <v>2</v>
      </c>
      <c r="AI251" s="44">
        <v>3</v>
      </c>
      <c r="AJ251" s="44">
        <v>2</v>
      </c>
      <c r="AK251" s="44">
        <v>2</v>
      </c>
      <c r="AL251" s="44">
        <v>2</v>
      </c>
      <c r="AM251" s="44">
        <v>2</v>
      </c>
      <c r="AN251" s="44">
        <v>2</v>
      </c>
      <c r="AO251" s="44">
        <v>2</v>
      </c>
      <c r="AP251" s="44">
        <v>2</v>
      </c>
      <c r="AQ251" s="44">
        <v>2</v>
      </c>
      <c r="AR251" s="44">
        <v>2</v>
      </c>
      <c r="AS251" s="45">
        <v>-1</v>
      </c>
      <c r="AT251" s="44">
        <v>-1</v>
      </c>
      <c r="AU251" s="45">
        <v>-1</v>
      </c>
      <c r="AV251" s="45">
        <v>-1</v>
      </c>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c r="BZ251" s="39"/>
      <c r="CA251" s="39"/>
      <c r="CB251" s="39"/>
      <c r="CC251" s="39"/>
      <c r="CD251" s="39"/>
      <c r="CE251" s="39"/>
      <c r="CF251" s="39"/>
      <c r="CG251" s="39"/>
      <c r="CH251" s="39"/>
      <c r="CI251" s="39"/>
      <c r="CJ251" s="39"/>
      <c r="CK251" s="39"/>
      <c r="CL251" s="39"/>
      <c r="CM251" s="39"/>
      <c r="CN251" s="39"/>
      <c r="CO251" s="39"/>
      <c r="CP251" s="39"/>
      <c r="CQ251" s="39"/>
      <c r="CR251" s="39"/>
      <c r="CS251" s="39"/>
      <c r="CT251" s="39"/>
      <c r="CU251" s="39"/>
      <c r="CV251" s="39"/>
      <c r="CW251" s="39"/>
      <c r="CX251" s="39"/>
      <c r="CY251" s="39"/>
      <c r="CZ251" s="48"/>
      <c r="DA251" s="48"/>
      <c r="DB251" s="48"/>
      <c r="DC251" s="48"/>
      <c r="DD251" s="48"/>
      <c r="DE251" s="48"/>
      <c r="DF251" s="48"/>
      <c r="DG251" s="48"/>
      <c r="DH251" s="48"/>
      <c r="DI251" s="48"/>
      <c r="DJ251" s="48"/>
      <c r="DK251" s="48"/>
      <c r="DL251" s="48"/>
      <c r="DM251" s="48"/>
      <c r="DN251" s="48"/>
      <c r="DO251" s="48"/>
      <c r="DP251" s="48"/>
      <c r="DQ251" s="48"/>
      <c r="DR251" s="48"/>
      <c r="DS251" s="48"/>
      <c r="DT251" s="48"/>
      <c r="DU251" s="48"/>
      <c r="DV251" s="48"/>
      <c r="DW251" s="48"/>
      <c r="DX251" s="48"/>
      <c r="DY251" s="48"/>
      <c r="DZ251" s="48"/>
      <c r="EA251" s="48"/>
      <c r="EB251" s="48"/>
      <c r="EC251" s="48"/>
      <c r="ED251" s="48"/>
    </row>
    <row r="252" spans="1:134" ht="11.25" customHeight="1" x14ac:dyDescent="0.3">
      <c r="A252" s="28" t="e">
        <f t="array" aca="1" ref="A252" ca="1">_xludf.XLOOKUP(S252,Master_Registrations!P:P,Master_Registrations!A:A,"")</f>
        <v>#NAME?</v>
      </c>
      <c r="B252" s="39" t="s">
        <v>7050</v>
      </c>
      <c r="C252" s="39">
        <v>2026</v>
      </c>
      <c r="D252" s="39" t="s">
        <v>4886</v>
      </c>
      <c r="E252" s="39">
        <v>6</v>
      </c>
      <c r="F252" s="40" t="str">
        <f t="shared" si="0"/>
        <v>VED-02-2026-GR-6</v>
      </c>
      <c r="G252" s="39" t="s">
        <v>7043</v>
      </c>
      <c r="H252" s="39" t="s">
        <v>4889</v>
      </c>
      <c r="I252" s="39"/>
      <c r="J252" s="39" t="s">
        <v>198</v>
      </c>
      <c r="K252" s="44"/>
      <c r="L252" s="44"/>
      <c r="M252" s="49"/>
      <c r="N252" s="39" t="s">
        <v>621</v>
      </c>
      <c r="O252" s="39" t="s">
        <v>2221</v>
      </c>
      <c r="P252" s="39" t="s">
        <v>3525</v>
      </c>
      <c r="Q252" s="39" t="e">
        <f t="shared" ca="1" si="5"/>
        <v>#NAME?</v>
      </c>
      <c r="R252" s="39" t="s">
        <v>112</v>
      </c>
      <c r="S252" s="50">
        <v>9886728575</v>
      </c>
      <c r="T252" s="40" t="s">
        <v>111</v>
      </c>
      <c r="U252" s="39">
        <v>1976</v>
      </c>
      <c r="V252" s="44">
        <v>1</v>
      </c>
      <c r="W252" s="44">
        <v>-1</v>
      </c>
      <c r="X252" s="44">
        <v>1</v>
      </c>
      <c r="Y252" s="44">
        <v>-1</v>
      </c>
      <c r="Z252" s="44">
        <v>-1</v>
      </c>
      <c r="AA252" s="44">
        <v>1</v>
      </c>
      <c r="AB252" s="44">
        <v>1</v>
      </c>
      <c r="AC252" s="44">
        <v>-1</v>
      </c>
      <c r="AD252" s="44">
        <v>-1</v>
      </c>
      <c r="AE252" s="44">
        <v>-1</v>
      </c>
      <c r="AF252" s="44">
        <v>-1</v>
      </c>
      <c r="AG252" s="44">
        <v>-1</v>
      </c>
      <c r="AH252" s="44">
        <v>-1</v>
      </c>
      <c r="AI252" s="45">
        <v>-1</v>
      </c>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c r="BZ252" s="39"/>
      <c r="CA252" s="39"/>
      <c r="CB252" s="39"/>
      <c r="CC252" s="39"/>
      <c r="CD252" s="39"/>
      <c r="CE252" s="39"/>
      <c r="CF252" s="39"/>
      <c r="CG252" s="39"/>
      <c r="CH252" s="39"/>
      <c r="CI252" s="39"/>
      <c r="CJ252" s="39"/>
      <c r="CK252" s="39"/>
      <c r="CL252" s="39"/>
      <c r="CM252" s="39"/>
      <c r="CN252" s="39"/>
      <c r="CO252" s="39"/>
      <c r="CP252" s="39"/>
      <c r="CQ252" s="39"/>
      <c r="CR252" s="39"/>
      <c r="CS252" s="39"/>
      <c r="CT252" s="39"/>
      <c r="CU252" s="39"/>
      <c r="CV252" s="39"/>
      <c r="CW252" s="39"/>
      <c r="CX252" s="39"/>
      <c r="CY252" s="39"/>
      <c r="CZ252" s="48"/>
      <c r="DA252" s="48"/>
      <c r="DB252" s="48"/>
      <c r="DC252" s="48"/>
      <c r="DD252" s="48"/>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row>
    <row r="253" spans="1:134" ht="11.25" customHeight="1" x14ac:dyDescent="0.3">
      <c r="A253" s="28" t="e">
        <f t="array" aca="1" ref="A253" ca="1">_xludf.XLOOKUP(S253,Master_Registrations!P:P,Master_Registrations!A:A,"")</f>
        <v>#NAME?</v>
      </c>
      <c r="B253" s="39" t="s">
        <v>7050</v>
      </c>
      <c r="C253" s="39">
        <v>2026</v>
      </c>
      <c r="D253" s="39" t="s">
        <v>4886</v>
      </c>
      <c r="E253" s="39">
        <v>6</v>
      </c>
      <c r="F253" s="40" t="str">
        <f t="shared" si="0"/>
        <v>VED-02-2026-GR-6</v>
      </c>
      <c r="G253" s="39" t="s">
        <v>7043</v>
      </c>
      <c r="H253" s="39" t="s">
        <v>4889</v>
      </c>
      <c r="I253" s="39"/>
      <c r="J253" s="39" t="s">
        <v>198</v>
      </c>
      <c r="K253" s="44"/>
      <c r="L253" s="44"/>
      <c r="M253" s="49"/>
      <c r="N253" s="39" t="s">
        <v>714</v>
      </c>
      <c r="O253" s="39" t="s">
        <v>3552</v>
      </c>
      <c r="P253" s="39" t="s">
        <v>3553</v>
      </c>
      <c r="Q253" s="39" t="e">
        <f t="shared" ca="1" si="5"/>
        <v>#NAME?</v>
      </c>
      <c r="R253" s="39">
        <v>61</v>
      </c>
      <c r="S253" s="50">
        <v>426454285</v>
      </c>
      <c r="T253" s="40" t="s">
        <v>260</v>
      </c>
      <c r="U253" s="39">
        <v>1965</v>
      </c>
      <c r="V253" s="44">
        <v>1</v>
      </c>
      <c r="W253" s="45">
        <v>-1</v>
      </c>
      <c r="X253" s="44">
        <v>1</v>
      </c>
      <c r="Y253" s="44">
        <v>1</v>
      </c>
      <c r="Z253" s="44">
        <v>1</v>
      </c>
      <c r="AA253" s="45">
        <v>-1</v>
      </c>
      <c r="AB253" s="45">
        <v>-1</v>
      </c>
      <c r="AC253" s="45">
        <v>-1</v>
      </c>
      <c r="AD253" s="45">
        <v>-1</v>
      </c>
      <c r="AE253" s="45">
        <v>-1</v>
      </c>
      <c r="AF253" s="45">
        <v>-1</v>
      </c>
      <c r="AG253" s="45">
        <v>-1</v>
      </c>
      <c r="AH253" s="45">
        <v>-1</v>
      </c>
      <c r="AI253" s="45">
        <v>-1</v>
      </c>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c r="DX253" s="48"/>
      <c r="DY253" s="48"/>
      <c r="DZ253" s="48"/>
      <c r="EA253" s="48"/>
      <c r="EB253" s="48"/>
      <c r="EC253" s="48"/>
      <c r="ED253" s="48"/>
    </row>
    <row r="254" spans="1:134" ht="11.25" customHeight="1" x14ac:dyDescent="0.3">
      <c r="A254" s="28" t="e">
        <f t="array" aca="1" ref="A254" ca="1">_xludf.XLOOKUP(S254,Master_Registrations!P:P,Master_Registrations!A:A,"")</f>
        <v>#NAME?</v>
      </c>
      <c r="B254" s="39" t="s">
        <v>7050</v>
      </c>
      <c r="C254" s="39">
        <v>2026</v>
      </c>
      <c r="D254" s="39" t="s">
        <v>4886</v>
      </c>
      <c r="E254" s="39">
        <v>6</v>
      </c>
      <c r="F254" s="40" t="str">
        <f t="shared" si="0"/>
        <v>VED-02-2026-GR-6</v>
      </c>
      <c r="G254" s="39" t="s">
        <v>7043</v>
      </c>
      <c r="H254" s="39" t="s">
        <v>4889</v>
      </c>
      <c r="I254" s="39"/>
      <c r="J254" s="39" t="s">
        <v>198</v>
      </c>
      <c r="K254" s="44"/>
      <c r="L254" s="68"/>
      <c r="M254" s="44"/>
      <c r="N254" s="39" t="s">
        <v>786</v>
      </c>
      <c r="O254" s="39" t="s">
        <v>3366</v>
      </c>
      <c r="P254" s="39" t="s">
        <v>3367</v>
      </c>
      <c r="Q254" s="39" t="e">
        <f t="shared" ca="1" si="5"/>
        <v>#NAME?</v>
      </c>
      <c r="R254" s="39" t="s">
        <v>112</v>
      </c>
      <c r="S254" s="50">
        <v>9705049055</v>
      </c>
      <c r="T254" s="40" t="s">
        <v>111</v>
      </c>
      <c r="U254" s="39">
        <v>1997</v>
      </c>
      <c r="V254" s="44">
        <v>1</v>
      </c>
      <c r="W254" s="44">
        <v>-1</v>
      </c>
      <c r="X254" s="44">
        <v>-1</v>
      </c>
      <c r="Y254" s="44">
        <v>-1</v>
      </c>
      <c r="Z254" s="44">
        <v>-1</v>
      </c>
      <c r="AA254" s="44">
        <v>-1</v>
      </c>
      <c r="AB254" s="44">
        <v>-1</v>
      </c>
      <c r="AC254" s="44">
        <v>-1</v>
      </c>
      <c r="AD254" s="44">
        <v>-1</v>
      </c>
      <c r="AE254" s="44">
        <v>-1</v>
      </c>
      <c r="AF254" s="44">
        <v>-1</v>
      </c>
      <c r="AG254" s="44">
        <v>-1</v>
      </c>
      <c r="AH254" s="44">
        <v>-1</v>
      </c>
      <c r="AI254" s="45">
        <v>-1</v>
      </c>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c r="BZ254" s="39"/>
      <c r="CA254" s="39"/>
      <c r="CB254" s="39"/>
      <c r="CC254" s="39"/>
      <c r="CD254" s="39"/>
      <c r="CE254" s="39"/>
      <c r="CF254" s="39"/>
      <c r="CG254" s="39"/>
      <c r="CH254" s="39"/>
      <c r="CI254" s="39"/>
      <c r="CJ254" s="39"/>
      <c r="CK254" s="39"/>
      <c r="CL254" s="39"/>
      <c r="CM254" s="39"/>
      <c r="CN254" s="39"/>
      <c r="CO254" s="39"/>
      <c r="CP254" s="39"/>
      <c r="CQ254" s="39"/>
      <c r="CR254" s="39"/>
      <c r="CS254" s="39"/>
      <c r="CT254" s="39"/>
      <c r="CU254" s="39"/>
      <c r="CV254" s="39"/>
      <c r="CW254" s="39"/>
      <c r="CX254" s="39"/>
      <c r="CY254" s="39"/>
      <c r="CZ254" s="48"/>
      <c r="DA254" s="48"/>
      <c r="DB254" s="48"/>
      <c r="DC254" s="48"/>
      <c r="DD254" s="48"/>
      <c r="DE254" s="48"/>
      <c r="DF254" s="48"/>
      <c r="DG254" s="48"/>
      <c r="DH254" s="48"/>
      <c r="DI254" s="48"/>
      <c r="DJ254" s="48"/>
      <c r="DK254" s="48"/>
      <c r="DL254" s="48"/>
      <c r="DM254" s="48"/>
      <c r="DN254" s="48"/>
      <c r="DO254" s="48"/>
      <c r="DP254" s="48"/>
      <c r="DQ254" s="48"/>
      <c r="DR254" s="48"/>
      <c r="DS254" s="48"/>
      <c r="DT254" s="48"/>
      <c r="DU254" s="48"/>
      <c r="DV254" s="48"/>
      <c r="DW254" s="48"/>
      <c r="DX254" s="48"/>
      <c r="DY254" s="48"/>
      <c r="DZ254" s="48"/>
      <c r="EA254" s="48"/>
      <c r="EB254" s="48"/>
      <c r="EC254" s="48"/>
      <c r="ED254" s="48"/>
    </row>
    <row r="255" spans="1:134" ht="11.25" customHeight="1" x14ac:dyDescent="0.3">
      <c r="A255" s="28" t="e">
        <f t="array" aca="1" ref="A255" ca="1">_xludf.XLOOKUP(S255,Master_Registrations!P:P,Master_Registrations!A:A,"")</f>
        <v>#NAME?</v>
      </c>
      <c r="B255" s="39" t="s">
        <v>7050</v>
      </c>
      <c r="C255" s="39">
        <v>2026</v>
      </c>
      <c r="D255" s="39" t="s">
        <v>4886</v>
      </c>
      <c r="E255" s="39">
        <v>6</v>
      </c>
      <c r="F255" s="40" t="str">
        <f t="shared" si="0"/>
        <v>VED-02-2026-GR-6</v>
      </c>
      <c r="G255" s="39" t="s">
        <v>7043</v>
      </c>
      <c r="H255" s="39" t="s">
        <v>4889</v>
      </c>
      <c r="I255" s="39"/>
      <c r="J255" s="39" t="s">
        <v>198</v>
      </c>
      <c r="K255" s="44"/>
      <c r="L255" s="68"/>
      <c r="M255" s="44"/>
      <c r="N255" s="39" t="s">
        <v>856</v>
      </c>
      <c r="O255" s="39" t="s">
        <v>3512</v>
      </c>
      <c r="P255" s="39" t="s">
        <v>1839</v>
      </c>
      <c r="Q255" s="39" t="e">
        <f t="shared" ca="1" si="5"/>
        <v>#NAME?</v>
      </c>
      <c r="R255" s="39" t="s">
        <v>316</v>
      </c>
      <c r="S255" s="50">
        <v>4798769136</v>
      </c>
      <c r="T255" s="40" t="s">
        <v>315</v>
      </c>
      <c r="U255" s="39">
        <v>1972</v>
      </c>
      <c r="V255" s="44">
        <v>1</v>
      </c>
      <c r="W255" s="44">
        <v>-1</v>
      </c>
      <c r="X255" s="44">
        <v>-1</v>
      </c>
      <c r="Y255" s="44">
        <v>-1</v>
      </c>
      <c r="Z255" s="44">
        <v>-1</v>
      </c>
      <c r="AA255" s="44">
        <v>-1</v>
      </c>
      <c r="AB255" s="44">
        <v>-1</v>
      </c>
      <c r="AC255" s="44">
        <v>-1</v>
      </c>
      <c r="AD255" s="44">
        <v>-1</v>
      </c>
      <c r="AE255" s="44">
        <v>-1</v>
      </c>
      <c r="AF255" s="44">
        <v>-1</v>
      </c>
      <c r="AG255" s="44">
        <v>-1</v>
      </c>
      <c r="AH255" s="44">
        <v>-1</v>
      </c>
      <c r="AI255" s="45">
        <v>-1</v>
      </c>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c r="BZ255" s="39"/>
      <c r="CA255" s="39"/>
      <c r="CB255" s="39"/>
      <c r="CC255" s="39"/>
      <c r="CD255" s="39"/>
      <c r="CE255" s="39"/>
      <c r="CF255" s="39"/>
      <c r="CG255" s="39"/>
      <c r="CH255" s="39"/>
      <c r="CI255" s="39"/>
      <c r="CJ255" s="39"/>
      <c r="CK255" s="39"/>
      <c r="CL255" s="39"/>
      <c r="CM255" s="39"/>
      <c r="CN255" s="39"/>
      <c r="CO255" s="39"/>
      <c r="CP255" s="39"/>
      <c r="CQ255" s="39"/>
      <c r="CR255" s="39"/>
      <c r="CS255" s="39"/>
      <c r="CT255" s="39"/>
      <c r="CU255" s="39"/>
      <c r="CV255" s="39"/>
      <c r="CW255" s="39"/>
      <c r="CX255" s="39"/>
      <c r="CY255" s="39"/>
      <c r="CZ255" s="48"/>
      <c r="DA255" s="48"/>
      <c r="DB255" s="48"/>
      <c r="DC255" s="48"/>
      <c r="DD255" s="48"/>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48"/>
    </row>
    <row r="256" spans="1:134" ht="11.25" customHeight="1" x14ac:dyDescent="0.3">
      <c r="A256" s="28" t="e">
        <f t="array" aca="1" ref="A256" ca="1">_xludf.XLOOKUP(S256,Master_Registrations!P:P,Master_Registrations!A:A,"")</f>
        <v>#NAME?</v>
      </c>
      <c r="B256" s="39" t="s">
        <v>7050</v>
      </c>
      <c r="C256" s="39">
        <v>2026</v>
      </c>
      <c r="D256" s="39" t="s">
        <v>4886</v>
      </c>
      <c r="E256" s="39">
        <v>6</v>
      </c>
      <c r="F256" s="40" t="str">
        <f t="shared" ref="F256:F510" si="6">CONCATENATE(B256,"-",C256,"-",D256,"-",E256)</f>
        <v>VED-02-2026-GR-6</v>
      </c>
      <c r="G256" s="39" t="s">
        <v>7043</v>
      </c>
      <c r="H256" s="39" t="s">
        <v>4889</v>
      </c>
      <c r="I256" s="39"/>
      <c r="J256" s="39" t="s">
        <v>198</v>
      </c>
      <c r="K256" s="44"/>
      <c r="L256" s="44"/>
      <c r="M256" s="49"/>
      <c r="N256" s="39" t="s">
        <v>915</v>
      </c>
      <c r="O256" s="39" t="s">
        <v>281</v>
      </c>
      <c r="P256" s="39" t="s">
        <v>3607</v>
      </c>
      <c r="Q256" s="39" t="e">
        <f t="shared" ca="1" si="5"/>
        <v>#NAME?</v>
      </c>
      <c r="R256" s="39" t="s">
        <v>112</v>
      </c>
      <c r="S256" s="50">
        <v>8600100865</v>
      </c>
      <c r="T256" s="40" t="s">
        <v>111</v>
      </c>
      <c r="U256" s="39">
        <v>1988</v>
      </c>
      <c r="V256" s="44">
        <v>1</v>
      </c>
      <c r="W256" s="45">
        <v>-1</v>
      </c>
      <c r="X256" s="44">
        <v>1</v>
      </c>
      <c r="Y256" s="44">
        <v>1</v>
      </c>
      <c r="Z256" s="44">
        <v>1</v>
      </c>
      <c r="AA256" s="44">
        <v>1</v>
      </c>
      <c r="AB256" s="44">
        <v>1</v>
      </c>
      <c r="AC256" s="44">
        <v>1</v>
      </c>
      <c r="AD256" s="44">
        <v>1</v>
      </c>
      <c r="AE256" s="45">
        <v>-1</v>
      </c>
      <c r="AF256" s="45">
        <v>-1</v>
      </c>
      <c r="AG256" s="45">
        <v>-1</v>
      </c>
      <c r="AH256" s="45">
        <v>-1</v>
      </c>
      <c r="AI256" s="45">
        <v>-1</v>
      </c>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c r="BZ256" s="39"/>
      <c r="CA256" s="39"/>
      <c r="CB256" s="39"/>
      <c r="CC256" s="39"/>
      <c r="CD256" s="39"/>
      <c r="CE256" s="39"/>
      <c r="CF256" s="39"/>
      <c r="CG256" s="39"/>
      <c r="CH256" s="39"/>
      <c r="CI256" s="39"/>
      <c r="CJ256" s="39"/>
      <c r="CK256" s="39"/>
      <c r="CL256" s="39"/>
      <c r="CM256" s="39"/>
      <c r="CN256" s="39"/>
      <c r="CO256" s="39"/>
      <c r="CP256" s="39"/>
      <c r="CQ256" s="39"/>
      <c r="CR256" s="39"/>
      <c r="CS256" s="39"/>
      <c r="CT256" s="39"/>
      <c r="CU256" s="39"/>
      <c r="CV256" s="39"/>
      <c r="CW256" s="39"/>
      <c r="CX256" s="39"/>
      <c r="CY256" s="39"/>
      <c r="CZ256" s="48"/>
      <c r="DA256" s="48"/>
      <c r="DB256" s="48"/>
      <c r="DC256" s="48"/>
      <c r="DD256" s="48"/>
      <c r="DE256" s="48"/>
      <c r="DF256" s="48"/>
      <c r="DG256" s="48"/>
      <c r="DH256" s="48"/>
      <c r="DI256" s="48"/>
      <c r="DJ256" s="48"/>
      <c r="DK256" s="48"/>
      <c r="DL256" s="48"/>
      <c r="DM256" s="48"/>
      <c r="DN256" s="48"/>
      <c r="DO256" s="48"/>
      <c r="DP256" s="48"/>
      <c r="DQ256" s="48"/>
      <c r="DR256" s="48"/>
      <c r="DS256" s="48"/>
      <c r="DT256" s="48"/>
      <c r="DU256" s="48"/>
      <c r="DV256" s="48"/>
      <c r="DW256" s="48"/>
      <c r="DX256" s="48"/>
      <c r="DY256" s="48"/>
      <c r="DZ256" s="48"/>
      <c r="EA256" s="48"/>
      <c r="EB256" s="48"/>
      <c r="EC256" s="48"/>
      <c r="ED256" s="48"/>
    </row>
    <row r="257" spans="1:134" ht="11.25" customHeight="1" x14ac:dyDescent="0.3">
      <c r="A257" s="28" t="e">
        <f t="array" aca="1" ref="A257" ca="1">_xludf.XLOOKUP(S257,Master_Registrations!P:P,Master_Registrations!A:A,"")</f>
        <v>#NAME?</v>
      </c>
      <c r="B257" s="39" t="s">
        <v>7050</v>
      </c>
      <c r="C257" s="39">
        <v>2026</v>
      </c>
      <c r="D257" s="39" t="s">
        <v>4886</v>
      </c>
      <c r="E257" s="39">
        <v>6</v>
      </c>
      <c r="F257" s="40" t="str">
        <f t="shared" si="6"/>
        <v>VED-02-2026-GR-6</v>
      </c>
      <c r="G257" s="39" t="s">
        <v>7043</v>
      </c>
      <c r="H257" s="39" t="s">
        <v>4889</v>
      </c>
      <c r="I257" s="39"/>
      <c r="J257" s="39" t="s">
        <v>198</v>
      </c>
      <c r="K257" s="44"/>
      <c r="L257" s="44"/>
      <c r="M257" s="44"/>
      <c r="N257" s="39" t="s">
        <v>973</v>
      </c>
      <c r="O257" s="39" t="s">
        <v>3265</v>
      </c>
      <c r="P257" s="39" t="s">
        <v>1296</v>
      </c>
      <c r="Q257" s="39" t="e">
        <f t="shared" ca="1" si="5"/>
        <v>#NAME?</v>
      </c>
      <c r="R257" s="39" t="s">
        <v>112</v>
      </c>
      <c r="S257" s="50">
        <v>9989924549</v>
      </c>
      <c r="T257" s="40" t="s">
        <v>111</v>
      </c>
      <c r="U257" s="39">
        <v>1980</v>
      </c>
      <c r="V257" s="44">
        <v>-1</v>
      </c>
      <c r="W257" s="44">
        <v>-1</v>
      </c>
      <c r="X257" s="44">
        <v>-1</v>
      </c>
      <c r="Y257" s="44">
        <v>-1</v>
      </c>
      <c r="Z257" s="44">
        <v>-1</v>
      </c>
      <c r="AA257" s="44">
        <v>-1</v>
      </c>
      <c r="AB257" s="44">
        <v>-1</v>
      </c>
      <c r="AC257" s="44">
        <v>-1</v>
      </c>
      <c r="AD257" s="44">
        <v>-1</v>
      </c>
      <c r="AE257" s="44">
        <v>-1</v>
      </c>
      <c r="AF257" s="44">
        <v>-1</v>
      </c>
      <c r="AG257" s="44">
        <v>-1</v>
      </c>
      <c r="AH257" s="44">
        <v>-1</v>
      </c>
      <c r="AI257" s="45">
        <v>-1</v>
      </c>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c r="BZ257" s="39"/>
      <c r="CA257" s="39"/>
      <c r="CB257" s="39"/>
      <c r="CC257" s="39"/>
      <c r="CD257" s="39"/>
      <c r="CE257" s="39"/>
      <c r="CF257" s="39"/>
      <c r="CG257" s="39"/>
      <c r="CH257" s="39"/>
      <c r="CI257" s="39"/>
      <c r="CJ257" s="39"/>
      <c r="CK257" s="39"/>
      <c r="CL257" s="39"/>
      <c r="CM257" s="39"/>
      <c r="CN257" s="39"/>
      <c r="CO257" s="39"/>
      <c r="CP257" s="39"/>
      <c r="CQ257" s="39"/>
      <c r="CR257" s="39"/>
      <c r="CS257" s="39"/>
      <c r="CT257" s="39"/>
      <c r="CU257" s="39"/>
      <c r="CV257" s="39"/>
      <c r="CW257" s="39"/>
      <c r="CX257" s="39"/>
      <c r="CY257" s="39"/>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c r="DX257" s="48"/>
      <c r="DY257" s="48"/>
      <c r="DZ257" s="48"/>
      <c r="EA257" s="48"/>
      <c r="EB257" s="48"/>
      <c r="EC257" s="48"/>
      <c r="ED257" s="48"/>
    </row>
    <row r="258" spans="1:134" ht="11.25" customHeight="1" x14ac:dyDescent="0.3">
      <c r="A258" s="28" t="e">
        <f t="array" aca="1" ref="A258" ca="1">_xludf.XLOOKUP(S258,Master_Registrations!P:P,Master_Registrations!A:A,"")</f>
        <v>#NAME?</v>
      </c>
      <c r="B258" s="39" t="s">
        <v>7050</v>
      </c>
      <c r="C258" s="39">
        <v>2026</v>
      </c>
      <c r="D258" s="39" t="s">
        <v>4886</v>
      </c>
      <c r="E258" s="39">
        <v>6</v>
      </c>
      <c r="F258" s="40" t="str">
        <f t="shared" si="6"/>
        <v>VED-02-2026-GR-6</v>
      </c>
      <c r="G258" s="39" t="s">
        <v>7043</v>
      </c>
      <c r="H258" s="39" t="s">
        <v>4889</v>
      </c>
      <c r="I258" s="39"/>
      <c r="J258" s="39" t="s">
        <v>198</v>
      </c>
      <c r="K258" s="44"/>
      <c r="L258" s="68"/>
      <c r="M258" s="49"/>
      <c r="N258" s="39" t="s">
        <v>1031</v>
      </c>
      <c r="O258" s="39" t="s">
        <v>3020</v>
      </c>
      <c r="P258" s="39" t="s">
        <v>3021</v>
      </c>
      <c r="Q258" s="39" t="e">
        <f t="shared" ca="1" si="5"/>
        <v>#NAME?</v>
      </c>
      <c r="R258" s="39" t="s">
        <v>112</v>
      </c>
      <c r="S258" s="50">
        <v>9986128717</v>
      </c>
      <c r="T258" s="40" t="s">
        <v>111</v>
      </c>
      <c r="U258" s="39">
        <v>1987</v>
      </c>
      <c r="V258" s="44">
        <v>1</v>
      </c>
      <c r="W258" s="45">
        <v>-1</v>
      </c>
      <c r="X258" s="44">
        <v>1</v>
      </c>
      <c r="Y258" s="44">
        <v>1</v>
      </c>
      <c r="Z258" s="44">
        <v>1</v>
      </c>
      <c r="AA258" s="45">
        <v>-1</v>
      </c>
      <c r="AB258" s="45">
        <v>-1</v>
      </c>
      <c r="AC258" s="45">
        <v>-1</v>
      </c>
      <c r="AD258" s="45">
        <v>-1</v>
      </c>
      <c r="AE258" s="45">
        <v>-1</v>
      </c>
      <c r="AF258" s="45">
        <v>-1</v>
      </c>
      <c r="AG258" s="45">
        <v>-1</v>
      </c>
      <c r="AH258" s="45">
        <v>-1</v>
      </c>
      <c r="AI258" s="45">
        <v>-1</v>
      </c>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c r="BZ258" s="39"/>
      <c r="CA258" s="39"/>
      <c r="CB258" s="39"/>
      <c r="CC258" s="39"/>
      <c r="CD258" s="39"/>
      <c r="CE258" s="39"/>
      <c r="CF258" s="39"/>
      <c r="CG258" s="39"/>
      <c r="CH258" s="39"/>
      <c r="CI258" s="39"/>
      <c r="CJ258" s="39"/>
      <c r="CK258" s="39"/>
      <c r="CL258" s="39"/>
      <c r="CM258" s="39"/>
      <c r="CN258" s="39"/>
      <c r="CO258" s="39"/>
      <c r="CP258" s="39"/>
      <c r="CQ258" s="39"/>
      <c r="CR258" s="39"/>
      <c r="CS258" s="39"/>
      <c r="CT258" s="39"/>
      <c r="CU258" s="39"/>
      <c r="CV258" s="39"/>
      <c r="CW258" s="39"/>
      <c r="CX258" s="39"/>
      <c r="CY258" s="39"/>
      <c r="CZ258" s="48"/>
      <c r="DA258" s="48"/>
      <c r="DB258" s="48"/>
      <c r="DC258" s="48"/>
      <c r="DD258" s="48"/>
      <c r="DE258" s="48"/>
      <c r="DF258" s="48"/>
      <c r="DG258" s="48"/>
      <c r="DH258" s="48"/>
      <c r="DI258" s="48"/>
      <c r="DJ258" s="48"/>
      <c r="DK258" s="48"/>
      <c r="DL258" s="48"/>
      <c r="DM258" s="48"/>
      <c r="DN258" s="48"/>
      <c r="DO258" s="48"/>
      <c r="DP258" s="48"/>
      <c r="DQ258" s="48"/>
      <c r="DR258" s="48"/>
      <c r="DS258" s="48"/>
      <c r="DT258" s="48"/>
      <c r="DU258" s="48"/>
      <c r="DV258" s="48"/>
      <c r="DW258" s="48"/>
      <c r="DX258" s="48"/>
      <c r="DY258" s="48"/>
      <c r="DZ258" s="48"/>
      <c r="EA258" s="48"/>
      <c r="EB258" s="48"/>
      <c r="EC258" s="48"/>
      <c r="ED258" s="48"/>
    </row>
    <row r="259" spans="1:134" ht="11.25" customHeight="1" x14ac:dyDescent="0.3">
      <c r="A259" s="28" t="e">
        <f t="array" aca="1" ref="A259" ca="1">_xludf.XLOOKUP(S259,Master_Registrations!P:P,Master_Registrations!A:A,"")</f>
        <v>#NAME?</v>
      </c>
      <c r="B259" s="28" t="s">
        <v>7050</v>
      </c>
      <c r="C259" s="28">
        <v>2026</v>
      </c>
      <c r="D259" s="28" t="s">
        <v>4886</v>
      </c>
      <c r="E259" s="28">
        <v>7</v>
      </c>
      <c r="F259" s="29" t="str">
        <f t="shared" si="6"/>
        <v>VED-02-2026-GR-7</v>
      </c>
      <c r="G259" s="28" t="s">
        <v>7063</v>
      </c>
      <c r="H259" s="28" t="s">
        <v>7064</v>
      </c>
      <c r="I259" s="28"/>
      <c r="J259" s="28" t="s">
        <v>198</v>
      </c>
      <c r="K259" s="30"/>
      <c r="L259" s="30"/>
      <c r="M259" s="30"/>
      <c r="N259" s="28" t="s">
        <v>200</v>
      </c>
      <c r="O259" s="28" t="s">
        <v>3696</v>
      </c>
      <c r="P259" s="28" t="s">
        <v>2066</v>
      </c>
      <c r="Q259" s="28" t="e">
        <f t="shared" ca="1" si="5"/>
        <v>#NAME?</v>
      </c>
      <c r="R259" s="28" t="s">
        <v>112</v>
      </c>
      <c r="S259" s="55">
        <v>9490748783</v>
      </c>
      <c r="T259" s="29" t="s">
        <v>111</v>
      </c>
      <c r="U259" s="28">
        <v>1966</v>
      </c>
      <c r="V259" s="35">
        <v>-1</v>
      </c>
      <c r="W259" s="35">
        <v>-1</v>
      </c>
      <c r="X259" s="35">
        <v>-1</v>
      </c>
      <c r="Y259" s="35">
        <v>-1</v>
      </c>
      <c r="Z259" s="35">
        <v>-1</v>
      </c>
      <c r="AA259" s="35">
        <v>-1</v>
      </c>
      <c r="AB259" s="35">
        <v>-1</v>
      </c>
      <c r="AC259" s="35">
        <v>-1</v>
      </c>
      <c r="AD259" s="33">
        <v>-1</v>
      </c>
      <c r="AE259" s="33">
        <v>-1</v>
      </c>
      <c r="AF259" s="33">
        <v>-1</v>
      </c>
      <c r="AG259" s="33">
        <v>-1</v>
      </c>
      <c r="AH259" s="33">
        <v>-1</v>
      </c>
      <c r="AI259" s="33">
        <v>-1</v>
      </c>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c r="CR259" s="28"/>
      <c r="CS259" s="28"/>
      <c r="CT259" s="28"/>
      <c r="CU259" s="28"/>
      <c r="CV259" s="28"/>
      <c r="CW259" s="28"/>
      <c r="CX259" s="28"/>
      <c r="CY259" s="28"/>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34"/>
      <c r="DZ259" s="34"/>
      <c r="EA259" s="34"/>
      <c r="EB259" s="34"/>
      <c r="EC259" s="34"/>
      <c r="ED259" s="34"/>
    </row>
    <row r="260" spans="1:134" ht="11.25" customHeight="1" x14ac:dyDescent="0.3">
      <c r="A260" s="28" t="e">
        <f t="array" aca="1" ref="A260" ca="1">_xludf.XLOOKUP(S260,Master_Registrations!P:P,Master_Registrations!A:A,"")</f>
        <v>#NAME?</v>
      </c>
      <c r="B260" s="28" t="s">
        <v>7050</v>
      </c>
      <c r="C260" s="28">
        <v>2026</v>
      </c>
      <c r="D260" s="28" t="s">
        <v>4886</v>
      </c>
      <c r="E260" s="28">
        <v>7</v>
      </c>
      <c r="F260" s="29" t="str">
        <f t="shared" si="6"/>
        <v>VED-02-2026-GR-7</v>
      </c>
      <c r="G260" s="28" t="s">
        <v>7063</v>
      </c>
      <c r="H260" s="28" t="s">
        <v>7064</v>
      </c>
      <c r="I260" s="28"/>
      <c r="J260" s="28" t="s">
        <v>198</v>
      </c>
      <c r="K260" s="30"/>
      <c r="L260" s="30"/>
      <c r="M260" s="30"/>
      <c r="N260" s="28" t="s">
        <v>299</v>
      </c>
      <c r="O260" s="28" t="s">
        <v>2916</v>
      </c>
      <c r="P260" s="28" t="s">
        <v>2917</v>
      </c>
      <c r="Q260" s="28" t="e">
        <f t="shared" ca="1" si="5"/>
        <v>#NAME?</v>
      </c>
      <c r="R260" s="28" t="s">
        <v>112</v>
      </c>
      <c r="S260" s="55">
        <v>7675904456</v>
      </c>
      <c r="T260" s="29" t="s">
        <v>111</v>
      </c>
      <c r="U260" s="28">
        <v>1966</v>
      </c>
      <c r="V260" s="35">
        <v>-1</v>
      </c>
      <c r="W260" s="35">
        <v>-1</v>
      </c>
      <c r="X260" s="35">
        <v>-1</v>
      </c>
      <c r="Y260" s="35">
        <v>-1</v>
      </c>
      <c r="Z260" s="35">
        <v>-1</v>
      </c>
      <c r="AA260" s="35">
        <v>1</v>
      </c>
      <c r="AB260" s="35">
        <v>1</v>
      </c>
      <c r="AC260" s="35">
        <v>1</v>
      </c>
      <c r="AD260" s="33">
        <v>-1</v>
      </c>
      <c r="AE260" s="33">
        <v>-1</v>
      </c>
      <c r="AF260" s="33">
        <v>-1</v>
      </c>
      <c r="AG260" s="33">
        <v>-1</v>
      </c>
      <c r="AH260" s="33">
        <v>-1</v>
      </c>
      <c r="AI260" s="33">
        <v>-1</v>
      </c>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c r="CR260" s="28"/>
      <c r="CS260" s="28"/>
      <c r="CT260" s="28"/>
      <c r="CU260" s="28"/>
      <c r="CV260" s="28"/>
      <c r="CW260" s="28"/>
      <c r="CX260" s="28"/>
      <c r="CY260" s="28"/>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c r="DZ260" s="34"/>
      <c r="EA260" s="34"/>
      <c r="EB260" s="34"/>
      <c r="EC260" s="34"/>
      <c r="ED260" s="34"/>
    </row>
    <row r="261" spans="1:134" ht="11.25" customHeight="1" x14ac:dyDescent="0.3">
      <c r="A261" s="28" t="e">
        <f t="array" aca="1" ref="A261" ca="1">_xludf.XLOOKUP(S261,Master_Registrations!P:P,Master_Registrations!A:A,"")</f>
        <v>#NAME?</v>
      </c>
      <c r="B261" s="28" t="s">
        <v>7050</v>
      </c>
      <c r="C261" s="28">
        <v>2026</v>
      </c>
      <c r="D261" s="28" t="s">
        <v>4886</v>
      </c>
      <c r="E261" s="28">
        <v>7</v>
      </c>
      <c r="F261" s="29" t="str">
        <f t="shared" si="6"/>
        <v>VED-02-2026-GR-7</v>
      </c>
      <c r="G261" s="28" t="s">
        <v>7063</v>
      </c>
      <c r="H261" s="28" t="s">
        <v>7064</v>
      </c>
      <c r="I261" s="28"/>
      <c r="J261" s="28" t="s">
        <v>198</v>
      </c>
      <c r="K261" s="30"/>
      <c r="L261" s="30"/>
      <c r="M261" s="30"/>
      <c r="N261" s="28" t="s">
        <v>369</v>
      </c>
      <c r="O261" s="28" t="s">
        <v>3351</v>
      </c>
      <c r="P261" s="28" t="s">
        <v>1450</v>
      </c>
      <c r="Q261" s="28" t="e">
        <f t="shared" ca="1" si="5"/>
        <v>#NAME?</v>
      </c>
      <c r="R261" s="28" t="s">
        <v>112</v>
      </c>
      <c r="S261" s="55">
        <v>8897507683</v>
      </c>
      <c r="T261" s="29" t="s">
        <v>111</v>
      </c>
      <c r="U261" s="28">
        <v>1976</v>
      </c>
      <c r="V261" s="35">
        <v>2</v>
      </c>
      <c r="W261" s="35">
        <v>2</v>
      </c>
      <c r="X261" s="35">
        <v>2</v>
      </c>
      <c r="Y261" s="35">
        <v>2</v>
      </c>
      <c r="Z261" s="35">
        <v>2</v>
      </c>
      <c r="AA261" s="35">
        <v>2</v>
      </c>
      <c r="AB261" s="35">
        <v>2</v>
      </c>
      <c r="AC261" s="35">
        <v>2</v>
      </c>
      <c r="AD261" s="33">
        <v>-1</v>
      </c>
      <c r="AE261" s="33">
        <v>-1</v>
      </c>
      <c r="AF261" s="33">
        <v>-1</v>
      </c>
      <c r="AG261" s="33">
        <v>-1</v>
      </c>
      <c r="AH261" s="33">
        <v>-1</v>
      </c>
      <c r="AI261" s="33">
        <v>-1</v>
      </c>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c r="CR261" s="28"/>
      <c r="CS261" s="28"/>
      <c r="CT261" s="28"/>
      <c r="CU261" s="28"/>
      <c r="CV261" s="28"/>
      <c r="CW261" s="28"/>
      <c r="CX261" s="28"/>
      <c r="CY261" s="28"/>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34"/>
      <c r="DZ261" s="34"/>
      <c r="EA261" s="34"/>
      <c r="EB261" s="34"/>
      <c r="EC261" s="34"/>
      <c r="ED261" s="34"/>
    </row>
    <row r="262" spans="1:134" ht="11.25" customHeight="1" x14ac:dyDescent="0.3">
      <c r="A262" s="28" t="e">
        <f t="array" aca="1" ref="A262" ca="1">_xludf.XLOOKUP(S262,Master_Registrations!P:P,Master_Registrations!A:A,"")</f>
        <v>#NAME?</v>
      </c>
      <c r="B262" s="28" t="s">
        <v>7050</v>
      </c>
      <c r="C262" s="28">
        <v>2026</v>
      </c>
      <c r="D262" s="28" t="s">
        <v>4886</v>
      </c>
      <c r="E262" s="28">
        <v>7</v>
      </c>
      <c r="F262" s="29" t="str">
        <f t="shared" si="6"/>
        <v>VED-02-2026-GR-7</v>
      </c>
      <c r="G262" s="28" t="s">
        <v>7063</v>
      </c>
      <c r="H262" s="28" t="s">
        <v>7064</v>
      </c>
      <c r="I262" s="28"/>
      <c r="J262" s="28" t="s">
        <v>198</v>
      </c>
      <c r="K262" s="30"/>
      <c r="L262" s="30"/>
      <c r="M262" s="30"/>
      <c r="N262" s="28" t="s">
        <v>434</v>
      </c>
      <c r="O262" s="28" t="s">
        <v>653</v>
      </c>
      <c r="P262" s="28" t="s">
        <v>6668</v>
      </c>
      <c r="Q262" s="28" t="e">
        <f t="shared" ca="1" si="5"/>
        <v>#NAME?</v>
      </c>
      <c r="R262" s="28" t="s">
        <v>112</v>
      </c>
      <c r="S262" s="55">
        <v>9866800224</v>
      </c>
      <c r="T262" s="29" t="s">
        <v>111</v>
      </c>
      <c r="U262" s="28">
        <v>1982</v>
      </c>
      <c r="V262" s="35">
        <v>1</v>
      </c>
      <c r="W262" s="35">
        <v>1</v>
      </c>
      <c r="X262" s="35">
        <v>1</v>
      </c>
      <c r="Y262" s="35">
        <v>1</v>
      </c>
      <c r="Z262" s="35">
        <v>1</v>
      </c>
      <c r="AA262" s="35">
        <v>1</v>
      </c>
      <c r="AB262" s="35">
        <v>1</v>
      </c>
      <c r="AC262" s="35">
        <v>1</v>
      </c>
      <c r="AD262" s="33">
        <v>-1</v>
      </c>
      <c r="AE262" s="33">
        <v>-1</v>
      </c>
      <c r="AF262" s="33">
        <v>-1</v>
      </c>
      <c r="AG262" s="33">
        <v>-1</v>
      </c>
      <c r="AH262" s="33">
        <v>-1</v>
      </c>
      <c r="AI262" s="33">
        <v>-1</v>
      </c>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c r="CR262" s="28"/>
      <c r="CS262" s="28"/>
      <c r="CT262" s="28"/>
      <c r="CU262" s="28"/>
      <c r="CV262" s="28"/>
      <c r="CW262" s="28"/>
      <c r="CX262" s="28"/>
      <c r="CY262" s="28"/>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row>
    <row r="263" spans="1:134" ht="11.25" customHeight="1" x14ac:dyDescent="0.3">
      <c r="A263" s="28" t="e">
        <f t="array" aca="1" ref="A263" ca="1">_xludf.XLOOKUP(S263,Master_Registrations!P:P,Master_Registrations!A:A,"")</f>
        <v>#NAME?</v>
      </c>
      <c r="B263" s="28" t="s">
        <v>7050</v>
      </c>
      <c r="C263" s="28">
        <v>2026</v>
      </c>
      <c r="D263" s="28" t="s">
        <v>4886</v>
      </c>
      <c r="E263" s="28">
        <v>7</v>
      </c>
      <c r="F263" s="29" t="str">
        <f t="shared" si="6"/>
        <v>VED-02-2026-GR-7</v>
      </c>
      <c r="G263" s="28" t="s">
        <v>7063</v>
      </c>
      <c r="H263" s="28" t="s">
        <v>7064</v>
      </c>
      <c r="I263" s="28"/>
      <c r="J263" s="28" t="s">
        <v>198</v>
      </c>
      <c r="K263" s="30"/>
      <c r="L263" s="30"/>
      <c r="M263" s="30"/>
      <c r="N263" s="28" t="s">
        <v>525</v>
      </c>
      <c r="O263" s="28" t="s">
        <v>224</v>
      </c>
      <c r="P263" s="28" t="s">
        <v>225</v>
      </c>
      <c r="Q263" s="28" t="e">
        <f t="shared" ca="1" si="5"/>
        <v>#NAME?</v>
      </c>
      <c r="R263" s="28" t="s">
        <v>112</v>
      </c>
      <c r="S263" s="55">
        <v>7386749513</v>
      </c>
      <c r="T263" s="29" t="s">
        <v>111</v>
      </c>
      <c r="U263" s="28">
        <v>1994</v>
      </c>
      <c r="V263" s="35">
        <v>-1</v>
      </c>
      <c r="W263" s="35">
        <v>-1</v>
      </c>
      <c r="X263" s="35">
        <v>-1</v>
      </c>
      <c r="Y263" s="35">
        <v>-1</v>
      </c>
      <c r="Z263" s="35">
        <v>-1</v>
      </c>
      <c r="AA263" s="35">
        <v>-1</v>
      </c>
      <c r="AB263" s="35">
        <v>-1</v>
      </c>
      <c r="AC263" s="35">
        <v>-1</v>
      </c>
      <c r="AD263" s="33">
        <v>-1</v>
      </c>
      <c r="AE263" s="33">
        <v>-1</v>
      </c>
      <c r="AF263" s="33">
        <v>-1</v>
      </c>
      <c r="AG263" s="33">
        <v>-1</v>
      </c>
      <c r="AH263" s="33">
        <v>-1</v>
      </c>
      <c r="AI263" s="33">
        <v>-1</v>
      </c>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c r="CR263" s="28"/>
      <c r="CS263" s="28"/>
      <c r="CT263" s="28"/>
      <c r="CU263" s="28"/>
      <c r="CV263" s="28"/>
      <c r="CW263" s="28"/>
      <c r="CX263" s="28"/>
      <c r="CY263" s="28"/>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c r="DZ263" s="34"/>
      <c r="EA263" s="34"/>
      <c r="EB263" s="34"/>
      <c r="EC263" s="34"/>
      <c r="ED263" s="34"/>
    </row>
    <row r="264" spans="1:134" ht="11.25" customHeight="1" x14ac:dyDescent="0.3">
      <c r="A264" s="28" t="e">
        <f t="array" aca="1" ref="A264" ca="1">_xludf.XLOOKUP(S264,Master_Registrations!P:P,Master_Registrations!A:A,"")</f>
        <v>#NAME?</v>
      </c>
      <c r="B264" s="28" t="s">
        <v>7050</v>
      </c>
      <c r="C264" s="28">
        <v>2026</v>
      </c>
      <c r="D264" s="28" t="s">
        <v>4886</v>
      </c>
      <c r="E264" s="28">
        <v>7</v>
      </c>
      <c r="F264" s="29" t="str">
        <f t="shared" si="6"/>
        <v>VED-02-2026-GR-7</v>
      </c>
      <c r="G264" s="28" t="s">
        <v>7063</v>
      </c>
      <c r="H264" s="28" t="s">
        <v>7064</v>
      </c>
      <c r="I264" s="28"/>
      <c r="J264" s="28" t="s">
        <v>198</v>
      </c>
      <c r="K264" s="30"/>
      <c r="L264" s="30"/>
      <c r="M264" s="30"/>
      <c r="N264" s="28" t="s">
        <v>621</v>
      </c>
      <c r="O264" s="28" t="s">
        <v>549</v>
      </c>
      <c r="P264" s="28" t="s">
        <v>2763</v>
      </c>
      <c r="Q264" s="28" t="e">
        <f t="shared" ca="1" si="5"/>
        <v>#NAME?</v>
      </c>
      <c r="R264" s="28" t="s">
        <v>112</v>
      </c>
      <c r="S264" s="55">
        <v>7382162939</v>
      </c>
      <c r="T264" s="29" t="s">
        <v>111</v>
      </c>
      <c r="U264" s="28">
        <v>1991</v>
      </c>
      <c r="V264" s="35">
        <v>-1</v>
      </c>
      <c r="W264" s="35">
        <v>-1</v>
      </c>
      <c r="X264" s="35">
        <v>-1</v>
      </c>
      <c r="Y264" s="35">
        <v>-1</v>
      </c>
      <c r="Z264" s="35">
        <v>-1</v>
      </c>
      <c r="AA264" s="35">
        <v>1</v>
      </c>
      <c r="AB264" s="35">
        <v>1</v>
      </c>
      <c r="AC264" s="35">
        <v>1</v>
      </c>
      <c r="AD264" s="33">
        <v>-1</v>
      </c>
      <c r="AE264" s="33">
        <v>-1</v>
      </c>
      <c r="AF264" s="33">
        <v>-1</v>
      </c>
      <c r="AG264" s="33">
        <v>-1</v>
      </c>
      <c r="AH264" s="33">
        <v>-1</v>
      </c>
      <c r="AI264" s="33">
        <v>-1</v>
      </c>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c r="CR264" s="28"/>
      <c r="CS264" s="28"/>
      <c r="CT264" s="28"/>
      <c r="CU264" s="28"/>
      <c r="CV264" s="28"/>
      <c r="CW264" s="28"/>
      <c r="CX264" s="28"/>
      <c r="CY264" s="28"/>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row>
    <row r="265" spans="1:134" ht="11.25" customHeight="1" x14ac:dyDescent="0.3">
      <c r="A265" s="28" t="e">
        <f t="array" aca="1" ref="A265" ca="1">_xludf.XLOOKUP(S265,Master_Registrations!P:P,Master_Registrations!A:A,"")</f>
        <v>#NAME?</v>
      </c>
      <c r="B265" s="28" t="s">
        <v>7050</v>
      </c>
      <c r="C265" s="28">
        <v>2026</v>
      </c>
      <c r="D265" s="28" t="s">
        <v>4886</v>
      </c>
      <c r="E265" s="28">
        <v>7</v>
      </c>
      <c r="F265" s="29" t="str">
        <f t="shared" si="6"/>
        <v>VED-02-2026-GR-7</v>
      </c>
      <c r="G265" s="28" t="s">
        <v>7063</v>
      </c>
      <c r="H265" s="28" t="s">
        <v>7064</v>
      </c>
      <c r="I265" s="28"/>
      <c r="J265" s="28" t="s">
        <v>198</v>
      </c>
      <c r="K265" s="30"/>
      <c r="L265" s="30"/>
      <c r="M265" s="30"/>
      <c r="N265" s="28" t="s">
        <v>714</v>
      </c>
      <c r="O265" s="28" t="s">
        <v>1843</v>
      </c>
      <c r="P265" s="28" t="s">
        <v>2485</v>
      </c>
      <c r="Q265" s="28" t="e">
        <f t="shared" ca="1" si="5"/>
        <v>#NAME?</v>
      </c>
      <c r="R265" s="28" t="s">
        <v>112</v>
      </c>
      <c r="S265" s="28">
        <v>9959172270</v>
      </c>
      <c r="T265" s="29" t="s">
        <v>402</v>
      </c>
      <c r="U265" s="28">
        <v>1955</v>
      </c>
      <c r="V265" s="35">
        <v>-1</v>
      </c>
      <c r="W265" s="35">
        <v>-1</v>
      </c>
      <c r="X265" s="35">
        <v>-1</v>
      </c>
      <c r="Y265" s="35">
        <v>-1</v>
      </c>
      <c r="Z265" s="35">
        <v>-1</v>
      </c>
      <c r="AA265" s="35">
        <v>-1</v>
      </c>
      <c r="AB265" s="35">
        <v>-1</v>
      </c>
      <c r="AC265" s="35">
        <v>-1</v>
      </c>
      <c r="AD265" s="33">
        <v>-1</v>
      </c>
      <c r="AE265" s="33">
        <v>-1</v>
      </c>
      <c r="AF265" s="33">
        <v>-1</v>
      </c>
      <c r="AG265" s="33">
        <v>-1</v>
      </c>
      <c r="AH265" s="33">
        <v>-1</v>
      </c>
      <c r="AI265" s="33">
        <v>-1</v>
      </c>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c r="CR265" s="28"/>
      <c r="CS265" s="28"/>
      <c r="CT265" s="28"/>
      <c r="CU265" s="28"/>
      <c r="CV265" s="28"/>
      <c r="CW265" s="28"/>
      <c r="CX265" s="28"/>
      <c r="CY265" s="28"/>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c r="DZ265" s="34"/>
      <c r="EA265" s="34"/>
      <c r="EB265" s="34"/>
      <c r="EC265" s="34"/>
      <c r="ED265" s="34"/>
    </row>
    <row r="266" spans="1:134" ht="11.25" customHeight="1" x14ac:dyDescent="0.3">
      <c r="A266" s="28" t="e">
        <f t="array" aca="1" ref="A266" ca="1">_xludf.XLOOKUP(S266,Master_Registrations!P:P,Master_Registrations!A:A,"")</f>
        <v>#NAME?</v>
      </c>
      <c r="B266" s="28" t="s">
        <v>7050</v>
      </c>
      <c r="C266" s="28">
        <v>2026</v>
      </c>
      <c r="D266" s="28" t="s">
        <v>4886</v>
      </c>
      <c r="E266" s="28">
        <v>7</v>
      </c>
      <c r="F266" s="29" t="str">
        <f t="shared" si="6"/>
        <v>VED-02-2026-GR-7</v>
      </c>
      <c r="G266" s="28" t="s">
        <v>7063</v>
      </c>
      <c r="H266" s="28" t="s">
        <v>7064</v>
      </c>
      <c r="I266" s="28"/>
      <c r="J266" s="28" t="s">
        <v>198</v>
      </c>
      <c r="K266" s="30"/>
      <c r="L266" s="30"/>
      <c r="M266" s="30"/>
      <c r="N266" s="28" t="s">
        <v>786</v>
      </c>
      <c r="O266" s="28" t="s">
        <v>1893</v>
      </c>
      <c r="P266" s="28" t="s">
        <v>1894</v>
      </c>
      <c r="Q266" s="28" t="e">
        <f t="shared" ca="1" si="5"/>
        <v>#NAME?</v>
      </c>
      <c r="R266" s="28" t="s">
        <v>112</v>
      </c>
      <c r="S266" s="55">
        <v>6383404144</v>
      </c>
      <c r="T266" s="29" t="s">
        <v>111</v>
      </c>
      <c r="U266" s="28">
        <v>1992</v>
      </c>
      <c r="V266" s="35">
        <v>-1</v>
      </c>
      <c r="W266" s="35">
        <v>-1</v>
      </c>
      <c r="X266" s="35">
        <v>-1</v>
      </c>
      <c r="Y266" s="35">
        <v>-1</v>
      </c>
      <c r="Z266" s="35">
        <v>-1</v>
      </c>
      <c r="AA266" s="35">
        <v>-1</v>
      </c>
      <c r="AB266" s="35">
        <v>-1</v>
      </c>
      <c r="AC266" s="35">
        <v>-1</v>
      </c>
      <c r="AD266" s="33">
        <v>-1</v>
      </c>
      <c r="AE266" s="33">
        <v>-1</v>
      </c>
      <c r="AF266" s="33">
        <v>-1</v>
      </c>
      <c r="AG266" s="33">
        <v>-1</v>
      </c>
      <c r="AH266" s="33">
        <v>-1</v>
      </c>
      <c r="AI266" s="33">
        <v>-1</v>
      </c>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c r="CR266" s="28"/>
      <c r="CS266" s="28"/>
      <c r="CT266" s="28"/>
      <c r="CU266" s="28"/>
      <c r="CV266" s="28"/>
      <c r="CW266" s="28"/>
      <c r="CX266" s="28"/>
      <c r="CY266" s="28"/>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row>
    <row r="267" spans="1:134" ht="11.25" customHeight="1" x14ac:dyDescent="0.3">
      <c r="A267" s="28" t="e">
        <f t="array" aca="1" ref="A267" ca="1">_xludf.XLOOKUP(S267,Master_Registrations!P:P,Master_Registrations!A:A,"")</f>
        <v>#NAME?</v>
      </c>
      <c r="B267" s="28" t="s">
        <v>7050</v>
      </c>
      <c r="C267" s="28">
        <v>2026</v>
      </c>
      <c r="D267" s="28" t="s">
        <v>4886</v>
      </c>
      <c r="E267" s="28">
        <v>7</v>
      </c>
      <c r="F267" s="29" t="str">
        <f t="shared" si="6"/>
        <v>VED-02-2026-GR-7</v>
      </c>
      <c r="G267" s="28" t="s">
        <v>7063</v>
      </c>
      <c r="H267" s="28" t="s">
        <v>7064</v>
      </c>
      <c r="I267" s="28"/>
      <c r="J267" s="28" t="s">
        <v>198</v>
      </c>
      <c r="K267" s="30"/>
      <c r="L267" s="30"/>
      <c r="M267" s="30"/>
      <c r="N267" s="28" t="s">
        <v>856</v>
      </c>
      <c r="O267" s="28" t="s">
        <v>367</v>
      </c>
      <c r="P267" s="28" t="s">
        <v>368</v>
      </c>
      <c r="Q267" s="28" t="e">
        <f t="shared" ca="1" si="5"/>
        <v>#NAME?</v>
      </c>
      <c r="R267" s="28" t="s">
        <v>112</v>
      </c>
      <c r="S267" s="55">
        <v>7675030340</v>
      </c>
      <c r="T267" s="29" t="s">
        <v>111</v>
      </c>
      <c r="U267" s="28">
        <v>1994</v>
      </c>
      <c r="V267" s="35">
        <v>-1</v>
      </c>
      <c r="W267" s="35">
        <v>-1</v>
      </c>
      <c r="X267" s="35">
        <v>-1</v>
      </c>
      <c r="Y267" s="35">
        <v>-1</v>
      </c>
      <c r="Z267" s="35">
        <v>-1</v>
      </c>
      <c r="AA267" s="35">
        <v>-1</v>
      </c>
      <c r="AB267" s="35">
        <v>-1</v>
      </c>
      <c r="AC267" s="35">
        <v>1</v>
      </c>
      <c r="AD267" s="33">
        <v>-1</v>
      </c>
      <c r="AE267" s="33">
        <v>-1</v>
      </c>
      <c r="AF267" s="33">
        <v>-1</v>
      </c>
      <c r="AG267" s="33">
        <v>-1</v>
      </c>
      <c r="AH267" s="33">
        <v>-1</v>
      </c>
      <c r="AI267" s="33">
        <v>-1</v>
      </c>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c r="CR267" s="28"/>
      <c r="CS267" s="28"/>
      <c r="CT267" s="28"/>
      <c r="CU267" s="28"/>
      <c r="CV267" s="28"/>
      <c r="CW267" s="28"/>
      <c r="CX267" s="28"/>
      <c r="CY267" s="28"/>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c r="DZ267" s="34"/>
      <c r="EA267" s="34"/>
      <c r="EB267" s="34"/>
      <c r="EC267" s="34"/>
      <c r="ED267" s="34"/>
    </row>
    <row r="268" spans="1:134" ht="11.25" customHeight="1" x14ac:dyDescent="0.3">
      <c r="A268" s="28" t="e">
        <f t="array" aca="1" ref="A268" ca="1">_xludf.XLOOKUP(S268,Master_Registrations!P:P,Master_Registrations!A:A,"")</f>
        <v>#NAME?</v>
      </c>
      <c r="B268" s="28" t="s">
        <v>7050</v>
      </c>
      <c r="C268" s="28">
        <v>2026</v>
      </c>
      <c r="D268" s="28" t="s">
        <v>4886</v>
      </c>
      <c r="E268" s="28">
        <v>7</v>
      </c>
      <c r="F268" s="29" t="str">
        <f t="shared" si="6"/>
        <v>VED-02-2026-GR-7</v>
      </c>
      <c r="G268" s="28" t="s">
        <v>7063</v>
      </c>
      <c r="H268" s="28" t="s">
        <v>7064</v>
      </c>
      <c r="I268" s="28"/>
      <c r="J268" s="28" t="s">
        <v>198</v>
      </c>
      <c r="K268" s="30"/>
      <c r="L268" s="30"/>
      <c r="M268" s="30"/>
      <c r="N268" s="28" t="s">
        <v>915</v>
      </c>
      <c r="O268" s="28" t="s">
        <v>1978</v>
      </c>
      <c r="P268" s="28" t="s">
        <v>1563</v>
      </c>
      <c r="Q268" s="28" t="e">
        <f t="shared" ca="1" si="5"/>
        <v>#NAME?</v>
      </c>
      <c r="R268" s="28" t="s">
        <v>112</v>
      </c>
      <c r="S268" s="55">
        <v>9848847831</v>
      </c>
      <c r="T268" s="29" t="s">
        <v>111</v>
      </c>
      <c r="U268" s="28">
        <v>1994</v>
      </c>
      <c r="V268" s="35">
        <v>1</v>
      </c>
      <c r="W268" s="35">
        <v>-1</v>
      </c>
      <c r="X268" s="35">
        <v>-1</v>
      </c>
      <c r="Y268" s="35">
        <v>-1</v>
      </c>
      <c r="Z268" s="35">
        <v>-1</v>
      </c>
      <c r="AA268" s="35">
        <v>-1</v>
      </c>
      <c r="AB268" s="35">
        <v>-1</v>
      </c>
      <c r="AC268" s="35">
        <v>-1</v>
      </c>
      <c r="AD268" s="33">
        <v>-1</v>
      </c>
      <c r="AE268" s="33">
        <v>-1</v>
      </c>
      <c r="AF268" s="33">
        <v>-1</v>
      </c>
      <c r="AG268" s="33">
        <v>-1</v>
      </c>
      <c r="AH268" s="33">
        <v>-1</v>
      </c>
      <c r="AI268" s="33">
        <v>-1</v>
      </c>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c r="CR268" s="28"/>
      <c r="CS268" s="28"/>
      <c r="CT268" s="28"/>
      <c r="CU268" s="28"/>
      <c r="CV268" s="28"/>
      <c r="CW268" s="28"/>
      <c r="CX268" s="28"/>
      <c r="CY268" s="28"/>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row>
    <row r="269" spans="1:134" ht="11.25" customHeight="1" x14ac:dyDescent="0.3">
      <c r="A269" s="28" t="e">
        <f t="array" aca="1" ref="A269" ca="1">_xludf.XLOOKUP(S269,Master_Registrations!P:P,Master_Registrations!A:A,"")</f>
        <v>#NAME?</v>
      </c>
      <c r="B269" s="28" t="s">
        <v>7050</v>
      </c>
      <c r="C269" s="28">
        <v>2026</v>
      </c>
      <c r="D269" s="28" t="s">
        <v>4886</v>
      </c>
      <c r="E269" s="28">
        <v>7</v>
      </c>
      <c r="F269" s="29" t="str">
        <f t="shared" si="6"/>
        <v>VED-02-2026-GR-7</v>
      </c>
      <c r="G269" s="28" t="s">
        <v>7063</v>
      </c>
      <c r="H269" s="28" t="s">
        <v>7064</v>
      </c>
      <c r="I269" s="28"/>
      <c r="J269" s="28" t="s">
        <v>198</v>
      </c>
      <c r="K269" s="30"/>
      <c r="L269" s="30"/>
      <c r="M269" s="30"/>
      <c r="N269" s="28" t="s">
        <v>973</v>
      </c>
      <c r="O269" s="28" t="s">
        <v>622</v>
      </c>
      <c r="P269" s="28" t="s">
        <v>3095</v>
      </c>
      <c r="Q269" s="28" t="e">
        <f t="shared" ca="1" si="5"/>
        <v>#NAME?</v>
      </c>
      <c r="R269" s="28" t="s">
        <v>112</v>
      </c>
      <c r="S269" s="55">
        <v>9392960450</v>
      </c>
      <c r="T269" s="29" t="s">
        <v>111</v>
      </c>
      <c r="U269" s="28">
        <v>2000</v>
      </c>
      <c r="V269" s="35">
        <v>-1</v>
      </c>
      <c r="W269" s="35">
        <v>-1</v>
      </c>
      <c r="X269" s="35">
        <v>2</v>
      </c>
      <c r="Y269" s="35">
        <v>2</v>
      </c>
      <c r="Z269" s="35">
        <v>2</v>
      </c>
      <c r="AA269" s="35">
        <v>-1</v>
      </c>
      <c r="AB269" s="35">
        <v>1</v>
      </c>
      <c r="AC269" s="35">
        <v>1</v>
      </c>
      <c r="AD269" s="33">
        <v>-1</v>
      </c>
      <c r="AE269" s="33">
        <v>-1</v>
      </c>
      <c r="AF269" s="33">
        <v>-1</v>
      </c>
      <c r="AG269" s="33">
        <v>-1</v>
      </c>
      <c r="AH269" s="33">
        <v>-1</v>
      </c>
      <c r="AI269" s="33">
        <v>-1</v>
      </c>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row>
    <row r="270" spans="1:134" ht="11.25" customHeight="1" x14ac:dyDescent="0.3">
      <c r="A270" s="28" t="e">
        <f t="array" aca="1" ref="A270" ca="1">_xludf.XLOOKUP(S270,Master_Registrations!P:P,Master_Registrations!A:A,"")</f>
        <v>#NAME?</v>
      </c>
      <c r="B270" s="28" t="s">
        <v>7050</v>
      </c>
      <c r="C270" s="28">
        <v>2026</v>
      </c>
      <c r="D270" s="28" t="s">
        <v>4886</v>
      </c>
      <c r="E270" s="28">
        <v>7</v>
      </c>
      <c r="F270" s="29" t="str">
        <f t="shared" si="6"/>
        <v>VED-02-2026-GR-7</v>
      </c>
      <c r="G270" s="28" t="s">
        <v>7063</v>
      </c>
      <c r="H270" s="28" t="s">
        <v>7064</v>
      </c>
      <c r="I270" s="28"/>
      <c r="J270" s="28" t="s">
        <v>198</v>
      </c>
      <c r="K270" s="30"/>
      <c r="L270" s="30"/>
      <c r="M270" s="30"/>
      <c r="N270" s="28" t="s">
        <v>1031</v>
      </c>
      <c r="O270" s="28" t="s">
        <v>891</v>
      </c>
      <c r="P270" s="28" t="s">
        <v>3684</v>
      </c>
      <c r="Q270" s="28" t="e">
        <f t="shared" ca="1" si="5"/>
        <v>#NAME?</v>
      </c>
      <c r="R270" s="28" t="s">
        <v>112</v>
      </c>
      <c r="S270" s="55">
        <v>9515114876</v>
      </c>
      <c r="T270" s="29" t="s">
        <v>111</v>
      </c>
      <c r="U270" s="28">
        <v>1982</v>
      </c>
      <c r="V270" s="35">
        <v>1</v>
      </c>
      <c r="W270" s="35">
        <v>1</v>
      </c>
      <c r="X270" s="35">
        <v>1</v>
      </c>
      <c r="Y270" s="35">
        <v>1</v>
      </c>
      <c r="Z270" s="35">
        <v>1</v>
      </c>
      <c r="AA270" s="35">
        <v>1</v>
      </c>
      <c r="AB270" s="35">
        <v>1</v>
      </c>
      <c r="AC270" s="35">
        <v>1</v>
      </c>
      <c r="AD270" s="33">
        <v>-1</v>
      </c>
      <c r="AE270" s="33">
        <v>-1</v>
      </c>
      <c r="AF270" s="33">
        <v>-1</v>
      </c>
      <c r="AG270" s="33">
        <v>-1</v>
      </c>
      <c r="AH270" s="33">
        <v>-1</v>
      </c>
      <c r="AI270" s="33">
        <v>-1</v>
      </c>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c r="CR270" s="28"/>
      <c r="CS270" s="28"/>
      <c r="CT270" s="28"/>
      <c r="CU270" s="28"/>
      <c r="CV270" s="28"/>
      <c r="CW270" s="28"/>
      <c r="CX270" s="28"/>
      <c r="CY270" s="28"/>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34"/>
      <c r="DZ270" s="34"/>
      <c r="EA270" s="34"/>
      <c r="EB270" s="34"/>
      <c r="EC270" s="34"/>
      <c r="ED270" s="34"/>
    </row>
    <row r="271" spans="1:134" ht="11.25" customHeight="1" x14ac:dyDescent="0.3">
      <c r="A271" s="28" t="e">
        <f t="array" aca="1" ref="A271" ca="1">_xludf.XLOOKUP(S271,Master_Registrations!P:P,Master_Registrations!A:A,"")</f>
        <v>#NAME?</v>
      </c>
      <c r="B271" s="28" t="s">
        <v>7050</v>
      </c>
      <c r="C271" s="28">
        <v>2026</v>
      </c>
      <c r="D271" s="28" t="s">
        <v>4886</v>
      </c>
      <c r="E271" s="28">
        <v>7</v>
      </c>
      <c r="F271" s="29" t="str">
        <f t="shared" si="6"/>
        <v>VED-02-2026-GR-7</v>
      </c>
      <c r="G271" s="28" t="s">
        <v>7063</v>
      </c>
      <c r="H271" s="28" t="s">
        <v>7064</v>
      </c>
      <c r="I271" s="28"/>
      <c r="J271" s="28" t="s">
        <v>198</v>
      </c>
      <c r="K271" s="30"/>
      <c r="L271" s="30"/>
      <c r="M271" s="30"/>
      <c r="N271" s="28" t="s">
        <v>1112</v>
      </c>
      <c r="O271" s="28" t="s">
        <v>3110</v>
      </c>
      <c r="P271" s="28" t="s">
        <v>3111</v>
      </c>
      <c r="Q271" s="28" t="e">
        <f t="shared" ca="1" si="5"/>
        <v>#NAME?</v>
      </c>
      <c r="R271" s="28" t="s">
        <v>112</v>
      </c>
      <c r="S271" s="55">
        <v>9666999149</v>
      </c>
      <c r="T271" s="29" t="s">
        <v>111</v>
      </c>
      <c r="U271" s="28">
        <v>1962</v>
      </c>
      <c r="V271" s="35">
        <v>-1</v>
      </c>
      <c r="W271" s="35">
        <v>-1</v>
      </c>
      <c r="X271" s="35">
        <v>-1</v>
      </c>
      <c r="Y271" s="35">
        <v>-1</v>
      </c>
      <c r="Z271" s="35">
        <v>-1</v>
      </c>
      <c r="AA271" s="35">
        <v>-1</v>
      </c>
      <c r="AB271" s="35">
        <v>-1</v>
      </c>
      <c r="AC271" s="35">
        <v>-1</v>
      </c>
      <c r="AD271" s="33">
        <v>-1</v>
      </c>
      <c r="AE271" s="33">
        <v>-1</v>
      </c>
      <c r="AF271" s="33">
        <v>-1</v>
      </c>
      <c r="AG271" s="33">
        <v>-1</v>
      </c>
      <c r="AH271" s="33">
        <v>-1</v>
      </c>
      <c r="AI271" s="33">
        <v>-1</v>
      </c>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c r="CR271" s="28"/>
      <c r="CS271" s="28"/>
      <c r="CT271" s="28"/>
      <c r="CU271" s="28"/>
      <c r="CV271" s="28"/>
      <c r="CW271" s="28"/>
      <c r="CX271" s="28"/>
      <c r="CY271" s="28"/>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c r="DZ271" s="34"/>
      <c r="EA271" s="34"/>
      <c r="EB271" s="34"/>
      <c r="EC271" s="34"/>
      <c r="ED271" s="34"/>
    </row>
    <row r="272" spans="1:134" ht="11.25" customHeight="1" x14ac:dyDescent="0.3">
      <c r="A272" s="28" t="e">
        <f t="array" aca="1" ref="A272" ca="1">_xludf.XLOOKUP(S272,Master_Registrations!P:P,Master_Registrations!A:A,"")</f>
        <v>#NAME?</v>
      </c>
      <c r="B272" s="39" t="s">
        <v>7050</v>
      </c>
      <c r="C272" s="39">
        <v>2026</v>
      </c>
      <c r="D272" s="39" t="s">
        <v>4886</v>
      </c>
      <c r="E272" s="39">
        <v>8</v>
      </c>
      <c r="F272" s="40" t="str">
        <f t="shared" si="6"/>
        <v>VED-02-2026-GR-8</v>
      </c>
      <c r="G272" s="39" t="s">
        <v>7065</v>
      </c>
      <c r="H272" s="39" t="s">
        <v>7066</v>
      </c>
      <c r="I272" s="39"/>
      <c r="J272" s="39" t="s">
        <v>198</v>
      </c>
      <c r="K272" s="52"/>
      <c r="L272" s="52"/>
      <c r="M272" s="52"/>
      <c r="N272" s="39" t="s">
        <v>200</v>
      </c>
      <c r="O272" s="39" t="s">
        <v>2755</v>
      </c>
      <c r="P272" s="39" t="s">
        <v>3465</v>
      </c>
      <c r="Q272" s="39" t="e">
        <f t="shared" ca="1" si="5"/>
        <v>#NAME?</v>
      </c>
      <c r="R272" s="39" t="s">
        <v>112</v>
      </c>
      <c r="S272" s="50">
        <v>9032502528</v>
      </c>
      <c r="T272" s="40" t="s">
        <v>111</v>
      </c>
      <c r="U272" s="39">
        <v>1992</v>
      </c>
      <c r="V272" s="44">
        <v>2</v>
      </c>
      <c r="W272" s="44">
        <v>2</v>
      </c>
      <c r="X272" s="44">
        <v>2</v>
      </c>
      <c r="Y272" s="44">
        <v>2</v>
      </c>
      <c r="Z272" s="44">
        <v>2</v>
      </c>
      <c r="AA272" s="44">
        <v>2</v>
      </c>
      <c r="AB272" s="44">
        <v>2</v>
      </c>
      <c r="AC272" s="44">
        <v>2</v>
      </c>
      <c r="AD272" s="44">
        <v>2</v>
      </c>
      <c r="AE272" s="44">
        <v>2</v>
      </c>
      <c r="AF272" s="44">
        <v>2</v>
      </c>
      <c r="AG272" s="44">
        <v>2</v>
      </c>
      <c r="AH272" s="44">
        <v>2</v>
      </c>
      <c r="AI272" s="44">
        <v>2</v>
      </c>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c r="BZ272" s="39"/>
      <c r="CA272" s="39"/>
      <c r="CB272" s="39"/>
      <c r="CC272" s="39"/>
      <c r="CD272" s="39"/>
      <c r="CE272" s="39"/>
      <c r="CF272" s="39"/>
      <c r="CG272" s="39"/>
      <c r="CH272" s="39"/>
      <c r="CI272" s="39"/>
      <c r="CJ272" s="39"/>
      <c r="CK272" s="39"/>
      <c r="CL272" s="39"/>
      <c r="CM272" s="39"/>
      <c r="CN272" s="39"/>
      <c r="CO272" s="39"/>
      <c r="CP272" s="39"/>
      <c r="CQ272" s="39"/>
      <c r="CR272" s="39"/>
      <c r="CS272" s="39"/>
      <c r="CT272" s="39"/>
      <c r="CU272" s="39"/>
      <c r="CV272" s="39"/>
      <c r="CW272" s="39"/>
      <c r="CX272" s="39"/>
      <c r="CY272" s="39"/>
      <c r="CZ272" s="48"/>
      <c r="DA272" s="48"/>
      <c r="DB272" s="48"/>
      <c r="DC272" s="48"/>
      <c r="DD272" s="48"/>
      <c r="DE272" s="48"/>
      <c r="DF272" s="48"/>
      <c r="DG272" s="48"/>
      <c r="DH272" s="48"/>
      <c r="DI272" s="48"/>
      <c r="DJ272" s="48"/>
      <c r="DK272" s="48"/>
      <c r="DL272" s="48"/>
      <c r="DM272" s="48"/>
      <c r="DN272" s="48"/>
      <c r="DO272" s="48"/>
      <c r="DP272" s="48"/>
      <c r="DQ272" s="48"/>
      <c r="DR272" s="48"/>
      <c r="DS272" s="48"/>
      <c r="DT272" s="48"/>
      <c r="DU272" s="48"/>
      <c r="DV272" s="48"/>
      <c r="DW272" s="48"/>
      <c r="DX272" s="48"/>
      <c r="DY272" s="48"/>
      <c r="DZ272" s="48"/>
      <c r="EA272" s="48"/>
      <c r="EB272" s="48"/>
      <c r="EC272" s="48"/>
      <c r="ED272" s="48"/>
    </row>
    <row r="273" spans="1:134" ht="11.25" customHeight="1" x14ac:dyDescent="0.3">
      <c r="A273" s="28" t="e">
        <f t="array" aca="1" ref="A273" ca="1">_xludf.XLOOKUP(S273,Master_Registrations!P:P,Master_Registrations!A:A,"")</f>
        <v>#NAME?</v>
      </c>
      <c r="B273" s="39" t="s">
        <v>7050</v>
      </c>
      <c r="C273" s="39">
        <v>2026</v>
      </c>
      <c r="D273" s="39" t="s">
        <v>4886</v>
      </c>
      <c r="E273" s="39">
        <v>8</v>
      </c>
      <c r="F273" s="40" t="str">
        <f t="shared" si="6"/>
        <v>VED-02-2026-GR-8</v>
      </c>
      <c r="G273" s="39" t="s">
        <v>7065</v>
      </c>
      <c r="H273" s="39" t="s">
        <v>7066</v>
      </c>
      <c r="I273" s="39"/>
      <c r="J273" s="39" t="s">
        <v>198</v>
      </c>
      <c r="K273" s="52"/>
      <c r="L273" s="44"/>
      <c r="M273" s="44"/>
      <c r="N273" s="39" t="s">
        <v>299</v>
      </c>
      <c r="O273" s="39" t="s">
        <v>3163</v>
      </c>
      <c r="P273" s="39" t="s">
        <v>3164</v>
      </c>
      <c r="Q273" s="39" t="e">
        <f t="shared" ca="1" si="5"/>
        <v>#NAME?</v>
      </c>
      <c r="R273" s="39" t="s">
        <v>112</v>
      </c>
      <c r="S273" s="50">
        <v>7829553399</v>
      </c>
      <c r="T273" s="40" t="s">
        <v>111</v>
      </c>
      <c r="U273" s="39">
        <v>1984</v>
      </c>
      <c r="V273" s="45">
        <v>-1</v>
      </c>
      <c r="W273" s="45">
        <v>-1</v>
      </c>
      <c r="X273" s="44">
        <v>2</v>
      </c>
      <c r="Y273" s="44">
        <v>1</v>
      </c>
      <c r="Z273" s="45">
        <v>-1</v>
      </c>
      <c r="AA273" s="44">
        <v>2</v>
      </c>
      <c r="AB273" s="45">
        <v>-1</v>
      </c>
      <c r="AC273" s="44">
        <v>-1</v>
      </c>
      <c r="AD273" s="45">
        <v>-1</v>
      </c>
      <c r="AE273" s="45">
        <v>-1</v>
      </c>
      <c r="AF273" s="45">
        <v>-1</v>
      </c>
      <c r="AG273" s="45">
        <v>-1</v>
      </c>
      <c r="AH273" s="45">
        <v>-1</v>
      </c>
      <c r="AI273" s="45">
        <v>-1</v>
      </c>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c r="BV273" s="39"/>
      <c r="BW273" s="39"/>
      <c r="BX273" s="39"/>
      <c r="BY273" s="39"/>
      <c r="BZ273" s="39"/>
      <c r="CA273" s="39"/>
      <c r="CB273" s="39"/>
      <c r="CC273" s="39"/>
      <c r="CD273" s="39"/>
      <c r="CE273" s="39"/>
      <c r="CF273" s="39"/>
      <c r="CG273" s="39"/>
      <c r="CH273" s="39"/>
      <c r="CI273" s="39"/>
      <c r="CJ273" s="39"/>
      <c r="CK273" s="39"/>
      <c r="CL273" s="39"/>
      <c r="CM273" s="39"/>
      <c r="CN273" s="39"/>
      <c r="CO273" s="39"/>
      <c r="CP273" s="39"/>
      <c r="CQ273" s="39"/>
      <c r="CR273" s="39"/>
      <c r="CS273" s="39"/>
      <c r="CT273" s="39"/>
      <c r="CU273" s="39"/>
      <c r="CV273" s="39"/>
      <c r="CW273" s="39"/>
      <c r="CX273" s="39"/>
      <c r="CY273" s="39"/>
      <c r="CZ273" s="48"/>
      <c r="DA273" s="48"/>
      <c r="DB273" s="48"/>
      <c r="DC273" s="48"/>
      <c r="DD273" s="48"/>
      <c r="DE273" s="48"/>
      <c r="DF273" s="48"/>
      <c r="DG273" s="48"/>
      <c r="DH273" s="48"/>
      <c r="DI273" s="48"/>
      <c r="DJ273" s="48"/>
      <c r="DK273" s="48"/>
      <c r="DL273" s="48"/>
      <c r="DM273" s="48"/>
      <c r="DN273" s="48"/>
      <c r="DO273" s="48"/>
      <c r="DP273" s="48"/>
      <c r="DQ273" s="48"/>
      <c r="DR273" s="48"/>
      <c r="DS273" s="48"/>
      <c r="DT273" s="48"/>
      <c r="DU273" s="48"/>
      <c r="DV273" s="48"/>
      <c r="DW273" s="48"/>
      <c r="DX273" s="48"/>
      <c r="DY273" s="48"/>
      <c r="DZ273" s="48"/>
      <c r="EA273" s="48"/>
      <c r="EB273" s="48"/>
      <c r="EC273" s="48"/>
      <c r="ED273" s="48"/>
    </row>
    <row r="274" spans="1:134" ht="11.25" customHeight="1" x14ac:dyDescent="0.3">
      <c r="A274" s="28" t="e">
        <f t="array" aca="1" ref="A274" ca="1">_xludf.XLOOKUP(S274,Master_Registrations!P:P,Master_Registrations!A:A,"")</f>
        <v>#NAME?</v>
      </c>
      <c r="B274" s="39" t="s">
        <v>7050</v>
      </c>
      <c r="C274" s="39">
        <v>2026</v>
      </c>
      <c r="D274" s="39" t="s">
        <v>4886</v>
      </c>
      <c r="E274" s="39">
        <v>8</v>
      </c>
      <c r="F274" s="40" t="str">
        <f t="shared" si="6"/>
        <v>VED-02-2026-GR-8</v>
      </c>
      <c r="G274" s="39" t="s">
        <v>7065</v>
      </c>
      <c r="H274" s="39" t="s">
        <v>7066</v>
      </c>
      <c r="I274" s="39"/>
      <c r="J274" s="39" t="s">
        <v>198</v>
      </c>
      <c r="K274" s="52"/>
      <c r="L274" s="52"/>
      <c r="M274" s="52"/>
      <c r="N274" s="39" t="s">
        <v>369</v>
      </c>
      <c r="O274" s="39" t="s">
        <v>3281</v>
      </c>
      <c r="P274" s="39" t="s">
        <v>3399</v>
      </c>
      <c r="Q274" s="39" t="e">
        <f t="shared" ca="1" si="5"/>
        <v>#NAME?</v>
      </c>
      <c r="R274" s="39" t="s">
        <v>316</v>
      </c>
      <c r="S274" s="50">
        <v>8593077229</v>
      </c>
      <c r="T274" s="40" t="s">
        <v>402</v>
      </c>
      <c r="U274" s="39">
        <v>1977</v>
      </c>
      <c r="V274" s="44">
        <v>2</v>
      </c>
      <c r="W274" s="44">
        <v>2</v>
      </c>
      <c r="X274" s="44">
        <v>2</v>
      </c>
      <c r="Y274" s="44">
        <v>2</v>
      </c>
      <c r="Z274" s="44">
        <v>2</v>
      </c>
      <c r="AA274" s="44">
        <v>2</v>
      </c>
      <c r="AB274" s="44">
        <v>2</v>
      </c>
      <c r="AC274" s="44">
        <v>2</v>
      </c>
      <c r="AD274" s="44">
        <v>2</v>
      </c>
      <c r="AE274" s="45">
        <v>-1</v>
      </c>
      <c r="AF274" s="45">
        <v>-1</v>
      </c>
      <c r="AG274" s="45">
        <v>-1</v>
      </c>
      <c r="AH274" s="45">
        <v>-1</v>
      </c>
      <c r="AI274" s="45">
        <v>-1</v>
      </c>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48"/>
      <c r="DA274" s="48"/>
      <c r="DB274" s="48"/>
      <c r="DC274" s="48"/>
      <c r="DD274" s="48"/>
      <c r="DE274" s="48"/>
      <c r="DF274" s="48"/>
      <c r="DG274" s="48"/>
      <c r="DH274" s="48"/>
      <c r="DI274" s="48"/>
      <c r="DJ274" s="48"/>
      <c r="DK274" s="48"/>
      <c r="DL274" s="48"/>
      <c r="DM274" s="48"/>
      <c r="DN274" s="48"/>
      <c r="DO274" s="48"/>
      <c r="DP274" s="48"/>
      <c r="DQ274" s="48"/>
      <c r="DR274" s="48"/>
      <c r="DS274" s="48"/>
      <c r="DT274" s="48"/>
      <c r="DU274" s="48"/>
      <c r="DV274" s="48"/>
      <c r="DW274" s="48"/>
      <c r="DX274" s="48"/>
      <c r="DY274" s="48"/>
      <c r="DZ274" s="48"/>
      <c r="EA274" s="48"/>
      <c r="EB274" s="48"/>
      <c r="EC274" s="48"/>
      <c r="ED274" s="48"/>
    </row>
    <row r="275" spans="1:134" ht="11.25" customHeight="1" x14ac:dyDescent="0.3">
      <c r="A275" s="28" t="e">
        <f t="array" aca="1" ref="A275" ca="1">_xludf.XLOOKUP(S275,Master_Registrations!P:P,Master_Registrations!A:A,"")</f>
        <v>#NAME?</v>
      </c>
      <c r="B275" s="39" t="s">
        <v>7050</v>
      </c>
      <c r="C275" s="39">
        <v>2026</v>
      </c>
      <c r="D275" s="39" t="s">
        <v>4886</v>
      </c>
      <c r="E275" s="39">
        <v>8</v>
      </c>
      <c r="F275" s="40" t="str">
        <f t="shared" si="6"/>
        <v>VED-02-2026-GR-8</v>
      </c>
      <c r="G275" s="39" t="s">
        <v>7065</v>
      </c>
      <c r="H275" s="39" t="s">
        <v>7066</v>
      </c>
      <c r="I275" s="39"/>
      <c r="J275" s="39" t="s">
        <v>198</v>
      </c>
      <c r="K275" s="52"/>
      <c r="L275" s="44"/>
      <c r="M275" s="52"/>
      <c r="N275" s="39" t="s">
        <v>434</v>
      </c>
      <c r="O275" s="39" t="s">
        <v>3426</v>
      </c>
      <c r="P275" s="39" t="s">
        <v>1759</v>
      </c>
      <c r="Q275" s="39" t="e">
        <f t="shared" ca="1" si="5"/>
        <v>#NAME?</v>
      </c>
      <c r="R275" s="39" t="s">
        <v>112</v>
      </c>
      <c r="S275" s="50">
        <v>9866573169</v>
      </c>
      <c r="T275" s="40" t="s">
        <v>111</v>
      </c>
      <c r="U275" s="39">
        <v>1966</v>
      </c>
      <c r="V275" s="44">
        <v>2</v>
      </c>
      <c r="W275" s="44">
        <v>2</v>
      </c>
      <c r="X275" s="44">
        <v>2</v>
      </c>
      <c r="Y275" s="44">
        <v>2</v>
      </c>
      <c r="Z275" s="44">
        <v>2</v>
      </c>
      <c r="AA275" s="44">
        <v>2</v>
      </c>
      <c r="AB275" s="44">
        <v>2</v>
      </c>
      <c r="AC275" s="44">
        <v>-1</v>
      </c>
      <c r="AD275" s="44">
        <v>1</v>
      </c>
      <c r="AE275" s="44">
        <v>1</v>
      </c>
      <c r="AF275" s="44">
        <v>1</v>
      </c>
      <c r="AG275" s="44">
        <v>1</v>
      </c>
      <c r="AH275" s="44">
        <v>1</v>
      </c>
      <c r="AI275" s="45">
        <v>-1</v>
      </c>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c r="BV275" s="39"/>
      <c r="BW275" s="39"/>
      <c r="BX275" s="39"/>
      <c r="BY275" s="39"/>
      <c r="BZ275" s="39"/>
      <c r="CA275" s="39"/>
      <c r="CB275" s="39"/>
      <c r="CC275" s="39"/>
      <c r="CD275" s="39"/>
      <c r="CE275" s="39"/>
      <c r="CF275" s="39"/>
      <c r="CG275" s="39"/>
      <c r="CH275" s="39"/>
      <c r="CI275" s="39"/>
      <c r="CJ275" s="39"/>
      <c r="CK275" s="39"/>
      <c r="CL275" s="39"/>
      <c r="CM275" s="39"/>
      <c r="CN275" s="39"/>
      <c r="CO275" s="39"/>
      <c r="CP275" s="39"/>
      <c r="CQ275" s="39"/>
      <c r="CR275" s="39"/>
      <c r="CS275" s="39"/>
      <c r="CT275" s="39"/>
      <c r="CU275" s="39"/>
      <c r="CV275" s="39"/>
      <c r="CW275" s="39"/>
      <c r="CX275" s="39"/>
      <c r="CY275" s="39"/>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c r="DX275" s="48"/>
      <c r="DY275" s="48"/>
      <c r="DZ275" s="48"/>
      <c r="EA275" s="48"/>
      <c r="EB275" s="48"/>
      <c r="EC275" s="48"/>
      <c r="ED275" s="48"/>
    </row>
    <row r="276" spans="1:134" ht="11.25" customHeight="1" x14ac:dyDescent="0.3">
      <c r="A276" s="28" t="e">
        <f t="array" aca="1" ref="A276" ca="1">_xludf.XLOOKUP(S276,Master_Registrations!P:P,Master_Registrations!A:A,"")</f>
        <v>#NAME?</v>
      </c>
      <c r="B276" s="39" t="s">
        <v>7050</v>
      </c>
      <c r="C276" s="39">
        <v>2026</v>
      </c>
      <c r="D276" s="39" t="s">
        <v>4886</v>
      </c>
      <c r="E276" s="39">
        <v>8</v>
      </c>
      <c r="F276" s="40" t="str">
        <f t="shared" si="6"/>
        <v>VED-02-2026-GR-8</v>
      </c>
      <c r="G276" s="39" t="s">
        <v>7065</v>
      </c>
      <c r="H276" s="39" t="s">
        <v>7066</v>
      </c>
      <c r="I276" s="39"/>
      <c r="J276" s="39" t="s">
        <v>198</v>
      </c>
      <c r="K276" s="44"/>
      <c r="L276" s="52"/>
      <c r="M276" s="68"/>
      <c r="N276" s="39" t="s">
        <v>525</v>
      </c>
      <c r="O276" s="39" t="s">
        <v>3562</v>
      </c>
      <c r="P276" s="39" t="s">
        <v>3563</v>
      </c>
      <c r="Q276" s="39" t="e">
        <f t="shared" ca="1" si="5"/>
        <v>#NAME?</v>
      </c>
      <c r="R276" s="39" t="s">
        <v>316</v>
      </c>
      <c r="S276" s="50">
        <v>8479978540</v>
      </c>
      <c r="T276" s="40" t="s">
        <v>315</v>
      </c>
      <c r="U276" s="39">
        <v>1993</v>
      </c>
      <c r="V276" s="44">
        <v>2</v>
      </c>
      <c r="W276" s="44">
        <v>2</v>
      </c>
      <c r="X276" s="44">
        <v>1</v>
      </c>
      <c r="Y276" s="44">
        <v>-1</v>
      </c>
      <c r="Z276" s="44">
        <v>1</v>
      </c>
      <c r="AA276" s="45">
        <v>-1</v>
      </c>
      <c r="AB276" s="45">
        <v>-1</v>
      </c>
      <c r="AC276" s="45">
        <v>-1</v>
      </c>
      <c r="AD276" s="45">
        <v>-1</v>
      </c>
      <c r="AE276" s="45">
        <v>-1</v>
      </c>
      <c r="AF276" s="45">
        <v>-1</v>
      </c>
      <c r="AG276" s="45">
        <v>-1</v>
      </c>
      <c r="AH276" s="45">
        <v>-1</v>
      </c>
      <c r="AI276" s="45">
        <v>-1</v>
      </c>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c r="BZ276" s="39"/>
      <c r="CA276" s="39"/>
      <c r="CB276" s="39"/>
      <c r="CC276" s="39"/>
      <c r="CD276" s="39"/>
      <c r="CE276" s="39"/>
      <c r="CF276" s="39"/>
      <c r="CG276" s="39"/>
      <c r="CH276" s="39"/>
      <c r="CI276" s="39"/>
      <c r="CJ276" s="39"/>
      <c r="CK276" s="39"/>
      <c r="CL276" s="39"/>
      <c r="CM276" s="39"/>
      <c r="CN276" s="39"/>
      <c r="CO276" s="39"/>
      <c r="CP276" s="39"/>
      <c r="CQ276" s="39"/>
      <c r="CR276" s="39"/>
      <c r="CS276" s="39"/>
      <c r="CT276" s="39"/>
      <c r="CU276" s="39"/>
      <c r="CV276" s="39"/>
      <c r="CW276" s="39"/>
      <c r="CX276" s="39"/>
      <c r="CY276" s="39"/>
      <c r="CZ276" s="48"/>
      <c r="DA276" s="48"/>
      <c r="DB276" s="48"/>
      <c r="DC276" s="48"/>
      <c r="DD276" s="48"/>
      <c r="DE276" s="48"/>
      <c r="DF276" s="48"/>
      <c r="DG276" s="48"/>
      <c r="DH276" s="48"/>
      <c r="DI276" s="48"/>
      <c r="DJ276" s="48"/>
      <c r="DK276" s="48"/>
      <c r="DL276" s="48"/>
      <c r="DM276" s="48"/>
      <c r="DN276" s="48"/>
      <c r="DO276" s="48"/>
      <c r="DP276" s="48"/>
      <c r="DQ276" s="48"/>
      <c r="DR276" s="48"/>
      <c r="DS276" s="48"/>
      <c r="DT276" s="48"/>
      <c r="DU276" s="48"/>
      <c r="DV276" s="48"/>
      <c r="DW276" s="48"/>
      <c r="DX276" s="48"/>
      <c r="DY276" s="48"/>
      <c r="DZ276" s="48"/>
      <c r="EA276" s="48"/>
      <c r="EB276" s="48"/>
      <c r="EC276" s="48"/>
      <c r="ED276" s="48"/>
    </row>
    <row r="277" spans="1:134" ht="11.25" customHeight="1" x14ac:dyDescent="0.3">
      <c r="A277" s="28" t="e">
        <f t="array" aca="1" ref="A277" ca="1">_xludf.XLOOKUP(S277,Master_Registrations!P:P,Master_Registrations!A:A,"")</f>
        <v>#NAME?</v>
      </c>
      <c r="B277" s="39" t="s">
        <v>7050</v>
      </c>
      <c r="C277" s="39">
        <v>2026</v>
      </c>
      <c r="D277" s="39" t="s">
        <v>4886</v>
      </c>
      <c r="E277" s="39">
        <v>8</v>
      </c>
      <c r="F277" s="40" t="str">
        <f t="shared" si="6"/>
        <v>VED-02-2026-GR-8</v>
      </c>
      <c r="G277" s="39" t="s">
        <v>7065</v>
      </c>
      <c r="H277" s="39" t="s">
        <v>7066</v>
      </c>
      <c r="I277" s="39"/>
      <c r="J277" s="39" t="s">
        <v>198</v>
      </c>
      <c r="K277" s="52"/>
      <c r="L277" s="52"/>
      <c r="M277" s="52"/>
      <c r="N277" s="39" t="s">
        <v>621</v>
      </c>
      <c r="O277" s="39" t="s">
        <v>3562</v>
      </c>
      <c r="P277" s="39" t="s">
        <v>1850</v>
      </c>
      <c r="Q277" s="39" t="e">
        <f t="shared" ca="1" si="5"/>
        <v>#NAME?</v>
      </c>
      <c r="R277" s="39" t="s">
        <v>316</v>
      </c>
      <c r="S277" s="50">
        <v>8479023801</v>
      </c>
      <c r="T277" s="40" t="s">
        <v>315</v>
      </c>
      <c r="U277" s="39">
        <v>1988</v>
      </c>
      <c r="V277" s="44">
        <v>2</v>
      </c>
      <c r="W277" s="44">
        <v>2</v>
      </c>
      <c r="X277" s="44">
        <v>2</v>
      </c>
      <c r="Y277" s="44">
        <v>2</v>
      </c>
      <c r="Z277" s="44">
        <v>2</v>
      </c>
      <c r="AA277" s="44">
        <v>2</v>
      </c>
      <c r="AB277" s="44">
        <v>2</v>
      </c>
      <c r="AC277" s="44">
        <v>2</v>
      </c>
      <c r="AD277" s="44">
        <v>1</v>
      </c>
      <c r="AE277" s="45">
        <v>-1</v>
      </c>
      <c r="AF277" s="45">
        <v>-1</v>
      </c>
      <c r="AG277" s="45">
        <v>-1</v>
      </c>
      <c r="AH277" s="45">
        <v>-1</v>
      </c>
      <c r="AI277" s="45">
        <v>-1</v>
      </c>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c r="CT277" s="39"/>
      <c r="CU277" s="39"/>
      <c r="CV277" s="39"/>
      <c r="CW277" s="39"/>
      <c r="CX277" s="39"/>
      <c r="CY277" s="39"/>
      <c r="CZ277" s="48"/>
      <c r="DA277" s="48"/>
      <c r="DB277" s="48"/>
      <c r="DC277" s="48"/>
      <c r="DD277" s="48"/>
      <c r="DE277" s="48"/>
      <c r="DF277" s="48"/>
      <c r="DG277" s="48"/>
      <c r="DH277" s="48"/>
      <c r="DI277" s="48"/>
      <c r="DJ277" s="48"/>
      <c r="DK277" s="48"/>
      <c r="DL277" s="48"/>
      <c r="DM277" s="48"/>
      <c r="DN277" s="48"/>
      <c r="DO277" s="48"/>
      <c r="DP277" s="48"/>
      <c r="DQ277" s="48"/>
      <c r="DR277" s="48"/>
      <c r="DS277" s="48"/>
      <c r="DT277" s="48"/>
      <c r="DU277" s="48"/>
      <c r="DV277" s="48"/>
      <c r="DW277" s="48"/>
      <c r="DX277" s="48"/>
      <c r="DY277" s="48"/>
      <c r="DZ277" s="48"/>
      <c r="EA277" s="48"/>
      <c r="EB277" s="48"/>
      <c r="EC277" s="48"/>
      <c r="ED277" s="48"/>
    </row>
    <row r="278" spans="1:134" ht="11.25" customHeight="1" x14ac:dyDescent="0.3">
      <c r="A278" s="28" t="e">
        <f t="array" aca="1" ref="A278" ca="1">_xludf.XLOOKUP(S278,Master_Registrations!P:P,Master_Registrations!A:A,"")</f>
        <v>#NAME?</v>
      </c>
      <c r="B278" s="39" t="s">
        <v>7050</v>
      </c>
      <c r="C278" s="39">
        <v>2026</v>
      </c>
      <c r="D278" s="39" t="s">
        <v>4886</v>
      </c>
      <c r="E278" s="39">
        <v>8</v>
      </c>
      <c r="F278" s="40" t="str">
        <f t="shared" si="6"/>
        <v>VED-02-2026-GR-8</v>
      </c>
      <c r="G278" s="39" t="s">
        <v>7065</v>
      </c>
      <c r="H278" s="39" t="s">
        <v>7066</v>
      </c>
      <c r="I278" s="39"/>
      <c r="J278" s="39" t="s">
        <v>198</v>
      </c>
      <c r="K278" s="44"/>
      <c r="L278" s="68"/>
      <c r="M278" s="44"/>
      <c r="N278" s="39" t="s">
        <v>714</v>
      </c>
      <c r="O278" s="39" t="s">
        <v>2044</v>
      </c>
      <c r="P278" s="39" t="s">
        <v>381</v>
      </c>
      <c r="Q278" s="39" t="e">
        <f t="shared" ca="1" si="5"/>
        <v>#NAME?</v>
      </c>
      <c r="R278" s="39" t="s">
        <v>112</v>
      </c>
      <c r="S278" s="50">
        <v>9160645566</v>
      </c>
      <c r="T278" s="40" t="s">
        <v>111</v>
      </c>
      <c r="U278" s="39">
        <v>1973</v>
      </c>
      <c r="V278" s="44">
        <v>2</v>
      </c>
      <c r="W278" s="44">
        <v>2</v>
      </c>
      <c r="X278" s="44">
        <v>2</v>
      </c>
      <c r="Y278" s="44">
        <v>2</v>
      </c>
      <c r="Z278" s="44">
        <v>2</v>
      </c>
      <c r="AA278" s="44">
        <v>-1</v>
      </c>
      <c r="AB278" s="44">
        <v>-1</v>
      </c>
      <c r="AC278" s="44">
        <v>1</v>
      </c>
      <c r="AD278" s="44">
        <v>1</v>
      </c>
      <c r="AE278" s="44">
        <v>-1</v>
      </c>
      <c r="AF278" s="44">
        <v>-1</v>
      </c>
      <c r="AG278" s="44">
        <v>-1</v>
      </c>
      <c r="AH278" s="45">
        <v>-1</v>
      </c>
      <c r="AI278" s="45">
        <v>-1</v>
      </c>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c r="BZ278" s="39"/>
      <c r="CA278" s="39"/>
      <c r="CB278" s="39"/>
      <c r="CC278" s="39"/>
      <c r="CD278" s="39"/>
      <c r="CE278" s="39"/>
      <c r="CF278" s="39"/>
      <c r="CG278" s="39"/>
      <c r="CH278" s="39"/>
      <c r="CI278" s="39"/>
      <c r="CJ278" s="39"/>
      <c r="CK278" s="39"/>
      <c r="CL278" s="39"/>
      <c r="CM278" s="39"/>
      <c r="CN278" s="39"/>
      <c r="CO278" s="39"/>
      <c r="CP278" s="39"/>
      <c r="CQ278" s="39"/>
      <c r="CR278" s="39"/>
      <c r="CS278" s="39"/>
      <c r="CT278" s="39"/>
      <c r="CU278" s="39"/>
      <c r="CV278" s="39"/>
      <c r="CW278" s="39"/>
      <c r="CX278" s="39"/>
      <c r="CY278" s="39"/>
      <c r="CZ278" s="48"/>
      <c r="DA278" s="48"/>
      <c r="DB278" s="48"/>
      <c r="DC278" s="48"/>
      <c r="DD278" s="48"/>
      <c r="DE278" s="48"/>
      <c r="DF278" s="48"/>
      <c r="DG278" s="48"/>
      <c r="DH278" s="48"/>
      <c r="DI278" s="48"/>
      <c r="DJ278" s="48"/>
      <c r="DK278" s="48"/>
      <c r="DL278" s="48"/>
      <c r="DM278" s="48"/>
      <c r="DN278" s="48"/>
      <c r="DO278" s="48"/>
      <c r="DP278" s="48"/>
      <c r="DQ278" s="48"/>
      <c r="DR278" s="48"/>
      <c r="DS278" s="48"/>
      <c r="DT278" s="48"/>
      <c r="DU278" s="48"/>
      <c r="DV278" s="48"/>
      <c r="DW278" s="48"/>
      <c r="DX278" s="48"/>
      <c r="DY278" s="48"/>
      <c r="DZ278" s="48"/>
      <c r="EA278" s="48"/>
      <c r="EB278" s="48"/>
      <c r="EC278" s="48"/>
      <c r="ED278" s="48"/>
    </row>
    <row r="279" spans="1:134" ht="11.25" customHeight="1" x14ac:dyDescent="0.3">
      <c r="A279" s="28" t="e">
        <f t="array" aca="1" ref="A279" ca="1">_xludf.XLOOKUP(S279,Master_Registrations!P:P,Master_Registrations!A:A,"")</f>
        <v>#NAME?</v>
      </c>
      <c r="B279" s="39" t="s">
        <v>7050</v>
      </c>
      <c r="C279" s="39">
        <v>2026</v>
      </c>
      <c r="D279" s="39" t="s">
        <v>4886</v>
      </c>
      <c r="E279" s="39">
        <v>8</v>
      </c>
      <c r="F279" s="40" t="str">
        <f t="shared" si="6"/>
        <v>VED-02-2026-GR-8</v>
      </c>
      <c r="G279" s="39" t="s">
        <v>7065</v>
      </c>
      <c r="H279" s="39" t="s">
        <v>7066</v>
      </c>
      <c r="I279" s="39"/>
      <c r="J279" s="39" t="s">
        <v>198</v>
      </c>
      <c r="K279" s="52"/>
      <c r="L279" s="52"/>
      <c r="M279" s="52"/>
      <c r="N279" s="39" t="s">
        <v>786</v>
      </c>
      <c r="O279" s="39" t="s">
        <v>1843</v>
      </c>
      <c r="P279" s="39" t="s">
        <v>3632</v>
      </c>
      <c r="Q279" s="39" t="e">
        <f t="shared" ca="1" si="5"/>
        <v>#NAME?</v>
      </c>
      <c r="R279" s="39" t="s">
        <v>316</v>
      </c>
      <c r="S279" s="50">
        <v>5135601785</v>
      </c>
      <c r="T279" s="40" t="s">
        <v>402</v>
      </c>
      <c r="U279" s="39">
        <v>1983</v>
      </c>
      <c r="V279" s="44">
        <v>2</v>
      </c>
      <c r="W279" s="44">
        <v>2</v>
      </c>
      <c r="X279" s="44">
        <v>2</v>
      </c>
      <c r="Y279" s="44">
        <v>2</v>
      </c>
      <c r="Z279" s="44">
        <v>2</v>
      </c>
      <c r="AA279" s="44">
        <v>2</v>
      </c>
      <c r="AB279" s="44">
        <v>2</v>
      </c>
      <c r="AC279" s="44">
        <v>1</v>
      </c>
      <c r="AD279" s="44">
        <v>2</v>
      </c>
      <c r="AE279" s="45">
        <v>-1</v>
      </c>
      <c r="AF279" s="45">
        <v>-1</v>
      </c>
      <c r="AG279" s="45">
        <v>-1</v>
      </c>
      <c r="AH279" s="45">
        <v>-1</v>
      </c>
      <c r="AI279" s="45">
        <v>-1</v>
      </c>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c r="BZ279" s="39"/>
      <c r="CA279" s="39"/>
      <c r="CB279" s="39"/>
      <c r="CC279" s="39"/>
      <c r="CD279" s="39"/>
      <c r="CE279" s="39"/>
      <c r="CF279" s="39"/>
      <c r="CG279" s="39"/>
      <c r="CH279" s="39"/>
      <c r="CI279" s="39"/>
      <c r="CJ279" s="39"/>
      <c r="CK279" s="39"/>
      <c r="CL279" s="39"/>
      <c r="CM279" s="39"/>
      <c r="CN279" s="39"/>
      <c r="CO279" s="39"/>
      <c r="CP279" s="39"/>
      <c r="CQ279" s="39"/>
      <c r="CR279" s="39"/>
      <c r="CS279" s="39"/>
      <c r="CT279" s="39"/>
      <c r="CU279" s="39"/>
      <c r="CV279" s="39"/>
      <c r="CW279" s="39"/>
      <c r="CX279" s="39"/>
      <c r="CY279" s="39"/>
      <c r="CZ279" s="48"/>
      <c r="DA279" s="48"/>
      <c r="DB279" s="48"/>
      <c r="DC279" s="48"/>
      <c r="DD279" s="48"/>
      <c r="DE279" s="48"/>
      <c r="DF279" s="48"/>
      <c r="DG279" s="48"/>
      <c r="DH279" s="48"/>
      <c r="DI279" s="48"/>
      <c r="DJ279" s="48"/>
      <c r="DK279" s="48"/>
      <c r="DL279" s="48"/>
      <c r="DM279" s="48"/>
      <c r="DN279" s="48"/>
      <c r="DO279" s="48"/>
      <c r="DP279" s="48"/>
      <c r="DQ279" s="48"/>
      <c r="DR279" s="48"/>
      <c r="DS279" s="48"/>
      <c r="DT279" s="48"/>
      <c r="DU279" s="48"/>
      <c r="DV279" s="48"/>
      <c r="DW279" s="48"/>
      <c r="DX279" s="48"/>
      <c r="DY279" s="48"/>
      <c r="DZ279" s="48"/>
      <c r="EA279" s="48"/>
      <c r="EB279" s="48"/>
      <c r="EC279" s="48"/>
      <c r="ED279" s="48"/>
    </row>
    <row r="280" spans="1:134" ht="11.25" customHeight="1" x14ac:dyDescent="0.3">
      <c r="A280" s="28" t="e">
        <f t="array" aca="1" ref="A280" ca="1">_xludf.XLOOKUP(S280,Master_Registrations!P:P,Master_Registrations!A:A,"")</f>
        <v>#NAME?</v>
      </c>
      <c r="B280" s="39" t="s">
        <v>7050</v>
      </c>
      <c r="C280" s="39">
        <v>2026</v>
      </c>
      <c r="D280" s="39" t="s">
        <v>4886</v>
      </c>
      <c r="E280" s="39">
        <v>8</v>
      </c>
      <c r="F280" s="40" t="str">
        <f t="shared" si="6"/>
        <v>VED-02-2026-GR-8</v>
      </c>
      <c r="G280" s="39" t="s">
        <v>7065</v>
      </c>
      <c r="H280" s="39" t="s">
        <v>7066</v>
      </c>
      <c r="I280" s="39"/>
      <c r="J280" s="39" t="s">
        <v>198</v>
      </c>
      <c r="K280" s="52"/>
      <c r="L280" s="52"/>
      <c r="M280" s="52"/>
      <c r="N280" s="39" t="s">
        <v>856</v>
      </c>
      <c r="O280" s="39" t="s">
        <v>3570</v>
      </c>
      <c r="P280" s="39" t="s">
        <v>3571</v>
      </c>
      <c r="Q280" s="39" t="e">
        <f t="shared" ca="1" si="5"/>
        <v>#NAME?</v>
      </c>
      <c r="R280" s="39" t="s">
        <v>316</v>
      </c>
      <c r="S280" s="50">
        <v>6025827105</v>
      </c>
      <c r="T280" s="40" t="s">
        <v>474</v>
      </c>
      <c r="U280" s="39">
        <v>1987</v>
      </c>
      <c r="V280" s="44">
        <v>2</v>
      </c>
      <c r="W280" s="44">
        <v>2</v>
      </c>
      <c r="X280" s="44">
        <v>2</v>
      </c>
      <c r="Y280" s="44">
        <v>2</v>
      </c>
      <c r="Z280" s="44">
        <v>2</v>
      </c>
      <c r="AA280" s="44">
        <v>2</v>
      </c>
      <c r="AB280" s="44">
        <v>2</v>
      </c>
      <c r="AC280" s="44">
        <v>-1</v>
      </c>
      <c r="AD280" s="45">
        <v>-1</v>
      </c>
      <c r="AE280" s="44">
        <v>1</v>
      </c>
      <c r="AF280" s="44">
        <v>1</v>
      </c>
      <c r="AG280" s="44">
        <v>1</v>
      </c>
      <c r="AH280" s="44">
        <v>1</v>
      </c>
      <c r="AI280" s="45">
        <v>-1</v>
      </c>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c r="BZ280" s="39"/>
      <c r="CA280" s="39"/>
      <c r="CB280" s="39"/>
      <c r="CC280" s="39"/>
      <c r="CD280" s="39"/>
      <c r="CE280" s="39"/>
      <c r="CF280" s="39"/>
      <c r="CG280" s="39"/>
      <c r="CH280" s="39"/>
      <c r="CI280" s="39"/>
      <c r="CJ280" s="39"/>
      <c r="CK280" s="39"/>
      <c r="CL280" s="39"/>
      <c r="CM280" s="39"/>
      <c r="CN280" s="39"/>
      <c r="CO280" s="39"/>
      <c r="CP280" s="39"/>
      <c r="CQ280" s="39"/>
      <c r="CR280" s="39"/>
      <c r="CS280" s="39"/>
      <c r="CT280" s="39"/>
      <c r="CU280" s="39"/>
      <c r="CV280" s="39"/>
      <c r="CW280" s="39"/>
      <c r="CX280" s="39"/>
      <c r="CY280" s="39"/>
      <c r="CZ280" s="48"/>
      <c r="DA280" s="48"/>
      <c r="DB280" s="48"/>
      <c r="DC280" s="48"/>
      <c r="DD280" s="48"/>
      <c r="DE280" s="48"/>
      <c r="DF280" s="48"/>
      <c r="DG280" s="48"/>
      <c r="DH280" s="48"/>
      <c r="DI280" s="48"/>
      <c r="DJ280" s="48"/>
      <c r="DK280" s="48"/>
      <c r="DL280" s="48"/>
      <c r="DM280" s="48"/>
      <c r="DN280" s="48"/>
      <c r="DO280" s="48"/>
      <c r="DP280" s="48"/>
      <c r="DQ280" s="48"/>
      <c r="DR280" s="48"/>
      <c r="DS280" s="48"/>
      <c r="DT280" s="48"/>
      <c r="DU280" s="48"/>
      <c r="DV280" s="48"/>
      <c r="DW280" s="48"/>
      <c r="DX280" s="48"/>
      <c r="DY280" s="48"/>
      <c r="DZ280" s="48"/>
      <c r="EA280" s="48"/>
      <c r="EB280" s="48"/>
      <c r="EC280" s="48"/>
      <c r="ED280" s="48"/>
    </row>
    <row r="281" spans="1:134" ht="11.25" customHeight="1" x14ac:dyDescent="0.3">
      <c r="A281" s="28" t="e">
        <f t="array" aca="1" ref="A281" ca="1">_xludf.XLOOKUP(S281,Master_Registrations!P:P,Master_Registrations!A:A,"")</f>
        <v>#NAME?</v>
      </c>
      <c r="B281" s="28" t="s">
        <v>3302</v>
      </c>
      <c r="C281" s="28">
        <v>2026</v>
      </c>
      <c r="D281" s="28" t="s">
        <v>4886</v>
      </c>
      <c r="E281" s="28">
        <v>1</v>
      </c>
      <c r="F281" s="29" t="str">
        <f t="shared" si="6"/>
        <v>VED-03-2026-GR-1</v>
      </c>
      <c r="G281" s="28" t="s">
        <v>7067</v>
      </c>
      <c r="H281" s="28" t="s">
        <v>7068</v>
      </c>
      <c r="I281" s="28" t="s">
        <v>7069</v>
      </c>
      <c r="J281" s="28" t="s">
        <v>198</v>
      </c>
      <c r="K281" s="38"/>
      <c r="L281" s="38"/>
      <c r="M281" s="38"/>
      <c r="N281" s="28" t="s">
        <v>200</v>
      </c>
      <c r="O281" s="28" t="s">
        <v>3921</v>
      </c>
      <c r="P281" s="28" t="s">
        <v>6413</v>
      </c>
      <c r="Q281" s="28" t="e">
        <f t="shared" ca="1" si="5"/>
        <v>#NAME?</v>
      </c>
      <c r="R281" s="28" t="s">
        <v>112</v>
      </c>
      <c r="S281" s="55">
        <v>8297222622</v>
      </c>
      <c r="T281" s="29" t="s">
        <v>111</v>
      </c>
      <c r="U281" s="28">
        <v>1980</v>
      </c>
      <c r="V281" s="35">
        <v>2</v>
      </c>
      <c r="W281" s="35">
        <v>2</v>
      </c>
      <c r="X281" s="35">
        <v>2</v>
      </c>
      <c r="Y281" s="35">
        <v>2</v>
      </c>
      <c r="Z281" s="35">
        <v>2</v>
      </c>
      <c r="AA281" s="35">
        <v>2</v>
      </c>
      <c r="AB281" s="35">
        <v>2</v>
      </c>
      <c r="AC281" s="35">
        <v>2</v>
      </c>
      <c r="AD281" s="35">
        <v>2</v>
      </c>
      <c r="AE281" s="35">
        <v>2</v>
      </c>
      <c r="AF281" s="35">
        <v>2</v>
      </c>
      <c r="AG281" s="35">
        <v>2</v>
      </c>
      <c r="AH281" s="35">
        <v>2</v>
      </c>
      <c r="AI281" s="35">
        <v>4</v>
      </c>
      <c r="AJ281" s="35">
        <v>1</v>
      </c>
      <c r="AK281" s="35">
        <v>1</v>
      </c>
      <c r="AL281" s="35">
        <v>1</v>
      </c>
      <c r="AM281" s="33">
        <v>-1</v>
      </c>
      <c r="AN281" s="33">
        <v>-1</v>
      </c>
      <c r="AO281" s="33">
        <v>-1</v>
      </c>
      <c r="AP281" s="33">
        <v>-1</v>
      </c>
      <c r="AQ281" s="33">
        <v>-1</v>
      </c>
      <c r="AR281" s="33">
        <v>-1</v>
      </c>
      <c r="AS281" s="33">
        <v>-1</v>
      </c>
      <c r="AT281" s="33">
        <v>-1</v>
      </c>
      <c r="AU281" s="33">
        <v>-1</v>
      </c>
      <c r="AV281" s="33">
        <v>-1</v>
      </c>
      <c r="AW281" s="33">
        <v>-1</v>
      </c>
      <c r="AX281" s="33">
        <v>-1</v>
      </c>
      <c r="AY281" s="33">
        <v>-1</v>
      </c>
      <c r="AZ281" s="33"/>
      <c r="BA281" s="33"/>
      <c r="BB281" s="33"/>
      <c r="BC281" s="33"/>
      <c r="BD281" s="33"/>
      <c r="BE281" s="33"/>
      <c r="BF281" s="33"/>
      <c r="BG281" s="33"/>
      <c r="BH281" s="33"/>
      <c r="BI281" s="33"/>
      <c r="BJ281" s="33"/>
      <c r="BK281" s="33"/>
      <c r="BL281" s="33"/>
      <c r="BM281" s="33"/>
      <c r="BN281" s="28"/>
      <c r="BO281" s="28"/>
      <c r="BP281" s="28"/>
      <c r="BQ281" s="28"/>
      <c r="BR281" s="28"/>
      <c r="BS281" s="28"/>
      <c r="BT281" s="28"/>
      <c r="BU281" s="28"/>
      <c r="BV281" s="28"/>
      <c r="BW281" s="28"/>
      <c r="BX281" s="28"/>
      <c r="BY281" s="28"/>
      <c r="BZ281" s="28"/>
      <c r="CA281" s="28"/>
      <c r="CB281" s="28"/>
      <c r="CC281" s="28"/>
      <c r="CD281" s="28"/>
      <c r="CE281" s="28"/>
      <c r="CF281" s="28"/>
      <c r="CG281" s="28"/>
      <c r="CH281" s="28"/>
      <c r="CI281" s="28"/>
      <c r="CJ281" s="28"/>
      <c r="CK281" s="28"/>
      <c r="CL281" s="28"/>
      <c r="CM281" s="28"/>
      <c r="CN281" s="28"/>
      <c r="CO281" s="28"/>
      <c r="CP281" s="28"/>
      <c r="CQ281" s="28"/>
      <c r="CR281" s="28"/>
      <c r="CS281" s="28"/>
      <c r="CT281" s="28"/>
      <c r="CU281" s="28"/>
      <c r="CV281" s="28"/>
      <c r="CW281" s="28"/>
      <c r="CX281" s="28"/>
      <c r="CY281" s="28"/>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c r="DZ281" s="34"/>
      <c r="EA281" s="34"/>
      <c r="EB281" s="34"/>
      <c r="EC281" s="34"/>
      <c r="ED281" s="34"/>
    </row>
    <row r="282" spans="1:134" ht="11.25" customHeight="1" x14ac:dyDescent="0.3">
      <c r="A282" s="28" t="e">
        <f t="array" aca="1" ref="A282" ca="1">_xludf.XLOOKUP(S282,Master_Registrations!P:P,Master_Registrations!A:A,"")</f>
        <v>#NAME?</v>
      </c>
      <c r="B282" s="28" t="s">
        <v>3302</v>
      </c>
      <c r="C282" s="28">
        <v>2026</v>
      </c>
      <c r="D282" s="28" t="s">
        <v>4886</v>
      </c>
      <c r="E282" s="28">
        <v>1</v>
      </c>
      <c r="F282" s="29" t="str">
        <f t="shared" si="6"/>
        <v>VED-03-2026-GR-1</v>
      </c>
      <c r="G282" s="28" t="s">
        <v>7067</v>
      </c>
      <c r="H282" s="28" t="s">
        <v>7068</v>
      </c>
      <c r="I282" s="28" t="s">
        <v>7069</v>
      </c>
      <c r="J282" s="28" t="s">
        <v>198</v>
      </c>
      <c r="K282" s="38"/>
      <c r="L282" s="38"/>
      <c r="M282" s="38"/>
      <c r="N282" s="28" t="s">
        <v>299</v>
      </c>
      <c r="O282" s="28" t="s">
        <v>1785</v>
      </c>
      <c r="P282" s="28" t="s">
        <v>1786</v>
      </c>
      <c r="Q282" s="28" t="e">
        <f t="shared" ca="1" si="5"/>
        <v>#NAME?</v>
      </c>
      <c r="R282" s="28" t="s">
        <v>316</v>
      </c>
      <c r="S282" s="55">
        <v>5129152285</v>
      </c>
      <c r="T282" s="29" t="s">
        <v>315</v>
      </c>
      <c r="U282" s="28">
        <v>1983</v>
      </c>
      <c r="V282" s="35">
        <v>2</v>
      </c>
      <c r="W282" s="35">
        <v>2</v>
      </c>
      <c r="X282" s="35">
        <v>2</v>
      </c>
      <c r="Y282" s="35">
        <v>2</v>
      </c>
      <c r="Z282" s="35">
        <v>2</v>
      </c>
      <c r="AA282" s="35">
        <v>2</v>
      </c>
      <c r="AB282" s="35">
        <v>2</v>
      </c>
      <c r="AC282" s="35">
        <v>2</v>
      </c>
      <c r="AD282" s="35">
        <v>2</v>
      </c>
      <c r="AE282" s="35">
        <v>2</v>
      </c>
      <c r="AF282" s="35">
        <v>2</v>
      </c>
      <c r="AG282" s="35">
        <v>2</v>
      </c>
      <c r="AH282" s="35">
        <v>2</v>
      </c>
      <c r="AI282" s="35">
        <v>4</v>
      </c>
      <c r="AJ282" s="35">
        <v>1</v>
      </c>
      <c r="AK282" s="35">
        <v>1</v>
      </c>
      <c r="AL282" s="35">
        <v>1</v>
      </c>
      <c r="AM282" s="33">
        <v>-1</v>
      </c>
      <c r="AN282" s="33">
        <v>-1</v>
      </c>
      <c r="AO282" s="33">
        <v>-1</v>
      </c>
      <c r="AP282" s="33">
        <v>-1</v>
      </c>
      <c r="AQ282" s="33">
        <v>-1</v>
      </c>
      <c r="AR282" s="33">
        <v>-1</v>
      </c>
      <c r="AS282" s="33">
        <v>-1</v>
      </c>
      <c r="AT282" s="33">
        <v>-1</v>
      </c>
      <c r="AU282" s="33">
        <v>-1</v>
      </c>
      <c r="AV282" s="33">
        <v>-1</v>
      </c>
      <c r="AW282" s="33">
        <v>-1</v>
      </c>
      <c r="AX282" s="33">
        <v>-1</v>
      </c>
      <c r="AY282" s="33">
        <v>-1</v>
      </c>
      <c r="AZ282" s="33"/>
      <c r="BA282" s="33"/>
      <c r="BB282" s="33"/>
      <c r="BC282" s="33"/>
      <c r="BD282" s="33"/>
      <c r="BE282" s="33"/>
      <c r="BF282" s="33"/>
      <c r="BG282" s="33"/>
      <c r="BH282" s="33"/>
      <c r="BI282" s="33"/>
      <c r="BJ282" s="33"/>
      <c r="BK282" s="33"/>
      <c r="BL282" s="33"/>
      <c r="BM282" s="33"/>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c r="CR282" s="28"/>
      <c r="CS282" s="28"/>
      <c r="CT282" s="28"/>
      <c r="CU282" s="28"/>
      <c r="CV282" s="28"/>
      <c r="CW282" s="28"/>
      <c r="CX282" s="28"/>
      <c r="CY282" s="28"/>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row>
    <row r="283" spans="1:134" ht="11.25" customHeight="1" x14ac:dyDescent="0.3">
      <c r="A283" s="28" t="e">
        <f t="array" aca="1" ref="A283" ca="1">_xludf.XLOOKUP(S283,Master_Registrations!P:P,Master_Registrations!A:A,"")</f>
        <v>#NAME?</v>
      </c>
      <c r="B283" s="28" t="s">
        <v>3302</v>
      </c>
      <c r="C283" s="28">
        <v>2026</v>
      </c>
      <c r="D283" s="28" t="s">
        <v>4886</v>
      </c>
      <c r="E283" s="28">
        <v>1</v>
      </c>
      <c r="F283" s="29" t="str">
        <f t="shared" si="6"/>
        <v>VED-03-2026-GR-1</v>
      </c>
      <c r="G283" s="28" t="s">
        <v>7067</v>
      </c>
      <c r="H283" s="28" t="s">
        <v>7068</v>
      </c>
      <c r="I283" s="28" t="s">
        <v>7069</v>
      </c>
      <c r="J283" s="28" t="s">
        <v>198</v>
      </c>
      <c r="K283" s="38"/>
      <c r="L283" s="38"/>
      <c r="M283" s="38"/>
      <c r="N283" s="28" t="s">
        <v>369</v>
      </c>
      <c r="O283" s="28" t="s">
        <v>624</v>
      </c>
      <c r="P283" s="28" t="s">
        <v>6535</v>
      </c>
      <c r="Q283" s="28" t="e">
        <f t="shared" ca="1" si="5"/>
        <v>#NAME?</v>
      </c>
      <c r="R283" s="28" t="s">
        <v>316</v>
      </c>
      <c r="S283" s="55">
        <v>5127511182</v>
      </c>
      <c r="T283" s="29" t="s">
        <v>315</v>
      </c>
      <c r="U283" s="28">
        <v>1971</v>
      </c>
      <c r="V283" s="35">
        <v>2</v>
      </c>
      <c r="W283" s="35">
        <v>2</v>
      </c>
      <c r="X283" s="35">
        <v>2</v>
      </c>
      <c r="Y283" s="35">
        <v>2</v>
      </c>
      <c r="Z283" s="35">
        <v>2</v>
      </c>
      <c r="AA283" s="35">
        <v>2</v>
      </c>
      <c r="AB283" s="35">
        <v>2</v>
      </c>
      <c r="AC283" s="35">
        <v>2</v>
      </c>
      <c r="AD283" s="35">
        <v>2</v>
      </c>
      <c r="AE283" s="35">
        <v>2</v>
      </c>
      <c r="AF283" s="35">
        <v>2</v>
      </c>
      <c r="AG283" s="35">
        <v>2</v>
      </c>
      <c r="AH283" s="35">
        <v>2</v>
      </c>
      <c r="AI283" s="35">
        <v>4</v>
      </c>
      <c r="AJ283" s="35">
        <v>1</v>
      </c>
      <c r="AK283" s="35">
        <v>1</v>
      </c>
      <c r="AL283" s="35">
        <v>1</v>
      </c>
      <c r="AM283" s="33">
        <v>-1</v>
      </c>
      <c r="AN283" s="33">
        <v>-1</v>
      </c>
      <c r="AO283" s="33">
        <v>-1</v>
      </c>
      <c r="AP283" s="33">
        <v>-1</v>
      </c>
      <c r="AQ283" s="33">
        <v>-1</v>
      </c>
      <c r="AR283" s="33">
        <v>-1</v>
      </c>
      <c r="AS283" s="33">
        <v>-1</v>
      </c>
      <c r="AT283" s="33">
        <v>-1</v>
      </c>
      <c r="AU283" s="33">
        <v>-1</v>
      </c>
      <c r="AV283" s="33">
        <v>-1</v>
      </c>
      <c r="AW283" s="33">
        <v>-1</v>
      </c>
      <c r="AX283" s="33">
        <v>-1</v>
      </c>
      <c r="AY283" s="33">
        <v>-1</v>
      </c>
      <c r="AZ283" s="33"/>
      <c r="BA283" s="33"/>
      <c r="BB283" s="33"/>
      <c r="BC283" s="33"/>
      <c r="BD283" s="33"/>
      <c r="BE283" s="33"/>
      <c r="BF283" s="33"/>
      <c r="BG283" s="33"/>
      <c r="BH283" s="33"/>
      <c r="BI283" s="33"/>
      <c r="BJ283" s="33"/>
      <c r="BK283" s="33"/>
      <c r="BL283" s="33"/>
      <c r="BM283" s="33"/>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c r="DW283" s="34"/>
      <c r="DX283" s="34"/>
      <c r="DY283" s="34"/>
      <c r="DZ283" s="34"/>
      <c r="EA283" s="34"/>
      <c r="EB283" s="34"/>
      <c r="EC283" s="34"/>
      <c r="ED283" s="34"/>
    </row>
    <row r="284" spans="1:134" ht="11.25" customHeight="1" x14ac:dyDescent="0.3">
      <c r="A284" s="28" t="e">
        <f t="array" aca="1" ref="A284" ca="1">_xludf.XLOOKUP(S284,Master_Registrations!P:P,Master_Registrations!A:A,"")</f>
        <v>#NAME?</v>
      </c>
      <c r="B284" s="28" t="s">
        <v>3302</v>
      </c>
      <c r="C284" s="28">
        <v>2026</v>
      </c>
      <c r="D284" s="28" t="s">
        <v>4886</v>
      </c>
      <c r="E284" s="28">
        <v>1</v>
      </c>
      <c r="F284" s="29" t="str">
        <f t="shared" si="6"/>
        <v>VED-03-2026-GR-1</v>
      </c>
      <c r="G284" s="28" t="s">
        <v>7067</v>
      </c>
      <c r="H284" s="28" t="s">
        <v>7068</v>
      </c>
      <c r="I284" s="28" t="s">
        <v>7069</v>
      </c>
      <c r="J284" s="28" t="s">
        <v>198</v>
      </c>
      <c r="K284" s="38"/>
      <c r="L284" s="38"/>
      <c r="M284" s="38"/>
      <c r="N284" s="28" t="s">
        <v>434</v>
      </c>
      <c r="O284" s="28" t="s">
        <v>6836</v>
      </c>
      <c r="P284" s="28" t="s">
        <v>3625</v>
      </c>
      <c r="Q284" s="28" t="e">
        <f t="shared" ca="1" si="5"/>
        <v>#NAME?</v>
      </c>
      <c r="R284" s="28" t="s">
        <v>316</v>
      </c>
      <c r="S284" s="55">
        <v>4128198863</v>
      </c>
      <c r="T284" s="29" t="s">
        <v>315</v>
      </c>
      <c r="U284" s="28">
        <v>1991</v>
      </c>
      <c r="V284" s="35">
        <v>2</v>
      </c>
      <c r="W284" s="35">
        <v>2</v>
      </c>
      <c r="X284" s="35">
        <v>2</v>
      </c>
      <c r="Y284" s="35">
        <v>2</v>
      </c>
      <c r="Z284" s="35">
        <v>2</v>
      </c>
      <c r="AA284" s="35">
        <v>2</v>
      </c>
      <c r="AB284" s="35">
        <v>2</v>
      </c>
      <c r="AC284" s="35">
        <v>2</v>
      </c>
      <c r="AD284" s="35">
        <v>2</v>
      </c>
      <c r="AE284" s="35">
        <v>2</v>
      </c>
      <c r="AF284" s="35">
        <v>2</v>
      </c>
      <c r="AG284" s="35">
        <v>2</v>
      </c>
      <c r="AH284" s="35">
        <v>2</v>
      </c>
      <c r="AI284" s="35">
        <v>4</v>
      </c>
      <c r="AJ284" s="35">
        <v>1</v>
      </c>
      <c r="AK284" s="35">
        <v>1</v>
      </c>
      <c r="AL284" s="35">
        <v>1</v>
      </c>
      <c r="AM284" s="33">
        <v>-1</v>
      </c>
      <c r="AN284" s="33">
        <v>-1</v>
      </c>
      <c r="AO284" s="33">
        <v>-1</v>
      </c>
      <c r="AP284" s="33">
        <v>-1</v>
      </c>
      <c r="AQ284" s="33">
        <v>-1</v>
      </c>
      <c r="AR284" s="33">
        <v>-1</v>
      </c>
      <c r="AS284" s="33">
        <v>-1</v>
      </c>
      <c r="AT284" s="33">
        <v>-1</v>
      </c>
      <c r="AU284" s="33">
        <v>-1</v>
      </c>
      <c r="AV284" s="33">
        <v>-1</v>
      </c>
      <c r="AW284" s="33">
        <v>-1</v>
      </c>
      <c r="AX284" s="33">
        <v>-1</v>
      </c>
      <c r="AY284" s="33">
        <v>-1</v>
      </c>
      <c r="AZ284" s="33"/>
      <c r="BA284" s="33"/>
      <c r="BB284" s="33"/>
      <c r="BC284" s="33"/>
      <c r="BD284" s="33"/>
      <c r="BE284" s="33"/>
      <c r="BF284" s="33"/>
      <c r="BG284" s="33"/>
      <c r="BH284" s="33"/>
      <c r="BI284" s="33"/>
      <c r="BJ284" s="33"/>
      <c r="BK284" s="33"/>
      <c r="BL284" s="33"/>
      <c r="BM284" s="33"/>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c r="CR284" s="28"/>
      <c r="CS284" s="28"/>
      <c r="CT284" s="28"/>
      <c r="CU284" s="28"/>
      <c r="CV284" s="28"/>
      <c r="CW284" s="28"/>
      <c r="CX284" s="28"/>
      <c r="CY284" s="28"/>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c r="DZ284" s="34"/>
      <c r="EA284" s="34"/>
      <c r="EB284" s="34"/>
      <c r="EC284" s="34"/>
      <c r="ED284" s="34"/>
    </row>
    <row r="285" spans="1:134" ht="11.25" customHeight="1" x14ac:dyDescent="0.3">
      <c r="A285" s="28" t="e">
        <f t="array" aca="1" ref="A285" ca="1">_xludf.XLOOKUP(S285,Master_Registrations!P:P,Master_Registrations!A:A,"")</f>
        <v>#NAME?</v>
      </c>
      <c r="B285" s="28" t="s">
        <v>3302</v>
      </c>
      <c r="C285" s="28">
        <v>2026</v>
      </c>
      <c r="D285" s="28" t="s">
        <v>4886</v>
      </c>
      <c r="E285" s="28">
        <v>1</v>
      </c>
      <c r="F285" s="29" t="str">
        <f t="shared" si="6"/>
        <v>VED-03-2026-GR-1</v>
      </c>
      <c r="G285" s="28" t="s">
        <v>7067</v>
      </c>
      <c r="H285" s="28" t="s">
        <v>7068</v>
      </c>
      <c r="I285" s="28" t="s">
        <v>7069</v>
      </c>
      <c r="J285" s="28" t="s">
        <v>198</v>
      </c>
      <c r="K285" s="37"/>
      <c r="L285" s="38"/>
      <c r="M285" s="37"/>
      <c r="N285" s="28" t="s">
        <v>525</v>
      </c>
      <c r="O285" s="28" t="s">
        <v>3058</v>
      </c>
      <c r="P285" s="28" t="s">
        <v>6841</v>
      </c>
      <c r="Q285" s="28" t="e">
        <f t="shared" ca="1" si="5"/>
        <v>#NAME?</v>
      </c>
      <c r="R285" s="28" t="s">
        <v>316</v>
      </c>
      <c r="S285" s="55">
        <v>4806124302</v>
      </c>
      <c r="T285" s="29" t="s">
        <v>315</v>
      </c>
      <c r="U285" s="28">
        <v>1995</v>
      </c>
      <c r="V285" s="33">
        <v>-1</v>
      </c>
      <c r="W285" s="33">
        <v>-1</v>
      </c>
      <c r="X285" s="35">
        <v>2</v>
      </c>
      <c r="Y285" s="35">
        <v>2</v>
      </c>
      <c r="Z285" s="35">
        <v>2</v>
      </c>
      <c r="AA285" s="35">
        <v>2</v>
      </c>
      <c r="AB285" s="33">
        <v>-1</v>
      </c>
      <c r="AC285" s="35">
        <v>1</v>
      </c>
      <c r="AD285" s="35">
        <v>1</v>
      </c>
      <c r="AE285" s="33">
        <v>-1</v>
      </c>
      <c r="AF285" s="33">
        <v>-1</v>
      </c>
      <c r="AG285" s="33">
        <v>-1</v>
      </c>
      <c r="AH285" s="33">
        <v>-1</v>
      </c>
      <c r="AI285" s="33">
        <v>-1</v>
      </c>
      <c r="AJ285" s="35">
        <v>1</v>
      </c>
      <c r="AK285" s="35">
        <v>1</v>
      </c>
      <c r="AL285" s="35">
        <v>1</v>
      </c>
      <c r="AM285" s="33">
        <v>-1</v>
      </c>
      <c r="AN285" s="33">
        <v>-1</v>
      </c>
      <c r="AO285" s="33">
        <v>-1</v>
      </c>
      <c r="AP285" s="33">
        <v>-1</v>
      </c>
      <c r="AQ285" s="33">
        <v>-1</v>
      </c>
      <c r="AR285" s="33">
        <v>-1</v>
      </c>
      <c r="AS285" s="33">
        <v>-1</v>
      </c>
      <c r="AT285" s="33">
        <v>-1</v>
      </c>
      <c r="AU285" s="33">
        <v>-1</v>
      </c>
      <c r="AV285" s="33">
        <v>-1</v>
      </c>
      <c r="AW285" s="33">
        <v>-1</v>
      </c>
      <c r="AX285" s="33">
        <v>-1</v>
      </c>
      <c r="AY285" s="33">
        <v>-1</v>
      </c>
      <c r="AZ285" s="33"/>
      <c r="BA285" s="33"/>
      <c r="BB285" s="33"/>
      <c r="BC285" s="33"/>
      <c r="BD285" s="33"/>
      <c r="BE285" s="33"/>
      <c r="BF285" s="33"/>
      <c r="BG285" s="33"/>
      <c r="BH285" s="33"/>
      <c r="BI285" s="33"/>
      <c r="BJ285" s="33"/>
      <c r="BK285" s="33"/>
      <c r="BL285" s="33"/>
      <c r="BM285" s="33"/>
      <c r="BN285" s="28"/>
      <c r="BO285" s="28"/>
      <c r="BP285" s="28"/>
      <c r="BQ285" s="28"/>
      <c r="BR285" s="28"/>
      <c r="BS285" s="28"/>
      <c r="BT285" s="28"/>
      <c r="BU285" s="28"/>
      <c r="BV285" s="28"/>
      <c r="BW285" s="28"/>
      <c r="BX285" s="28"/>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c r="DW285" s="34"/>
      <c r="DX285" s="34"/>
      <c r="DY285" s="34"/>
      <c r="DZ285" s="34"/>
      <c r="EA285" s="34"/>
      <c r="EB285" s="34"/>
      <c r="EC285" s="34"/>
      <c r="ED285" s="34"/>
    </row>
    <row r="286" spans="1:134" ht="11.25" customHeight="1" x14ac:dyDescent="0.3">
      <c r="A286" s="28" t="e">
        <f t="array" aca="1" ref="A286" ca="1">_xludf.XLOOKUP(S286,Master_Registrations!P:P,Master_Registrations!A:A,"")</f>
        <v>#NAME?</v>
      </c>
      <c r="B286" s="28" t="s">
        <v>3302</v>
      </c>
      <c r="C286" s="28">
        <v>2026</v>
      </c>
      <c r="D286" s="28" t="s">
        <v>4886</v>
      </c>
      <c r="E286" s="28">
        <v>1</v>
      </c>
      <c r="F286" s="29" t="str">
        <f t="shared" si="6"/>
        <v>VED-03-2026-GR-1</v>
      </c>
      <c r="G286" s="28" t="s">
        <v>7067</v>
      </c>
      <c r="H286" s="28" t="s">
        <v>7068</v>
      </c>
      <c r="I286" s="28" t="s">
        <v>7069</v>
      </c>
      <c r="J286" s="28" t="s">
        <v>198</v>
      </c>
      <c r="K286" s="38"/>
      <c r="L286" s="38"/>
      <c r="M286" s="38"/>
      <c r="N286" s="28" t="s">
        <v>621</v>
      </c>
      <c r="O286" s="28" t="s">
        <v>1034</v>
      </c>
      <c r="P286" s="28" t="s">
        <v>6752</v>
      </c>
      <c r="Q286" s="28" t="e">
        <f t="shared" ca="1" si="5"/>
        <v>#NAME?</v>
      </c>
      <c r="R286" s="28" t="s">
        <v>112</v>
      </c>
      <c r="S286" s="55">
        <v>9160750001</v>
      </c>
      <c r="T286" s="29" t="s">
        <v>111</v>
      </c>
      <c r="U286" s="28">
        <v>1984</v>
      </c>
      <c r="V286" s="35">
        <v>2</v>
      </c>
      <c r="W286" s="35">
        <v>2</v>
      </c>
      <c r="X286" s="35">
        <v>2</v>
      </c>
      <c r="Y286" s="35">
        <v>2</v>
      </c>
      <c r="Z286" s="35">
        <v>2</v>
      </c>
      <c r="AA286" s="35">
        <v>2</v>
      </c>
      <c r="AB286" s="35">
        <v>2</v>
      </c>
      <c r="AC286" s="35">
        <v>2</v>
      </c>
      <c r="AD286" s="35">
        <v>2</v>
      </c>
      <c r="AE286" s="35">
        <v>2</v>
      </c>
      <c r="AF286" s="35">
        <v>2</v>
      </c>
      <c r="AG286" s="35">
        <v>2</v>
      </c>
      <c r="AH286" s="35">
        <v>2</v>
      </c>
      <c r="AI286" s="35">
        <v>4</v>
      </c>
      <c r="AJ286" s="35">
        <v>1</v>
      </c>
      <c r="AK286" s="35">
        <v>1</v>
      </c>
      <c r="AL286" s="35">
        <v>1</v>
      </c>
      <c r="AM286" s="33">
        <v>-1</v>
      </c>
      <c r="AN286" s="33">
        <v>-1</v>
      </c>
      <c r="AO286" s="33">
        <v>-1</v>
      </c>
      <c r="AP286" s="33">
        <v>-1</v>
      </c>
      <c r="AQ286" s="33">
        <v>-1</v>
      </c>
      <c r="AR286" s="33">
        <v>-1</v>
      </c>
      <c r="AS286" s="33">
        <v>-1</v>
      </c>
      <c r="AT286" s="33">
        <v>-1</v>
      </c>
      <c r="AU286" s="33">
        <v>-1</v>
      </c>
      <c r="AV286" s="33">
        <v>-1</v>
      </c>
      <c r="AW286" s="33">
        <v>-1</v>
      </c>
      <c r="AX286" s="33">
        <v>-1</v>
      </c>
      <c r="AY286" s="33">
        <v>-1</v>
      </c>
      <c r="AZ286" s="33"/>
      <c r="BA286" s="33"/>
      <c r="BB286" s="33"/>
      <c r="BC286" s="33"/>
      <c r="BD286" s="33"/>
      <c r="BE286" s="33"/>
      <c r="BF286" s="33"/>
      <c r="BG286" s="33"/>
      <c r="BH286" s="33"/>
      <c r="BI286" s="33"/>
      <c r="BJ286" s="33"/>
      <c r="BK286" s="33"/>
      <c r="BL286" s="33"/>
      <c r="BM286" s="33"/>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c r="DZ286" s="34"/>
      <c r="EA286" s="34"/>
      <c r="EB286" s="34"/>
      <c r="EC286" s="34"/>
      <c r="ED286" s="34"/>
    </row>
    <row r="287" spans="1:134" ht="11.25" customHeight="1" x14ac:dyDescent="0.3">
      <c r="A287" s="28" t="e">
        <f t="array" aca="1" ref="A287" ca="1">_xludf.XLOOKUP(S287,Master_Registrations!P:P,Master_Registrations!A:A,"")</f>
        <v>#NAME?</v>
      </c>
      <c r="B287" s="28" t="s">
        <v>3302</v>
      </c>
      <c r="C287" s="28">
        <v>2026</v>
      </c>
      <c r="D287" s="28" t="s">
        <v>4886</v>
      </c>
      <c r="E287" s="28">
        <v>1</v>
      </c>
      <c r="F287" s="29" t="str">
        <f t="shared" si="6"/>
        <v>VED-03-2026-GR-1</v>
      </c>
      <c r="G287" s="28" t="s">
        <v>7067</v>
      </c>
      <c r="H287" s="28" t="s">
        <v>7068</v>
      </c>
      <c r="I287" s="28" t="s">
        <v>7069</v>
      </c>
      <c r="J287" s="28" t="s">
        <v>198</v>
      </c>
      <c r="K287" s="38"/>
      <c r="L287" s="38"/>
      <c r="M287" s="38"/>
      <c r="N287" s="28" t="s">
        <v>714</v>
      </c>
      <c r="O287" s="28" t="s">
        <v>2238</v>
      </c>
      <c r="P287" s="28" t="s">
        <v>2083</v>
      </c>
      <c r="Q287" s="28" t="e">
        <f t="shared" ca="1" si="5"/>
        <v>#NAME?</v>
      </c>
      <c r="R287" s="28" t="s">
        <v>316</v>
      </c>
      <c r="S287" s="55">
        <v>8474945060</v>
      </c>
      <c r="T287" s="29" t="s">
        <v>315</v>
      </c>
      <c r="U287" s="28">
        <v>1984</v>
      </c>
      <c r="V287" s="35">
        <v>2</v>
      </c>
      <c r="W287" s="35">
        <v>2</v>
      </c>
      <c r="X287" s="35">
        <v>2</v>
      </c>
      <c r="Y287" s="35">
        <v>2</v>
      </c>
      <c r="Z287" s="35">
        <v>2</v>
      </c>
      <c r="AA287" s="35">
        <v>2</v>
      </c>
      <c r="AB287" s="35">
        <v>2</v>
      </c>
      <c r="AC287" s="35">
        <v>2</v>
      </c>
      <c r="AD287" s="35">
        <v>2</v>
      </c>
      <c r="AE287" s="35">
        <v>2</v>
      </c>
      <c r="AF287" s="35">
        <v>2</v>
      </c>
      <c r="AG287" s="35">
        <v>2</v>
      </c>
      <c r="AH287" s="35">
        <v>2</v>
      </c>
      <c r="AI287" s="35">
        <v>4</v>
      </c>
      <c r="AJ287" s="35">
        <v>1</v>
      </c>
      <c r="AK287" s="35">
        <v>1</v>
      </c>
      <c r="AL287" s="35">
        <v>1</v>
      </c>
      <c r="AM287" s="33">
        <v>-1</v>
      </c>
      <c r="AN287" s="33">
        <v>-1</v>
      </c>
      <c r="AO287" s="33">
        <v>-1</v>
      </c>
      <c r="AP287" s="33">
        <v>-1</v>
      </c>
      <c r="AQ287" s="33">
        <v>-1</v>
      </c>
      <c r="AR287" s="33">
        <v>-1</v>
      </c>
      <c r="AS287" s="33">
        <v>-1</v>
      </c>
      <c r="AT287" s="33">
        <v>-1</v>
      </c>
      <c r="AU287" s="33">
        <v>-1</v>
      </c>
      <c r="AV287" s="33">
        <v>-1</v>
      </c>
      <c r="AW287" s="33">
        <v>-1</v>
      </c>
      <c r="AX287" s="33">
        <v>-1</v>
      </c>
      <c r="AY287" s="33">
        <v>-1</v>
      </c>
      <c r="AZ287" s="33"/>
      <c r="BA287" s="33"/>
      <c r="BB287" s="33"/>
      <c r="BC287" s="33"/>
      <c r="BD287" s="33"/>
      <c r="BE287" s="33"/>
      <c r="BF287" s="33"/>
      <c r="BG287" s="33"/>
      <c r="BH287" s="33"/>
      <c r="BI287" s="33"/>
      <c r="BJ287" s="33"/>
      <c r="BK287" s="33"/>
      <c r="BL287" s="33"/>
      <c r="BM287" s="33"/>
      <c r="BN287" s="28"/>
      <c r="BO287" s="28"/>
      <c r="BP287" s="28"/>
      <c r="BQ287" s="28"/>
      <c r="BR287" s="28"/>
      <c r="BS287" s="28"/>
      <c r="BT287" s="28"/>
      <c r="BU287" s="28"/>
      <c r="BV287" s="28"/>
      <c r="BW287" s="28"/>
      <c r="BX287" s="28"/>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c r="DZ287" s="34"/>
      <c r="EA287" s="34"/>
      <c r="EB287" s="34"/>
      <c r="EC287" s="34"/>
      <c r="ED287" s="34"/>
    </row>
    <row r="288" spans="1:134" ht="11.25" customHeight="1" x14ac:dyDescent="0.3">
      <c r="A288" s="28" t="e">
        <f t="array" aca="1" ref="A288" ca="1">_xludf.XLOOKUP(S288,Master_Registrations!P:P,Master_Registrations!A:A,"")</f>
        <v>#NAME?</v>
      </c>
      <c r="B288" s="28" t="s">
        <v>3302</v>
      </c>
      <c r="C288" s="28">
        <v>2026</v>
      </c>
      <c r="D288" s="28" t="s">
        <v>4886</v>
      </c>
      <c r="E288" s="28">
        <v>1</v>
      </c>
      <c r="F288" s="29" t="str">
        <f t="shared" si="6"/>
        <v>VED-03-2026-GR-1</v>
      </c>
      <c r="G288" s="28" t="s">
        <v>7067</v>
      </c>
      <c r="H288" s="28" t="s">
        <v>7068</v>
      </c>
      <c r="I288" s="28" t="s">
        <v>7069</v>
      </c>
      <c r="J288" s="28" t="s">
        <v>198</v>
      </c>
      <c r="K288" s="38"/>
      <c r="L288" s="38"/>
      <c r="M288" s="38"/>
      <c r="N288" s="28" t="s">
        <v>786</v>
      </c>
      <c r="O288" s="28" t="s">
        <v>6880</v>
      </c>
      <c r="P288" s="28" t="s">
        <v>3878</v>
      </c>
      <c r="Q288" s="28" t="e">
        <f t="shared" ca="1" si="5"/>
        <v>#NAME?</v>
      </c>
      <c r="R288" s="28" t="s">
        <v>316</v>
      </c>
      <c r="S288" s="55">
        <v>4087845436</v>
      </c>
      <c r="T288" s="29" t="s">
        <v>315</v>
      </c>
      <c r="U288" s="28">
        <v>1987</v>
      </c>
      <c r="V288" s="35">
        <v>2</v>
      </c>
      <c r="W288" s="35">
        <v>2</v>
      </c>
      <c r="X288" s="35">
        <v>2</v>
      </c>
      <c r="Y288" s="35">
        <v>2</v>
      </c>
      <c r="Z288" s="35">
        <v>2</v>
      </c>
      <c r="AA288" s="35">
        <v>2</v>
      </c>
      <c r="AB288" s="35">
        <v>2</v>
      </c>
      <c r="AC288" s="35">
        <v>2</v>
      </c>
      <c r="AD288" s="35">
        <v>2</v>
      </c>
      <c r="AE288" s="35">
        <v>2</v>
      </c>
      <c r="AF288" s="35">
        <v>2</v>
      </c>
      <c r="AG288" s="35">
        <v>2</v>
      </c>
      <c r="AH288" s="35">
        <v>2</v>
      </c>
      <c r="AI288" s="35">
        <v>4</v>
      </c>
      <c r="AJ288" s="35">
        <v>1</v>
      </c>
      <c r="AK288" s="35">
        <v>1</v>
      </c>
      <c r="AL288" s="35">
        <v>1</v>
      </c>
      <c r="AM288" s="33">
        <v>-1</v>
      </c>
      <c r="AN288" s="33">
        <v>-1</v>
      </c>
      <c r="AO288" s="33">
        <v>-1</v>
      </c>
      <c r="AP288" s="33">
        <v>-1</v>
      </c>
      <c r="AQ288" s="33">
        <v>-1</v>
      </c>
      <c r="AR288" s="33">
        <v>-1</v>
      </c>
      <c r="AS288" s="33">
        <v>-1</v>
      </c>
      <c r="AT288" s="33">
        <v>-1</v>
      </c>
      <c r="AU288" s="33">
        <v>-1</v>
      </c>
      <c r="AV288" s="33">
        <v>-1</v>
      </c>
      <c r="AW288" s="33">
        <v>-1</v>
      </c>
      <c r="AX288" s="33">
        <v>-1</v>
      </c>
      <c r="AY288" s="33">
        <v>-1</v>
      </c>
      <c r="AZ288" s="33"/>
      <c r="BA288" s="33"/>
      <c r="BB288" s="33"/>
      <c r="BC288" s="33"/>
      <c r="BD288" s="33"/>
      <c r="BE288" s="33"/>
      <c r="BF288" s="33"/>
      <c r="BG288" s="33"/>
      <c r="BH288" s="33"/>
      <c r="BI288" s="33"/>
      <c r="BJ288" s="33"/>
      <c r="BK288" s="33"/>
      <c r="BL288" s="33"/>
      <c r="BM288" s="33"/>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c r="CR288" s="28"/>
      <c r="CS288" s="28"/>
      <c r="CT288" s="28"/>
      <c r="CU288" s="28"/>
      <c r="CV288" s="28"/>
      <c r="CW288" s="28"/>
      <c r="CX288" s="28"/>
      <c r="CY288" s="28"/>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row>
    <row r="289" spans="1:134" ht="11.25" customHeight="1" x14ac:dyDescent="0.3">
      <c r="A289" s="28" t="e">
        <f t="array" aca="1" ref="A289" ca="1">_xludf.XLOOKUP(S289,Master_Registrations!P:P,Master_Registrations!A:A,"")</f>
        <v>#NAME?</v>
      </c>
      <c r="B289" s="39" t="s">
        <v>3302</v>
      </c>
      <c r="C289" s="39">
        <v>2026</v>
      </c>
      <c r="D289" s="39" t="s">
        <v>4886</v>
      </c>
      <c r="E289" s="39">
        <v>2</v>
      </c>
      <c r="F289" s="40" t="str">
        <f t="shared" si="6"/>
        <v>VED-03-2026-GR-2</v>
      </c>
      <c r="G289" s="39" t="s">
        <v>7070</v>
      </c>
      <c r="H289" s="39" t="s">
        <v>6773</v>
      </c>
      <c r="I289" s="39"/>
      <c r="J289" s="39" t="s">
        <v>198</v>
      </c>
      <c r="K289" s="68">
        <v>-1</v>
      </c>
      <c r="L289" s="52">
        <v>2</v>
      </c>
      <c r="M289" s="52">
        <v>2</v>
      </c>
      <c r="N289" s="39" t="s">
        <v>200</v>
      </c>
      <c r="O289" s="39" t="s">
        <v>1838</v>
      </c>
      <c r="P289" s="39" t="s">
        <v>1839</v>
      </c>
      <c r="Q289" s="39" t="e">
        <f t="shared" ca="1" si="5"/>
        <v>#NAME?</v>
      </c>
      <c r="R289" s="39" t="s">
        <v>112</v>
      </c>
      <c r="S289" s="50">
        <v>9951753976</v>
      </c>
      <c r="T289" s="40" t="s">
        <v>111</v>
      </c>
      <c r="U289" s="39">
        <v>1986</v>
      </c>
      <c r="V289" s="44">
        <v>2</v>
      </c>
      <c r="W289" s="44">
        <v>2</v>
      </c>
      <c r="X289" s="44">
        <v>2</v>
      </c>
      <c r="Y289" s="44">
        <v>2</v>
      </c>
      <c r="Z289" s="44">
        <v>2</v>
      </c>
      <c r="AA289" s="44">
        <v>2</v>
      </c>
      <c r="AB289" s="44">
        <v>2</v>
      </c>
      <c r="AC289" s="44">
        <v>2</v>
      </c>
      <c r="AD289" s="44">
        <v>2</v>
      </c>
      <c r="AE289" s="44">
        <v>2</v>
      </c>
      <c r="AF289" s="44">
        <v>2</v>
      </c>
      <c r="AG289" s="44">
        <v>2</v>
      </c>
      <c r="AH289" s="44">
        <v>2</v>
      </c>
      <c r="AI289" s="45">
        <v>-1</v>
      </c>
      <c r="AJ289" s="44">
        <v>2</v>
      </c>
      <c r="AK289" s="44">
        <v>1</v>
      </c>
      <c r="AL289" s="44">
        <v>1</v>
      </c>
      <c r="AM289" s="44">
        <v>1</v>
      </c>
      <c r="AN289" s="44">
        <v>1</v>
      </c>
      <c r="AO289" s="45">
        <v>-1</v>
      </c>
      <c r="AP289" s="45">
        <v>-1</v>
      </c>
      <c r="AQ289" s="45">
        <v>-1</v>
      </c>
      <c r="AR289" s="45">
        <v>-1</v>
      </c>
      <c r="AS289" s="45">
        <v>-1</v>
      </c>
      <c r="AT289" s="45">
        <v>-1</v>
      </c>
      <c r="AU289" s="45">
        <v>-1</v>
      </c>
      <c r="AV289" s="45">
        <v>-1</v>
      </c>
      <c r="AW289" s="45">
        <v>-1</v>
      </c>
      <c r="AX289" s="45">
        <v>-1</v>
      </c>
      <c r="AY289" s="45">
        <v>-1</v>
      </c>
      <c r="AZ289" s="45"/>
      <c r="BA289" s="45"/>
      <c r="BB289" s="45"/>
      <c r="BC289" s="45"/>
      <c r="BD289" s="45"/>
      <c r="BE289" s="45"/>
      <c r="BF289" s="45"/>
      <c r="BG289" s="45"/>
      <c r="BH289" s="45"/>
      <c r="BI289" s="45"/>
      <c r="BJ289" s="45"/>
      <c r="BK289" s="45"/>
      <c r="BL289" s="45"/>
      <c r="BM289" s="45"/>
      <c r="BN289" s="39"/>
      <c r="BO289" s="39"/>
      <c r="BP289" s="39"/>
      <c r="BQ289" s="39"/>
      <c r="BR289" s="39"/>
      <c r="BS289" s="39"/>
      <c r="BT289" s="39"/>
      <c r="BU289" s="39"/>
      <c r="BV289" s="39"/>
      <c r="BW289" s="39"/>
      <c r="BX289" s="39"/>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48"/>
      <c r="DA289" s="48"/>
      <c r="DB289" s="48"/>
      <c r="DC289" s="48"/>
      <c r="DD289" s="48"/>
      <c r="DE289" s="48"/>
      <c r="DF289" s="48"/>
      <c r="DG289" s="48"/>
      <c r="DH289" s="48"/>
      <c r="DI289" s="48"/>
      <c r="DJ289" s="48"/>
      <c r="DK289" s="48"/>
      <c r="DL289" s="48"/>
      <c r="DM289" s="48"/>
      <c r="DN289" s="48"/>
      <c r="DO289" s="48"/>
      <c r="DP289" s="48"/>
      <c r="DQ289" s="48"/>
      <c r="DR289" s="48"/>
      <c r="DS289" s="48"/>
      <c r="DT289" s="48"/>
      <c r="DU289" s="48"/>
      <c r="DV289" s="48"/>
      <c r="DW289" s="48"/>
      <c r="DX289" s="48"/>
      <c r="DY289" s="48"/>
      <c r="DZ289" s="48"/>
      <c r="EA289" s="48"/>
      <c r="EB289" s="48"/>
      <c r="EC289" s="48"/>
      <c r="ED289" s="48"/>
    </row>
    <row r="290" spans="1:134" ht="11.25" customHeight="1" x14ac:dyDescent="0.3">
      <c r="A290" s="28" t="e">
        <f t="array" aca="1" ref="A290" ca="1">_xludf.XLOOKUP(S290,Master_Registrations!P:P,Master_Registrations!A:A,"")</f>
        <v>#NAME?</v>
      </c>
      <c r="B290" s="39" t="s">
        <v>3302</v>
      </c>
      <c r="C290" s="39">
        <v>2026</v>
      </c>
      <c r="D290" s="39" t="s">
        <v>4886</v>
      </c>
      <c r="E290" s="39">
        <v>2</v>
      </c>
      <c r="F290" s="40" t="str">
        <f t="shared" si="6"/>
        <v>VED-03-2026-GR-2</v>
      </c>
      <c r="G290" s="39" t="s">
        <v>7070</v>
      </c>
      <c r="H290" s="39" t="s">
        <v>6773</v>
      </c>
      <c r="I290" s="39"/>
      <c r="J290" s="39" t="s">
        <v>198</v>
      </c>
      <c r="K290" s="52"/>
      <c r="L290" s="52"/>
      <c r="M290" s="52"/>
      <c r="N290" s="39" t="s">
        <v>299</v>
      </c>
      <c r="O290" s="39" t="s">
        <v>1877</v>
      </c>
      <c r="P290" s="39" t="s">
        <v>1878</v>
      </c>
      <c r="Q290" s="39" t="e">
        <f t="shared" ca="1" si="5"/>
        <v>#NAME?</v>
      </c>
      <c r="R290" s="39" t="s">
        <v>112</v>
      </c>
      <c r="S290" s="50">
        <v>9177056656</v>
      </c>
      <c r="T290" s="40" t="s">
        <v>111</v>
      </c>
      <c r="U290" s="39">
        <v>1985</v>
      </c>
      <c r="V290" s="44">
        <v>2</v>
      </c>
      <c r="W290" s="44">
        <v>2</v>
      </c>
      <c r="X290" s="44">
        <v>2</v>
      </c>
      <c r="Y290" s="44">
        <v>2</v>
      </c>
      <c r="Z290" s="44">
        <v>2</v>
      </c>
      <c r="AA290" s="44">
        <v>2</v>
      </c>
      <c r="AB290" s="44">
        <v>2</v>
      </c>
      <c r="AC290" s="44">
        <v>2</v>
      </c>
      <c r="AD290" s="44">
        <v>2</v>
      </c>
      <c r="AE290" s="44">
        <v>2</v>
      </c>
      <c r="AF290" s="44">
        <v>2</v>
      </c>
      <c r="AG290" s="44">
        <v>2</v>
      </c>
      <c r="AH290" s="44">
        <v>2</v>
      </c>
      <c r="AI290" s="44">
        <v>4</v>
      </c>
      <c r="AJ290" s="44">
        <v>1</v>
      </c>
      <c r="AK290" s="44">
        <v>1</v>
      </c>
      <c r="AL290" s="44">
        <v>1</v>
      </c>
      <c r="AM290" s="44">
        <v>1</v>
      </c>
      <c r="AN290" s="44">
        <v>1</v>
      </c>
      <c r="AO290" s="44">
        <v>1</v>
      </c>
      <c r="AP290" s="44">
        <v>1</v>
      </c>
      <c r="AQ290" s="44">
        <v>1</v>
      </c>
      <c r="AR290" s="44">
        <v>1</v>
      </c>
      <c r="AS290" s="44">
        <v>1</v>
      </c>
      <c r="AT290" s="44">
        <v>1</v>
      </c>
      <c r="AU290" s="45">
        <v>-1</v>
      </c>
      <c r="AV290" s="45">
        <v>-1</v>
      </c>
      <c r="AW290" s="45">
        <v>-1</v>
      </c>
      <c r="AX290" s="45">
        <v>-1</v>
      </c>
      <c r="AY290" s="45">
        <v>-1</v>
      </c>
      <c r="AZ290" s="45"/>
      <c r="BA290" s="45"/>
      <c r="BB290" s="45"/>
      <c r="BC290" s="45"/>
      <c r="BD290" s="45"/>
      <c r="BE290" s="45"/>
      <c r="BF290" s="45"/>
      <c r="BG290" s="45"/>
      <c r="BH290" s="45"/>
      <c r="BI290" s="45"/>
      <c r="BJ290" s="45"/>
      <c r="BK290" s="45"/>
      <c r="BL290" s="45"/>
      <c r="BM290" s="45"/>
      <c r="BN290" s="39"/>
      <c r="BO290" s="39"/>
      <c r="BP290" s="39"/>
      <c r="BQ290" s="39"/>
      <c r="BR290" s="39"/>
      <c r="BS290" s="39"/>
      <c r="BT290" s="39"/>
      <c r="BU290" s="39"/>
      <c r="BV290" s="39"/>
      <c r="BW290" s="39"/>
      <c r="BX290" s="39"/>
      <c r="BY290" s="39"/>
      <c r="BZ290" s="39"/>
      <c r="CA290" s="39"/>
      <c r="CB290" s="39"/>
      <c r="CC290" s="39"/>
      <c r="CD290" s="39"/>
      <c r="CE290" s="39"/>
      <c r="CF290" s="39"/>
      <c r="CG290" s="39"/>
      <c r="CH290" s="39"/>
      <c r="CI290" s="39"/>
      <c r="CJ290" s="39"/>
      <c r="CK290" s="39"/>
      <c r="CL290" s="39"/>
      <c r="CM290" s="39"/>
      <c r="CN290" s="39"/>
      <c r="CO290" s="39"/>
      <c r="CP290" s="39"/>
      <c r="CQ290" s="39"/>
      <c r="CR290" s="39"/>
      <c r="CS290" s="39"/>
      <c r="CT290" s="39"/>
      <c r="CU290" s="39"/>
      <c r="CV290" s="39"/>
      <c r="CW290" s="39"/>
      <c r="CX290" s="39"/>
      <c r="CY290" s="39"/>
      <c r="CZ290" s="48"/>
      <c r="DA290" s="48"/>
      <c r="DB290" s="48"/>
      <c r="DC290" s="48"/>
      <c r="DD290" s="48"/>
      <c r="DE290" s="48"/>
      <c r="DF290" s="48"/>
      <c r="DG290" s="48"/>
      <c r="DH290" s="48"/>
      <c r="DI290" s="48"/>
      <c r="DJ290" s="48"/>
      <c r="DK290" s="48"/>
      <c r="DL290" s="48"/>
      <c r="DM290" s="48"/>
      <c r="DN290" s="48"/>
      <c r="DO290" s="48"/>
      <c r="DP290" s="48"/>
      <c r="DQ290" s="48"/>
      <c r="DR290" s="48"/>
      <c r="DS290" s="48"/>
      <c r="DT290" s="48"/>
      <c r="DU290" s="48"/>
      <c r="DV290" s="48"/>
      <c r="DW290" s="48"/>
      <c r="DX290" s="48"/>
      <c r="DY290" s="48"/>
      <c r="DZ290" s="48"/>
      <c r="EA290" s="48"/>
      <c r="EB290" s="48"/>
      <c r="EC290" s="48"/>
      <c r="ED290" s="48"/>
    </row>
    <row r="291" spans="1:134" ht="11.25" customHeight="1" x14ac:dyDescent="0.3">
      <c r="A291" s="28" t="e">
        <f t="array" aca="1" ref="A291" ca="1">_xludf.XLOOKUP(S291,Master_Registrations!P:P,Master_Registrations!A:A,"")</f>
        <v>#NAME?</v>
      </c>
      <c r="B291" s="39" t="s">
        <v>3302</v>
      </c>
      <c r="C291" s="39">
        <v>2026</v>
      </c>
      <c r="D291" s="39" t="s">
        <v>4886</v>
      </c>
      <c r="E291" s="39">
        <v>2</v>
      </c>
      <c r="F291" s="40" t="str">
        <f t="shared" si="6"/>
        <v>VED-03-2026-GR-2</v>
      </c>
      <c r="G291" s="39" t="s">
        <v>7070</v>
      </c>
      <c r="H291" s="39" t="s">
        <v>6773</v>
      </c>
      <c r="I291" s="39"/>
      <c r="J291" s="39" t="s">
        <v>198</v>
      </c>
      <c r="K291" s="44">
        <v>1</v>
      </c>
      <c r="L291" s="44">
        <v>1</v>
      </c>
      <c r="M291" s="44">
        <v>1</v>
      </c>
      <c r="N291" s="39" t="s">
        <v>369</v>
      </c>
      <c r="O291" s="39" t="s">
        <v>1807</v>
      </c>
      <c r="P291" s="39" t="s">
        <v>1808</v>
      </c>
      <c r="Q291" s="39" t="e">
        <f t="shared" ca="1" si="5"/>
        <v>#NAME?</v>
      </c>
      <c r="R291" s="39" t="s">
        <v>112</v>
      </c>
      <c r="S291" s="50">
        <v>9966227376</v>
      </c>
      <c r="T291" s="40" t="s">
        <v>111</v>
      </c>
      <c r="U291" s="39">
        <v>1990</v>
      </c>
      <c r="V291" s="44">
        <v>2</v>
      </c>
      <c r="W291" s="44">
        <v>2</v>
      </c>
      <c r="X291" s="44">
        <v>2</v>
      </c>
      <c r="Y291" s="44">
        <v>2</v>
      </c>
      <c r="Z291" s="44">
        <v>2</v>
      </c>
      <c r="AA291" s="44">
        <v>1</v>
      </c>
      <c r="AB291" s="44">
        <v>1</v>
      </c>
      <c r="AC291" s="45">
        <v>-1</v>
      </c>
      <c r="AD291" s="45">
        <v>-1</v>
      </c>
      <c r="AE291" s="44">
        <v>1</v>
      </c>
      <c r="AF291" s="44">
        <v>1</v>
      </c>
      <c r="AG291" s="44">
        <v>1</v>
      </c>
      <c r="AH291" s="45">
        <v>-1</v>
      </c>
      <c r="AI291" s="45">
        <v>-1</v>
      </c>
      <c r="AJ291" s="39"/>
      <c r="AK291" s="39"/>
      <c r="AL291" s="39"/>
      <c r="AM291" s="39"/>
      <c r="AN291" s="39"/>
      <c r="AO291" s="39"/>
      <c r="AP291" s="39"/>
      <c r="AQ291" s="39"/>
      <c r="AR291" s="39"/>
      <c r="AS291" s="39"/>
      <c r="AT291" s="39"/>
      <c r="AU291" s="39"/>
      <c r="AV291" s="39"/>
      <c r="AW291" s="45">
        <v>-1</v>
      </c>
      <c r="AX291" s="45">
        <v>-1</v>
      </c>
      <c r="AY291" s="45">
        <v>-1</v>
      </c>
      <c r="AZ291" s="45"/>
      <c r="BA291" s="45"/>
      <c r="BB291" s="45"/>
      <c r="BC291" s="45"/>
      <c r="BD291" s="45"/>
      <c r="BE291" s="45"/>
      <c r="BF291" s="45"/>
      <c r="BG291" s="45"/>
      <c r="BH291" s="45"/>
      <c r="BI291" s="45"/>
      <c r="BJ291" s="45"/>
      <c r="BK291" s="45"/>
      <c r="BL291" s="45"/>
      <c r="BM291" s="45"/>
      <c r="BN291" s="39"/>
      <c r="BO291" s="39"/>
      <c r="BP291" s="39"/>
      <c r="BQ291" s="39"/>
      <c r="BR291" s="39"/>
      <c r="BS291" s="39"/>
      <c r="BT291" s="39"/>
      <c r="BU291" s="39"/>
      <c r="BV291" s="39"/>
      <c r="BW291" s="39"/>
      <c r="BX291" s="39"/>
      <c r="BY291" s="39"/>
      <c r="BZ291" s="39"/>
      <c r="CA291" s="39"/>
      <c r="CB291" s="39"/>
      <c r="CC291" s="39"/>
      <c r="CD291" s="39"/>
      <c r="CE291" s="39"/>
      <c r="CF291" s="39"/>
      <c r="CG291" s="39"/>
      <c r="CH291" s="39"/>
      <c r="CI291" s="39"/>
      <c r="CJ291" s="39"/>
      <c r="CK291" s="39"/>
      <c r="CL291" s="39"/>
      <c r="CM291" s="39"/>
      <c r="CN291" s="39"/>
      <c r="CO291" s="39"/>
      <c r="CP291" s="39"/>
      <c r="CQ291" s="39"/>
      <c r="CR291" s="39"/>
      <c r="CS291" s="39"/>
      <c r="CT291" s="39"/>
      <c r="CU291" s="39"/>
      <c r="CV291" s="39"/>
      <c r="CW291" s="39"/>
      <c r="CX291" s="39"/>
      <c r="CY291" s="39"/>
      <c r="CZ291" s="48"/>
      <c r="DA291" s="48"/>
      <c r="DB291" s="48"/>
      <c r="DC291" s="48"/>
      <c r="DD291" s="48"/>
      <c r="DE291" s="48"/>
      <c r="DF291" s="48"/>
      <c r="DG291" s="48"/>
      <c r="DH291" s="48"/>
      <c r="DI291" s="48"/>
      <c r="DJ291" s="48"/>
      <c r="DK291" s="48"/>
      <c r="DL291" s="48"/>
      <c r="DM291" s="48"/>
      <c r="DN291" s="48"/>
      <c r="DO291" s="48"/>
      <c r="DP291" s="48"/>
      <c r="DQ291" s="48"/>
      <c r="DR291" s="48"/>
      <c r="DS291" s="48"/>
      <c r="DT291" s="48"/>
      <c r="DU291" s="48"/>
      <c r="DV291" s="48"/>
      <c r="DW291" s="48"/>
      <c r="DX291" s="48"/>
      <c r="DY291" s="48"/>
      <c r="DZ291" s="48"/>
      <c r="EA291" s="48"/>
      <c r="EB291" s="48"/>
      <c r="EC291" s="48"/>
      <c r="ED291" s="48"/>
    </row>
    <row r="292" spans="1:134" ht="11.25" customHeight="1" x14ac:dyDescent="0.3">
      <c r="A292" s="28" t="e">
        <f t="array" aca="1" ref="A292" ca="1">_xludf.XLOOKUP(S292,Master_Registrations!P:P,Master_Registrations!A:A,"")</f>
        <v>#NAME?</v>
      </c>
      <c r="B292" s="39" t="s">
        <v>3302</v>
      </c>
      <c r="C292" s="39">
        <v>2026</v>
      </c>
      <c r="D292" s="39" t="s">
        <v>4886</v>
      </c>
      <c r="E292" s="39">
        <v>2</v>
      </c>
      <c r="F292" s="40" t="str">
        <f t="shared" si="6"/>
        <v>VED-03-2026-GR-2</v>
      </c>
      <c r="G292" s="39" t="s">
        <v>7070</v>
      </c>
      <c r="H292" s="39" t="s">
        <v>6773</v>
      </c>
      <c r="I292" s="39"/>
      <c r="J292" s="39" t="s">
        <v>198</v>
      </c>
      <c r="K292" s="44">
        <v>1</v>
      </c>
      <c r="L292" s="44">
        <v>1</v>
      </c>
      <c r="M292" s="44">
        <v>1</v>
      </c>
      <c r="N292" s="39" t="s">
        <v>434</v>
      </c>
      <c r="O292" s="39" t="s">
        <v>1961</v>
      </c>
      <c r="P292" s="39" t="s">
        <v>1962</v>
      </c>
      <c r="Q292" s="39" t="e">
        <f t="shared" ca="1" si="5"/>
        <v>#NAME?</v>
      </c>
      <c r="R292" s="39" t="s">
        <v>112</v>
      </c>
      <c r="S292" s="50">
        <v>9700952526</v>
      </c>
      <c r="T292" s="40" t="s">
        <v>111</v>
      </c>
      <c r="U292" s="39">
        <v>1991</v>
      </c>
      <c r="V292" s="44">
        <v>2</v>
      </c>
      <c r="W292" s="44">
        <v>2</v>
      </c>
      <c r="X292" s="44">
        <v>1</v>
      </c>
      <c r="Y292" s="44">
        <v>1</v>
      </c>
      <c r="Z292" s="44">
        <v>1</v>
      </c>
      <c r="AA292" s="44">
        <v>1</v>
      </c>
      <c r="AB292" s="44">
        <v>1</v>
      </c>
      <c r="AC292" s="45">
        <v>-1</v>
      </c>
      <c r="AD292" s="45">
        <v>-1</v>
      </c>
      <c r="AE292" s="44">
        <v>1</v>
      </c>
      <c r="AF292" s="44">
        <v>1</v>
      </c>
      <c r="AG292" s="44">
        <v>1</v>
      </c>
      <c r="AH292" s="45">
        <v>-1</v>
      </c>
      <c r="AI292" s="45">
        <v>-1</v>
      </c>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c r="BZ292" s="39"/>
      <c r="CA292" s="39"/>
      <c r="CB292" s="39"/>
      <c r="CC292" s="39"/>
      <c r="CD292" s="39"/>
      <c r="CE292" s="39"/>
      <c r="CF292" s="39"/>
      <c r="CG292" s="39"/>
      <c r="CH292" s="39"/>
      <c r="CI292" s="39"/>
      <c r="CJ292" s="39"/>
      <c r="CK292" s="39"/>
      <c r="CL292" s="39"/>
      <c r="CM292" s="39"/>
      <c r="CN292" s="39"/>
      <c r="CO292" s="39"/>
      <c r="CP292" s="39"/>
      <c r="CQ292" s="39"/>
      <c r="CR292" s="39"/>
      <c r="CS292" s="39"/>
      <c r="CT292" s="39"/>
      <c r="CU292" s="39"/>
      <c r="CV292" s="39"/>
      <c r="CW292" s="39"/>
      <c r="CX292" s="39"/>
      <c r="CY292" s="39"/>
      <c r="CZ292" s="48"/>
      <c r="DA292" s="48"/>
      <c r="DB292" s="48"/>
      <c r="DC292" s="48"/>
      <c r="DD292" s="48"/>
      <c r="DE292" s="48"/>
      <c r="DF292" s="48"/>
      <c r="DG292" s="48"/>
      <c r="DH292" s="48"/>
      <c r="DI292" s="48"/>
      <c r="DJ292" s="48"/>
      <c r="DK292" s="48"/>
      <c r="DL292" s="48"/>
      <c r="DM292" s="48"/>
      <c r="DN292" s="48"/>
      <c r="DO292" s="48"/>
      <c r="DP292" s="48"/>
      <c r="DQ292" s="48"/>
      <c r="DR292" s="48"/>
      <c r="DS292" s="48"/>
      <c r="DT292" s="48"/>
      <c r="DU292" s="48"/>
      <c r="DV292" s="48"/>
      <c r="DW292" s="48"/>
      <c r="DX292" s="48"/>
      <c r="DY292" s="48"/>
      <c r="DZ292" s="48"/>
      <c r="EA292" s="48"/>
      <c r="EB292" s="48"/>
      <c r="EC292" s="48"/>
      <c r="ED292" s="48"/>
    </row>
    <row r="293" spans="1:134" ht="11.25" customHeight="1" x14ac:dyDescent="0.3">
      <c r="A293" s="28" t="e">
        <f t="array" aca="1" ref="A293" ca="1">_xludf.XLOOKUP(S293,Master_Registrations!P:P,Master_Registrations!A:A,"")</f>
        <v>#NAME?</v>
      </c>
      <c r="B293" s="39" t="s">
        <v>3302</v>
      </c>
      <c r="C293" s="39">
        <v>2026</v>
      </c>
      <c r="D293" s="39" t="s">
        <v>4886</v>
      </c>
      <c r="E293" s="39">
        <v>2</v>
      </c>
      <c r="F293" s="40" t="str">
        <f t="shared" si="6"/>
        <v>VED-03-2026-GR-2</v>
      </c>
      <c r="G293" s="39" t="s">
        <v>7070</v>
      </c>
      <c r="H293" s="39" t="s">
        <v>6773</v>
      </c>
      <c r="I293" s="39"/>
      <c r="J293" s="39" t="s">
        <v>198</v>
      </c>
      <c r="K293" s="44">
        <v>1</v>
      </c>
      <c r="L293" s="68">
        <v>-1</v>
      </c>
      <c r="M293" s="52">
        <v>2</v>
      </c>
      <c r="N293" s="39" t="s">
        <v>525</v>
      </c>
      <c r="O293" s="39" t="s">
        <v>1766</v>
      </c>
      <c r="P293" s="39" t="s">
        <v>1767</v>
      </c>
      <c r="Q293" s="39" t="e">
        <f t="shared" ca="1" si="5"/>
        <v>#NAME?</v>
      </c>
      <c r="R293" s="39" t="s">
        <v>112</v>
      </c>
      <c r="S293" s="50">
        <v>9966331188</v>
      </c>
      <c r="T293" s="40" t="s">
        <v>111</v>
      </c>
      <c r="U293" s="39">
        <v>1981</v>
      </c>
      <c r="V293" s="44">
        <v>2</v>
      </c>
      <c r="W293" s="44">
        <v>2</v>
      </c>
      <c r="X293" s="44">
        <v>1</v>
      </c>
      <c r="Y293" s="44">
        <v>1</v>
      </c>
      <c r="Z293" s="44">
        <v>1</v>
      </c>
      <c r="AA293" s="44">
        <v>1</v>
      </c>
      <c r="AB293" s="44">
        <v>1</v>
      </c>
      <c r="AC293" s="45">
        <v>-1</v>
      </c>
      <c r="AD293" s="45">
        <v>-1</v>
      </c>
      <c r="AE293" s="44">
        <v>1</v>
      </c>
      <c r="AF293" s="44">
        <v>1</v>
      </c>
      <c r="AG293" s="44">
        <v>1</v>
      </c>
      <c r="AH293" s="44">
        <v>1</v>
      </c>
      <c r="AI293" s="45">
        <v>-1</v>
      </c>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c r="BZ293" s="39"/>
      <c r="CA293" s="39"/>
      <c r="CB293" s="39"/>
      <c r="CC293" s="39"/>
      <c r="CD293" s="39"/>
      <c r="CE293" s="39"/>
      <c r="CF293" s="39"/>
      <c r="CG293" s="39"/>
      <c r="CH293" s="39"/>
      <c r="CI293" s="39"/>
      <c r="CJ293" s="39"/>
      <c r="CK293" s="39"/>
      <c r="CL293" s="39"/>
      <c r="CM293" s="39"/>
      <c r="CN293" s="39"/>
      <c r="CO293" s="39"/>
      <c r="CP293" s="39"/>
      <c r="CQ293" s="39"/>
      <c r="CR293" s="39"/>
      <c r="CS293" s="39"/>
      <c r="CT293" s="39"/>
      <c r="CU293" s="39"/>
      <c r="CV293" s="39"/>
      <c r="CW293" s="39"/>
      <c r="CX293" s="39"/>
      <c r="CY293" s="39"/>
      <c r="CZ293" s="48"/>
      <c r="DA293" s="48"/>
      <c r="DB293" s="48"/>
      <c r="DC293" s="48"/>
      <c r="DD293" s="48"/>
      <c r="DE293" s="48"/>
      <c r="DF293" s="48"/>
      <c r="DG293" s="48"/>
      <c r="DH293" s="48"/>
      <c r="DI293" s="48"/>
      <c r="DJ293" s="48"/>
      <c r="DK293" s="48"/>
      <c r="DL293" s="48"/>
      <c r="DM293" s="48"/>
      <c r="DN293" s="48"/>
      <c r="DO293" s="48"/>
      <c r="DP293" s="48"/>
      <c r="DQ293" s="48"/>
      <c r="DR293" s="48"/>
      <c r="DS293" s="48"/>
      <c r="DT293" s="48"/>
      <c r="DU293" s="48"/>
      <c r="DV293" s="48"/>
      <c r="DW293" s="48"/>
      <c r="DX293" s="48"/>
      <c r="DY293" s="48"/>
      <c r="DZ293" s="48"/>
      <c r="EA293" s="48"/>
      <c r="EB293" s="48"/>
      <c r="EC293" s="48"/>
      <c r="ED293" s="48"/>
    </row>
    <row r="294" spans="1:134" ht="11.25" customHeight="1" x14ac:dyDescent="0.3">
      <c r="A294" s="28" t="e">
        <f t="array" aca="1" ref="A294" ca="1">_xludf.XLOOKUP(S294,Master_Registrations!P:P,Master_Registrations!A:A,"")</f>
        <v>#NAME?</v>
      </c>
      <c r="B294" s="39" t="s">
        <v>3302</v>
      </c>
      <c r="C294" s="39">
        <v>2026</v>
      </c>
      <c r="D294" s="39" t="s">
        <v>4886</v>
      </c>
      <c r="E294" s="39">
        <v>2</v>
      </c>
      <c r="F294" s="40" t="str">
        <f t="shared" si="6"/>
        <v>VED-03-2026-GR-2</v>
      </c>
      <c r="G294" s="39" t="s">
        <v>7070</v>
      </c>
      <c r="H294" s="39" t="s">
        <v>6773</v>
      </c>
      <c r="I294" s="39"/>
      <c r="J294" s="39" t="s">
        <v>198</v>
      </c>
      <c r="K294" s="52"/>
      <c r="L294" s="52"/>
      <c r="M294" s="52"/>
      <c r="N294" s="39" t="s">
        <v>621</v>
      </c>
      <c r="O294" s="39" t="s">
        <v>4514</v>
      </c>
      <c r="P294" s="39" t="s">
        <v>731</v>
      </c>
      <c r="Q294" s="39" t="e">
        <f t="shared" ca="1" si="5"/>
        <v>#NAME?</v>
      </c>
      <c r="R294" s="39" t="s">
        <v>316</v>
      </c>
      <c r="S294" s="50">
        <v>8565712982</v>
      </c>
      <c r="T294" s="40" t="s">
        <v>402</v>
      </c>
      <c r="U294" s="39">
        <v>1977</v>
      </c>
      <c r="V294" s="44">
        <v>2</v>
      </c>
      <c r="W294" s="44">
        <v>2</v>
      </c>
      <c r="X294" s="44">
        <v>2</v>
      </c>
      <c r="Y294" s="44">
        <v>2</v>
      </c>
      <c r="Z294" s="44">
        <v>2</v>
      </c>
      <c r="AA294" s="44">
        <v>2</v>
      </c>
      <c r="AB294" s="44">
        <v>2</v>
      </c>
      <c r="AC294" s="44">
        <v>2</v>
      </c>
      <c r="AD294" s="44">
        <v>2</v>
      </c>
      <c r="AE294" s="44">
        <v>2</v>
      </c>
      <c r="AF294" s="44">
        <v>2</v>
      </c>
      <c r="AG294" s="44">
        <v>2</v>
      </c>
      <c r="AH294" s="44">
        <v>2</v>
      </c>
      <c r="AI294" s="44">
        <v>4</v>
      </c>
      <c r="AJ294" s="44">
        <v>2</v>
      </c>
      <c r="AK294" s="44">
        <v>2</v>
      </c>
      <c r="AL294" s="44">
        <v>2</v>
      </c>
      <c r="AM294" s="44">
        <v>2</v>
      </c>
      <c r="AN294" s="44">
        <v>2</v>
      </c>
      <c r="AO294" s="44">
        <v>2</v>
      </c>
      <c r="AP294" s="44">
        <v>2</v>
      </c>
      <c r="AQ294" s="44">
        <v>2</v>
      </c>
      <c r="AR294" s="44">
        <v>2</v>
      </c>
      <c r="AS294" s="44">
        <v>2</v>
      </c>
      <c r="AT294" s="44">
        <v>2</v>
      </c>
      <c r="AU294" s="44">
        <v>2</v>
      </c>
      <c r="AV294" s="44">
        <v>4</v>
      </c>
      <c r="AW294" s="44">
        <v>2</v>
      </c>
      <c r="AX294" s="44">
        <v>2</v>
      </c>
      <c r="AY294" s="44">
        <v>2</v>
      </c>
      <c r="AZ294" s="44">
        <v>2</v>
      </c>
      <c r="BA294" s="44">
        <v>2</v>
      </c>
      <c r="BB294" s="44">
        <v>2</v>
      </c>
      <c r="BC294" s="44">
        <v>2</v>
      </c>
      <c r="BD294" s="44">
        <v>2</v>
      </c>
      <c r="BE294" s="44">
        <v>2</v>
      </c>
      <c r="BF294" s="45">
        <v>-1</v>
      </c>
      <c r="BG294" s="44">
        <v>2</v>
      </c>
      <c r="BH294" s="44">
        <v>2</v>
      </c>
      <c r="BI294" s="44">
        <v>2</v>
      </c>
      <c r="BJ294" s="45">
        <v>-1</v>
      </c>
      <c r="BK294" s="45">
        <v>-1</v>
      </c>
      <c r="BL294" s="45">
        <v>-1</v>
      </c>
      <c r="BM294" s="45">
        <v>-1</v>
      </c>
      <c r="BN294" s="39"/>
      <c r="BO294" s="39"/>
      <c r="BP294" s="39"/>
      <c r="BQ294" s="39"/>
      <c r="BR294" s="39"/>
      <c r="BS294" s="39"/>
      <c r="BT294" s="39"/>
      <c r="BU294" s="39"/>
      <c r="BV294" s="39"/>
      <c r="BW294" s="39"/>
      <c r="BX294" s="39"/>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48"/>
      <c r="DA294" s="48"/>
      <c r="DB294" s="48"/>
      <c r="DC294" s="48"/>
      <c r="DD294" s="48"/>
      <c r="DE294" s="48"/>
      <c r="DF294" s="48"/>
      <c r="DG294" s="48"/>
      <c r="DH294" s="48"/>
      <c r="DI294" s="48"/>
      <c r="DJ294" s="48"/>
      <c r="DK294" s="48"/>
      <c r="DL294" s="48"/>
      <c r="DM294" s="48"/>
      <c r="DN294" s="48"/>
      <c r="DO294" s="48"/>
      <c r="DP294" s="48"/>
      <c r="DQ294" s="48"/>
      <c r="DR294" s="48"/>
      <c r="DS294" s="48"/>
      <c r="DT294" s="48"/>
      <c r="DU294" s="48"/>
      <c r="DV294" s="48"/>
      <c r="DW294" s="48"/>
      <c r="DX294" s="48"/>
      <c r="DY294" s="48"/>
      <c r="DZ294" s="48"/>
      <c r="EA294" s="48"/>
      <c r="EB294" s="48"/>
      <c r="EC294" s="48"/>
      <c r="ED294" s="48"/>
    </row>
    <row r="295" spans="1:134" ht="11.25" customHeight="1" x14ac:dyDescent="0.3">
      <c r="A295" s="28" t="e">
        <f t="array" aca="1" ref="A295" ca="1">_xludf.XLOOKUP(S295,Master_Registrations!P:P,Master_Registrations!A:A,"")</f>
        <v>#NAME?</v>
      </c>
      <c r="B295" s="39" t="s">
        <v>3302</v>
      </c>
      <c r="C295" s="39">
        <v>2026</v>
      </c>
      <c r="D295" s="39" t="s">
        <v>4886</v>
      </c>
      <c r="E295" s="39">
        <v>2</v>
      </c>
      <c r="F295" s="40" t="str">
        <f t="shared" si="6"/>
        <v>VED-03-2026-GR-2</v>
      </c>
      <c r="G295" s="39" t="s">
        <v>7070</v>
      </c>
      <c r="H295" s="39" t="s">
        <v>6773</v>
      </c>
      <c r="I295" s="39"/>
      <c r="J295" s="39" t="s">
        <v>198</v>
      </c>
      <c r="K295" s="44">
        <v>1</v>
      </c>
      <c r="L295" s="52">
        <v>2</v>
      </c>
      <c r="M295" s="52">
        <v>2</v>
      </c>
      <c r="N295" s="39" t="s">
        <v>714</v>
      </c>
      <c r="O295" s="39" t="s">
        <v>1747</v>
      </c>
      <c r="P295" s="39" t="s">
        <v>281</v>
      </c>
      <c r="Q295" s="39" t="e">
        <f t="shared" ca="1" si="5"/>
        <v>#NAME?</v>
      </c>
      <c r="R295" s="39" t="s">
        <v>112</v>
      </c>
      <c r="S295" s="50">
        <v>9849835650</v>
      </c>
      <c r="T295" s="40" t="s">
        <v>111</v>
      </c>
      <c r="U295" s="39">
        <v>1985</v>
      </c>
      <c r="V295" s="44">
        <v>2</v>
      </c>
      <c r="W295" s="44">
        <v>2</v>
      </c>
      <c r="X295" s="44">
        <v>2</v>
      </c>
      <c r="Y295" s="44">
        <v>2</v>
      </c>
      <c r="Z295" s="44">
        <v>2</v>
      </c>
      <c r="AA295" s="44">
        <v>2</v>
      </c>
      <c r="AB295" s="44">
        <v>2</v>
      </c>
      <c r="AC295" s="44">
        <v>2</v>
      </c>
      <c r="AD295" s="44">
        <v>2</v>
      </c>
      <c r="AE295" s="44">
        <v>2</v>
      </c>
      <c r="AF295" s="44">
        <v>2</v>
      </c>
      <c r="AG295" s="44">
        <v>2</v>
      </c>
      <c r="AH295" s="44">
        <v>2</v>
      </c>
      <c r="AI295" s="45">
        <v>-1</v>
      </c>
      <c r="AJ295" s="44">
        <v>1</v>
      </c>
      <c r="AK295" s="44">
        <v>1</v>
      </c>
      <c r="AL295" s="44">
        <v>1</v>
      </c>
      <c r="AM295" s="44">
        <v>1</v>
      </c>
      <c r="AN295" s="44">
        <v>1</v>
      </c>
      <c r="AO295" s="44">
        <v>1</v>
      </c>
      <c r="AP295" s="45">
        <v>-1</v>
      </c>
      <c r="AQ295" s="44">
        <v>1</v>
      </c>
      <c r="AR295" s="45">
        <v>-1</v>
      </c>
      <c r="AS295" s="45">
        <v>-1</v>
      </c>
      <c r="AT295" s="45">
        <v>-1</v>
      </c>
      <c r="AU295" s="45">
        <v>-1</v>
      </c>
      <c r="AV295" s="45">
        <v>-1</v>
      </c>
      <c r="AW295" s="45" t="s">
        <v>7071</v>
      </c>
      <c r="AX295" s="45">
        <v>-1</v>
      </c>
      <c r="AY295" s="45">
        <v>-1</v>
      </c>
      <c r="AZ295" s="45">
        <v>-1</v>
      </c>
      <c r="BA295" s="45">
        <v>-1</v>
      </c>
      <c r="BB295" s="45">
        <v>-1</v>
      </c>
      <c r="BC295" s="45">
        <v>-1</v>
      </c>
      <c r="BD295" s="45">
        <v>-1</v>
      </c>
      <c r="BE295" s="45">
        <v>-1</v>
      </c>
      <c r="BF295" s="45">
        <v>-1</v>
      </c>
      <c r="BG295" s="45">
        <v>-1</v>
      </c>
      <c r="BH295" s="45"/>
      <c r="BI295" s="45"/>
      <c r="BJ295" s="45"/>
      <c r="BK295" s="45"/>
      <c r="BL295" s="45"/>
      <c r="BM295" s="45"/>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48"/>
      <c r="DA295" s="48"/>
      <c r="DB295" s="48"/>
      <c r="DC295" s="48"/>
      <c r="DD295" s="48"/>
      <c r="DE295" s="48"/>
      <c r="DF295" s="48"/>
      <c r="DG295" s="48"/>
      <c r="DH295" s="48"/>
      <c r="DI295" s="48"/>
      <c r="DJ295" s="48"/>
      <c r="DK295" s="48"/>
      <c r="DL295" s="48"/>
      <c r="DM295" s="48"/>
      <c r="DN295" s="48"/>
      <c r="DO295" s="48"/>
      <c r="DP295" s="48"/>
      <c r="DQ295" s="48"/>
      <c r="DR295" s="48"/>
      <c r="DS295" s="48"/>
      <c r="DT295" s="48"/>
      <c r="DU295" s="48"/>
      <c r="DV295" s="48"/>
      <c r="DW295" s="48"/>
      <c r="DX295" s="48"/>
      <c r="DY295" s="48"/>
      <c r="DZ295" s="48"/>
      <c r="EA295" s="48"/>
      <c r="EB295" s="48"/>
      <c r="EC295" s="48"/>
      <c r="ED295" s="48"/>
    </row>
    <row r="296" spans="1:134" ht="11.25" customHeight="1" x14ac:dyDescent="0.3">
      <c r="A296" s="28" t="e">
        <f t="array" aca="1" ref="A296" ca="1">_xludf.XLOOKUP(S296,Master_Registrations!P:P,Master_Registrations!A:A,"")</f>
        <v>#NAME?</v>
      </c>
      <c r="B296" s="39" t="s">
        <v>3302</v>
      </c>
      <c r="C296" s="39">
        <v>2026</v>
      </c>
      <c r="D296" s="39" t="s">
        <v>4886</v>
      </c>
      <c r="E296" s="39">
        <v>2</v>
      </c>
      <c r="F296" s="40" t="str">
        <f t="shared" si="6"/>
        <v>VED-03-2026-GR-2</v>
      </c>
      <c r="G296" s="39" t="s">
        <v>7070</v>
      </c>
      <c r="H296" s="39" t="s">
        <v>6773</v>
      </c>
      <c r="I296" s="39"/>
      <c r="J296" s="39" t="s">
        <v>198</v>
      </c>
      <c r="K296" s="52">
        <v>2</v>
      </c>
      <c r="L296" s="52">
        <v>2</v>
      </c>
      <c r="M296" s="52">
        <v>2</v>
      </c>
      <c r="N296" s="39" t="s">
        <v>786</v>
      </c>
      <c r="O296" s="39" t="s">
        <v>1901</v>
      </c>
      <c r="P296" s="39" t="s">
        <v>1902</v>
      </c>
      <c r="Q296" s="39" t="e">
        <f t="shared" ca="1" si="5"/>
        <v>#NAME?</v>
      </c>
      <c r="R296" s="39" t="s">
        <v>112</v>
      </c>
      <c r="S296" s="50">
        <v>9618836050</v>
      </c>
      <c r="T296" s="40" t="s">
        <v>111</v>
      </c>
      <c r="U296" s="39">
        <v>1990</v>
      </c>
      <c r="V296" s="44">
        <v>2</v>
      </c>
      <c r="W296" s="44">
        <v>2</v>
      </c>
      <c r="X296" s="44">
        <v>2</v>
      </c>
      <c r="Y296" s="44">
        <v>2</v>
      </c>
      <c r="Z296" s="44">
        <v>2</v>
      </c>
      <c r="AA296" s="44">
        <v>2</v>
      </c>
      <c r="AB296" s="44">
        <v>2</v>
      </c>
      <c r="AC296" s="44">
        <v>2</v>
      </c>
      <c r="AD296" s="44">
        <v>2</v>
      </c>
      <c r="AE296" s="44">
        <v>2</v>
      </c>
      <c r="AF296" s="44">
        <v>2</v>
      </c>
      <c r="AG296" s="44">
        <v>2</v>
      </c>
      <c r="AH296" s="44">
        <v>2</v>
      </c>
      <c r="AI296" s="44">
        <v>4</v>
      </c>
      <c r="AJ296" s="45">
        <v>-1</v>
      </c>
      <c r="AK296" s="45">
        <v>-1</v>
      </c>
      <c r="AL296" s="45">
        <v>-1</v>
      </c>
      <c r="AM296" s="45">
        <v>-1</v>
      </c>
      <c r="AN296" s="45">
        <v>-1</v>
      </c>
      <c r="AO296" s="44">
        <v>1</v>
      </c>
      <c r="AP296" s="44">
        <v>1</v>
      </c>
      <c r="AQ296" s="45">
        <v>-1</v>
      </c>
      <c r="AR296" s="45">
        <v>-1</v>
      </c>
      <c r="AS296" s="45">
        <v>-1</v>
      </c>
      <c r="AT296" s="45">
        <v>-1</v>
      </c>
      <c r="AU296" s="45">
        <v>-1</v>
      </c>
      <c r="AV296" s="45">
        <v>-1</v>
      </c>
      <c r="AW296" s="45">
        <v>-1</v>
      </c>
      <c r="AX296" s="45">
        <v>-1</v>
      </c>
      <c r="AY296" s="45">
        <v>-1</v>
      </c>
      <c r="AZ296" s="45">
        <v>-1</v>
      </c>
      <c r="BA296" s="45">
        <v>-1</v>
      </c>
      <c r="BB296" s="45">
        <v>-1</v>
      </c>
      <c r="BC296" s="45">
        <v>-1</v>
      </c>
      <c r="BD296" s="45">
        <v>-1</v>
      </c>
      <c r="BE296" s="45">
        <v>-1</v>
      </c>
      <c r="BF296" s="45">
        <v>-1</v>
      </c>
      <c r="BG296" s="45">
        <v>-1</v>
      </c>
      <c r="BH296" s="45"/>
      <c r="BI296" s="45"/>
      <c r="BJ296" s="45"/>
      <c r="BK296" s="45"/>
      <c r="BL296" s="45"/>
      <c r="BM296" s="45"/>
      <c r="BN296" s="39"/>
      <c r="BO296" s="39"/>
      <c r="BP296" s="39"/>
      <c r="BQ296" s="39"/>
      <c r="BR296" s="39"/>
      <c r="BS296" s="39"/>
      <c r="BT296" s="39"/>
      <c r="BU296" s="39"/>
      <c r="BV296" s="39"/>
      <c r="BW296" s="39"/>
      <c r="BX296" s="39"/>
      <c r="BY296" s="39"/>
      <c r="BZ296" s="39"/>
      <c r="CA296" s="39"/>
      <c r="CB296" s="39"/>
      <c r="CC296" s="39"/>
      <c r="CD296" s="39"/>
      <c r="CE296" s="39"/>
      <c r="CF296" s="39"/>
      <c r="CG296" s="39"/>
      <c r="CH296" s="39"/>
      <c r="CI296" s="39"/>
      <c r="CJ296" s="39"/>
      <c r="CK296" s="39"/>
      <c r="CL296" s="39"/>
      <c r="CM296" s="39"/>
      <c r="CN296" s="39"/>
      <c r="CO296" s="39"/>
      <c r="CP296" s="39"/>
      <c r="CQ296" s="39"/>
      <c r="CR296" s="39"/>
      <c r="CS296" s="39"/>
      <c r="CT296" s="39"/>
      <c r="CU296" s="39"/>
      <c r="CV296" s="39"/>
      <c r="CW296" s="39"/>
      <c r="CX296" s="39"/>
      <c r="CY296" s="39"/>
      <c r="CZ296" s="48"/>
      <c r="DA296" s="48"/>
      <c r="DB296" s="48"/>
      <c r="DC296" s="48"/>
      <c r="DD296" s="48"/>
      <c r="DE296" s="48"/>
      <c r="DF296" s="48"/>
      <c r="DG296" s="48"/>
      <c r="DH296" s="48"/>
      <c r="DI296" s="48"/>
      <c r="DJ296" s="48"/>
      <c r="DK296" s="48"/>
      <c r="DL296" s="48"/>
      <c r="DM296" s="48"/>
      <c r="DN296" s="48"/>
      <c r="DO296" s="48"/>
      <c r="DP296" s="48"/>
      <c r="DQ296" s="48"/>
      <c r="DR296" s="48"/>
      <c r="DS296" s="48"/>
      <c r="DT296" s="48"/>
      <c r="DU296" s="48"/>
      <c r="DV296" s="48"/>
      <c r="DW296" s="48"/>
      <c r="DX296" s="48"/>
      <c r="DY296" s="48"/>
      <c r="DZ296" s="48"/>
      <c r="EA296" s="48"/>
      <c r="EB296" s="48"/>
      <c r="EC296" s="48"/>
      <c r="ED296" s="48"/>
    </row>
    <row r="297" spans="1:134" ht="11.25" customHeight="1" x14ac:dyDescent="0.3">
      <c r="A297" s="28" t="e">
        <f t="array" aca="1" ref="A297" ca="1">_xludf.XLOOKUP(S297,Master_Registrations!P:P,Master_Registrations!A:A,"")</f>
        <v>#NAME?</v>
      </c>
      <c r="B297" s="39" t="s">
        <v>3302</v>
      </c>
      <c r="C297" s="39">
        <v>2026</v>
      </c>
      <c r="D297" s="39" t="s">
        <v>4886</v>
      </c>
      <c r="E297" s="39">
        <v>2</v>
      </c>
      <c r="F297" s="40" t="str">
        <f t="shared" si="6"/>
        <v>VED-03-2026-GR-2</v>
      </c>
      <c r="G297" s="39" t="s">
        <v>7070</v>
      </c>
      <c r="H297" s="39" t="s">
        <v>6773</v>
      </c>
      <c r="I297" s="39"/>
      <c r="J297" s="39" t="s">
        <v>198</v>
      </c>
      <c r="K297" s="52">
        <v>2</v>
      </c>
      <c r="L297" s="68">
        <v>-1</v>
      </c>
      <c r="M297" s="68">
        <v>-1</v>
      </c>
      <c r="N297" s="39" t="s">
        <v>856</v>
      </c>
      <c r="O297" s="39" t="s">
        <v>1813</v>
      </c>
      <c r="P297" s="39" t="s">
        <v>1814</v>
      </c>
      <c r="Q297" s="39" t="e">
        <f t="shared" ca="1" si="5"/>
        <v>#NAME?</v>
      </c>
      <c r="R297" s="39" t="s">
        <v>112</v>
      </c>
      <c r="S297" s="50">
        <v>9966011130</v>
      </c>
      <c r="T297" s="40" t="s">
        <v>111</v>
      </c>
      <c r="U297" s="39">
        <v>1981</v>
      </c>
      <c r="V297" s="44">
        <v>2</v>
      </c>
      <c r="W297" s="44">
        <v>2</v>
      </c>
      <c r="X297" s="44">
        <v>1</v>
      </c>
      <c r="Y297" s="44">
        <v>1</v>
      </c>
      <c r="Z297" s="44">
        <v>1</v>
      </c>
      <c r="AA297" s="44">
        <v>1</v>
      </c>
      <c r="AB297" s="45">
        <v>-1</v>
      </c>
      <c r="AC297" s="45">
        <v>-1</v>
      </c>
      <c r="AD297" s="45">
        <v>-1</v>
      </c>
      <c r="AE297" s="45">
        <v>-1</v>
      </c>
      <c r="AF297" s="45">
        <v>-1</v>
      </c>
      <c r="AG297" s="45">
        <v>-1</v>
      </c>
      <c r="AH297" s="45">
        <v>-1</v>
      </c>
      <c r="AI297" s="45">
        <v>-1</v>
      </c>
      <c r="AJ297" s="39"/>
      <c r="AK297" s="39"/>
      <c r="AL297" s="39"/>
      <c r="AM297" s="39"/>
      <c r="AN297" s="39"/>
      <c r="AO297" s="39"/>
      <c r="AP297" s="39"/>
      <c r="AQ297" s="39"/>
      <c r="AR297" s="39"/>
      <c r="AS297" s="39"/>
      <c r="AT297" s="39"/>
      <c r="AU297" s="39"/>
      <c r="AV297" s="39"/>
      <c r="AW297" s="45">
        <v>-1</v>
      </c>
      <c r="AX297" s="45">
        <v>-1</v>
      </c>
      <c r="AY297" s="45">
        <v>-1</v>
      </c>
      <c r="AZ297" s="45">
        <v>-1</v>
      </c>
      <c r="BA297" s="45">
        <v>-1</v>
      </c>
      <c r="BB297" s="45">
        <v>-1</v>
      </c>
      <c r="BC297" s="45">
        <v>-1</v>
      </c>
      <c r="BD297" s="45">
        <v>-1</v>
      </c>
      <c r="BE297" s="45">
        <v>-1</v>
      </c>
      <c r="BF297" s="45">
        <v>-1</v>
      </c>
      <c r="BG297" s="45">
        <v>-1</v>
      </c>
      <c r="BH297" s="45"/>
      <c r="BI297" s="45"/>
      <c r="BJ297" s="45"/>
      <c r="BK297" s="45"/>
      <c r="BL297" s="45"/>
      <c r="BM297" s="45"/>
      <c r="BN297" s="39"/>
      <c r="BO297" s="39"/>
      <c r="BP297" s="39"/>
      <c r="BQ297" s="39"/>
      <c r="BR297" s="39"/>
      <c r="BS297" s="39"/>
      <c r="BT297" s="39"/>
      <c r="BU297" s="39"/>
      <c r="BV297" s="39"/>
      <c r="BW297" s="39"/>
      <c r="BX297" s="39"/>
      <c r="BY297" s="39"/>
      <c r="BZ297" s="39"/>
      <c r="CA297" s="39"/>
      <c r="CB297" s="39"/>
      <c r="CC297" s="39"/>
      <c r="CD297" s="39"/>
      <c r="CE297" s="39"/>
      <c r="CF297" s="39"/>
      <c r="CG297" s="39"/>
      <c r="CH297" s="39"/>
      <c r="CI297" s="39"/>
      <c r="CJ297" s="39"/>
      <c r="CK297" s="39"/>
      <c r="CL297" s="39"/>
      <c r="CM297" s="39"/>
      <c r="CN297" s="39"/>
      <c r="CO297" s="39"/>
      <c r="CP297" s="39"/>
      <c r="CQ297" s="39"/>
      <c r="CR297" s="39"/>
      <c r="CS297" s="39"/>
      <c r="CT297" s="39"/>
      <c r="CU297" s="39"/>
      <c r="CV297" s="39"/>
      <c r="CW297" s="39"/>
      <c r="CX297" s="39"/>
      <c r="CY297" s="39"/>
      <c r="CZ297" s="48"/>
      <c r="DA297" s="48"/>
      <c r="DB297" s="48"/>
      <c r="DC297" s="48"/>
      <c r="DD297" s="48"/>
      <c r="DE297" s="48"/>
      <c r="DF297" s="48"/>
      <c r="DG297" s="48"/>
      <c r="DH297" s="48"/>
      <c r="DI297" s="48"/>
      <c r="DJ297" s="48"/>
      <c r="DK297" s="48"/>
      <c r="DL297" s="48"/>
      <c r="DM297" s="48"/>
      <c r="DN297" s="48"/>
      <c r="DO297" s="48"/>
      <c r="DP297" s="48"/>
      <c r="DQ297" s="48"/>
      <c r="DR297" s="48"/>
      <c r="DS297" s="48"/>
      <c r="DT297" s="48"/>
      <c r="DU297" s="48"/>
      <c r="DV297" s="48"/>
      <c r="DW297" s="48"/>
      <c r="DX297" s="48"/>
      <c r="DY297" s="48"/>
      <c r="DZ297" s="48"/>
      <c r="EA297" s="48"/>
      <c r="EB297" s="48"/>
      <c r="EC297" s="48"/>
      <c r="ED297" s="48"/>
    </row>
    <row r="298" spans="1:134" ht="11.25" customHeight="1" x14ac:dyDescent="0.3">
      <c r="A298" s="28" t="e">
        <f t="array" aca="1" ref="A298" ca="1">_xludf.XLOOKUP(S298,Master_Registrations!P:P,Master_Registrations!A:A,"")</f>
        <v>#NAME?</v>
      </c>
      <c r="B298" s="28" t="s">
        <v>7072</v>
      </c>
      <c r="C298" s="28">
        <v>2026</v>
      </c>
      <c r="D298" s="28" t="s">
        <v>4886</v>
      </c>
      <c r="E298" s="28">
        <v>1</v>
      </c>
      <c r="F298" s="29" t="str">
        <f t="shared" si="6"/>
        <v>VED-04-2026-GR-1</v>
      </c>
      <c r="G298" s="28" t="s">
        <v>7073</v>
      </c>
      <c r="H298" s="28" t="s">
        <v>7074</v>
      </c>
      <c r="I298" s="28" t="s">
        <v>940</v>
      </c>
      <c r="J298" s="28" t="s">
        <v>198</v>
      </c>
      <c r="K298" s="38"/>
      <c r="L298" s="38"/>
      <c r="M298" s="38"/>
      <c r="N298" s="28" t="s">
        <v>200</v>
      </c>
      <c r="O298" s="28" t="s">
        <v>869</v>
      </c>
      <c r="P298" s="28" t="s">
        <v>870</v>
      </c>
      <c r="Q298" s="28" t="e">
        <f t="shared" ca="1" si="5"/>
        <v>#NAME?</v>
      </c>
      <c r="R298" s="28" t="s">
        <v>112</v>
      </c>
      <c r="S298" s="55">
        <v>9490885905</v>
      </c>
      <c r="T298" s="29" t="s">
        <v>111</v>
      </c>
      <c r="U298" s="28">
        <v>1961</v>
      </c>
      <c r="V298" s="35">
        <v>2</v>
      </c>
      <c r="W298" s="35">
        <v>2</v>
      </c>
      <c r="X298" s="35">
        <v>2</v>
      </c>
      <c r="Y298" s="35">
        <v>2</v>
      </c>
      <c r="Z298" s="35">
        <v>2</v>
      </c>
      <c r="AA298" s="35">
        <v>2</v>
      </c>
      <c r="AB298" s="35">
        <v>2</v>
      </c>
      <c r="AC298" s="35">
        <v>2</v>
      </c>
      <c r="AD298" s="35">
        <v>2</v>
      </c>
      <c r="AE298" s="35">
        <v>2</v>
      </c>
      <c r="AF298" s="35">
        <v>2</v>
      </c>
      <c r="AG298" s="35">
        <v>2</v>
      </c>
      <c r="AH298" s="35">
        <v>2</v>
      </c>
      <c r="AI298" s="35">
        <v>3</v>
      </c>
      <c r="AJ298" s="35">
        <v>2</v>
      </c>
      <c r="AK298" s="35">
        <v>2</v>
      </c>
      <c r="AL298" s="35">
        <v>2</v>
      </c>
      <c r="AM298" s="35">
        <v>2</v>
      </c>
      <c r="AN298" s="35">
        <v>2</v>
      </c>
      <c r="AO298" s="35">
        <v>2</v>
      </c>
      <c r="AP298" s="35">
        <v>2</v>
      </c>
      <c r="AQ298" s="35">
        <v>2</v>
      </c>
      <c r="AR298" s="35">
        <v>2</v>
      </c>
      <c r="AS298" s="35">
        <v>2</v>
      </c>
      <c r="AT298" s="35">
        <v>2</v>
      </c>
      <c r="AU298" s="35">
        <v>2</v>
      </c>
      <c r="AV298" s="33">
        <v>-1</v>
      </c>
      <c r="AW298" s="33">
        <v>-1</v>
      </c>
      <c r="AX298" s="33">
        <v>-1</v>
      </c>
      <c r="AY298" s="35">
        <v>1</v>
      </c>
      <c r="AZ298" s="33">
        <v>-1</v>
      </c>
      <c r="BA298" s="33">
        <v>-1</v>
      </c>
      <c r="BB298" s="33">
        <v>-1</v>
      </c>
      <c r="BC298" s="33">
        <v>-1</v>
      </c>
      <c r="BD298" s="33">
        <v>-1</v>
      </c>
      <c r="BE298" s="33">
        <v>-1</v>
      </c>
      <c r="BF298" s="33">
        <v>-1</v>
      </c>
      <c r="BG298" s="33">
        <v>-1</v>
      </c>
      <c r="BH298" s="33"/>
      <c r="BI298" s="33"/>
      <c r="BJ298" s="33"/>
      <c r="BK298" s="33"/>
      <c r="BL298" s="33"/>
      <c r="BM298" s="33"/>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c r="CR298" s="28"/>
      <c r="CS298" s="28"/>
      <c r="CT298" s="28"/>
      <c r="CU298" s="28"/>
      <c r="CV298" s="28"/>
      <c r="CW298" s="28"/>
      <c r="CX298" s="28"/>
      <c r="CY298" s="28"/>
      <c r="CZ298" s="74"/>
      <c r="DA298" s="74"/>
      <c r="DB298" s="74"/>
      <c r="DC298" s="74"/>
      <c r="DD298" s="74"/>
      <c r="DE298" s="74"/>
      <c r="DF298" s="74"/>
      <c r="DG298" s="74"/>
      <c r="DH298" s="74"/>
      <c r="DI298" s="74"/>
      <c r="DJ298" s="74"/>
      <c r="DK298" s="74"/>
      <c r="DL298" s="74"/>
      <c r="DM298" s="74"/>
      <c r="DN298" s="74"/>
      <c r="DO298" s="74"/>
      <c r="DP298" s="74"/>
      <c r="DQ298" s="74"/>
      <c r="DR298" s="74"/>
      <c r="DS298" s="74"/>
      <c r="DT298" s="74"/>
      <c r="DU298" s="74"/>
      <c r="DV298" s="74"/>
      <c r="DW298" s="74"/>
      <c r="DX298" s="74"/>
      <c r="DY298" s="74"/>
      <c r="DZ298" s="74"/>
      <c r="EA298" s="74"/>
      <c r="EB298" s="74"/>
      <c r="EC298" s="74"/>
      <c r="ED298" s="74"/>
    </row>
    <row r="299" spans="1:134" ht="11.25" customHeight="1" x14ac:dyDescent="0.3">
      <c r="A299" s="28" t="e">
        <f t="array" aca="1" ref="A299" ca="1">_xludf.XLOOKUP(S299,Master_Registrations!P:P,Master_Registrations!A:A,"")</f>
        <v>#NAME?</v>
      </c>
      <c r="B299" s="28" t="s">
        <v>7072</v>
      </c>
      <c r="C299" s="28">
        <v>2026</v>
      </c>
      <c r="D299" s="28" t="s">
        <v>4886</v>
      </c>
      <c r="E299" s="28">
        <v>1</v>
      </c>
      <c r="F299" s="29" t="str">
        <f t="shared" si="6"/>
        <v>VED-04-2026-GR-1</v>
      </c>
      <c r="G299" s="28" t="s">
        <v>7073</v>
      </c>
      <c r="H299" s="28" t="s">
        <v>7074</v>
      </c>
      <c r="I299" s="28" t="s">
        <v>940</v>
      </c>
      <c r="J299" s="28" t="s">
        <v>198</v>
      </c>
      <c r="K299" s="38"/>
      <c r="L299" s="38"/>
      <c r="M299" s="38"/>
      <c r="N299" s="28" t="s">
        <v>299</v>
      </c>
      <c r="O299" s="28" t="s">
        <v>653</v>
      </c>
      <c r="P299" s="28" t="s">
        <v>654</v>
      </c>
      <c r="Q299" s="28" t="e">
        <f t="shared" ca="1" si="5"/>
        <v>#NAME?</v>
      </c>
      <c r="R299" s="28" t="s">
        <v>112</v>
      </c>
      <c r="S299" s="55">
        <v>9290103468</v>
      </c>
      <c r="T299" s="29" t="s">
        <v>111</v>
      </c>
      <c r="U299" s="28">
        <v>1984</v>
      </c>
      <c r="V299" s="35">
        <v>2</v>
      </c>
      <c r="W299" s="35">
        <v>2</v>
      </c>
      <c r="X299" s="35">
        <v>2</v>
      </c>
      <c r="Y299" s="35">
        <v>2</v>
      </c>
      <c r="Z299" s="35">
        <v>2</v>
      </c>
      <c r="AA299" s="35">
        <v>2</v>
      </c>
      <c r="AB299" s="35">
        <v>2</v>
      </c>
      <c r="AC299" s="35">
        <v>2</v>
      </c>
      <c r="AD299" s="35">
        <v>2</v>
      </c>
      <c r="AE299" s="35">
        <v>2</v>
      </c>
      <c r="AF299" s="35">
        <v>2</v>
      </c>
      <c r="AG299" s="35">
        <v>2</v>
      </c>
      <c r="AH299" s="35">
        <v>2</v>
      </c>
      <c r="AI299" s="35">
        <v>3</v>
      </c>
      <c r="AJ299" s="35">
        <v>2</v>
      </c>
      <c r="AK299" s="35">
        <v>2</v>
      </c>
      <c r="AL299" s="35">
        <v>2</v>
      </c>
      <c r="AM299" s="35">
        <v>2</v>
      </c>
      <c r="AN299" s="35">
        <v>2</v>
      </c>
      <c r="AO299" s="35">
        <v>2</v>
      </c>
      <c r="AP299" s="35">
        <v>2</v>
      </c>
      <c r="AQ299" s="35">
        <v>2</v>
      </c>
      <c r="AR299" s="35">
        <v>2</v>
      </c>
      <c r="AS299" s="35">
        <v>2</v>
      </c>
      <c r="AT299" s="35">
        <v>2</v>
      </c>
      <c r="AU299" s="35">
        <v>2</v>
      </c>
      <c r="AV299" s="33">
        <v>-1</v>
      </c>
      <c r="AW299" s="35">
        <v>2</v>
      </c>
      <c r="AX299" s="35">
        <v>2</v>
      </c>
      <c r="AY299" s="35">
        <v>2</v>
      </c>
      <c r="AZ299" s="35">
        <v>2</v>
      </c>
      <c r="BA299" s="35">
        <v>1</v>
      </c>
      <c r="BB299" s="35">
        <v>1</v>
      </c>
      <c r="BC299" s="35">
        <v>2</v>
      </c>
      <c r="BD299" s="35">
        <v>2</v>
      </c>
      <c r="BE299" s="35">
        <v>2</v>
      </c>
      <c r="BF299" s="33">
        <v>-1</v>
      </c>
      <c r="BG299" s="33">
        <v>-1</v>
      </c>
      <c r="BH299" s="33"/>
      <c r="BI299" s="33"/>
      <c r="BJ299" s="33"/>
      <c r="BK299" s="33"/>
      <c r="BL299" s="33"/>
      <c r="BM299" s="33"/>
      <c r="BN299" s="28"/>
      <c r="BO299" s="28"/>
      <c r="BP299" s="28"/>
      <c r="BQ299" s="28"/>
      <c r="BR299" s="28"/>
      <c r="BS299" s="28"/>
      <c r="BT299" s="28"/>
      <c r="BU299" s="28"/>
      <c r="BV299" s="28"/>
      <c r="BW299" s="28"/>
      <c r="BX299" s="28"/>
      <c r="BY299" s="28"/>
      <c r="BZ299" s="28"/>
      <c r="CA299" s="28"/>
      <c r="CB299" s="28"/>
      <c r="CC299" s="28"/>
      <c r="CD299" s="28"/>
      <c r="CE299" s="28"/>
      <c r="CF299" s="28"/>
      <c r="CG299" s="28"/>
      <c r="CH299" s="28"/>
      <c r="CI299" s="28"/>
      <c r="CJ299" s="28"/>
      <c r="CK299" s="28"/>
      <c r="CL299" s="28"/>
      <c r="CM299" s="28"/>
      <c r="CN299" s="28"/>
      <c r="CO299" s="28"/>
      <c r="CP299" s="28"/>
      <c r="CQ299" s="28"/>
      <c r="CR299" s="28"/>
      <c r="CS299" s="28"/>
      <c r="CT299" s="28"/>
      <c r="CU299" s="28"/>
      <c r="CV299" s="28"/>
      <c r="CW299" s="28"/>
      <c r="CX299" s="28"/>
      <c r="CY299" s="28"/>
      <c r="CZ299" s="74"/>
      <c r="DA299" s="74"/>
      <c r="DB299" s="74"/>
      <c r="DC299" s="74"/>
      <c r="DD299" s="74"/>
      <c r="DE299" s="74"/>
      <c r="DF299" s="74"/>
      <c r="DG299" s="74"/>
      <c r="DH299" s="74"/>
      <c r="DI299" s="74"/>
      <c r="DJ299" s="74"/>
      <c r="DK299" s="74"/>
      <c r="DL299" s="74"/>
      <c r="DM299" s="74"/>
      <c r="DN299" s="74"/>
      <c r="DO299" s="74"/>
      <c r="DP299" s="74"/>
      <c r="DQ299" s="74"/>
      <c r="DR299" s="74"/>
      <c r="DS299" s="74"/>
      <c r="DT299" s="74"/>
      <c r="DU299" s="74"/>
      <c r="DV299" s="74"/>
      <c r="DW299" s="74"/>
      <c r="DX299" s="74"/>
      <c r="DY299" s="74"/>
      <c r="DZ299" s="74"/>
      <c r="EA299" s="74"/>
      <c r="EB299" s="74"/>
      <c r="EC299" s="74"/>
      <c r="ED299" s="74"/>
    </row>
    <row r="300" spans="1:134" ht="11.25" customHeight="1" x14ac:dyDescent="0.3">
      <c r="A300" s="28" t="e">
        <f t="array" aca="1" ref="A300" ca="1">_xludf.XLOOKUP(S300,Master_Registrations!P:P,Master_Registrations!A:A,"")</f>
        <v>#NAME?</v>
      </c>
      <c r="B300" s="28" t="s">
        <v>7072</v>
      </c>
      <c r="C300" s="28">
        <v>2026</v>
      </c>
      <c r="D300" s="28" t="s">
        <v>4886</v>
      </c>
      <c r="E300" s="28">
        <v>1</v>
      </c>
      <c r="F300" s="29" t="str">
        <f t="shared" si="6"/>
        <v>VED-04-2026-GR-1</v>
      </c>
      <c r="G300" s="28" t="s">
        <v>7073</v>
      </c>
      <c r="H300" s="28" t="s">
        <v>7074</v>
      </c>
      <c r="I300" s="28" t="s">
        <v>940</v>
      </c>
      <c r="J300" s="28" t="s">
        <v>198</v>
      </c>
      <c r="K300" s="38"/>
      <c r="L300" s="38"/>
      <c r="M300" s="38"/>
      <c r="N300" s="28" t="s">
        <v>369</v>
      </c>
      <c r="O300" s="28" t="s">
        <v>6439</v>
      </c>
      <c r="P300" s="28" t="s">
        <v>6440</v>
      </c>
      <c r="Q300" s="28" t="e">
        <f t="shared" ca="1" si="5"/>
        <v>#NAME?</v>
      </c>
      <c r="R300" s="28" t="s">
        <v>112</v>
      </c>
      <c r="S300" s="55">
        <v>9246694449</v>
      </c>
      <c r="T300" s="29" t="s">
        <v>111</v>
      </c>
      <c r="U300" s="28">
        <v>1984</v>
      </c>
      <c r="V300" s="35">
        <v>2</v>
      </c>
      <c r="W300" s="35">
        <v>2</v>
      </c>
      <c r="X300" s="35">
        <v>2</v>
      </c>
      <c r="Y300" s="35">
        <v>2</v>
      </c>
      <c r="Z300" s="35">
        <v>2</v>
      </c>
      <c r="AA300" s="35">
        <v>2</v>
      </c>
      <c r="AB300" s="35">
        <v>2</v>
      </c>
      <c r="AC300" s="35">
        <v>2</v>
      </c>
      <c r="AD300" s="35">
        <v>2</v>
      </c>
      <c r="AE300" s="35">
        <v>2</v>
      </c>
      <c r="AF300" s="35">
        <v>2</v>
      </c>
      <c r="AG300" s="35">
        <v>2</v>
      </c>
      <c r="AH300" s="35">
        <v>2</v>
      </c>
      <c r="AI300" s="35">
        <v>4</v>
      </c>
      <c r="AJ300" s="35">
        <v>2</v>
      </c>
      <c r="AK300" s="35">
        <v>2</v>
      </c>
      <c r="AL300" s="35">
        <v>2</v>
      </c>
      <c r="AM300" s="35">
        <v>2</v>
      </c>
      <c r="AN300" s="35">
        <v>2</v>
      </c>
      <c r="AO300" s="35">
        <v>2</v>
      </c>
      <c r="AP300" s="35">
        <v>2</v>
      </c>
      <c r="AQ300" s="35">
        <v>2</v>
      </c>
      <c r="AR300" s="35">
        <v>2</v>
      </c>
      <c r="AS300" s="35">
        <v>2</v>
      </c>
      <c r="AT300" s="35">
        <v>2</v>
      </c>
      <c r="AU300" s="35">
        <v>2</v>
      </c>
      <c r="AV300" s="35">
        <v>3</v>
      </c>
      <c r="AW300" s="35">
        <v>2</v>
      </c>
      <c r="AX300" s="35">
        <v>2</v>
      </c>
      <c r="AY300" s="35">
        <v>2</v>
      </c>
      <c r="AZ300" s="35">
        <v>-1</v>
      </c>
      <c r="BA300" s="35">
        <v>1</v>
      </c>
      <c r="BB300" s="35">
        <v>1</v>
      </c>
      <c r="BC300" s="35">
        <v>2</v>
      </c>
      <c r="BD300" s="35">
        <v>2</v>
      </c>
      <c r="BE300" s="35">
        <v>2</v>
      </c>
      <c r="BF300" s="33">
        <v>-1</v>
      </c>
      <c r="BG300" s="33">
        <v>-1</v>
      </c>
      <c r="BH300" s="33"/>
      <c r="BI300" s="33"/>
      <c r="BJ300" s="33"/>
      <c r="BK300" s="33"/>
      <c r="BL300" s="33"/>
      <c r="BM300" s="33"/>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c r="CR300" s="28"/>
      <c r="CS300" s="28"/>
      <c r="CT300" s="28"/>
      <c r="CU300" s="28"/>
      <c r="CV300" s="28"/>
      <c r="CW300" s="28"/>
      <c r="CX300" s="28"/>
      <c r="CY300" s="28"/>
      <c r="CZ300" s="74"/>
      <c r="DA300" s="74"/>
      <c r="DB300" s="74"/>
      <c r="DC300" s="74"/>
      <c r="DD300" s="74"/>
      <c r="DE300" s="74"/>
      <c r="DF300" s="74"/>
      <c r="DG300" s="74"/>
      <c r="DH300" s="74"/>
      <c r="DI300" s="74"/>
      <c r="DJ300" s="74"/>
      <c r="DK300" s="74"/>
      <c r="DL300" s="74"/>
      <c r="DM300" s="74"/>
      <c r="DN300" s="74"/>
      <c r="DO300" s="74"/>
      <c r="DP300" s="74"/>
      <c r="DQ300" s="74"/>
      <c r="DR300" s="74"/>
      <c r="DS300" s="74"/>
      <c r="DT300" s="74"/>
      <c r="DU300" s="74"/>
      <c r="DV300" s="74"/>
      <c r="DW300" s="74"/>
      <c r="DX300" s="74"/>
      <c r="DY300" s="74"/>
      <c r="DZ300" s="74"/>
      <c r="EA300" s="74"/>
      <c r="EB300" s="74"/>
      <c r="EC300" s="74"/>
      <c r="ED300" s="74"/>
    </row>
    <row r="301" spans="1:134" ht="11.25" customHeight="1" x14ac:dyDescent="0.3">
      <c r="A301" s="28" t="e">
        <f t="array" aca="1" ref="A301" ca="1">_xludf.XLOOKUP(S301,Master_Registrations!P:P,Master_Registrations!A:A,"")</f>
        <v>#NAME?</v>
      </c>
      <c r="B301" s="28" t="s">
        <v>7072</v>
      </c>
      <c r="C301" s="28">
        <v>2026</v>
      </c>
      <c r="D301" s="28" t="s">
        <v>4886</v>
      </c>
      <c r="E301" s="28">
        <v>1</v>
      </c>
      <c r="F301" s="29" t="str">
        <f t="shared" si="6"/>
        <v>VED-04-2026-GR-1</v>
      </c>
      <c r="G301" s="28" t="s">
        <v>7073</v>
      </c>
      <c r="H301" s="28" t="s">
        <v>7074</v>
      </c>
      <c r="I301" s="28" t="s">
        <v>940</v>
      </c>
      <c r="J301" s="28" t="s">
        <v>198</v>
      </c>
      <c r="K301" s="38"/>
      <c r="L301" s="38"/>
      <c r="M301" s="38"/>
      <c r="N301" s="28" t="s">
        <v>434</v>
      </c>
      <c r="O301" s="28" t="s">
        <v>937</v>
      </c>
      <c r="P301" s="28" t="s">
        <v>938</v>
      </c>
      <c r="Q301" s="28" t="e">
        <f t="shared" ca="1" si="5"/>
        <v>#NAME?</v>
      </c>
      <c r="R301" s="28" t="s">
        <v>112</v>
      </c>
      <c r="S301" s="55">
        <v>9492927375</v>
      </c>
      <c r="T301" s="29" t="s">
        <v>111</v>
      </c>
      <c r="U301" s="28">
        <v>1961</v>
      </c>
      <c r="V301" s="35">
        <v>2</v>
      </c>
      <c r="W301" s="35">
        <v>2</v>
      </c>
      <c r="X301" s="35">
        <v>2</v>
      </c>
      <c r="Y301" s="35">
        <v>2</v>
      </c>
      <c r="Z301" s="35">
        <v>2</v>
      </c>
      <c r="AA301" s="35">
        <v>2</v>
      </c>
      <c r="AB301" s="35">
        <v>2</v>
      </c>
      <c r="AC301" s="35">
        <v>2</v>
      </c>
      <c r="AD301" s="35">
        <v>2</v>
      </c>
      <c r="AE301" s="35">
        <v>2</v>
      </c>
      <c r="AF301" s="35">
        <v>2</v>
      </c>
      <c r="AG301" s="35">
        <v>2</v>
      </c>
      <c r="AH301" s="35">
        <v>2</v>
      </c>
      <c r="AI301" s="35">
        <v>3</v>
      </c>
      <c r="AJ301" s="35">
        <v>2</v>
      </c>
      <c r="AK301" s="35">
        <v>2</v>
      </c>
      <c r="AL301" s="35">
        <v>2</v>
      </c>
      <c r="AM301" s="35">
        <v>2</v>
      </c>
      <c r="AN301" s="35">
        <v>2</v>
      </c>
      <c r="AO301" s="35">
        <v>2</v>
      </c>
      <c r="AP301" s="35">
        <v>2</v>
      </c>
      <c r="AQ301" s="35">
        <v>2</v>
      </c>
      <c r="AR301" s="35">
        <v>2</v>
      </c>
      <c r="AS301" s="35">
        <v>2</v>
      </c>
      <c r="AT301" s="35">
        <v>2</v>
      </c>
      <c r="AU301" s="35">
        <v>2</v>
      </c>
      <c r="AV301" s="35">
        <v>4</v>
      </c>
      <c r="AW301" s="35">
        <v>2</v>
      </c>
      <c r="AX301" s="35">
        <v>2</v>
      </c>
      <c r="AY301" s="35">
        <v>2</v>
      </c>
      <c r="AZ301" s="35">
        <v>2</v>
      </c>
      <c r="BA301" s="35">
        <v>2</v>
      </c>
      <c r="BB301" s="35">
        <v>2</v>
      </c>
      <c r="BC301" s="35">
        <v>2</v>
      </c>
      <c r="BD301" s="35">
        <v>2</v>
      </c>
      <c r="BE301" s="35">
        <v>2</v>
      </c>
      <c r="BF301" s="35">
        <v>4</v>
      </c>
      <c r="BG301" s="33">
        <v>-1</v>
      </c>
      <c r="BH301" s="33"/>
      <c r="BI301" s="33"/>
      <c r="BJ301" s="33"/>
      <c r="BK301" s="33"/>
      <c r="BL301" s="33"/>
      <c r="BM301" s="33"/>
      <c r="BN301" s="28"/>
      <c r="BO301" s="28"/>
      <c r="BP301" s="28"/>
      <c r="BQ301" s="28"/>
      <c r="BR301" s="28"/>
      <c r="BS301" s="28"/>
      <c r="BT301" s="28"/>
      <c r="BU301" s="28"/>
      <c r="BV301" s="28"/>
      <c r="BW301" s="28"/>
      <c r="BX301" s="28"/>
      <c r="BY301" s="28"/>
      <c r="BZ301" s="28"/>
      <c r="CA301" s="28"/>
      <c r="CB301" s="28"/>
      <c r="CC301" s="28"/>
      <c r="CD301" s="28"/>
      <c r="CE301" s="28"/>
      <c r="CF301" s="28"/>
      <c r="CG301" s="28"/>
      <c r="CH301" s="28"/>
      <c r="CI301" s="28"/>
      <c r="CJ301" s="28"/>
      <c r="CK301" s="28"/>
      <c r="CL301" s="28"/>
      <c r="CM301" s="28"/>
      <c r="CN301" s="28"/>
      <c r="CO301" s="28"/>
      <c r="CP301" s="28"/>
      <c r="CQ301" s="28"/>
      <c r="CR301" s="28"/>
      <c r="CS301" s="28"/>
      <c r="CT301" s="28"/>
      <c r="CU301" s="28"/>
      <c r="CV301" s="28"/>
      <c r="CW301" s="28"/>
      <c r="CX301" s="28"/>
      <c r="CY301" s="28"/>
      <c r="CZ301" s="74"/>
      <c r="DA301" s="74"/>
      <c r="DB301" s="74"/>
      <c r="DC301" s="74"/>
      <c r="DD301" s="74"/>
      <c r="DE301" s="74"/>
      <c r="DF301" s="74"/>
      <c r="DG301" s="74"/>
      <c r="DH301" s="74"/>
      <c r="DI301" s="74"/>
      <c r="DJ301" s="74"/>
      <c r="DK301" s="74"/>
      <c r="DL301" s="74"/>
      <c r="DM301" s="74"/>
      <c r="DN301" s="74"/>
      <c r="DO301" s="74"/>
      <c r="DP301" s="74"/>
      <c r="DQ301" s="74"/>
      <c r="DR301" s="74"/>
      <c r="DS301" s="74"/>
      <c r="DT301" s="74"/>
      <c r="DU301" s="74"/>
      <c r="DV301" s="74"/>
      <c r="DW301" s="74"/>
      <c r="DX301" s="74"/>
      <c r="DY301" s="74"/>
      <c r="DZ301" s="74"/>
      <c r="EA301" s="74"/>
      <c r="EB301" s="74"/>
      <c r="EC301" s="74"/>
      <c r="ED301" s="74"/>
    </row>
    <row r="302" spans="1:134" ht="11.25" customHeight="1" x14ac:dyDescent="0.3">
      <c r="A302" s="28" t="e">
        <f t="array" aca="1" ref="A302" ca="1">_xludf.XLOOKUP(S302,Master_Registrations!P:P,Master_Registrations!A:A,"")</f>
        <v>#NAME?</v>
      </c>
      <c r="B302" s="28" t="s">
        <v>7072</v>
      </c>
      <c r="C302" s="28">
        <v>2026</v>
      </c>
      <c r="D302" s="28" t="s">
        <v>4886</v>
      </c>
      <c r="E302" s="28">
        <v>1</v>
      </c>
      <c r="F302" s="29" t="str">
        <f t="shared" si="6"/>
        <v>VED-04-2026-GR-1</v>
      </c>
      <c r="G302" s="28" t="s">
        <v>7073</v>
      </c>
      <c r="H302" s="28" t="s">
        <v>7074</v>
      </c>
      <c r="I302" s="28" t="s">
        <v>940</v>
      </c>
      <c r="J302" s="28" t="s">
        <v>198</v>
      </c>
      <c r="K302" s="38"/>
      <c r="L302" s="38"/>
      <c r="M302" s="38"/>
      <c r="N302" s="28" t="s">
        <v>525</v>
      </c>
      <c r="O302" s="28" t="s">
        <v>965</v>
      </c>
      <c r="P302" s="28" t="s">
        <v>281</v>
      </c>
      <c r="Q302" s="28" t="e">
        <f t="shared" ca="1" si="5"/>
        <v>#NAME?</v>
      </c>
      <c r="R302" s="28" t="s">
        <v>112</v>
      </c>
      <c r="S302" s="55">
        <v>9912805900</v>
      </c>
      <c r="T302" s="29" t="s">
        <v>111</v>
      </c>
      <c r="U302" s="28">
        <v>1971</v>
      </c>
      <c r="V302" s="35">
        <v>2</v>
      </c>
      <c r="W302" s="35">
        <v>2</v>
      </c>
      <c r="X302" s="35">
        <v>2</v>
      </c>
      <c r="Y302" s="35">
        <v>2</v>
      </c>
      <c r="Z302" s="35">
        <v>2</v>
      </c>
      <c r="AA302" s="35">
        <v>2</v>
      </c>
      <c r="AB302" s="35">
        <v>2</v>
      </c>
      <c r="AC302" s="35">
        <v>2</v>
      </c>
      <c r="AD302" s="35">
        <v>2</v>
      </c>
      <c r="AE302" s="35">
        <v>2</v>
      </c>
      <c r="AF302" s="35">
        <v>2</v>
      </c>
      <c r="AG302" s="35">
        <v>2</v>
      </c>
      <c r="AH302" s="35">
        <v>2</v>
      </c>
      <c r="AI302" s="35">
        <v>3</v>
      </c>
      <c r="AJ302" s="35">
        <v>2</v>
      </c>
      <c r="AK302" s="35">
        <v>2</v>
      </c>
      <c r="AL302" s="35">
        <v>2</v>
      </c>
      <c r="AM302" s="35">
        <v>2</v>
      </c>
      <c r="AN302" s="35">
        <v>2</v>
      </c>
      <c r="AO302" s="35">
        <v>2</v>
      </c>
      <c r="AP302" s="35">
        <v>2</v>
      </c>
      <c r="AQ302" s="35">
        <v>2</v>
      </c>
      <c r="AR302" s="35">
        <v>2</v>
      </c>
      <c r="AS302" s="35">
        <v>2</v>
      </c>
      <c r="AT302" s="35">
        <v>2</v>
      </c>
      <c r="AU302" s="35">
        <v>2</v>
      </c>
      <c r="AV302" s="35">
        <v>3</v>
      </c>
      <c r="AW302" s="35">
        <v>2</v>
      </c>
      <c r="AX302" s="35">
        <v>2</v>
      </c>
      <c r="AY302" s="35">
        <v>2</v>
      </c>
      <c r="AZ302" s="35">
        <v>2</v>
      </c>
      <c r="BA302" s="35">
        <v>2</v>
      </c>
      <c r="BB302" s="35">
        <v>2</v>
      </c>
      <c r="BC302" s="35">
        <v>2</v>
      </c>
      <c r="BD302" s="35">
        <v>2</v>
      </c>
      <c r="BE302" s="35">
        <v>2</v>
      </c>
      <c r="BF302" s="33">
        <v>-1</v>
      </c>
      <c r="BG302" s="33">
        <v>-1</v>
      </c>
      <c r="BH302" s="33"/>
      <c r="BI302" s="33"/>
      <c r="BJ302" s="33"/>
      <c r="BK302" s="33"/>
      <c r="BL302" s="33"/>
      <c r="BM302" s="33"/>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c r="CR302" s="28"/>
      <c r="CS302" s="28"/>
      <c r="CT302" s="28"/>
      <c r="CU302" s="28"/>
      <c r="CV302" s="28"/>
      <c r="CW302" s="28"/>
      <c r="CX302" s="28"/>
      <c r="CY302" s="28"/>
      <c r="CZ302" s="74"/>
      <c r="DA302" s="74"/>
      <c r="DB302" s="74"/>
      <c r="DC302" s="74"/>
      <c r="DD302" s="74"/>
      <c r="DE302" s="74"/>
      <c r="DF302" s="74"/>
      <c r="DG302" s="74"/>
      <c r="DH302" s="74"/>
      <c r="DI302" s="74"/>
      <c r="DJ302" s="74"/>
      <c r="DK302" s="74"/>
      <c r="DL302" s="74"/>
      <c r="DM302" s="74"/>
      <c r="DN302" s="74"/>
      <c r="DO302" s="74"/>
      <c r="DP302" s="74"/>
      <c r="DQ302" s="74"/>
      <c r="DR302" s="74"/>
      <c r="DS302" s="74"/>
      <c r="DT302" s="74"/>
      <c r="DU302" s="74"/>
      <c r="DV302" s="74"/>
      <c r="DW302" s="74"/>
      <c r="DX302" s="74"/>
      <c r="DY302" s="74"/>
      <c r="DZ302" s="74"/>
      <c r="EA302" s="74"/>
      <c r="EB302" s="74"/>
      <c r="EC302" s="74"/>
      <c r="ED302" s="74"/>
    </row>
    <row r="303" spans="1:134" ht="11.25" customHeight="1" x14ac:dyDescent="0.3">
      <c r="A303" s="28" t="e">
        <f t="array" aca="1" ref="A303" ca="1">_xludf.XLOOKUP(S303,Master_Registrations!P:P,Master_Registrations!A:A,"")</f>
        <v>#NAME?</v>
      </c>
      <c r="B303" s="28" t="s">
        <v>7072</v>
      </c>
      <c r="C303" s="28">
        <v>2026</v>
      </c>
      <c r="D303" s="28" t="s">
        <v>4886</v>
      </c>
      <c r="E303" s="28">
        <v>1</v>
      </c>
      <c r="F303" s="29" t="str">
        <f t="shared" si="6"/>
        <v>VED-04-2026-GR-1</v>
      </c>
      <c r="G303" s="28" t="s">
        <v>7073</v>
      </c>
      <c r="H303" s="28" t="s">
        <v>7074</v>
      </c>
      <c r="I303" s="28" t="s">
        <v>940</v>
      </c>
      <c r="J303" s="28" t="s">
        <v>198</v>
      </c>
      <c r="K303" s="38"/>
      <c r="L303" s="38"/>
      <c r="M303" s="38"/>
      <c r="N303" s="28" t="s">
        <v>621</v>
      </c>
      <c r="O303" s="28" t="s">
        <v>836</v>
      </c>
      <c r="P303" s="28" t="s">
        <v>837</v>
      </c>
      <c r="Q303" s="28" t="e">
        <f t="shared" ca="1" si="5"/>
        <v>#NAME?</v>
      </c>
      <c r="R303" s="28" t="s">
        <v>112</v>
      </c>
      <c r="S303" s="55">
        <v>9437176540</v>
      </c>
      <c r="T303" s="29" t="s">
        <v>111</v>
      </c>
      <c r="U303" s="28">
        <v>1961</v>
      </c>
      <c r="V303" s="35">
        <v>2</v>
      </c>
      <c r="W303" s="35">
        <v>2</v>
      </c>
      <c r="X303" s="35">
        <v>2</v>
      </c>
      <c r="Y303" s="35">
        <v>2</v>
      </c>
      <c r="Z303" s="35">
        <v>2</v>
      </c>
      <c r="AA303" s="35">
        <v>2</v>
      </c>
      <c r="AB303" s="35">
        <v>2</v>
      </c>
      <c r="AC303" s="35">
        <v>2</v>
      </c>
      <c r="AD303" s="35">
        <v>2</v>
      </c>
      <c r="AE303" s="35">
        <v>2</v>
      </c>
      <c r="AF303" s="35">
        <v>2</v>
      </c>
      <c r="AG303" s="35">
        <v>2</v>
      </c>
      <c r="AH303" s="35">
        <v>2</v>
      </c>
      <c r="AI303" s="35">
        <v>3</v>
      </c>
      <c r="AJ303" s="35">
        <v>2</v>
      </c>
      <c r="AK303" s="35">
        <v>2</v>
      </c>
      <c r="AL303" s="35">
        <v>2</v>
      </c>
      <c r="AM303" s="35">
        <v>2</v>
      </c>
      <c r="AN303" s="35">
        <v>2</v>
      </c>
      <c r="AO303" s="35">
        <v>2</v>
      </c>
      <c r="AP303" s="35">
        <v>2</v>
      </c>
      <c r="AQ303" s="35">
        <v>2</v>
      </c>
      <c r="AR303" s="35">
        <v>2</v>
      </c>
      <c r="AS303" s="35">
        <v>2</v>
      </c>
      <c r="AT303" s="35">
        <v>2</v>
      </c>
      <c r="AU303" s="35">
        <v>2</v>
      </c>
      <c r="AV303" s="35">
        <v>3</v>
      </c>
      <c r="AW303" s="35">
        <v>1</v>
      </c>
      <c r="AX303" s="35">
        <v>2</v>
      </c>
      <c r="AY303" s="35">
        <v>2</v>
      </c>
      <c r="AZ303" s="35">
        <v>2</v>
      </c>
      <c r="BA303" s="35">
        <v>1</v>
      </c>
      <c r="BB303" s="35">
        <v>1</v>
      </c>
      <c r="BC303" s="35">
        <v>1</v>
      </c>
      <c r="BD303" s="35">
        <v>2</v>
      </c>
      <c r="BE303" s="35">
        <v>2</v>
      </c>
      <c r="BF303" s="33">
        <v>-1</v>
      </c>
      <c r="BG303" s="33">
        <v>-1</v>
      </c>
      <c r="BH303" s="33"/>
      <c r="BI303" s="33"/>
      <c r="BJ303" s="33"/>
      <c r="BK303" s="33"/>
      <c r="BL303" s="33"/>
      <c r="BM303" s="33"/>
      <c r="BN303" s="28"/>
      <c r="BO303" s="28"/>
      <c r="BP303" s="28"/>
      <c r="BQ303" s="28"/>
      <c r="BR303" s="28"/>
      <c r="BS303" s="28"/>
      <c r="BT303" s="28"/>
      <c r="BU303" s="28"/>
      <c r="BV303" s="28"/>
      <c r="BW303" s="28"/>
      <c r="BX303" s="28"/>
      <c r="BY303" s="28"/>
      <c r="BZ303" s="28"/>
      <c r="CA303" s="28"/>
      <c r="CB303" s="28"/>
      <c r="CC303" s="28"/>
      <c r="CD303" s="28"/>
      <c r="CE303" s="28"/>
      <c r="CF303" s="28"/>
      <c r="CG303" s="28"/>
      <c r="CH303" s="28"/>
      <c r="CI303" s="28"/>
      <c r="CJ303" s="28"/>
      <c r="CK303" s="28"/>
      <c r="CL303" s="28"/>
      <c r="CM303" s="28"/>
      <c r="CN303" s="28"/>
      <c r="CO303" s="28"/>
      <c r="CP303" s="28"/>
      <c r="CQ303" s="28"/>
      <c r="CR303" s="28"/>
      <c r="CS303" s="28"/>
      <c r="CT303" s="28"/>
      <c r="CU303" s="28"/>
      <c r="CV303" s="28"/>
      <c r="CW303" s="28"/>
      <c r="CX303" s="28"/>
      <c r="CY303" s="28"/>
      <c r="CZ303" s="74"/>
      <c r="DA303" s="74"/>
      <c r="DB303" s="74"/>
      <c r="DC303" s="74"/>
      <c r="DD303" s="74"/>
      <c r="DE303" s="74"/>
      <c r="DF303" s="74"/>
      <c r="DG303" s="74"/>
      <c r="DH303" s="74"/>
      <c r="DI303" s="74"/>
      <c r="DJ303" s="74"/>
      <c r="DK303" s="74"/>
      <c r="DL303" s="74"/>
      <c r="DM303" s="74"/>
      <c r="DN303" s="74"/>
      <c r="DO303" s="74"/>
      <c r="DP303" s="74"/>
      <c r="DQ303" s="74"/>
      <c r="DR303" s="74"/>
      <c r="DS303" s="74"/>
      <c r="DT303" s="74"/>
      <c r="DU303" s="74"/>
      <c r="DV303" s="74"/>
      <c r="DW303" s="74"/>
      <c r="DX303" s="74"/>
      <c r="DY303" s="74"/>
      <c r="DZ303" s="74"/>
      <c r="EA303" s="74"/>
      <c r="EB303" s="74"/>
      <c r="EC303" s="74"/>
      <c r="ED303" s="74"/>
    </row>
    <row r="304" spans="1:134" ht="11.25" customHeight="1" x14ac:dyDescent="0.3">
      <c r="A304" s="28" t="e">
        <f t="array" aca="1" ref="A304" ca="1">_xludf.XLOOKUP(S304,Master_Registrations!P:P,Master_Registrations!A:A,"")</f>
        <v>#NAME?</v>
      </c>
      <c r="B304" s="28" t="s">
        <v>7072</v>
      </c>
      <c r="C304" s="28">
        <v>2026</v>
      </c>
      <c r="D304" s="28" t="s">
        <v>4886</v>
      </c>
      <c r="E304" s="28">
        <v>1</v>
      </c>
      <c r="F304" s="29" t="str">
        <f t="shared" si="6"/>
        <v>VED-04-2026-GR-1</v>
      </c>
      <c r="G304" s="28" t="s">
        <v>7073</v>
      </c>
      <c r="H304" s="28" t="s">
        <v>7074</v>
      </c>
      <c r="I304" s="28" t="s">
        <v>940</v>
      </c>
      <c r="J304" s="28" t="s">
        <v>198</v>
      </c>
      <c r="K304" s="38"/>
      <c r="L304" s="38"/>
      <c r="M304" s="38"/>
      <c r="N304" s="28" t="s">
        <v>714</v>
      </c>
      <c r="O304" s="28" t="s">
        <v>803</v>
      </c>
      <c r="P304" s="28" t="s">
        <v>804</v>
      </c>
      <c r="Q304" s="28" t="e">
        <f t="shared" ca="1" si="5"/>
        <v>#NAME?</v>
      </c>
      <c r="R304" s="28" t="s">
        <v>112</v>
      </c>
      <c r="S304" s="55">
        <v>9440631176</v>
      </c>
      <c r="T304" s="29" t="s">
        <v>111</v>
      </c>
      <c r="U304" s="28">
        <v>1964</v>
      </c>
      <c r="V304" s="35">
        <v>2</v>
      </c>
      <c r="W304" s="35">
        <v>2</v>
      </c>
      <c r="X304" s="35">
        <v>2</v>
      </c>
      <c r="Y304" s="35">
        <v>2</v>
      </c>
      <c r="Z304" s="35">
        <v>2</v>
      </c>
      <c r="AA304" s="35">
        <v>2</v>
      </c>
      <c r="AB304" s="35">
        <v>2</v>
      </c>
      <c r="AC304" s="35">
        <v>2</v>
      </c>
      <c r="AD304" s="35">
        <v>2</v>
      </c>
      <c r="AE304" s="35">
        <v>2</v>
      </c>
      <c r="AF304" s="35">
        <v>2</v>
      </c>
      <c r="AG304" s="35">
        <v>2</v>
      </c>
      <c r="AH304" s="35">
        <v>2</v>
      </c>
      <c r="AI304" s="35">
        <v>4</v>
      </c>
      <c r="AJ304" s="35">
        <v>2</v>
      </c>
      <c r="AK304" s="35">
        <v>2</v>
      </c>
      <c r="AL304" s="35">
        <v>2</v>
      </c>
      <c r="AM304" s="35">
        <v>2</v>
      </c>
      <c r="AN304" s="35">
        <v>2</v>
      </c>
      <c r="AO304" s="35">
        <v>2</v>
      </c>
      <c r="AP304" s="35">
        <v>2</v>
      </c>
      <c r="AQ304" s="35">
        <v>2</v>
      </c>
      <c r="AR304" s="35">
        <v>2</v>
      </c>
      <c r="AS304" s="35">
        <v>2</v>
      </c>
      <c r="AT304" s="35">
        <v>2</v>
      </c>
      <c r="AU304" s="35">
        <v>2</v>
      </c>
      <c r="AV304" s="35">
        <v>3</v>
      </c>
      <c r="AW304" s="35">
        <v>2</v>
      </c>
      <c r="AX304" s="35">
        <v>2</v>
      </c>
      <c r="AY304" s="35">
        <v>2</v>
      </c>
      <c r="AZ304" s="35">
        <v>2</v>
      </c>
      <c r="BA304" s="35">
        <v>2</v>
      </c>
      <c r="BB304" s="35">
        <v>2</v>
      </c>
      <c r="BC304" s="35">
        <v>2</v>
      </c>
      <c r="BD304" s="35">
        <v>2</v>
      </c>
      <c r="BE304" s="35">
        <v>2</v>
      </c>
      <c r="BF304" s="33">
        <v>-1</v>
      </c>
      <c r="BG304" s="33">
        <v>-1</v>
      </c>
      <c r="BH304" s="33"/>
      <c r="BI304" s="33"/>
      <c r="BJ304" s="33"/>
      <c r="BK304" s="33"/>
      <c r="BL304" s="33"/>
      <c r="BM304" s="33"/>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c r="CR304" s="28"/>
      <c r="CS304" s="28"/>
      <c r="CT304" s="28"/>
      <c r="CU304" s="28"/>
      <c r="CV304" s="28"/>
      <c r="CW304" s="28"/>
      <c r="CX304" s="28"/>
      <c r="CY304" s="28"/>
      <c r="CZ304" s="74"/>
      <c r="DA304" s="74"/>
      <c r="DB304" s="74"/>
      <c r="DC304" s="74"/>
      <c r="DD304" s="74"/>
      <c r="DE304" s="74"/>
      <c r="DF304" s="74"/>
      <c r="DG304" s="74"/>
      <c r="DH304" s="74"/>
      <c r="DI304" s="74"/>
      <c r="DJ304" s="74"/>
      <c r="DK304" s="74"/>
      <c r="DL304" s="74"/>
      <c r="DM304" s="74"/>
      <c r="DN304" s="74"/>
      <c r="DO304" s="74"/>
      <c r="DP304" s="74"/>
      <c r="DQ304" s="74"/>
      <c r="DR304" s="74"/>
      <c r="DS304" s="74"/>
      <c r="DT304" s="74"/>
      <c r="DU304" s="74"/>
      <c r="DV304" s="74"/>
      <c r="DW304" s="74"/>
      <c r="DX304" s="74"/>
      <c r="DY304" s="74"/>
      <c r="DZ304" s="74"/>
      <c r="EA304" s="74"/>
      <c r="EB304" s="74"/>
      <c r="EC304" s="74"/>
      <c r="ED304" s="74"/>
    </row>
    <row r="305" spans="1:134" ht="11.25" customHeight="1" x14ac:dyDescent="0.3">
      <c r="A305" s="28" t="e">
        <f t="array" aca="1" ref="A305" ca="1">_xludf.XLOOKUP(S305,Master_Registrations!P:P,Master_Registrations!A:A,"")</f>
        <v>#NAME?</v>
      </c>
      <c r="B305" s="28" t="s">
        <v>7072</v>
      </c>
      <c r="C305" s="28">
        <v>2026</v>
      </c>
      <c r="D305" s="28" t="s">
        <v>4886</v>
      </c>
      <c r="E305" s="28">
        <v>1</v>
      </c>
      <c r="F305" s="29" t="str">
        <f t="shared" si="6"/>
        <v>VED-04-2026-GR-1</v>
      </c>
      <c r="G305" s="28" t="s">
        <v>7073</v>
      </c>
      <c r="H305" s="28" t="s">
        <v>7074</v>
      </c>
      <c r="I305" s="28" t="s">
        <v>940</v>
      </c>
      <c r="J305" s="28" t="s">
        <v>198</v>
      </c>
      <c r="K305" s="38"/>
      <c r="L305" s="38"/>
      <c r="M305" s="38"/>
      <c r="N305" s="28" t="s">
        <v>786</v>
      </c>
      <c r="O305" s="28" t="s">
        <v>919</v>
      </c>
      <c r="P305" s="28" t="s">
        <v>920</v>
      </c>
      <c r="Q305" s="28" t="e">
        <f t="shared" ca="1" si="5"/>
        <v>#NAME?</v>
      </c>
      <c r="R305" s="28" t="s">
        <v>112</v>
      </c>
      <c r="S305" s="55">
        <v>9958143242</v>
      </c>
      <c r="T305" s="29" t="s">
        <v>111</v>
      </c>
      <c r="U305" s="28">
        <v>1970</v>
      </c>
      <c r="V305" s="35">
        <v>2</v>
      </c>
      <c r="W305" s="35">
        <v>2</v>
      </c>
      <c r="X305" s="35">
        <v>2</v>
      </c>
      <c r="Y305" s="35">
        <v>2</v>
      </c>
      <c r="Z305" s="35">
        <v>2</v>
      </c>
      <c r="AA305" s="35">
        <v>2</v>
      </c>
      <c r="AB305" s="35">
        <v>2</v>
      </c>
      <c r="AC305" s="35">
        <v>2</v>
      </c>
      <c r="AD305" s="35">
        <v>2</v>
      </c>
      <c r="AE305" s="35">
        <v>2</v>
      </c>
      <c r="AF305" s="35">
        <v>2</v>
      </c>
      <c r="AG305" s="35">
        <v>2</v>
      </c>
      <c r="AH305" s="35">
        <v>2</v>
      </c>
      <c r="AI305" s="35">
        <v>4</v>
      </c>
      <c r="AJ305" s="35">
        <v>2</v>
      </c>
      <c r="AK305" s="35">
        <v>2</v>
      </c>
      <c r="AL305" s="35">
        <v>2</v>
      </c>
      <c r="AM305" s="35">
        <v>2</v>
      </c>
      <c r="AN305" s="35">
        <v>2</v>
      </c>
      <c r="AO305" s="35">
        <v>2</v>
      </c>
      <c r="AP305" s="35">
        <v>2</v>
      </c>
      <c r="AQ305" s="35">
        <v>2</v>
      </c>
      <c r="AR305" s="35">
        <v>2</v>
      </c>
      <c r="AS305" s="35">
        <v>2</v>
      </c>
      <c r="AT305" s="35">
        <v>2</v>
      </c>
      <c r="AU305" s="35">
        <v>2</v>
      </c>
      <c r="AV305" s="35">
        <v>4</v>
      </c>
      <c r="AW305" s="35">
        <v>2</v>
      </c>
      <c r="AX305" s="35">
        <v>2</v>
      </c>
      <c r="AY305" s="35">
        <v>2</v>
      </c>
      <c r="AZ305" s="35">
        <v>2</v>
      </c>
      <c r="BA305" s="35">
        <v>2</v>
      </c>
      <c r="BB305" s="35">
        <v>2</v>
      </c>
      <c r="BC305" s="35">
        <v>2</v>
      </c>
      <c r="BD305" s="35">
        <v>2</v>
      </c>
      <c r="BE305" s="35">
        <v>2</v>
      </c>
      <c r="BF305" s="33">
        <v>-1</v>
      </c>
      <c r="BG305" s="33">
        <v>-1</v>
      </c>
      <c r="BH305" s="33"/>
      <c r="BI305" s="33"/>
      <c r="BJ305" s="33"/>
      <c r="BK305" s="33"/>
      <c r="BL305" s="33"/>
      <c r="BM305" s="33"/>
      <c r="BN305" s="28"/>
      <c r="BO305" s="28"/>
      <c r="BP305" s="28"/>
      <c r="BQ305" s="28"/>
      <c r="BR305" s="28"/>
      <c r="BS305" s="28"/>
      <c r="BT305" s="28"/>
      <c r="BU305" s="28"/>
      <c r="BV305" s="28"/>
      <c r="BW305" s="28"/>
      <c r="BX305" s="28"/>
      <c r="BY305" s="28"/>
      <c r="BZ305" s="28"/>
      <c r="CA305" s="28"/>
      <c r="CB305" s="28"/>
      <c r="CC305" s="28"/>
      <c r="CD305" s="28"/>
      <c r="CE305" s="28"/>
      <c r="CF305" s="28"/>
      <c r="CG305" s="28"/>
      <c r="CH305" s="28"/>
      <c r="CI305" s="28"/>
      <c r="CJ305" s="28"/>
      <c r="CK305" s="28"/>
      <c r="CL305" s="28"/>
      <c r="CM305" s="28"/>
      <c r="CN305" s="28"/>
      <c r="CO305" s="28"/>
      <c r="CP305" s="28"/>
      <c r="CQ305" s="28"/>
      <c r="CR305" s="28"/>
      <c r="CS305" s="28"/>
      <c r="CT305" s="28"/>
      <c r="CU305" s="28"/>
      <c r="CV305" s="28"/>
      <c r="CW305" s="28"/>
      <c r="CX305" s="28"/>
      <c r="CY305" s="28"/>
      <c r="CZ305" s="74"/>
      <c r="DA305" s="74"/>
      <c r="DB305" s="74"/>
      <c r="DC305" s="74"/>
      <c r="DD305" s="74"/>
      <c r="DE305" s="74"/>
      <c r="DF305" s="74"/>
      <c r="DG305" s="74"/>
      <c r="DH305" s="74"/>
      <c r="DI305" s="74"/>
      <c r="DJ305" s="74"/>
      <c r="DK305" s="74"/>
      <c r="DL305" s="74"/>
      <c r="DM305" s="74"/>
      <c r="DN305" s="74"/>
      <c r="DO305" s="74"/>
      <c r="DP305" s="74"/>
      <c r="DQ305" s="74"/>
      <c r="DR305" s="74"/>
      <c r="DS305" s="74"/>
      <c r="DT305" s="74"/>
      <c r="DU305" s="74"/>
      <c r="DV305" s="74"/>
      <c r="DW305" s="74"/>
      <c r="DX305" s="74"/>
      <c r="DY305" s="74"/>
      <c r="DZ305" s="74"/>
      <c r="EA305" s="74"/>
      <c r="EB305" s="74"/>
      <c r="EC305" s="74"/>
      <c r="ED305" s="74"/>
    </row>
    <row r="306" spans="1:134" ht="11.25" customHeight="1" x14ac:dyDescent="0.3">
      <c r="A306" s="28" t="e">
        <f t="array" aca="1" ref="A306" ca="1">_xludf.XLOOKUP(S306,Master_Registrations!P:P,Master_Registrations!A:A,"")</f>
        <v>#NAME?</v>
      </c>
      <c r="B306" s="28" t="s">
        <v>7072</v>
      </c>
      <c r="C306" s="28">
        <v>2026</v>
      </c>
      <c r="D306" s="28" t="s">
        <v>4886</v>
      </c>
      <c r="E306" s="28">
        <v>1</v>
      </c>
      <c r="F306" s="29" t="str">
        <f t="shared" si="6"/>
        <v>VED-04-2026-GR-1</v>
      </c>
      <c r="G306" s="28" t="s">
        <v>7073</v>
      </c>
      <c r="H306" s="28" t="s">
        <v>7074</v>
      </c>
      <c r="I306" s="28" t="s">
        <v>940</v>
      </c>
      <c r="J306" s="28" t="s">
        <v>198</v>
      </c>
      <c r="K306" s="38"/>
      <c r="L306" s="38"/>
      <c r="M306" s="38"/>
      <c r="N306" s="28" t="s">
        <v>856</v>
      </c>
      <c r="O306" s="28" t="s">
        <v>672</v>
      </c>
      <c r="P306" s="28" t="s">
        <v>281</v>
      </c>
      <c r="Q306" s="28" t="e">
        <f t="shared" ca="1" si="5"/>
        <v>#NAME?</v>
      </c>
      <c r="R306" s="28" t="s">
        <v>112</v>
      </c>
      <c r="S306" s="55">
        <v>9441026448</v>
      </c>
      <c r="T306" s="29" t="s">
        <v>111</v>
      </c>
      <c r="U306" s="28">
        <v>1965</v>
      </c>
      <c r="V306" s="35">
        <v>2</v>
      </c>
      <c r="W306" s="35">
        <v>2</v>
      </c>
      <c r="X306" s="35">
        <v>2</v>
      </c>
      <c r="Y306" s="35">
        <v>2</v>
      </c>
      <c r="Z306" s="35">
        <v>2</v>
      </c>
      <c r="AA306" s="35">
        <v>2</v>
      </c>
      <c r="AB306" s="35">
        <v>2</v>
      </c>
      <c r="AC306" s="35">
        <v>2</v>
      </c>
      <c r="AD306" s="35">
        <v>2</v>
      </c>
      <c r="AE306" s="35">
        <v>2</v>
      </c>
      <c r="AF306" s="35">
        <v>2</v>
      </c>
      <c r="AG306" s="35">
        <v>2</v>
      </c>
      <c r="AH306" s="35">
        <v>2</v>
      </c>
      <c r="AI306" s="35">
        <v>2</v>
      </c>
      <c r="AJ306" s="35">
        <v>1</v>
      </c>
      <c r="AK306" s="35">
        <v>1</v>
      </c>
      <c r="AL306" s="35">
        <v>-1</v>
      </c>
      <c r="AM306" s="35">
        <v>-1</v>
      </c>
      <c r="AN306" s="35">
        <v>-1</v>
      </c>
      <c r="AO306" s="35">
        <v>-1</v>
      </c>
      <c r="AP306" s="35">
        <v>1</v>
      </c>
      <c r="AQ306" s="35">
        <v>-1</v>
      </c>
      <c r="AR306" s="35">
        <v>-1</v>
      </c>
      <c r="AS306" s="35">
        <v>-1</v>
      </c>
      <c r="AT306" s="35">
        <v>-1</v>
      </c>
      <c r="AU306" s="35">
        <v>-1</v>
      </c>
      <c r="AV306" s="33">
        <v>-1</v>
      </c>
      <c r="AW306" s="33">
        <v>-1</v>
      </c>
      <c r="AX306" s="33">
        <v>-1</v>
      </c>
      <c r="AY306" s="33">
        <v>1</v>
      </c>
      <c r="AZ306" s="33">
        <v>-1</v>
      </c>
      <c r="BA306" s="33">
        <v>-1</v>
      </c>
      <c r="BB306" s="33">
        <v>-1</v>
      </c>
      <c r="BC306" s="33">
        <v>-1</v>
      </c>
      <c r="BD306" s="33">
        <v>-1</v>
      </c>
      <c r="BE306" s="33">
        <v>-1</v>
      </c>
      <c r="BF306" s="33">
        <v>-1</v>
      </c>
      <c r="BG306" s="33">
        <v>-1</v>
      </c>
      <c r="BH306" s="33"/>
      <c r="BI306" s="33"/>
      <c r="BJ306" s="33"/>
      <c r="BK306" s="33"/>
      <c r="BL306" s="33"/>
      <c r="BM306" s="33"/>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74"/>
      <c r="DA306" s="74"/>
      <c r="DB306" s="74"/>
      <c r="DC306" s="74"/>
      <c r="DD306" s="74"/>
      <c r="DE306" s="74"/>
      <c r="DF306" s="74"/>
      <c r="DG306" s="74"/>
      <c r="DH306" s="74"/>
      <c r="DI306" s="74"/>
      <c r="DJ306" s="74"/>
      <c r="DK306" s="74"/>
      <c r="DL306" s="74"/>
      <c r="DM306" s="74"/>
      <c r="DN306" s="74"/>
      <c r="DO306" s="74"/>
      <c r="DP306" s="74"/>
      <c r="DQ306" s="74"/>
      <c r="DR306" s="74"/>
      <c r="DS306" s="74"/>
      <c r="DT306" s="74"/>
      <c r="DU306" s="74"/>
      <c r="DV306" s="74"/>
      <c r="DW306" s="74"/>
      <c r="DX306" s="74"/>
      <c r="DY306" s="74"/>
      <c r="DZ306" s="74"/>
      <c r="EA306" s="74"/>
      <c r="EB306" s="74"/>
      <c r="EC306" s="74"/>
      <c r="ED306" s="74"/>
    </row>
    <row r="307" spans="1:134" ht="11.25" customHeight="1" x14ac:dyDescent="0.3">
      <c r="A307" s="28" t="e">
        <f t="array" aca="1" ref="A307" ca="1">_xludf.XLOOKUP(S307,Master_Registrations!P:P,Master_Registrations!A:A,"")</f>
        <v>#NAME?</v>
      </c>
      <c r="B307" s="28" t="s">
        <v>7072</v>
      </c>
      <c r="C307" s="28">
        <v>2026</v>
      </c>
      <c r="D307" s="28" t="s">
        <v>4886</v>
      </c>
      <c r="E307" s="28">
        <v>1</v>
      </c>
      <c r="F307" s="29" t="str">
        <f t="shared" si="6"/>
        <v>VED-04-2026-GR-1</v>
      </c>
      <c r="G307" s="28" t="s">
        <v>7073</v>
      </c>
      <c r="H307" s="28" t="s">
        <v>7074</v>
      </c>
      <c r="I307" s="28" t="s">
        <v>940</v>
      </c>
      <c r="J307" s="28" t="s">
        <v>198</v>
      </c>
      <c r="K307" s="38"/>
      <c r="L307" s="38"/>
      <c r="M307" s="38"/>
      <c r="N307" s="28" t="s">
        <v>915</v>
      </c>
      <c r="O307" s="28" t="s">
        <v>795</v>
      </c>
      <c r="P307" s="28" t="s">
        <v>281</v>
      </c>
      <c r="Q307" s="28" t="e">
        <f t="shared" ca="1" si="5"/>
        <v>#NAME?</v>
      </c>
      <c r="R307" s="28" t="s">
        <v>112</v>
      </c>
      <c r="S307" s="55">
        <v>9391944044</v>
      </c>
      <c r="T307" s="29" t="s">
        <v>111</v>
      </c>
      <c r="U307" s="28">
        <v>1963</v>
      </c>
      <c r="V307" s="35">
        <v>2</v>
      </c>
      <c r="W307" s="35">
        <v>2</v>
      </c>
      <c r="X307" s="35">
        <v>2</v>
      </c>
      <c r="Y307" s="35">
        <v>2</v>
      </c>
      <c r="Z307" s="35">
        <v>2</v>
      </c>
      <c r="AA307" s="35">
        <v>2</v>
      </c>
      <c r="AB307" s="35">
        <v>2</v>
      </c>
      <c r="AC307" s="35">
        <v>2</v>
      </c>
      <c r="AD307" s="35">
        <v>2</v>
      </c>
      <c r="AE307" s="35">
        <v>2</v>
      </c>
      <c r="AF307" s="35">
        <v>2</v>
      </c>
      <c r="AG307" s="35">
        <v>2</v>
      </c>
      <c r="AH307" s="35">
        <v>2</v>
      </c>
      <c r="AI307" s="35">
        <v>3</v>
      </c>
      <c r="AJ307" s="35">
        <v>2</v>
      </c>
      <c r="AK307" s="35">
        <v>2</v>
      </c>
      <c r="AL307" s="35">
        <v>2</v>
      </c>
      <c r="AM307" s="35">
        <v>2</v>
      </c>
      <c r="AN307" s="35">
        <v>2</v>
      </c>
      <c r="AO307" s="35">
        <v>2</v>
      </c>
      <c r="AP307" s="35">
        <v>2</v>
      </c>
      <c r="AQ307" s="35">
        <v>2</v>
      </c>
      <c r="AR307" s="35">
        <v>2</v>
      </c>
      <c r="AS307" s="35">
        <v>2</v>
      </c>
      <c r="AT307" s="35">
        <v>2</v>
      </c>
      <c r="AU307" s="35">
        <v>2</v>
      </c>
      <c r="AV307" s="35">
        <v>3</v>
      </c>
      <c r="AW307" s="35">
        <v>2</v>
      </c>
      <c r="AX307" s="35">
        <v>2</v>
      </c>
      <c r="AY307" s="35">
        <v>2</v>
      </c>
      <c r="AZ307" s="35">
        <v>2</v>
      </c>
      <c r="BA307" s="35">
        <v>2</v>
      </c>
      <c r="BB307" s="35">
        <v>2</v>
      </c>
      <c r="BC307" s="35">
        <v>2</v>
      </c>
      <c r="BD307" s="35">
        <v>2</v>
      </c>
      <c r="BE307" s="35">
        <v>2</v>
      </c>
      <c r="BF307" s="33">
        <v>-1</v>
      </c>
      <c r="BG307" s="33">
        <v>-1</v>
      </c>
      <c r="BH307" s="33"/>
      <c r="BI307" s="33"/>
      <c r="BJ307" s="33"/>
      <c r="BK307" s="33"/>
      <c r="BL307" s="33"/>
      <c r="BM307" s="33"/>
      <c r="BN307" s="28"/>
      <c r="BO307" s="28"/>
      <c r="BP307" s="28"/>
      <c r="BQ307" s="28"/>
      <c r="BR307" s="28"/>
      <c r="BS307" s="28"/>
      <c r="BT307" s="28"/>
      <c r="BU307" s="28"/>
      <c r="BV307" s="28"/>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74"/>
      <c r="DA307" s="74"/>
      <c r="DB307" s="74"/>
      <c r="DC307" s="74"/>
      <c r="DD307" s="74"/>
      <c r="DE307" s="74"/>
      <c r="DF307" s="74"/>
      <c r="DG307" s="74"/>
      <c r="DH307" s="74"/>
      <c r="DI307" s="74"/>
      <c r="DJ307" s="74"/>
      <c r="DK307" s="74"/>
      <c r="DL307" s="74"/>
      <c r="DM307" s="74"/>
      <c r="DN307" s="74"/>
      <c r="DO307" s="74"/>
      <c r="DP307" s="74"/>
      <c r="DQ307" s="74"/>
      <c r="DR307" s="74"/>
      <c r="DS307" s="74"/>
      <c r="DT307" s="74"/>
      <c r="DU307" s="74"/>
      <c r="DV307" s="74"/>
      <c r="DW307" s="74"/>
      <c r="DX307" s="74"/>
      <c r="DY307" s="74"/>
      <c r="DZ307" s="74"/>
      <c r="EA307" s="74"/>
      <c r="EB307" s="74"/>
      <c r="EC307" s="74"/>
      <c r="ED307" s="74"/>
    </row>
    <row r="308" spans="1:134" ht="11.25" customHeight="1" x14ac:dyDescent="0.3">
      <c r="A308" s="28" t="e">
        <f t="array" aca="1" ref="A308" ca="1">_xludf.XLOOKUP(S308,Master_Registrations!P:P,Master_Registrations!A:A,"")</f>
        <v>#NAME?</v>
      </c>
      <c r="B308" s="28" t="s">
        <v>7072</v>
      </c>
      <c r="C308" s="28">
        <v>2026</v>
      </c>
      <c r="D308" s="28" t="s">
        <v>4886</v>
      </c>
      <c r="E308" s="28">
        <v>1</v>
      </c>
      <c r="F308" s="29" t="str">
        <f t="shared" si="6"/>
        <v>VED-04-2026-GR-1</v>
      </c>
      <c r="G308" s="28" t="s">
        <v>7073</v>
      </c>
      <c r="H308" s="28" t="s">
        <v>7074</v>
      </c>
      <c r="I308" s="28" t="s">
        <v>940</v>
      </c>
      <c r="J308" s="28" t="s">
        <v>198</v>
      </c>
      <c r="K308" s="38"/>
      <c r="L308" s="38"/>
      <c r="M308" s="38"/>
      <c r="N308" s="28" t="s">
        <v>973</v>
      </c>
      <c r="O308" s="28" t="s">
        <v>662</v>
      </c>
      <c r="P308" s="28" t="s">
        <v>663</v>
      </c>
      <c r="Q308" s="28" t="e">
        <f t="shared" ca="1" si="5"/>
        <v>#NAME?</v>
      </c>
      <c r="R308" s="28" t="s">
        <v>112</v>
      </c>
      <c r="S308" s="55">
        <v>9845157430</v>
      </c>
      <c r="T308" s="29" t="s">
        <v>111</v>
      </c>
      <c r="U308" s="28">
        <v>1968</v>
      </c>
      <c r="V308" s="35">
        <v>2</v>
      </c>
      <c r="W308" s="35">
        <v>2</v>
      </c>
      <c r="X308" s="35">
        <v>2</v>
      </c>
      <c r="Y308" s="35">
        <v>2</v>
      </c>
      <c r="Z308" s="35">
        <v>2</v>
      </c>
      <c r="AA308" s="35">
        <v>2</v>
      </c>
      <c r="AB308" s="35">
        <v>2</v>
      </c>
      <c r="AC308" s="35">
        <v>2</v>
      </c>
      <c r="AD308" s="35">
        <v>2</v>
      </c>
      <c r="AE308" s="35">
        <v>2</v>
      </c>
      <c r="AF308" s="35">
        <v>2</v>
      </c>
      <c r="AG308" s="35">
        <v>2</v>
      </c>
      <c r="AH308" s="35">
        <v>2</v>
      </c>
      <c r="AI308" s="35">
        <v>4</v>
      </c>
      <c r="AJ308" s="35">
        <v>2</v>
      </c>
      <c r="AK308" s="35">
        <v>2</v>
      </c>
      <c r="AL308" s="35">
        <v>2</v>
      </c>
      <c r="AM308" s="35">
        <v>2</v>
      </c>
      <c r="AN308" s="35">
        <v>2</v>
      </c>
      <c r="AO308" s="35">
        <v>2</v>
      </c>
      <c r="AP308" s="35">
        <v>2</v>
      </c>
      <c r="AQ308" s="35">
        <v>2</v>
      </c>
      <c r="AR308" s="35">
        <v>2</v>
      </c>
      <c r="AS308" s="35">
        <v>2</v>
      </c>
      <c r="AT308" s="35">
        <v>2</v>
      </c>
      <c r="AU308" s="35">
        <v>2</v>
      </c>
      <c r="AV308" s="35">
        <v>4</v>
      </c>
      <c r="AW308" s="35">
        <v>2</v>
      </c>
      <c r="AX308" s="35">
        <v>2</v>
      </c>
      <c r="AY308" s="35">
        <v>2</v>
      </c>
      <c r="AZ308" s="35">
        <v>2</v>
      </c>
      <c r="BA308" s="35">
        <v>2</v>
      </c>
      <c r="BB308" s="35">
        <v>2</v>
      </c>
      <c r="BC308" s="35">
        <v>2</v>
      </c>
      <c r="BD308" s="35">
        <v>2</v>
      </c>
      <c r="BE308" s="35">
        <v>2</v>
      </c>
      <c r="BF308" s="35">
        <v>4</v>
      </c>
      <c r="BG308" s="33">
        <v>-1</v>
      </c>
      <c r="BH308" s="33"/>
      <c r="BI308" s="33"/>
      <c r="BJ308" s="33"/>
      <c r="BK308" s="33"/>
      <c r="BL308" s="33"/>
      <c r="BM308" s="33"/>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74"/>
      <c r="DA308" s="74"/>
      <c r="DB308" s="74"/>
      <c r="DC308" s="74"/>
      <c r="DD308" s="74"/>
      <c r="DE308" s="74"/>
      <c r="DF308" s="74"/>
      <c r="DG308" s="74"/>
      <c r="DH308" s="74"/>
      <c r="DI308" s="74"/>
      <c r="DJ308" s="74"/>
      <c r="DK308" s="74"/>
      <c r="DL308" s="74"/>
      <c r="DM308" s="74"/>
      <c r="DN308" s="74"/>
      <c r="DO308" s="74"/>
      <c r="DP308" s="74"/>
      <c r="DQ308" s="74"/>
      <c r="DR308" s="74"/>
      <c r="DS308" s="74"/>
      <c r="DT308" s="74"/>
      <c r="DU308" s="74"/>
      <c r="DV308" s="74"/>
      <c r="DW308" s="74"/>
      <c r="DX308" s="74"/>
      <c r="DY308" s="74"/>
      <c r="DZ308" s="74"/>
      <c r="EA308" s="74"/>
      <c r="EB308" s="74"/>
      <c r="EC308" s="74"/>
      <c r="ED308" s="74"/>
    </row>
    <row r="309" spans="1:134" ht="11.25" customHeight="1" x14ac:dyDescent="0.3">
      <c r="A309" s="28" t="e">
        <f t="array" aca="1" ref="A309" ca="1">_xludf.XLOOKUP(S309,Master_Registrations!P:P,Master_Registrations!A:A,"")</f>
        <v>#NAME?</v>
      </c>
      <c r="B309" s="28" t="s">
        <v>7072</v>
      </c>
      <c r="C309" s="28">
        <v>2026</v>
      </c>
      <c r="D309" s="28" t="s">
        <v>4886</v>
      </c>
      <c r="E309" s="28">
        <v>1</v>
      </c>
      <c r="F309" s="29" t="str">
        <f t="shared" si="6"/>
        <v>VED-04-2026-GR-1</v>
      </c>
      <c r="G309" s="28" t="s">
        <v>7073</v>
      </c>
      <c r="H309" s="28" t="s">
        <v>7074</v>
      </c>
      <c r="I309" s="28" t="s">
        <v>940</v>
      </c>
      <c r="J309" s="28" t="s">
        <v>198</v>
      </c>
      <c r="K309" s="38"/>
      <c r="L309" s="38"/>
      <c r="M309" s="38"/>
      <c r="N309" s="28" t="s">
        <v>1031</v>
      </c>
      <c r="O309" s="28" t="s">
        <v>6515</v>
      </c>
      <c r="P309" s="28" t="s">
        <v>2279</v>
      </c>
      <c r="Q309" s="28" t="e">
        <f t="shared" ca="1" si="5"/>
        <v>#NAME?</v>
      </c>
      <c r="R309" s="28" t="s">
        <v>112</v>
      </c>
      <c r="S309" s="55">
        <v>9052233535</v>
      </c>
      <c r="T309" s="29" t="s">
        <v>111</v>
      </c>
      <c r="U309" s="28">
        <v>1979</v>
      </c>
      <c r="V309" s="35">
        <v>2</v>
      </c>
      <c r="W309" s="35">
        <v>2</v>
      </c>
      <c r="X309" s="35">
        <v>2</v>
      </c>
      <c r="Y309" s="35">
        <v>2</v>
      </c>
      <c r="Z309" s="35">
        <v>2</v>
      </c>
      <c r="AA309" s="35">
        <v>2</v>
      </c>
      <c r="AB309" s="35">
        <v>2</v>
      </c>
      <c r="AC309" s="35">
        <v>2</v>
      </c>
      <c r="AD309" s="35">
        <v>2</v>
      </c>
      <c r="AE309" s="35">
        <v>2</v>
      </c>
      <c r="AF309" s="35">
        <v>2</v>
      </c>
      <c r="AG309" s="35">
        <v>2</v>
      </c>
      <c r="AH309" s="35">
        <v>2</v>
      </c>
      <c r="AI309" s="35">
        <v>4</v>
      </c>
      <c r="AJ309" s="35">
        <v>2</v>
      </c>
      <c r="AK309" s="35">
        <v>2</v>
      </c>
      <c r="AL309" s="35">
        <v>2</v>
      </c>
      <c r="AM309" s="35">
        <v>2</v>
      </c>
      <c r="AN309" s="35">
        <v>2</v>
      </c>
      <c r="AO309" s="35">
        <v>2</v>
      </c>
      <c r="AP309" s="35">
        <v>2</v>
      </c>
      <c r="AQ309" s="35">
        <v>2</v>
      </c>
      <c r="AR309" s="35">
        <v>2</v>
      </c>
      <c r="AS309" s="35">
        <v>2</v>
      </c>
      <c r="AT309" s="35">
        <v>2</v>
      </c>
      <c r="AU309" s="35">
        <v>2</v>
      </c>
      <c r="AV309" s="35">
        <v>4</v>
      </c>
      <c r="AW309" s="35">
        <v>2</v>
      </c>
      <c r="AX309" s="35">
        <v>2</v>
      </c>
      <c r="AY309" s="35">
        <v>2</v>
      </c>
      <c r="AZ309" s="35">
        <v>2</v>
      </c>
      <c r="BA309" s="35">
        <v>2</v>
      </c>
      <c r="BB309" s="35">
        <v>2</v>
      </c>
      <c r="BC309" s="35">
        <v>2</v>
      </c>
      <c r="BD309" s="35">
        <v>2</v>
      </c>
      <c r="BE309" s="35">
        <v>2</v>
      </c>
      <c r="BF309" s="33">
        <v>-1</v>
      </c>
      <c r="BG309" s="33">
        <v>-1</v>
      </c>
      <c r="BH309" s="33"/>
      <c r="BI309" s="33"/>
      <c r="BJ309" s="33"/>
      <c r="BK309" s="33"/>
      <c r="BL309" s="33"/>
      <c r="BM309" s="33"/>
      <c r="BN309" s="28"/>
      <c r="BO309" s="28"/>
      <c r="BP309" s="28"/>
      <c r="BQ309" s="28"/>
      <c r="BR309" s="28"/>
      <c r="BS309" s="28"/>
      <c r="BT309" s="28"/>
      <c r="BU309" s="28"/>
      <c r="BV309" s="28"/>
      <c r="BW309" s="28"/>
      <c r="BX309" s="28"/>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74"/>
      <c r="DA309" s="74"/>
      <c r="DB309" s="74"/>
      <c r="DC309" s="74"/>
      <c r="DD309" s="74"/>
      <c r="DE309" s="74"/>
      <c r="DF309" s="74"/>
      <c r="DG309" s="74"/>
      <c r="DH309" s="74"/>
      <c r="DI309" s="74"/>
      <c r="DJ309" s="74"/>
      <c r="DK309" s="74"/>
      <c r="DL309" s="74"/>
      <c r="DM309" s="74"/>
      <c r="DN309" s="74"/>
      <c r="DO309" s="74"/>
      <c r="DP309" s="74"/>
      <c r="DQ309" s="74"/>
      <c r="DR309" s="74"/>
      <c r="DS309" s="74"/>
      <c r="DT309" s="74"/>
      <c r="DU309" s="74"/>
      <c r="DV309" s="74"/>
      <c r="DW309" s="74"/>
      <c r="DX309" s="74"/>
      <c r="DY309" s="74"/>
      <c r="DZ309" s="74"/>
      <c r="EA309" s="74"/>
      <c r="EB309" s="74"/>
      <c r="EC309" s="74"/>
      <c r="ED309" s="74"/>
    </row>
    <row r="310" spans="1:134" ht="11.25" customHeight="1" x14ac:dyDescent="0.3">
      <c r="A310" s="28" t="e">
        <f t="array" aca="1" ref="A310" ca="1">_xludf.XLOOKUP(S310,Master_Registrations!P:P,Master_Registrations!A:A,"")</f>
        <v>#NAME?</v>
      </c>
      <c r="B310" s="75" t="s">
        <v>7072</v>
      </c>
      <c r="C310" s="75">
        <v>2026</v>
      </c>
      <c r="D310" s="75" t="s">
        <v>4886</v>
      </c>
      <c r="E310" s="75">
        <v>2</v>
      </c>
      <c r="F310" s="76" t="str">
        <f t="shared" si="6"/>
        <v>VED-04-2026-GR-2</v>
      </c>
      <c r="G310" s="75" t="s">
        <v>7066</v>
      </c>
      <c r="H310" s="75" t="s">
        <v>7075</v>
      </c>
      <c r="I310" s="75" t="s">
        <v>7055</v>
      </c>
      <c r="J310" s="75" t="s">
        <v>198</v>
      </c>
      <c r="K310" s="77"/>
      <c r="L310" s="77"/>
      <c r="M310" s="77"/>
      <c r="N310" s="75" t="s">
        <v>200</v>
      </c>
      <c r="O310" s="75" t="s">
        <v>1885</v>
      </c>
      <c r="P310" s="75" t="s">
        <v>1886</v>
      </c>
      <c r="Q310" s="75" t="e">
        <f t="shared" ca="1" si="5"/>
        <v>#NAME?</v>
      </c>
      <c r="R310" s="39" t="s">
        <v>112</v>
      </c>
      <c r="S310" s="75">
        <v>7416333164</v>
      </c>
      <c r="T310" s="76" t="s">
        <v>111</v>
      </c>
      <c r="U310" s="75">
        <v>1995</v>
      </c>
      <c r="V310" s="78">
        <v>2</v>
      </c>
      <c r="W310" s="78">
        <v>2</v>
      </c>
      <c r="X310" s="78">
        <v>2</v>
      </c>
      <c r="Y310" s="78">
        <v>2</v>
      </c>
      <c r="Z310" s="78">
        <v>2</v>
      </c>
      <c r="AA310" s="78">
        <v>2</v>
      </c>
      <c r="AB310" s="78">
        <v>2</v>
      </c>
      <c r="AC310" s="78">
        <v>2</v>
      </c>
      <c r="AD310" s="78">
        <v>2</v>
      </c>
      <c r="AE310" s="78">
        <v>2</v>
      </c>
      <c r="AF310" s="78">
        <v>2</v>
      </c>
      <c r="AG310" s="78">
        <v>2</v>
      </c>
      <c r="AH310" s="78">
        <v>2</v>
      </c>
      <c r="AI310" s="78">
        <v>4</v>
      </c>
      <c r="AJ310" s="78">
        <v>2</v>
      </c>
      <c r="AK310" s="78">
        <v>2</v>
      </c>
      <c r="AL310" s="78">
        <v>2</v>
      </c>
      <c r="AM310" s="78">
        <v>2</v>
      </c>
      <c r="AN310" s="78">
        <v>2</v>
      </c>
      <c r="AO310" s="78">
        <v>2</v>
      </c>
      <c r="AP310" s="78">
        <v>2</v>
      </c>
      <c r="AQ310" s="78">
        <v>2</v>
      </c>
      <c r="AR310" s="78">
        <v>2</v>
      </c>
      <c r="AS310" s="78">
        <v>2</v>
      </c>
      <c r="AT310" s="78">
        <v>2</v>
      </c>
      <c r="AU310" s="78">
        <v>2</v>
      </c>
      <c r="AV310" s="78">
        <v>3</v>
      </c>
      <c r="AW310" s="78">
        <v>2</v>
      </c>
      <c r="AX310" s="78">
        <v>2</v>
      </c>
      <c r="AY310" s="78">
        <v>2</v>
      </c>
      <c r="AZ310" s="78">
        <v>2</v>
      </c>
      <c r="BA310" s="78">
        <v>2</v>
      </c>
      <c r="BB310" s="78">
        <v>2</v>
      </c>
      <c r="BC310" s="78">
        <v>2</v>
      </c>
      <c r="BD310" s="78">
        <v>2</v>
      </c>
      <c r="BE310" s="78">
        <v>2</v>
      </c>
      <c r="BF310" s="78">
        <v>4</v>
      </c>
      <c r="BG310" s="78">
        <v>-1</v>
      </c>
      <c r="BH310" s="78">
        <v>-1</v>
      </c>
      <c r="BI310" s="78"/>
      <c r="BJ310" s="78"/>
      <c r="BK310" s="78"/>
      <c r="BL310" s="78"/>
      <c r="BM310" s="79"/>
      <c r="BN310" s="75"/>
      <c r="BO310" s="75"/>
      <c r="BP310" s="75"/>
      <c r="BQ310" s="75"/>
      <c r="BR310" s="75"/>
      <c r="BS310" s="75"/>
      <c r="BT310" s="75"/>
      <c r="BU310" s="75"/>
      <c r="BV310" s="75"/>
      <c r="BW310" s="75"/>
      <c r="BX310" s="75"/>
      <c r="BY310" s="75"/>
      <c r="BZ310" s="75"/>
      <c r="CA310" s="75"/>
      <c r="CB310" s="75"/>
      <c r="CC310" s="75"/>
      <c r="CD310" s="75"/>
      <c r="CE310" s="75"/>
      <c r="CF310" s="75"/>
      <c r="CG310" s="75"/>
      <c r="CH310" s="75"/>
      <c r="CI310" s="75"/>
      <c r="CJ310" s="75"/>
      <c r="CK310" s="75"/>
      <c r="CL310" s="75"/>
      <c r="CM310" s="75"/>
      <c r="CN310" s="75"/>
      <c r="CO310" s="75"/>
      <c r="CP310" s="75"/>
      <c r="CQ310" s="75"/>
      <c r="CR310" s="75"/>
      <c r="CS310" s="75"/>
      <c r="CT310" s="75"/>
      <c r="CU310" s="75"/>
      <c r="CV310" s="75"/>
      <c r="CW310" s="75"/>
      <c r="CX310" s="75"/>
      <c r="CY310" s="75"/>
      <c r="CZ310" s="74"/>
      <c r="DA310" s="74"/>
      <c r="DB310" s="74"/>
      <c r="DC310" s="74"/>
      <c r="DD310" s="74"/>
      <c r="DE310" s="74"/>
      <c r="DF310" s="74"/>
      <c r="DG310" s="74"/>
      <c r="DH310" s="74"/>
      <c r="DI310" s="74"/>
      <c r="DJ310" s="74"/>
      <c r="DK310" s="74"/>
      <c r="DL310" s="74"/>
      <c r="DM310" s="74"/>
      <c r="DN310" s="74"/>
      <c r="DO310" s="74"/>
      <c r="DP310" s="74"/>
      <c r="DQ310" s="74"/>
      <c r="DR310" s="74"/>
      <c r="DS310" s="74"/>
      <c r="DT310" s="74"/>
      <c r="DU310" s="74"/>
      <c r="DV310" s="74"/>
      <c r="DW310" s="74"/>
      <c r="DX310" s="74"/>
      <c r="DY310" s="74"/>
      <c r="DZ310" s="74"/>
      <c r="EA310" s="74"/>
      <c r="EB310" s="74"/>
      <c r="EC310" s="74"/>
      <c r="ED310" s="74"/>
    </row>
    <row r="311" spans="1:134" ht="11.25" customHeight="1" x14ac:dyDescent="0.3">
      <c r="A311" s="28" t="e">
        <f t="array" aca="1" ref="A311" ca="1">_xludf.XLOOKUP(S311,Master_Registrations!P:P,Master_Registrations!A:A,"")</f>
        <v>#NAME?</v>
      </c>
      <c r="B311" s="75" t="s">
        <v>7072</v>
      </c>
      <c r="C311" s="75">
        <v>2026</v>
      </c>
      <c r="D311" s="75" t="s">
        <v>4886</v>
      </c>
      <c r="E311" s="75">
        <v>2</v>
      </c>
      <c r="F311" s="76" t="str">
        <f t="shared" si="6"/>
        <v>VED-04-2026-GR-2</v>
      </c>
      <c r="G311" s="75" t="s">
        <v>7066</v>
      </c>
      <c r="H311" s="75" t="s">
        <v>7075</v>
      </c>
      <c r="I311" s="75" t="s">
        <v>7055</v>
      </c>
      <c r="J311" s="75" t="s">
        <v>198</v>
      </c>
      <c r="K311" s="77"/>
      <c r="L311" s="77"/>
      <c r="M311" s="77"/>
      <c r="N311" s="75" t="s">
        <v>299</v>
      </c>
      <c r="O311" s="75" t="s">
        <v>6626</v>
      </c>
      <c r="P311" s="75" t="s">
        <v>2372</v>
      </c>
      <c r="Q311" s="75" t="e">
        <f t="shared" ca="1" si="5"/>
        <v>#NAME?</v>
      </c>
      <c r="R311" s="39" t="s">
        <v>112</v>
      </c>
      <c r="S311" s="75">
        <v>8008874235</v>
      </c>
      <c r="T311" s="76" t="s">
        <v>111</v>
      </c>
      <c r="U311" s="75">
        <v>1981</v>
      </c>
      <c r="V311" s="78">
        <v>2</v>
      </c>
      <c r="W311" s="78">
        <v>2</v>
      </c>
      <c r="X311" s="78">
        <v>2</v>
      </c>
      <c r="Y311" s="78">
        <v>2</v>
      </c>
      <c r="Z311" s="78">
        <v>2</v>
      </c>
      <c r="AA311" s="78">
        <v>2</v>
      </c>
      <c r="AB311" s="78">
        <v>2</v>
      </c>
      <c r="AC311" s="78">
        <v>2</v>
      </c>
      <c r="AD311" s="78">
        <v>2</v>
      </c>
      <c r="AE311" s="78">
        <v>2</v>
      </c>
      <c r="AF311" s="78">
        <v>2</v>
      </c>
      <c r="AG311" s="78">
        <v>2</v>
      </c>
      <c r="AH311" s="78">
        <v>2</v>
      </c>
      <c r="AI311" s="78">
        <v>3</v>
      </c>
      <c r="AJ311" s="78">
        <v>2</v>
      </c>
      <c r="AK311" s="78">
        <v>2</v>
      </c>
      <c r="AL311" s="78">
        <v>2</v>
      </c>
      <c r="AM311" s="78">
        <v>2</v>
      </c>
      <c r="AN311" s="78">
        <v>2</v>
      </c>
      <c r="AO311" s="78">
        <v>2</v>
      </c>
      <c r="AP311" s="78">
        <v>2</v>
      </c>
      <c r="AQ311" s="78">
        <v>2</v>
      </c>
      <c r="AR311" s="78">
        <v>2</v>
      </c>
      <c r="AS311" s="78">
        <v>2</v>
      </c>
      <c r="AT311" s="78">
        <v>2</v>
      </c>
      <c r="AU311" s="78">
        <v>2</v>
      </c>
      <c r="AV311" s="78">
        <v>3</v>
      </c>
      <c r="AW311" s="78">
        <v>2</v>
      </c>
      <c r="AX311" s="78">
        <v>2</v>
      </c>
      <c r="AY311" s="78">
        <v>2</v>
      </c>
      <c r="AZ311" s="78">
        <v>2</v>
      </c>
      <c r="BA311" s="78">
        <v>1</v>
      </c>
      <c r="BB311" s="78">
        <v>2</v>
      </c>
      <c r="BC311" s="78">
        <v>1</v>
      </c>
      <c r="BD311" s="78">
        <v>1</v>
      </c>
      <c r="BE311" s="78">
        <v>-1</v>
      </c>
      <c r="BF311" s="79">
        <v>-1</v>
      </c>
      <c r="BG311" s="78">
        <v>1</v>
      </c>
      <c r="BH311" s="79">
        <v>-1</v>
      </c>
      <c r="BI311" s="79"/>
      <c r="BJ311" s="79"/>
      <c r="BK311" s="79"/>
      <c r="BL311" s="79"/>
      <c r="BM311" s="79"/>
      <c r="BN311" s="75"/>
      <c r="BO311" s="75"/>
      <c r="BP311" s="75"/>
      <c r="BQ311" s="75"/>
      <c r="BR311" s="75"/>
      <c r="BS311" s="75"/>
      <c r="BT311" s="75"/>
      <c r="BU311" s="75"/>
      <c r="BV311" s="75"/>
      <c r="BW311" s="75"/>
      <c r="BX311" s="75"/>
      <c r="BY311" s="75"/>
      <c r="BZ311" s="75"/>
      <c r="CA311" s="75"/>
      <c r="CB311" s="75"/>
      <c r="CC311" s="75"/>
      <c r="CD311" s="75"/>
      <c r="CE311" s="75"/>
      <c r="CF311" s="75"/>
      <c r="CG311" s="75"/>
      <c r="CH311" s="75"/>
      <c r="CI311" s="75"/>
      <c r="CJ311" s="75"/>
      <c r="CK311" s="75"/>
      <c r="CL311" s="75"/>
      <c r="CM311" s="75"/>
      <c r="CN311" s="75"/>
      <c r="CO311" s="75"/>
      <c r="CP311" s="75"/>
      <c r="CQ311" s="75"/>
      <c r="CR311" s="75"/>
      <c r="CS311" s="75"/>
      <c r="CT311" s="75"/>
      <c r="CU311" s="75"/>
      <c r="CV311" s="75"/>
      <c r="CW311" s="75"/>
      <c r="CX311" s="75"/>
      <c r="CY311" s="75"/>
      <c r="CZ311" s="74"/>
      <c r="DA311" s="74"/>
      <c r="DB311" s="74"/>
      <c r="DC311" s="74"/>
      <c r="DD311" s="74"/>
      <c r="DE311" s="74"/>
      <c r="DF311" s="74"/>
      <c r="DG311" s="74"/>
      <c r="DH311" s="74"/>
      <c r="DI311" s="74"/>
      <c r="DJ311" s="74"/>
      <c r="DK311" s="74"/>
      <c r="DL311" s="74"/>
      <c r="DM311" s="74"/>
      <c r="DN311" s="74"/>
      <c r="DO311" s="74"/>
      <c r="DP311" s="74"/>
      <c r="DQ311" s="74"/>
      <c r="DR311" s="74"/>
      <c r="DS311" s="74"/>
      <c r="DT311" s="74"/>
      <c r="DU311" s="74"/>
      <c r="DV311" s="74"/>
      <c r="DW311" s="74"/>
      <c r="DX311" s="74"/>
      <c r="DY311" s="74"/>
      <c r="DZ311" s="74"/>
      <c r="EA311" s="74"/>
      <c r="EB311" s="74"/>
      <c r="EC311" s="74"/>
      <c r="ED311" s="74"/>
    </row>
    <row r="312" spans="1:134" ht="11.25" customHeight="1" x14ac:dyDescent="0.3">
      <c r="A312" s="28" t="e">
        <f t="array" aca="1" ref="A312" ca="1">_xludf.XLOOKUP(S312,Master_Registrations!P:P,Master_Registrations!A:A,"")</f>
        <v>#NAME?</v>
      </c>
      <c r="B312" s="75" t="s">
        <v>7072</v>
      </c>
      <c r="C312" s="75">
        <v>2026</v>
      </c>
      <c r="D312" s="75" t="s">
        <v>4886</v>
      </c>
      <c r="E312" s="75">
        <v>2</v>
      </c>
      <c r="F312" s="76" t="str">
        <f t="shared" si="6"/>
        <v>VED-04-2026-GR-2</v>
      </c>
      <c r="G312" s="75" t="s">
        <v>7066</v>
      </c>
      <c r="H312" s="75" t="s">
        <v>7075</v>
      </c>
      <c r="I312" s="75" t="s">
        <v>7055</v>
      </c>
      <c r="J312" s="75" t="s">
        <v>198</v>
      </c>
      <c r="K312" s="77"/>
      <c r="L312" s="77"/>
      <c r="M312" s="77"/>
      <c r="N312" s="75" t="s">
        <v>369</v>
      </c>
      <c r="O312" s="75" t="s">
        <v>1591</v>
      </c>
      <c r="P312" s="75" t="s">
        <v>1592</v>
      </c>
      <c r="Q312" s="75" t="e">
        <f t="shared" ca="1" si="5"/>
        <v>#NAME?</v>
      </c>
      <c r="R312" s="39" t="s">
        <v>316</v>
      </c>
      <c r="S312" s="75">
        <v>7603053428</v>
      </c>
      <c r="T312" s="76" t="s">
        <v>315</v>
      </c>
      <c r="U312" s="75">
        <v>1971</v>
      </c>
      <c r="V312" s="78">
        <v>2</v>
      </c>
      <c r="W312" s="78">
        <v>2</v>
      </c>
      <c r="X312" s="78">
        <v>2</v>
      </c>
      <c r="Y312" s="78">
        <v>2</v>
      </c>
      <c r="Z312" s="78">
        <v>2</v>
      </c>
      <c r="AA312" s="78">
        <v>2</v>
      </c>
      <c r="AB312" s="78">
        <v>2</v>
      </c>
      <c r="AC312" s="78">
        <v>2</v>
      </c>
      <c r="AD312" s="78">
        <v>2</v>
      </c>
      <c r="AE312" s="78">
        <v>2</v>
      </c>
      <c r="AF312" s="78">
        <v>2</v>
      </c>
      <c r="AG312" s="78">
        <v>2</v>
      </c>
      <c r="AH312" s="78">
        <v>2</v>
      </c>
      <c r="AI312" s="78">
        <v>3</v>
      </c>
      <c r="AJ312" s="78">
        <v>2</v>
      </c>
      <c r="AK312" s="78">
        <v>2</v>
      </c>
      <c r="AL312" s="78">
        <v>2</v>
      </c>
      <c r="AM312" s="78">
        <v>2</v>
      </c>
      <c r="AN312" s="78">
        <v>2</v>
      </c>
      <c r="AO312" s="78">
        <v>2</v>
      </c>
      <c r="AP312" s="78">
        <v>1</v>
      </c>
      <c r="AQ312" s="78">
        <v>2</v>
      </c>
      <c r="AR312" s="78">
        <v>2</v>
      </c>
      <c r="AS312" s="78">
        <v>2</v>
      </c>
      <c r="AT312" s="78">
        <v>2</v>
      </c>
      <c r="AU312" s="78">
        <v>1</v>
      </c>
      <c r="AV312" s="79">
        <v>-1</v>
      </c>
      <c r="AW312" s="78">
        <v>2</v>
      </c>
      <c r="AX312" s="78">
        <v>2</v>
      </c>
      <c r="AY312" s="78">
        <v>2</v>
      </c>
      <c r="AZ312" s="78">
        <v>1</v>
      </c>
      <c r="BA312" s="78">
        <v>1</v>
      </c>
      <c r="BB312" s="78">
        <v>1</v>
      </c>
      <c r="BC312" s="78">
        <v>-1</v>
      </c>
      <c r="BD312" s="78">
        <v>1</v>
      </c>
      <c r="BE312" s="78">
        <v>-1</v>
      </c>
      <c r="BF312" s="79">
        <v>-1</v>
      </c>
      <c r="BG312" s="78">
        <v>1</v>
      </c>
      <c r="BH312" s="79">
        <v>-1</v>
      </c>
      <c r="BI312" s="79"/>
      <c r="BJ312" s="79"/>
      <c r="BK312" s="79"/>
      <c r="BL312" s="79"/>
      <c r="BM312" s="79"/>
      <c r="BN312" s="75"/>
      <c r="BO312" s="75"/>
      <c r="BP312" s="75"/>
      <c r="BQ312" s="75"/>
      <c r="BR312" s="75"/>
      <c r="BS312" s="75"/>
      <c r="BT312" s="75"/>
      <c r="BU312" s="75"/>
      <c r="BV312" s="75"/>
      <c r="BW312" s="75"/>
      <c r="BX312" s="75"/>
      <c r="BY312" s="75"/>
      <c r="BZ312" s="75"/>
      <c r="CA312" s="75"/>
      <c r="CB312" s="75"/>
      <c r="CC312" s="75"/>
      <c r="CD312" s="75"/>
      <c r="CE312" s="75"/>
      <c r="CF312" s="75"/>
      <c r="CG312" s="75"/>
      <c r="CH312" s="75"/>
      <c r="CI312" s="75"/>
      <c r="CJ312" s="75"/>
      <c r="CK312" s="75"/>
      <c r="CL312" s="75"/>
      <c r="CM312" s="75"/>
      <c r="CN312" s="75"/>
      <c r="CO312" s="75"/>
      <c r="CP312" s="75"/>
      <c r="CQ312" s="75"/>
      <c r="CR312" s="75"/>
      <c r="CS312" s="75"/>
      <c r="CT312" s="75"/>
      <c r="CU312" s="75"/>
      <c r="CV312" s="75"/>
      <c r="CW312" s="75"/>
      <c r="CX312" s="75"/>
      <c r="CY312" s="75"/>
    </row>
    <row r="313" spans="1:134" ht="11.25" customHeight="1" x14ac:dyDescent="0.3">
      <c r="A313" s="28" t="e">
        <f t="array" aca="1" ref="A313" ca="1">_xludf.XLOOKUP(S313,Master_Registrations!P:P,Master_Registrations!A:A,"")</f>
        <v>#NAME?</v>
      </c>
      <c r="B313" s="75" t="s">
        <v>7072</v>
      </c>
      <c r="C313" s="75">
        <v>2026</v>
      </c>
      <c r="D313" s="75" t="s">
        <v>4886</v>
      </c>
      <c r="E313" s="75">
        <v>2</v>
      </c>
      <c r="F313" s="76" t="str">
        <f t="shared" si="6"/>
        <v>VED-04-2026-GR-2</v>
      </c>
      <c r="G313" s="75" t="s">
        <v>7066</v>
      </c>
      <c r="H313" s="75" t="s">
        <v>7075</v>
      </c>
      <c r="I313" s="75" t="s">
        <v>7055</v>
      </c>
      <c r="J313" s="75" t="s">
        <v>198</v>
      </c>
      <c r="K313" s="77"/>
      <c r="L313" s="77"/>
      <c r="M313" s="77"/>
      <c r="N313" s="75" t="s">
        <v>434</v>
      </c>
      <c r="O313" s="75" t="s">
        <v>2537</v>
      </c>
      <c r="P313" s="75" t="s">
        <v>2538</v>
      </c>
      <c r="Q313" s="75" t="e">
        <f t="shared" ca="1" si="5"/>
        <v>#NAME?</v>
      </c>
      <c r="R313" s="39" t="s">
        <v>316</v>
      </c>
      <c r="S313" s="80">
        <v>5035935055</v>
      </c>
      <c r="T313" s="76" t="s">
        <v>474</v>
      </c>
      <c r="U313" s="75">
        <v>1980</v>
      </c>
      <c r="V313" s="78">
        <v>2</v>
      </c>
      <c r="W313" s="78">
        <v>2</v>
      </c>
      <c r="X313" s="78">
        <v>2</v>
      </c>
      <c r="Y313" s="78">
        <v>2</v>
      </c>
      <c r="Z313" s="78">
        <v>2</v>
      </c>
      <c r="AA313" s="78">
        <v>2</v>
      </c>
      <c r="AB313" s="78">
        <v>2</v>
      </c>
      <c r="AC313" s="78">
        <v>2</v>
      </c>
      <c r="AD313" s="78">
        <v>2</v>
      </c>
      <c r="AE313" s="78">
        <v>2</v>
      </c>
      <c r="AF313" s="78">
        <v>2</v>
      </c>
      <c r="AG313" s="78">
        <v>2</v>
      </c>
      <c r="AH313" s="78">
        <v>2</v>
      </c>
      <c r="AI313" s="78">
        <v>4</v>
      </c>
      <c r="AJ313" s="78">
        <v>2</v>
      </c>
      <c r="AK313" s="78">
        <v>2</v>
      </c>
      <c r="AL313" s="78">
        <v>2</v>
      </c>
      <c r="AM313" s="78">
        <v>2</v>
      </c>
      <c r="AN313" s="78">
        <v>2</v>
      </c>
      <c r="AO313" s="78">
        <v>2</v>
      </c>
      <c r="AP313" s="78">
        <v>2</v>
      </c>
      <c r="AQ313" s="78">
        <v>2</v>
      </c>
      <c r="AR313" s="78">
        <v>2</v>
      </c>
      <c r="AS313" s="78">
        <v>2</v>
      </c>
      <c r="AT313" s="78">
        <v>2</v>
      </c>
      <c r="AU313" s="78">
        <v>2</v>
      </c>
      <c r="AV313" s="78">
        <v>4</v>
      </c>
      <c r="AW313" s="78">
        <v>2</v>
      </c>
      <c r="AX313" s="78">
        <v>2</v>
      </c>
      <c r="AY313" s="78">
        <v>2</v>
      </c>
      <c r="AZ313" s="78">
        <v>2</v>
      </c>
      <c r="BA313" s="78">
        <v>2</v>
      </c>
      <c r="BB313" s="78">
        <v>2</v>
      </c>
      <c r="BC313" s="78">
        <v>2</v>
      </c>
      <c r="BD313" s="78">
        <v>2</v>
      </c>
      <c r="BE313" s="78">
        <v>2</v>
      </c>
      <c r="BF313" s="78">
        <v>4</v>
      </c>
      <c r="BG313" s="78">
        <v>2</v>
      </c>
      <c r="BH313" s="79">
        <v>-1</v>
      </c>
      <c r="BI313" s="79"/>
      <c r="BJ313" s="79"/>
      <c r="BK313" s="79"/>
      <c r="BL313" s="79"/>
      <c r="BM313" s="79"/>
      <c r="BN313" s="75"/>
      <c r="BO313" s="75"/>
      <c r="BP313" s="75"/>
      <c r="BQ313" s="75"/>
      <c r="BR313" s="75"/>
      <c r="BS313" s="75"/>
      <c r="BT313" s="75"/>
      <c r="BU313" s="75"/>
      <c r="BV313" s="75"/>
      <c r="BW313" s="75"/>
      <c r="BX313" s="75"/>
      <c r="BY313" s="75"/>
      <c r="BZ313" s="75"/>
      <c r="CA313" s="75"/>
      <c r="CB313" s="75"/>
      <c r="CC313" s="75"/>
      <c r="CD313" s="75"/>
      <c r="CE313" s="75"/>
      <c r="CF313" s="75"/>
      <c r="CG313" s="75"/>
      <c r="CH313" s="75"/>
      <c r="CI313" s="75"/>
      <c r="CJ313" s="75"/>
      <c r="CK313" s="75"/>
      <c r="CL313" s="75"/>
      <c r="CM313" s="75"/>
      <c r="CN313" s="75"/>
      <c r="CO313" s="75"/>
      <c r="CP313" s="75"/>
      <c r="CQ313" s="75"/>
      <c r="CR313" s="75"/>
      <c r="CS313" s="75"/>
      <c r="CT313" s="75"/>
      <c r="CU313" s="75"/>
      <c r="CV313" s="75"/>
      <c r="CW313" s="75"/>
      <c r="CX313" s="75"/>
      <c r="CY313" s="75"/>
    </row>
    <row r="314" spans="1:134" ht="11.25" customHeight="1" x14ac:dyDescent="0.3">
      <c r="A314" s="28" t="e">
        <f t="array" aca="1" ref="A314" ca="1">_xludf.XLOOKUP(S314,Master_Registrations!P:P,Master_Registrations!A:A,"")</f>
        <v>#NAME?</v>
      </c>
      <c r="B314" s="75" t="s">
        <v>7072</v>
      </c>
      <c r="C314" s="75">
        <v>2026</v>
      </c>
      <c r="D314" s="75" t="s">
        <v>4886</v>
      </c>
      <c r="E314" s="75">
        <v>2</v>
      </c>
      <c r="F314" s="76" t="str">
        <f t="shared" si="6"/>
        <v>VED-04-2026-GR-2</v>
      </c>
      <c r="G314" s="75" t="s">
        <v>7066</v>
      </c>
      <c r="H314" s="75" t="s">
        <v>7075</v>
      </c>
      <c r="I314" s="75" t="s">
        <v>7055</v>
      </c>
      <c r="J314" s="75" t="s">
        <v>198</v>
      </c>
      <c r="K314" s="77"/>
      <c r="L314" s="77"/>
      <c r="M314" s="77"/>
      <c r="N314" s="75" t="s">
        <v>525</v>
      </c>
      <c r="O314" s="75" t="s">
        <v>1569</v>
      </c>
      <c r="P314" s="75" t="s">
        <v>1570</v>
      </c>
      <c r="Q314" s="75" t="e">
        <f t="shared" ca="1" si="5"/>
        <v>#NAME?</v>
      </c>
      <c r="R314" s="39" t="s">
        <v>112</v>
      </c>
      <c r="S314" s="80">
        <v>8885561543</v>
      </c>
      <c r="T314" s="76" t="s">
        <v>111</v>
      </c>
      <c r="U314" s="75">
        <v>1963</v>
      </c>
      <c r="V314" s="78">
        <v>2</v>
      </c>
      <c r="W314" s="78">
        <v>2</v>
      </c>
      <c r="X314" s="78">
        <v>2</v>
      </c>
      <c r="Y314" s="78">
        <v>2</v>
      </c>
      <c r="Z314" s="78">
        <v>2</v>
      </c>
      <c r="AA314" s="78">
        <v>2</v>
      </c>
      <c r="AB314" s="78">
        <v>2</v>
      </c>
      <c r="AC314" s="78">
        <v>2</v>
      </c>
      <c r="AD314" s="78">
        <v>2</v>
      </c>
      <c r="AE314" s="78">
        <v>2</v>
      </c>
      <c r="AF314" s="78">
        <v>2</v>
      </c>
      <c r="AG314" s="78">
        <v>2</v>
      </c>
      <c r="AH314" s="78">
        <v>2</v>
      </c>
      <c r="AI314" s="78">
        <v>3</v>
      </c>
      <c r="AJ314" s="78">
        <v>2</v>
      </c>
      <c r="AK314" s="78">
        <v>2</v>
      </c>
      <c r="AL314" s="78">
        <v>2</v>
      </c>
      <c r="AM314" s="78">
        <v>2</v>
      </c>
      <c r="AN314" s="78">
        <v>2</v>
      </c>
      <c r="AO314" s="78">
        <v>2</v>
      </c>
      <c r="AP314" s="78">
        <v>2</v>
      </c>
      <c r="AQ314" s="78">
        <v>2</v>
      </c>
      <c r="AR314" s="78">
        <v>2</v>
      </c>
      <c r="AS314" s="78">
        <v>2</v>
      </c>
      <c r="AT314" s="78">
        <v>2</v>
      </c>
      <c r="AU314" s="78">
        <v>2</v>
      </c>
      <c r="AV314" s="78">
        <v>-1</v>
      </c>
      <c r="AW314" s="78">
        <v>1</v>
      </c>
      <c r="AX314" s="78">
        <v>1</v>
      </c>
      <c r="AY314" s="78">
        <v>2</v>
      </c>
      <c r="AZ314" s="78">
        <v>1</v>
      </c>
      <c r="BA314" s="78">
        <v>2</v>
      </c>
      <c r="BB314" s="78">
        <v>2</v>
      </c>
      <c r="BC314" s="78">
        <v>1</v>
      </c>
      <c r="BD314" s="78">
        <v>2</v>
      </c>
      <c r="BE314" s="78">
        <v>2</v>
      </c>
      <c r="BF314" s="78">
        <v>-1</v>
      </c>
      <c r="BG314" s="78">
        <v>-1</v>
      </c>
      <c r="BH314" s="79">
        <v>-1</v>
      </c>
      <c r="BI314" s="79"/>
      <c r="BJ314" s="79"/>
      <c r="BK314" s="79"/>
      <c r="BL314" s="79"/>
      <c r="BM314" s="79"/>
      <c r="BN314" s="75"/>
      <c r="BO314" s="75"/>
      <c r="BP314" s="75"/>
      <c r="BQ314" s="75"/>
      <c r="BR314" s="75"/>
      <c r="BS314" s="75"/>
      <c r="BT314" s="75"/>
      <c r="BU314" s="75"/>
      <c r="BV314" s="75"/>
      <c r="BW314" s="75"/>
      <c r="BX314" s="75"/>
      <c r="BY314" s="75"/>
      <c r="BZ314" s="75"/>
      <c r="CA314" s="75"/>
      <c r="CB314" s="75"/>
      <c r="CC314" s="75"/>
      <c r="CD314" s="75"/>
      <c r="CE314" s="75"/>
      <c r="CF314" s="75"/>
      <c r="CG314" s="75"/>
      <c r="CH314" s="75"/>
      <c r="CI314" s="75"/>
      <c r="CJ314" s="75"/>
      <c r="CK314" s="75"/>
      <c r="CL314" s="75"/>
      <c r="CM314" s="75"/>
      <c r="CN314" s="75"/>
      <c r="CO314" s="75"/>
      <c r="CP314" s="75"/>
      <c r="CQ314" s="75"/>
      <c r="CR314" s="75"/>
      <c r="CS314" s="75"/>
      <c r="CT314" s="75"/>
      <c r="CU314" s="75"/>
      <c r="CV314" s="75"/>
      <c r="CW314" s="75"/>
      <c r="CX314" s="75"/>
      <c r="CY314" s="75"/>
    </row>
    <row r="315" spans="1:134" ht="11.25" customHeight="1" x14ac:dyDescent="0.3">
      <c r="A315" s="28" t="e">
        <f t="array" aca="1" ref="A315" ca="1">_xludf.XLOOKUP(S315,Master_Registrations!P:P,Master_Registrations!A:A,"")</f>
        <v>#NAME?</v>
      </c>
      <c r="B315" s="75" t="s">
        <v>7072</v>
      </c>
      <c r="C315" s="75">
        <v>2026</v>
      </c>
      <c r="D315" s="75" t="s">
        <v>4886</v>
      </c>
      <c r="E315" s="75">
        <v>2</v>
      </c>
      <c r="F315" s="76" t="str">
        <f t="shared" si="6"/>
        <v>VED-04-2026-GR-2</v>
      </c>
      <c r="G315" s="75" t="s">
        <v>7066</v>
      </c>
      <c r="H315" s="75" t="s">
        <v>7075</v>
      </c>
      <c r="I315" s="75" t="s">
        <v>7055</v>
      </c>
      <c r="J315" s="75" t="s">
        <v>198</v>
      </c>
      <c r="K315" s="77"/>
      <c r="L315" s="77"/>
      <c r="M315" s="77"/>
      <c r="N315" s="75" t="s">
        <v>621</v>
      </c>
      <c r="O315" s="75" t="s">
        <v>1433</v>
      </c>
      <c r="P315" s="75" t="s">
        <v>1434</v>
      </c>
      <c r="Q315" s="75" t="e">
        <f t="shared" ca="1" si="5"/>
        <v>#NAME?</v>
      </c>
      <c r="R315" s="39" t="s">
        <v>112</v>
      </c>
      <c r="S315" s="75">
        <v>9000580605</v>
      </c>
      <c r="T315" s="76" t="s">
        <v>111</v>
      </c>
      <c r="U315" s="75">
        <v>1991</v>
      </c>
      <c r="V315" s="78">
        <v>2</v>
      </c>
      <c r="W315" s="78">
        <v>2</v>
      </c>
      <c r="X315" s="78">
        <v>2</v>
      </c>
      <c r="Y315" s="78">
        <v>2</v>
      </c>
      <c r="Z315" s="78">
        <v>2</v>
      </c>
      <c r="AA315" s="78">
        <v>2</v>
      </c>
      <c r="AB315" s="78">
        <v>2</v>
      </c>
      <c r="AC315" s="78">
        <v>2</v>
      </c>
      <c r="AD315" s="78">
        <v>2</v>
      </c>
      <c r="AE315" s="78">
        <v>2</v>
      </c>
      <c r="AF315" s="78">
        <v>2</v>
      </c>
      <c r="AG315" s="78">
        <v>2</v>
      </c>
      <c r="AH315" s="78">
        <v>2</v>
      </c>
      <c r="AI315" s="78">
        <v>4</v>
      </c>
      <c r="AJ315" s="78">
        <v>2</v>
      </c>
      <c r="AK315" s="78">
        <v>2</v>
      </c>
      <c r="AL315" s="78">
        <v>2</v>
      </c>
      <c r="AM315" s="78">
        <v>2</v>
      </c>
      <c r="AN315" s="78">
        <v>2</v>
      </c>
      <c r="AO315" s="78">
        <v>2</v>
      </c>
      <c r="AP315" s="78">
        <v>2</v>
      </c>
      <c r="AQ315" s="78">
        <v>2</v>
      </c>
      <c r="AR315" s="78">
        <v>2</v>
      </c>
      <c r="AS315" s="78">
        <v>2</v>
      </c>
      <c r="AT315" s="78">
        <v>2</v>
      </c>
      <c r="AU315" s="78">
        <v>2</v>
      </c>
      <c r="AV315" s="78">
        <v>3</v>
      </c>
      <c r="AW315" s="78">
        <v>2</v>
      </c>
      <c r="AX315" s="78">
        <v>2</v>
      </c>
      <c r="AY315" s="78">
        <v>2</v>
      </c>
      <c r="AZ315" s="78">
        <v>2</v>
      </c>
      <c r="BA315" s="78">
        <v>2</v>
      </c>
      <c r="BB315" s="78">
        <v>2</v>
      </c>
      <c r="BC315" s="78">
        <v>2</v>
      </c>
      <c r="BD315" s="78">
        <v>2</v>
      </c>
      <c r="BE315" s="78">
        <v>2</v>
      </c>
      <c r="BF315" s="78">
        <v>4</v>
      </c>
      <c r="BG315" s="79">
        <v>-1</v>
      </c>
      <c r="BH315" s="79">
        <v>-1</v>
      </c>
      <c r="BI315" s="79"/>
      <c r="BJ315" s="79"/>
      <c r="BK315" s="79"/>
      <c r="BL315" s="79"/>
      <c r="BM315" s="79"/>
      <c r="BN315" s="75"/>
      <c r="BO315" s="75"/>
      <c r="BP315" s="75"/>
      <c r="BQ315" s="75"/>
      <c r="BR315" s="75"/>
      <c r="BS315" s="75"/>
      <c r="BT315" s="75"/>
      <c r="BU315" s="75"/>
      <c r="BV315" s="75"/>
      <c r="BW315" s="75"/>
      <c r="BX315" s="75"/>
      <c r="BY315" s="75"/>
      <c r="BZ315" s="75"/>
      <c r="CA315" s="75"/>
      <c r="CB315" s="75"/>
      <c r="CC315" s="75"/>
      <c r="CD315" s="75"/>
      <c r="CE315" s="75"/>
      <c r="CF315" s="75"/>
      <c r="CG315" s="75"/>
      <c r="CH315" s="75"/>
      <c r="CI315" s="75"/>
      <c r="CJ315" s="75"/>
      <c r="CK315" s="75"/>
      <c r="CL315" s="75"/>
      <c r="CM315" s="75"/>
      <c r="CN315" s="75"/>
      <c r="CO315" s="75"/>
      <c r="CP315" s="75"/>
      <c r="CQ315" s="75"/>
      <c r="CR315" s="75"/>
      <c r="CS315" s="75"/>
      <c r="CT315" s="75"/>
      <c r="CU315" s="75"/>
      <c r="CV315" s="75"/>
      <c r="CW315" s="75"/>
      <c r="CX315" s="75"/>
      <c r="CY315" s="75"/>
    </row>
    <row r="316" spans="1:134" ht="11.25" customHeight="1" x14ac:dyDescent="0.3">
      <c r="A316" s="28" t="e">
        <f t="array" aca="1" ref="A316" ca="1">_xludf.XLOOKUP(S316,Master_Registrations!P:P,Master_Registrations!A:A,"")</f>
        <v>#NAME?</v>
      </c>
      <c r="B316" s="75" t="s">
        <v>7072</v>
      </c>
      <c r="C316" s="75">
        <v>2026</v>
      </c>
      <c r="D316" s="75" t="s">
        <v>4886</v>
      </c>
      <c r="E316" s="75">
        <v>2</v>
      </c>
      <c r="F316" s="76" t="str">
        <f t="shared" si="6"/>
        <v>VED-04-2026-GR-2</v>
      </c>
      <c r="G316" s="75" t="s">
        <v>7066</v>
      </c>
      <c r="H316" s="75" t="s">
        <v>7075</v>
      </c>
      <c r="I316" s="75" t="s">
        <v>7055</v>
      </c>
      <c r="J316" s="75" t="s">
        <v>198</v>
      </c>
      <c r="K316" s="78"/>
      <c r="L316" s="78"/>
      <c r="M316" s="78"/>
      <c r="N316" s="75" t="s">
        <v>714</v>
      </c>
      <c r="O316" s="75" t="s">
        <v>739</v>
      </c>
      <c r="P316" s="75" t="s">
        <v>740</v>
      </c>
      <c r="Q316" s="75" t="e">
        <f t="shared" ca="1" si="5"/>
        <v>#NAME?</v>
      </c>
      <c r="R316" s="39" t="s">
        <v>316</v>
      </c>
      <c r="S316" s="75">
        <v>9257193072</v>
      </c>
      <c r="T316" s="76" t="s">
        <v>474</v>
      </c>
      <c r="U316" s="75">
        <v>1974</v>
      </c>
      <c r="V316" s="78">
        <v>1</v>
      </c>
      <c r="W316" s="78">
        <v>1</v>
      </c>
      <c r="X316" s="78">
        <v>1</v>
      </c>
      <c r="Y316" s="78">
        <v>1</v>
      </c>
      <c r="Z316" s="78">
        <v>1</v>
      </c>
      <c r="AA316" s="78">
        <v>1</v>
      </c>
      <c r="AB316" s="78">
        <v>2</v>
      </c>
      <c r="AC316" s="78">
        <v>1</v>
      </c>
      <c r="AD316" s="78">
        <v>1</v>
      </c>
      <c r="AE316" s="78">
        <v>1</v>
      </c>
      <c r="AF316" s="78">
        <v>1</v>
      </c>
      <c r="AG316" s="78">
        <v>1</v>
      </c>
      <c r="AH316" s="78">
        <v>1</v>
      </c>
      <c r="AI316" s="79">
        <v>-1</v>
      </c>
      <c r="AJ316" s="78">
        <v>1</v>
      </c>
      <c r="AK316" s="78">
        <v>-1</v>
      </c>
      <c r="AL316" s="78">
        <v>-1</v>
      </c>
      <c r="AM316" s="78">
        <v>1</v>
      </c>
      <c r="AN316" s="78">
        <v>1</v>
      </c>
      <c r="AO316" s="78">
        <v>1</v>
      </c>
      <c r="AP316" s="78">
        <v>2</v>
      </c>
      <c r="AQ316" s="78">
        <v>1</v>
      </c>
      <c r="AR316" s="78">
        <v>1</v>
      </c>
      <c r="AS316" s="78">
        <v>1</v>
      </c>
      <c r="AT316" s="78">
        <v>-1</v>
      </c>
      <c r="AU316" s="78">
        <v>-1</v>
      </c>
      <c r="AV316" s="79">
        <v>-1</v>
      </c>
      <c r="AW316" s="78">
        <v>1</v>
      </c>
      <c r="AX316" s="81">
        <v>1</v>
      </c>
      <c r="AY316" s="78">
        <v>1</v>
      </c>
      <c r="AZ316" s="78">
        <v>1</v>
      </c>
      <c r="BA316" s="78">
        <v>1</v>
      </c>
      <c r="BB316" s="78">
        <v>1</v>
      </c>
      <c r="BC316" s="78">
        <v>-1</v>
      </c>
      <c r="BD316" s="78">
        <v>1</v>
      </c>
      <c r="BE316" s="78">
        <v>-1</v>
      </c>
      <c r="BF316" s="79">
        <v>-1</v>
      </c>
      <c r="BG316" s="78">
        <v>-1</v>
      </c>
      <c r="BH316" s="79">
        <v>-1</v>
      </c>
      <c r="BI316" s="79"/>
      <c r="BJ316" s="79"/>
      <c r="BK316" s="79"/>
      <c r="BL316" s="79"/>
      <c r="BM316" s="79"/>
      <c r="BN316" s="75"/>
      <c r="BO316" s="75"/>
      <c r="BP316" s="75"/>
      <c r="BQ316" s="75"/>
      <c r="BR316" s="75"/>
      <c r="BS316" s="75"/>
      <c r="BT316" s="75"/>
      <c r="BU316" s="75"/>
      <c r="BV316" s="75"/>
      <c r="BW316" s="75"/>
      <c r="BX316" s="75"/>
      <c r="BY316" s="75"/>
      <c r="BZ316" s="75"/>
      <c r="CA316" s="75"/>
      <c r="CB316" s="75"/>
      <c r="CC316" s="75"/>
      <c r="CD316" s="75"/>
      <c r="CE316" s="75"/>
      <c r="CF316" s="75"/>
      <c r="CG316" s="75"/>
      <c r="CH316" s="75"/>
      <c r="CI316" s="75"/>
      <c r="CJ316" s="75"/>
      <c r="CK316" s="75"/>
      <c r="CL316" s="75"/>
      <c r="CM316" s="75"/>
      <c r="CN316" s="75"/>
      <c r="CO316" s="75"/>
      <c r="CP316" s="75"/>
      <c r="CQ316" s="75"/>
      <c r="CR316" s="75"/>
      <c r="CS316" s="75"/>
      <c r="CT316" s="75"/>
      <c r="CU316" s="75"/>
      <c r="CV316" s="75"/>
      <c r="CW316" s="75"/>
      <c r="CX316" s="75"/>
      <c r="CY316" s="75"/>
    </row>
    <row r="317" spans="1:134" ht="11.25" customHeight="1" x14ac:dyDescent="0.3">
      <c r="A317" s="28" t="e">
        <f t="array" aca="1" ref="A317" ca="1">_xludf.XLOOKUP(S317,Master_Registrations!P:P,Master_Registrations!A:A,"")</f>
        <v>#NAME?</v>
      </c>
      <c r="B317" s="75" t="s">
        <v>7072</v>
      </c>
      <c r="C317" s="75">
        <v>2026</v>
      </c>
      <c r="D317" s="75" t="s">
        <v>4886</v>
      </c>
      <c r="E317" s="75">
        <v>2</v>
      </c>
      <c r="F317" s="76" t="str">
        <f t="shared" si="6"/>
        <v>VED-04-2026-GR-2</v>
      </c>
      <c r="G317" s="76" t="s">
        <v>7066</v>
      </c>
      <c r="H317" s="76" t="s">
        <v>7075</v>
      </c>
      <c r="I317" s="75" t="s">
        <v>7055</v>
      </c>
      <c r="J317" s="75" t="s">
        <v>198</v>
      </c>
      <c r="K317" s="82"/>
      <c r="L317" s="82"/>
      <c r="M317" s="82"/>
      <c r="N317" s="75" t="s">
        <v>786</v>
      </c>
      <c r="O317" s="75" t="s">
        <v>1730</v>
      </c>
      <c r="P317" s="75" t="s">
        <v>1731</v>
      </c>
      <c r="Q317" s="75" t="e">
        <f t="shared" ca="1" si="5"/>
        <v>#NAME?</v>
      </c>
      <c r="R317" s="39" t="s">
        <v>316</v>
      </c>
      <c r="S317" s="83">
        <v>5037086589</v>
      </c>
      <c r="T317" s="76" t="s">
        <v>474</v>
      </c>
      <c r="U317" s="83">
        <v>2005</v>
      </c>
      <c r="V317" s="78">
        <v>2</v>
      </c>
      <c r="W317" s="78">
        <v>2</v>
      </c>
      <c r="X317" s="78">
        <v>2</v>
      </c>
      <c r="Y317" s="78">
        <v>2</v>
      </c>
      <c r="Z317" s="78">
        <v>2</v>
      </c>
      <c r="AA317" s="78">
        <v>2</v>
      </c>
      <c r="AB317" s="78">
        <v>2</v>
      </c>
      <c r="AC317" s="78">
        <v>2</v>
      </c>
      <c r="AD317" s="78">
        <v>2</v>
      </c>
      <c r="AE317" s="78">
        <v>2</v>
      </c>
      <c r="AF317" s="78">
        <v>2</v>
      </c>
      <c r="AG317" s="78">
        <v>2</v>
      </c>
      <c r="AH317" s="78">
        <v>2</v>
      </c>
      <c r="AI317" s="78">
        <v>4</v>
      </c>
      <c r="AJ317" s="78">
        <v>2</v>
      </c>
      <c r="AK317" s="78">
        <v>2</v>
      </c>
      <c r="AL317" s="78">
        <v>2</v>
      </c>
      <c r="AM317" s="78">
        <v>2</v>
      </c>
      <c r="AN317" s="78">
        <v>2</v>
      </c>
      <c r="AO317" s="78">
        <v>2</v>
      </c>
      <c r="AP317" s="78">
        <v>2</v>
      </c>
      <c r="AQ317" s="78">
        <v>2</v>
      </c>
      <c r="AR317" s="78">
        <v>2</v>
      </c>
      <c r="AS317" s="78">
        <v>2</v>
      </c>
      <c r="AT317" s="78">
        <v>2</v>
      </c>
      <c r="AU317" s="78">
        <v>2</v>
      </c>
      <c r="AV317" s="78">
        <v>4</v>
      </c>
      <c r="AW317" s="78">
        <v>2</v>
      </c>
      <c r="AX317" s="78">
        <v>2</v>
      </c>
      <c r="AY317" s="78">
        <v>2</v>
      </c>
      <c r="AZ317" s="78">
        <v>2</v>
      </c>
      <c r="BA317" s="78">
        <v>2</v>
      </c>
      <c r="BB317" s="78">
        <v>2</v>
      </c>
      <c r="BC317" s="78">
        <v>2</v>
      </c>
      <c r="BD317" s="78">
        <v>2</v>
      </c>
      <c r="BE317" s="78">
        <v>2</v>
      </c>
      <c r="BF317" s="78">
        <v>4</v>
      </c>
      <c r="BG317" s="78">
        <v>-1</v>
      </c>
      <c r="BH317" s="79">
        <v>-1</v>
      </c>
      <c r="BI317" s="79"/>
      <c r="BJ317" s="79"/>
      <c r="BK317" s="79"/>
      <c r="BL317" s="79"/>
      <c r="BM317" s="79"/>
      <c r="BN317" s="75"/>
      <c r="BO317" s="75"/>
      <c r="BP317" s="75"/>
      <c r="BQ317" s="75"/>
      <c r="BR317" s="75"/>
      <c r="BS317" s="75"/>
      <c r="BT317" s="75"/>
      <c r="BU317" s="75"/>
      <c r="BV317" s="75"/>
      <c r="BW317" s="75"/>
      <c r="BX317" s="75"/>
      <c r="BY317" s="75"/>
      <c r="BZ317" s="75"/>
      <c r="CA317" s="75"/>
      <c r="CB317" s="75"/>
      <c r="CC317" s="75"/>
      <c r="CD317" s="75"/>
      <c r="CE317" s="75"/>
      <c r="CF317" s="75"/>
      <c r="CG317" s="75"/>
      <c r="CH317" s="75"/>
      <c r="CI317" s="75"/>
      <c r="CJ317" s="75"/>
      <c r="CK317" s="75"/>
      <c r="CL317" s="75"/>
      <c r="CM317" s="75"/>
      <c r="CN317" s="75"/>
      <c r="CO317" s="75"/>
      <c r="CP317" s="75"/>
      <c r="CQ317" s="75"/>
      <c r="CR317" s="75"/>
      <c r="CS317" s="75"/>
      <c r="CT317" s="75"/>
      <c r="CU317" s="75"/>
      <c r="CV317" s="75"/>
      <c r="CW317" s="75"/>
      <c r="CX317" s="75"/>
      <c r="CY317" s="75"/>
    </row>
    <row r="318" spans="1:134" ht="11.25" customHeight="1" x14ac:dyDescent="0.3">
      <c r="A318" s="28" t="e">
        <f t="array" aca="1" ref="A318" ca="1">_xludf.XLOOKUP(S318,Master_Registrations!P:P,Master_Registrations!A:A,"")</f>
        <v>#NAME?</v>
      </c>
      <c r="B318" s="75" t="s">
        <v>7072</v>
      </c>
      <c r="C318" s="75">
        <v>2026</v>
      </c>
      <c r="D318" s="75" t="s">
        <v>4886</v>
      </c>
      <c r="E318" s="75">
        <v>2</v>
      </c>
      <c r="F318" s="76" t="str">
        <f t="shared" si="6"/>
        <v>VED-04-2026-GR-2</v>
      </c>
      <c r="G318" s="75" t="s">
        <v>7066</v>
      </c>
      <c r="H318" s="75" t="s">
        <v>7075</v>
      </c>
      <c r="I318" s="75" t="s">
        <v>7055</v>
      </c>
      <c r="J318" s="75" t="s">
        <v>198</v>
      </c>
      <c r="K318" s="77"/>
      <c r="L318" s="77"/>
      <c r="M318" s="77"/>
      <c r="N318" s="75" t="s">
        <v>856</v>
      </c>
      <c r="O318" s="75" t="s">
        <v>803</v>
      </c>
      <c r="P318" s="75" t="s">
        <v>6858</v>
      </c>
      <c r="Q318" s="75" t="e">
        <f t="shared" ca="1" si="5"/>
        <v>#NAME?</v>
      </c>
      <c r="R318" s="39" t="s">
        <v>316</v>
      </c>
      <c r="S318" s="75">
        <v>4694754656</v>
      </c>
      <c r="T318" s="76" t="s">
        <v>315</v>
      </c>
      <c r="U318" s="75">
        <v>1981</v>
      </c>
      <c r="V318" s="78">
        <v>2</v>
      </c>
      <c r="W318" s="78">
        <v>2</v>
      </c>
      <c r="X318" s="78">
        <v>2</v>
      </c>
      <c r="Y318" s="78">
        <v>2</v>
      </c>
      <c r="Z318" s="78">
        <v>2</v>
      </c>
      <c r="AA318" s="78">
        <v>2</v>
      </c>
      <c r="AB318" s="78">
        <v>2</v>
      </c>
      <c r="AC318" s="78">
        <v>2</v>
      </c>
      <c r="AD318" s="78">
        <v>2</v>
      </c>
      <c r="AE318" s="78">
        <v>2</v>
      </c>
      <c r="AF318" s="78">
        <v>2</v>
      </c>
      <c r="AG318" s="78">
        <v>2</v>
      </c>
      <c r="AH318" s="78">
        <v>2</v>
      </c>
      <c r="AI318" s="78">
        <v>4</v>
      </c>
      <c r="AJ318" s="78">
        <v>2</v>
      </c>
      <c r="AK318" s="78">
        <v>2</v>
      </c>
      <c r="AL318" s="78">
        <v>2</v>
      </c>
      <c r="AM318" s="78">
        <v>2</v>
      </c>
      <c r="AN318" s="78">
        <v>2</v>
      </c>
      <c r="AO318" s="78">
        <v>2</v>
      </c>
      <c r="AP318" s="78">
        <v>2</v>
      </c>
      <c r="AQ318" s="78">
        <v>2</v>
      </c>
      <c r="AR318" s="78">
        <v>2</v>
      </c>
      <c r="AS318" s="78">
        <v>2</v>
      </c>
      <c r="AT318" s="78">
        <v>2</v>
      </c>
      <c r="AU318" s="78">
        <v>2</v>
      </c>
      <c r="AV318" s="78">
        <v>4</v>
      </c>
      <c r="AW318" s="78">
        <v>2</v>
      </c>
      <c r="AX318" s="78">
        <v>2</v>
      </c>
      <c r="AY318" s="78">
        <v>2</v>
      </c>
      <c r="AZ318" s="78">
        <v>2</v>
      </c>
      <c r="BA318" s="78">
        <v>2</v>
      </c>
      <c r="BB318" s="78">
        <v>2</v>
      </c>
      <c r="BC318" s="78">
        <v>2</v>
      </c>
      <c r="BD318" s="78">
        <v>2</v>
      </c>
      <c r="BE318" s="78">
        <v>2</v>
      </c>
      <c r="BF318" s="78">
        <v>4</v>
      </c>
      <c r="BG318" s="78">
        <v>-1</v>
      </c>
      <c r="BH318" s="79">
        <v>-1</v>
      </c>
      <c r="BI318" s="79"/>
      <c r="BJ318" s="79"/>
      <c r="BK318" s="79"/>
      <c r="BL318" s="79"/>
      <c r="BM318" s="79"/>
      <c r="BN318" s="75"/>
      <c r="BO318" s="75"/>
      <c r="BP318" s="75"/>
      <c r="BQ318" s="75"/>
      <c r="BR318" s="75"/>
      <c r="BS318" s="75"/>
      <c r="BT318" s="75"/>
      <c r="BU318" s="75"/>
      <c r="BV318" s="75"/>
      <c r="BW318" s="75"/>
      <c r="BX318" s="75"/>
      <c r="BY318" s="75"/>
      <c r="BZ318" s="75"/>
      <c r="CA318" s="75"/>
      <c r="CB318" s="75"/>
      <c r="CC318" s="75"/>
      <c r="CD318" s="75"/>
      <c r="CE318" s="75"/>
      <c r="CF318" s="75"/>
      <c r="CG318" s="75"/>
      <c r="CH318" s="75"/>
      <c r="CI318" s="75"/>
      <c r="CJ318" s="75"/>
      <c r="CK318" s="75"/>
      <c r="CL318" s="75"/>
      <c r="CM318" s="75"/>
      <c r="CN318" s="75"/>
      <c r="CO318" s="75"/>
      <c r="CP318" s="75"/>
      <c r="CQ318" s="75"/>
      <c r="CR318" s="75"/>
      <c r="CS318" s="75"/>
      <c r="CT318" s="75"/>
      <c r="CU318" s="75"/>
      <c r="CV318" s="75"/>
      <c r="CW318" s="75"/>
      <c r="CX318" s="75"/>
      <c r="CY318" s="75"/>
    </row>
    <row r="319" spans="1:134" ht="11.25" customHeight="1" x14ac:dyDescent="0.3">
      <c r="A319" s="28" t="e">
        <f t="array" aca="1" ref="A319" ca="1">_xludf.XLOOKUP(S319,Master_Registrations!P:P,Master_Registrations!A:A,"")</f>
        <v>#NAME?</v>
      </c>
      <c r="B319" s="75" t="s">
        <v>7072</v>
      </c>
      <c r="C319" s="75">
        <v>2026</v>
      </c>
      <c r="D319" s="75" t="s">
        <v>4886</v>
      </c>
      <c r="E319" s="75">
        <v>2</v>
      </c>
      <c r="F319" s="76" t="str">
        <f t="shared" si="6"/>
        <v>VED-04-2026-GR-2</v>
      </c>
      <c r="G319" s="75" t="s">
        <v>7066</v>
      </c>
      <c r="H319" s="75" t="s">
        <v>7075</v>
      </c>
      <c r="I319" s="75" t="s">
        <v>7055</v>
      </c>
      <c r="J319" s="75" t="s">
        <v>198</v>
      </c>
      <c r="K319" s="77"/>
      <c r="L319" s="77"/>
      <c r="M319" s="77"/>
      <c r="N319" s="75" t="s">
        <v>915</v>
      </c>
      <c r="O319" s="75" t="s">
        <v>1189</v>
      </c>
      <c r="P319" s="75" t="s">
        <v>1190</v>
      </c>
      <c r="Q319" s="75" t="e">
        <f t="shared" ca="1" si="5"/>
        <v>#NAME?</v>
      </c>
      <c r="R319" s="39" t="s">
        <v>316</v>
      </c>
      <c r="S319" s="75">
        <v>4253756070</v>
      </c>
      <c r="T319" s="76" t="s">
        <v>402</v>
      </c>
      <c r="U319" s="75">
        <v>2003</v>
      </c>
      <c r="V319" s="78">
        <v>2</v>
      </c>
      <c r="W319" s="78">
        <v>2</v>
      </c>
      <c r="X319" s="78">
        <v>2</v>
      </c>
      <c r="Y319" s="78">
        <v>2</v>
      </c>
      <c r="Z319" s="78">
        <v>2</v>
      </c>
      <c r="AA319" s="78">
        <v>2</v>
      </c>
      <c r="AB319" s="78">
        <v>2</v>
      </c>
      <c r="AC319" s="78">
        <v>2</v>
      </c>
      <c r="AD319" s="78">
        <v>2</v>
      </c>
      <c r="AE319" s="78">
        <v>2</v>
      </c>
      <c r="AF319" s="78">
        <v>2</v>
      </c>
      <c r="AG319" s="78">
        <v>2</v>
      </c>
      <c r="AH319" s="78">
        <v>2</v>
      </c>
      <c r="AI319" s="78">
        <v>4</v>
      </c>
      <c r="AJ319" s="78">
        <v>2</v>
      </c>
      <c r="AK319" s="78">
        <v>2</v>
      </c>
      <c r="AL319" s="78">
        <v>2</v>
      </c>
      <c r="AM319" s="78">
        <v>2</v>
      </c>
      <c r="AN319" s="78">
        <v>2</v>
      </c>
      <c r="AO319" s="78">
        <v>2</v>
      </c>
      <c r="AP319" s="78">
        <v>2</v>
      </c>
      <c r="AQ319" s="78">
        <v>2</v>
      </c>
      <c r="AR319" s="78">
        <v>2</v>
      </c>
      <c r="AS319" s="78">
        <v>2</v>
      </c>
      <c r="AT319" s="78">
        <v>2</v>
      </c>
      <c r="AU319" s="78">
        <v>2</v>
      </c>
      <c r="AV319" s="78">
        <v>4</v>
      </c>
      <c r="AW319" s="78">
        <v>2</v>
      </c>
      <c r="AX319" s="78">
        <v>2</v>
      </c>
      <c r="AY319" s="78">
        <v>2</v>
      </c>
      <c r="AZ319" s="78">
        <v>2</v>
      </c>
      <c r="BA319" s="78">
        <v>2</v>
      </c>
      <c r="BB319" s="78">
        <v>2</v>
      </c>
      <c r="BC319" s="78">
        <v>2</v>
      </c>
      <c r="BD319" s="78">
        <v>2</v>
      </c>
      <c r="BE319" s="78">
        <v>2</v>
      </c>
      <c r="BF319" s="78">
        <v>4</v>
      </c>
      <c r="BG319" s="78">
        <v>2</v>
      </c>
      <c r="BH319" s="79">
        <v>-1</v>
      </c>
      <c r="BI319" s="79"/>
      <c r="BJ319" s="79"/>
      <c r="BK319" s="79"/>
      <c r="BL319" s="79"/>
      <c r="BM319" s="79"/>
      <c r="BN319" s="75"/>
      <c r="BO319" s="75"/>
      <c r="BP319" s="75"/>
      <c r="BQ319" s="75"/>
      <c r="BR319" s="75"/>
      <c r="BS319" s="75"/>
      <c r="BT319" s="75"/>
      <c r="BU319" s="75"/>
      <c r="BV319" s="75"/>
      <c r="BW319" s="75"/>
      <c r="BX319" s="75"/>
      <c r="BY319" s="75"/>
      <c r="BZ319" s="75"/>
      <c r="CA319" s="75"/>
      <c r="CB319" s="75"/>
      <c r="CC319" s="75"/>
      <c r="CD319" s="75"/>
      <c r="CE319" s="75"/>
      <c r="CF319" s="75"/>
      <c r="CG319" s="75"/>
      <c r="CH319" s="75"/>
      <c r="CI319" s="75"/>
      <c r="CJ319" s="75"/>
      <c r="CK319" s="75"/>
      <c r="CL319" s="75"/>
      <c r="CM319" s="75"/>
      <c r="CN319" s="75"/>
      <c r="CO319" s="75"/>
      <c r="CP319" s="75"/>
      <c r="CQ319" s="75"/>
      <c r="CR319" s="75"/>
      <c r="CS319" s="75"/>
      <c r="CT319" s="75"/>
      <c r="CU319" s="75"/>
      <c r="CV319" s="75"/>
      <c r="CW319" s="75"/>
      <c r="CX319" s="75"/>
      <c r="CY319" s="75"/>
    </row>
    <row r="320" spans="1:134" ht="11.25" customHeight="1" x14ac:dyDescent="0.3">
      <c r="A320" s="28" t="e">
        <f t="array" aca="1" ref="A320" ca="1">_xludf.XLOOKUP(S320,Master_Registrations!P:P,Master_Registrations!A:A,"")</f>
        <v>#NAME?</v>
      </c>
      <c r="B320" s="28" t="s">
        <v>7072</v>
      </c>
      <c r="C320" s="28">
        <v>2026</v>
      </c>
      <c r="D320" s="28" t="s">
        <v>4886</v>
      </c>
      <c r="E320" s="28">
        <v>3</v>
      </c>
      <c r="F320" s="29" t="str">
        <f t="shared" si="6"/>
        <v>VED-04-2026-GR-3</v>
      </c>
      <c r="G320" s="28" t="s">
        <v>7076</v>
      </c>
      <c r="H320" s="28" t="s">
        <v>7077</v>
      </c>
      <c r="I320" s="28" t="s">
        <v>7003</v>
      </c>
      <c r="J320" s="28" t="s">
        <v>198</v>
      </c>
      <c r="K320" s="36"/>
      <c r="L320" s="35"/>
      <c r="M320" s="35"/>
      <c r="N320" s="28" t="s">
        <v>200</v>
      </c>
      <c r="O320" s="28" t="s">
        <v>1282</v>
      </c>
      <c r="P320" s="28" t="s">
        <v>1450</v>
      </c>
      <c r="Q320" s="28" t="e">
        <f t="shared" ca="1" si="5"/>
        <v>#NAME?</v>
      </c>
      <c r="R320" s="28" t="s">
        <v>112</v>
      </c>
      <c r="S320" s="55">
        <v>9940499941</v>
      </c>
      <c r="T320" s="29" t="s">
        <v>111</v>
      </c>
      <c r="U320" s="28">
        <v>1955</v>
      </c>
      <c r="V320" s="35">
        <v>1</v>
      </c>
      <c r="W320" s="35">
        <v>1</v>
      </c>
      <c r="X320" s="35">
        <v>1</v>
      </c>
      <c r="Y320" s="35">
        <v>1</v>
      </c>
      <c r="Z320" s="35">
        <v>1</v>
      </c>
      <c r="AA320" s="35">
        <v>1</v>
      </c>
      <c r="AB320" s="35">
        <v>1</v>
      </c>
      <c r="AC320" s="33">
        <v>-1</v>
      </c>
      <c r="AD320" s="33">
        <v>-1</v>
      </c>
      <c r="AE320" s="35">
        <v>2</v>
      </c>
      <c r="AF320" s="35">
        <v>2</v>
      </c>
      <c r="AG320" s="35">
        <v>2</v>
      </c>
      <c r="AH320" s="35">
        <v>2</v>
      </c>
      <c r="AI320" s="33">
        <v>-1</v>
      </c>
      <c r="AJ320" s="84">
        <v>-1</v>
      </c>
      <c r="AK320" s="33">
        <v>-1</v>
      </c>
      <c r="AL320" s="33">
        <v>-1</v>
      </c>
      <c r="AM320" s="33">
        <v>-1</v>
      </c>
      <c r="AN320" s="33">
        <v>-1</v>
      </c>
      <c r="AO320" s="33">
        <v>-1</v>
      </c>
      <c r="AP320" s="33">
        <v>-1</v>
      </c>
      <c r="AQ320" s="33">
        <v>-1</v>
      </c>
      <c r="AR320" s="33">
        <v>-1</v>
      </c>
      <c r="AS320" s="33">
        <v>-1</v>
      </c>
      <c r="AT320" s="33">
        <v>-1</v>
      </c>
      <c r="AU320" s="33">
        <v>-1</v>
      </c>
      <c r="AV320" s="33">
        <v>-1</v>
      </c>
      <c r="AW320" s="84">
        <v>1</v>
      </c>
      <c r="AX320" s="33">
        <v>-1</v>
      </c>
      <c r="AY320" s="33">
        <v>-1</v>
      </c>
      <c r="AZ320" s="33">
        <v>-1</v>
      </c>
      <c r="BA320" s="33">
        <v>-1</v>
      </c>
      <c r="BB320" s="33">
        <v>-1</v>
      </c>
      <c r="BC320" s="33">
        <v>-1</v>
      </c>
      <c r="BD320" s="33">
        <v>-1</v>
      </c>
      <c r="BE320" s="33">
        <v>-1</v>
      </c>
      <c r="BF320" s="33">
        <v>-1</v>
      </c>
      <c r="BG320" s="33"/>
      <c r="BH320" s="33"/>
      <c r="BI320" s="33"/>
      <c r="BJ320" s="33"/>
      <c r="BK320" s="33"/>
      <c r="BL320" s="33"/>
      <c r="BM320" s="33"/>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c r="CR320" s="28"/>
      <c r="CS320" s="28"/>
      <c r="CT320" s="28"/>
      <c r="CU320" s="28"/>
      <c r="CV320" s="28"/>
      <c r="CW320" s="28"/>
      <c r="CX320" s="28"/>
      <c r="CY320" s="28"/>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c r="DZ320" s="34"/>
      <c r="EA320" s="34"/>
      <c r="EB320" s="34"/>
      <c r="EC320" s="34"/>
      <c r="ED320" s="34"/>
    </row>
    <row r="321" spans="1:134" ht="11.25" customHeight="1" x14ac:dyDescent="0.3">
      <c r="A321" s="28" t="e">
        <f t="array" aca="1" ref="A321" ca="1">_xludf.XLOOKUP(S321,Master_Registrations!P:P,Master_Registrations!A:A,"")</f>
        <v>#NAME?</v>
      </c>
      <c r="B321" s="28" t="s">
        <v>7072</v>
      </c>
      <c r="C321" s="28">
        <v>2026</v>
      </c>
      <c r="D321" s="28" t="s">
        <v>4886</v>
      </c>
      <c r="E321" s="28">
        <v>3</v>
      </c>
      <c r="F321" s="29" t="str">
        <f t="shared" si="6"/>
        <v>VED-04-2026-GR-3</v>
      </c>
      <c r="G321" s="28" t="s">
        <v>7076</v>
      </c>
      <c r="H321" s="28" t="s">
        <v>7077</v>
      </c>
      <c r="I321" s="28" t="s">
        <v>7003</v>
      </c>
      <c r="J321" s="28" t="s">
        <v>198</v>
      </c>
      <c r="K321" s="35"/>
      <c r="L321" s="35"/>
      <c r="M321" s="35"/>
      <c r="N321" s="28" t="s">
        <v>299</v>
      </c>
      <c r="O321" s="28" t="s">
        <v>494</v>
      </c>
      <c r="P321" s="28" t="s">
        <v>6635</v>
      </c>
      <c r="Q321" s="28" t="e">
        <f t="shared" ca="1" si="5"/>
        <v>#NAME?</v>
      </c>
      <c r="R321" s="28" t="s">
        <v>112</v>
      </c>
      <c r="S321" s="55">
        <v>8498845522</v>
      </c>
      <c r="T321" s="29" t="s">
        <v>111</v>
      </c>
      <c r="U321" s="28">
        <v>1980</v>
      </c>
      <c r="V321" s="35">
        <v>1</v>
      </c>
      <c r="W321" s="35">
        <v>1</v>
      </c>
      <c r="X321" s="35">
        <v>2</v>
      </c>
      <c r="Y321" s="35">
        <v>2</v>
      </c>
      <c r="Z321" s="35">
        <v>2</v>
      </c>
      <c r="AA321" s="35">
        <v>1</v>
      </c>
      <c r="AB321" s="35">
        <v>1</v>
      </c>
      <c r="AC321" s="35">
        <v>2</v>
      </c>
      <c r="AD321" s="35">
        <v>2</v>
      </c>
      <c r="AE321" s="33">
        <v>-1</v>
      </c>
      <c r="AF321" s="33">
        <v>-1</v>
      </c>
      <c r="AG321" s="33">
        <v>-1</v>
      </c>
      <c r="AH321" s="35">
        <v>1</v>
      </c>
      <c r="AI321" s="33">
        <v>-1</v>
      </c>
      <c r="AJ321" s="84">
        <v>1</v>
      </c>
      <c r="AK321" s="33">
        <v>-1</v>
      </c>
      <c r="AL321" s="33">
        <v>-1</v>
      </c>
      <c r="AM321" s="33">
        <v>-1</v>
      </c>
      <c r="AN321" s="33">
        <v>-1</v>
      </c>
      <c r="AO321" s="33">
        <v>-1</v>
      </c>
      <c r="AP321" s="33">
        <v>-1</v>
      </c>
      <c r="AQ321" s="33">
        <v>-1</v>
      </c>
      <c r="AR321" s="33">
        <v>-1</v>
      </c>
      <c r="AS321" s="33">
        <v>-1</v>
      </c>
      <c r="AT321" s="33">
        <v>-1</v>
      </c>
      <c r="AU321" s="33">
        <v>-1</v>
      </c>
      <c r="AV321" s="33">
        <v>-1</v>
      </c>
      <c r="AW321" s="85">
        <v>-1</v>
      </c>
      <c r="AX321" s="33">
        <v>-1</v>
      </c>
      <c r="AY321" s="33">
        <v>-1</v>
      </c>
      <c r="AZ321" s="33">
        <v>-1</v>
      </c>
      <c r="BA321" s="33">
        <v>-1</v>
      </c>
      <c r="BB321" s="33">
        <v>-1</v>
      </c>
      <c r="BC321" s="33">
        <v>-1</v>
      </c>
      <c r="BD321" s="33">
        <v>-1</v>
      </c>
      <c r="BE321" s="33">
        <v>-1</v>
      </c>
      <c r="BF321" s="33">
        <v>-1</v>
      </c>
      <c r="BG321" s="33"/>
      <c r="BH321" s="33"/>
      <c r="BI321" s="33"/>
      <c r="BJ321" s="33"/>
      <c r="BK321" s="33"/>
      <c r="BL321" s="33"/>
      <c r="BM321" s="33"/>
      <c r="BN321" s="28"/>
      <c r="BO321" s="28"/>
      <c r="BP321" s="28"/>
      <c r="BQ321" s="28"/>
      <c r="BR321" s="28"/>
      <c r="BS321" s="28"/>
      <c r="BT321" s="28"/>
      <c r="BU321" s="28"/>
      <c r="BV321" s="28"/>
      <c r="BW321" s="28"/>
      <c r="BX321" s="28"/>
      <c r="BY321" s="28"/>
      <c r="BZ321" s="28"/>
      <c r="CA321" s="28"/>
      <c r="CB321" s="28"/>
      <c r="CC321" s="28"/>
      <c r="CD321" s="28"/>
      <c r="CE321" s="28"/>
      <c r="CF321" s="28"/>
      <c r="CG321" s="28"/>
      <c r="CH321" s="28"/>
      <c r="CI321" s="28"/>
      <c r="CJ321" s="28"/>
      <c r="CK321" s="28"/>
      <c r="CL321" s="28"/>
      <c r="CM321" s="28"/>
      <c r="CN321" s="28"/>
      <c r="CO321" s="28"/>
      <c r="CP321" s="28"/>
      <c r="CQ321" s="28"/>
      <c r="CR321" s="28"/>
      <c r="CS321" s="28"/>
      <c r="CT321" s="28"/>
      <c r="CU321" s="28"/>
      <c r="CV321" s="28"/>
      <c r="CW321" s="28"/>
      <c r="CX321" s="28"/>
      <c r="CY321" s="28"/>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c r="DZ321" s="34"/>
      <c r="EA321" s="34"/>
      <c r="EB321" s="34"/>
      <c r="EC321" s="34"/>
      <c r="ED321" s="34"/>
    </row>
    <row r="322" spans="1:134" ht="11.25" customHeight="1" x14ac:dyDescent="0.3">
      <c r="A322" s="28" t="e">
        <f t="array" aca="1" ref="A322" ca="1">_xludf.XLOOKUP(S322,Master_Registrations!P:P,Master_Registrations!A:A,"")</f>
        <v>#NAME?</v>
      </c>
      <c r="B322" s="28" t="s">
        <v>7072</v>
      </c>
      <c r="C322" s="28">
        <v>2026</v>
      </c>
      <c r="D322" s="28" t="s">
        <v>4886</v>
      </c>
      <c r="E322" s="28">
        <v>3</v>
      </c>
      <c r="F322" s="29" t="str">
        <f t="shared" si="6"/>
        <v>VED-04-2026-GR-3</v>
      </c>
      <c r="G322" s="28" t="s">
        <v>7076</v>
      </c>
      <c r="H322" s="28" t="s">
        <v>7077</v>
      </c>
      <c r="I322" s="28" t="s">
        <v>7003</v>
      </c>
      <c r="J322" s="28" t="s">
        <v>198</v>
      </c>
      <c r="K322" s="38"/>
      <c r="L322" s="38"/>
      <c r="M322" s="38"/>
      <c r="N322" s="28" t="s">
        <v>369</v>
      </c>
      <c r="O322" s="28" t="s">
        <v>6889</v>
      </c>
      <c r="P322" s="28" t="s">
        <v>6890</v>
      </c>
      <c r="Q322" s="28" t="e">
        <f t="shared" ca="1" si="5"/>
        <v>#NAME?</v>
      </c>
      <c r="R322" s="28" t="s">
        <v>316</v>
      </c>
      <c r="S322" s="55">
        <v>5023860875</v>
      </c>
      <c r="T322" s="29" t="s">
        <v>402</v>
      </c>
      <c r="U322" s="28">
        <v>1975</v>
      </c>
      <c r="V322" s="35">
        <v>2</v>
      </c>
      <c r="W322" s="35">
        <v>2</v>
      </c>
      <c r="X322" s="35">
        <v>2</v>
      </c>
      <c r="Y322" s="35">
        <v>2</v>
      </c>
      <c r="Z322" s="35">
        <v>2</v>
      </c>
      <c r="AA322" s="35">
        <v>2</v>
      </c>
      <c r="AB322" s="35">
        <v>2</v>
      </c>
      <c r="AC322" s="35">
        <v>2</v>
      </c>
      <c r="AD322" s="35">
        <v>2</v>
      </c>
      <c r="AE322" s="35">
        <v>2</v>
      </c>
      <c r="AF322" s="35">
        <v>2</v>
      </c>
      <c r="AG322" s="35">
        <v>2</v>
      </c>
      <c r="AH322" s="35">
        <v>2</v>
      </c>
      <c r="AI322" s="33">
        <v>-1</v>
      </c>
      <c r="AJ322" s="84">
        <v>1</v>
      </c>
      <c r="AK322" s="84">
        <v>1</v>
      </c>
      <c r="AL322" s="84">
        <v>1</v>
      </c>
      <c r="AM322" s="84">
        <v>1</v>
      </c>
      <c r="AN322" s="84">
        <v>1</v>
      </c>
      <c r="AO322" s="84">
        <v>1</v>
      </c>
      <c r="AP322" s="84">
        <v>1</v>
      </c>
      <c r="AQ322" s="84">
        <v>1</v>
      </c>
      <c r="AR322" s="84">
        <v>1</v>
      </c>
      <c r="AS322" s="84">
        <v>1</v>
      </c>
      <c r="AT322" s="84">
        <v>1</v>
      </c>
      <c r="AU322" s="84">
        <v>1</v>
      </c>
      <c r="AV322" s="33">
        <v>-1</v>
      </c>
      <c r="AW322" s="84">
        <v>1</v>
      </c>
      <c r="AX322" s="84">
        <v>1</v>
      </c>
      <c r="AY322" s="84">
        <v>2</v>
      </c>
      <c r="AZ322" s="84">
        <v>2</v>
      </c>
      <c r="BA322" s="84">
        <v>1</v>
      </c>
      <c r="BB322" s="85">
        <v>-1</v>
      </c>
      <c r="BC322" s="85">
        <v>-1</v>
      </c>
      <c r="BD322" s="85">
        <v>-1</v>
      </c>
      <c r="BE322" s="85">
        <v>-1</v>
      </c>
      <c r="BF322" s="85">
        <v>-1</v>
      </c>
      <c r="BG322" s="33"/>
      <c r="BH322" s="33"/>
      <c r="BI322" s="33"/>
      <c r="BJ322" s="33"/>
      <c r="BK322" s="33"/>
      <c r="BL322" s="33"/>
      <c r="BM322" s="33"/>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c r="CR322" s="28"/>
      <c r="CS322" s="28"/>
      <c r="CT322" s="28"/>
      <c r="CU322" s="28"/>
      <c r="CV322" s="28"/>
      <c r="CW322" s="28"/>
      <c r="CX322" s="28"/>
      <c r="CY322" s="28"/>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c r="DZ322" s="34"/>
      <c r="EA322" s="34"/>
      <c r="EB322" s="34"/>
      <c r="EC322" s="34"/>
      <c r="ED322" s="34"/>
    </row>
    <row r="323" spans="1:134" ht="11.25" customHeight="1" x14ac:dyDescent="0.3">
      <c r="A323" s="28" t="e">
        <f t="array" aca="1" ref="A323" ca="1">_xludf.XLOOKUP(S323,Master_Registrations!P:P,Master_Registrations!A:A,"")</f>
        <v>#NAME?</v>
      </c>
      <c r="B323" s="28" t="s">
        <v>7072</v>
      </c>
      <c r="C323" s="28">
        <v>2026</v>
      </c>
      <c r="D323" s="28" t="s">
        <v>4886</v>
      </c>
      <c r="E323" s="28">
        <v>3</v>
      </c>
      <c r="F323" s="29" t="str">
        <f t="shared" si="6"/>
        <v>VED-04-2026-GR-3</v>
      </c>
      <c r="G323" s="28" t="s">
        <v>7076</v>
      </c>
      <c r="H323" s="28" t="s">
        <v>7077</v>
      </c>
      <c r="I323" s="28" t="s">
        <v>7003</v>
      </c>
      <c r="J323" s="28" t="s">
        <v>198</v>
      </c>
      <c r="K323" s="35">
        <v>1</v>
      </c>
      <c r="L323" s="35">
        <v>1</v>
      </c>
      <c r="M323" s="37">
        <v>-1</v>
      </c>
      <c r="N323" s="28" t="s">
        <v>434</v>
      </c>
      <c r="O323" s="28" t="s">
        <v>6845</v>
      </c>
      <c r="P323" s="28" t="s">
        <v>4013</v>
      </c>
      <c r="Q323" s="28" t="e">
        <f t="shared" ca="1" si="5"/>
        <v>#NAME?</v>
      </c>
      <c r="R323" s="28" t="s">
        <v>316</v>
      </c>
      <c r="S323" s="55">
        <v>4084647033</v>
      </c>
      <c r="T323" s="29" t="s">
        <v>315</v>
      </c>
      <c r="U323" s="28">
        <v>1979</v>
      </c>
      <c r="V323" s="33">
        <v>-1</v>
      </c>
      <c r="W323" s="33">
        <v>-1</v>
      </c>
      <c r="X323" s="35">
        <v>1</v>
      </c>
      <c r="Y323" s="35">
        <v>1</v>
      </c>
      <c r="Z323" s="35">
        <v>1</v>
      </c>
      <c r="AA323" s="33">
        <v>-1</v>
      </c>
      <c r="AB323" s="33">
        <v>-1</v>
      </c>
      <c r="AC323" s="33">
        <v>-1</v>
      </c>
      <c r="AD323" s="33">
        <v>-1</v>
      </c>
      <c r="AE323" s="35">
        <v>2</v>
      </c>
      <c r="AF323" s="33">
        <v>-1</v>
      </c>
      <c r="AG323" s="33">
        <v>-1</v>
      </c>
      <c r="AH323" s="33">
        <v>-1</v>
      </c>
      <c r="AI323" s="33">
        <v>-1</v>
      </c>
      <c r="AJ323" s="33">
        <v>-1</v>
      </c>
      <c r="AK323" s="33">
        <v>-1</v>
      </c>
      <c r="AL323" s="33">
        <v>-1</v>
      </c>
      <c r="AM323" s="33">
        <v>-1</v>
      </c>
      <c r="AN323" s="33">
        <v>-1</v>
      </c>
      <c r="AO323" s="33">
        <v>-1</v>
      </c>
      <c r="AP323" s="33">
        <v>-1</v>
      </c>
      <c r="AQ323" s="33">
        <v>-1</v>
      </c>
      <c r="AR323" s="33">
        <v>-1</v>
      </c>
      <c r="AS323" s="33">
        <v>-1</v>
      </c>
      <c r="AT323" s="33">
        <v>-1</v>
      </c>
      <c r="AU323" s="33">
        <v>-1</v>
      </c>
      <c r="AV323" s="33">
        <v>-1</v>
      </c>
      <c r="AW323" s="33">
        <v>-1</v>
      </c>
      <c r="AX323" s="33">
        <v>-1</v>
      </c>
      <c r="AY323" s="33">
        <v>-1</v>
      </c>
      <c r="AZ323" s="33">
        <v>-1</v>
      </c>
      <c r="BA323" s="33">
        <v>-1</v>
      </c>
      <c r="BB323" s="33">
        <v>-1</v>
      </c>
      <c r="BC323" s="33">
        <v>-1</v>
      </c>
      <c r="BD323" s="33">
        <v>-1</v>
      </c>
      <c r="BE323" s="33">
        <v>-1</v>
      </c>
      <c r="BF323" s="33">
        <v>-1</v>
      </c>
      <c r="BG323" s="33"/>
      <c r="BH323" s="33"/>
      <c r="BI323" s="33"/>
      <c r="BJ323" s="33"/>
      <c r="BK323" s="33"/>
      <c r="BL323" s="33"/>
      <c r="BM323" s="33"/>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c r="DW323" s="34"/>
      <c r="DX323" s="34"/>
      <c r="DY323" s="34"/>
      <c r="DZ323" s="34"/>
      <c r="EA323" s="34"/>
      <c r="EB323" s="34"/>
      <c r="EC323" s="34"/>
      <c r="ED323" s="34"/>
    </row>
    <row r="324" spans="1:134" ht="11.25" customHeight="1" x14ac:dyDescent="0.3">
      <c r="A324" s="28" t="e">
        <f t="array" aca="1" ref="A324" ca="1">_xludf.XLOOKUP(S324,Master_Registrations!P:P,Master_Registrations!A:A,"")</f>
        <v>#NAME?</v>
      </c>
      <c r="B324" s="28" t="s">
        <v>7072</v>
      </c>
      <c r="C324" s="28">
        <v>2026</v>
      </c>
      <c r="D324" s="28" t="s">
        <v>4886</v>
      </c>
      <c r="E324" s="28">
        <v>3</v>
      </c>
      <c r="F324" s="29" t="str">
        <f t="shared" si="6"/>
        <v>VED-04-2026-GR-3</v>
      </c>
      <c r="G324" s="28" t="s">
        <v>7076</v>
      </c>
      <c r="H324" s="28" t="s">
        <v>7077</v>
      </c>
      <c r="I324" s="28" t="s">
        <v>7003</v>
      </c>
      <c r="J324" s="28" t="s">
        <v>198</v>
      </c>
      <c r="K324" s="35">
        <v>1</v>
      </c>
      <c r="L324" s="35">
        <v>1</v>
      </c>
      <c r="M324" s="37">
        <v>-1</v>
      </c>
      <c r="N324" s="28" t="s">
        <v>525</v>
      </c>
      <c r="O324" s="28" t="s">
        <v>1598</v>
      </c>
      <c r="P324" s="28" t="s">
        <v>6687</v>
      </c>
      <c r="Q324" s="28" t="e">
        <f t="shared" ca="1" si="5"/>
        <v>#NAME?</v>
      </c>
      <c r="R324" s="28" t="s">
        <v>112</v>
      </c>
      <c r="S324" s="55">
        <v>8500649946</v>
      </c>
      <c r="T324" s="29" t="s">
        <v>111</v>
      </c>
      <c r="U324" s="28">
        <v>1958</v>
      </c>
      <c r="V324" s="33">
        <v>-1</v>
      </c>
      <c r="W324" s="33">
        <v>-1</v>
      </c>
      <c r="X324" s="35">
        <v>2</v>
      </c>
      <c r="Y324" s="35">
        <v>2</v>
      </c>
      <c r="Z324" s="35">
        <v>2</v>
      </c>
      <c r="AA324" s="35">
        <v>2</v>
      </c>
      <c r="AB324" s="35">
        <v>2</v>
      </c>
      <c r="AC324" s="35">
        <v>1</v>
      </c>
      <c r="AD324" s="35">
        <v>1</v>
      </c>
      <c r="AE324" s="35">
        <v>1</v>
      </c>
      <c r="AF324" s="35">
        <v>1</v>
      </c>
      <c r="AG324" s="35">
        <v>1</v>
      </c>
      <c r="AH324" s="35">
        <v>1</v>
      </c>
      <c r="AI324" s="33">
        <v>-1</v>
      </c>
      <c r="AJ324" s="84">
        <v>1</v>
      </c>
      <c r="AK324" s="84">
        <v>1</v>
      </c>
      <c r="AL324" s="84">
        <v>1</v>
      </c>
      <c r="AM324" s="84">
        <v>1</v>
      </c>
      <c r="AN324" s="84">
        <v>1</v>
      </c>
      <c r="AO324" s="84">
        <v>1</v>
      </c>
      <c r="AP324" s="84">
        <v>1</v>
      </c>
      <c r="AQ324" s="84">
        <v>1</v>
      </c>
      <c r="AR324" s="84">
        <v>1</v>
      </c>
      <c r="AS324" s="33">
        <v>-1</v>
      </c>
      <c r="AT324" s="33">
        <v>-1</v>
      </c>
      <c r="AU324" s="33">
        <v>-1</v>
      </c>
      <c r="AV324" s="33">
        <v>-1</v>
      </c>
      <c r="AW324" s="84">
        <v>1</v>
      </c>
      <c r="AX324" s="33">
        <v>-1</v>
      </c>
      <c r="AY324" s="33">
        <v>-1</v>
      </c>
      <c r="AZ324" s="33">
        <v>-1</v>
      </c>
      <c r="BA324" s="33">
        <v>-1</v>
      </c>
      <c r="BB324" s="33">
        <v>-1</v>
      </c>
      <c r="BC324" s="33">
        <v>-1</v>
      </c>
      <c r="BD324" s="33">
        <v>-1</v>
      </c>
      <c r="BE324" s="33">
        <v>-1</v>
      </c>
      <c r="BF324" s="33">
        <v>-1</v>
      </c>
      <c r="BG324" s="33"/>
      <c r="BH324" s="33"/>
      <c r="BI324" s="33"/>
      <c r="BJ324" s="33"/>
      <c r="BK324" s="33"/>
      <c r="BL324" s="33"/>
      <c r="BM324" s="33"/>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c r="CR324" s="28"/>
      <c r="CS324" s="28"/>
      <c r="CT324" s="28"/>
      <c r="CU324" s="28"/>
      <c r="CV324" s="28"/>
      <c r="CW324" s="28"/>
      <c r="CX324" s="28"/>
      <c r="CY324" s="28"/>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c r="DZ324" s="34"/>
      <c r="EA324" s="34"/>
      <c r="EB324" s="34"/>
      <c r="EC324" s="34"/>
      <c r="ED324" s="34"/>
    </row>
    <row r="325" spans="1:134" ht="11.25" customHeight="1" x14ac:dyDescent="0.3">
      <c r="A325" s="28" t="e">
        <f t="array" aca="1" ref="A325" ca="1">_xludf.XLOOKUP(S325,Master_Registrations!P:P,Master_Registrations!A:A,"")</f>
        <v>#NAME?</v>
      </c>
      <c r="B325" s="28" t="s">
        <v>7072</v>
      </c>
      <c r="C325" s="28">
        <v>2026</v>
      </c>
      <c r="D325" s="28" t="s">
        <v>4886</v>
      </c>
      <c r="E325" s="28">
        <v>3</v>
      </c>
      <c r="F325" s="29" t="str">
        <f t="shared" si="6"/>
        <v>VED-04-2026-GR-3</v>
      </c>
      <c r="G325" s="28" t="s">
        <v>7076</v>
      </c>
      <c r="H325" s="28" t="s">
        <v>7077</v>
      </c>
      <c r="I325" s="28" t="s">
        <v>7003</v>
      </c>
      <c r="J325" s="28" t="s">
        <v>198</v>
      </c>
      <c r="K325" s="35"/>
      <c r="L325" s="38"/>
      <c r="M325" s="35"/>
      <c r="N325" s="28" t="s">
        <v>621</v>
      </c>
      <c r="O325" s="28" t="s">
        <v>1001</v>
      </c>
      <c r="P325" s="28" t="s">
        <v>1870</v>
      </c>
      <c r="Q325" s="28" t="e">
        <f t="shared" ca="1" si="5"/>
        <v>#NAME?</v>
      </c>
      <c r="R325" s="28" t="s">
        <v>112</v>
      </c>
      <c r="S325" s="55">
        <v>9963446073</v>
      </c>
      <c r="T325" s="29" t="s">
        <v>111</v>
      </c>
      <c r="U325" s="28">
        <v>1987</v>
      </c>
      <c r="V325" s="35">
        <v>1</v>
      </c>
      <c r="W325" s="35">
        <v>1</v>
      </c>
      <c r="X325" s="35">
        <v>2</v>
      </c>
      <c r="Y325" s="35">
        <v>1</v>
      </c>
      <c r="Z325" s="35">
        <v>1</v>
      </c>
      <c r="AA325" s="35">
        <v>1</v>
      </c>
      <c r="AB325" s="35">
        <v>1</v>
      </c>
      <c r="AC325" s="35">
        <v>1</v>
      </c>
      <c r="AD325" s="35">
        <v>1</v>
      </c>
      <c r="AE325" s="35">
        <v>1</v>
      </c>
      <c r="AF325" s="35">
        <v>1</v>
      </c>
      <c r="AG325" s="35">
        <v>1</v>
      </c>
      <c r="AH325" s="35">
        <v>2</v>
      </c>
      <c r="AI325" s="33">
        <v>-1</v>
      </c>
      <c r="AJ325" s="84">
        <v>1</v>
      </c>
      <c r="AK325" s="33">
        <v>-1</v>
      </c>
      <c r="AL325" s="33">
        <v>-1</v>
      </c>
      <c r="AM325" s="33">
        <v>-1</v>
      </c>
      <c r="AN325" s="33">
        <v>-1</v>
      </c>
      <c r="AO325" s="33">
        <v>-1</v>
      </c>
      <c r="AP325" s="33">
        <v>-1</v>
      </c>
      <c r="AQ325" s="33">
        <v>-1</v>
      </c>
      <c r="AR325" s="33">
        <v>-1</v>
      </c>
      <c r="AS325" s="33">
        <v>-1</v>
      </c>
      <c r="AT325" s="33">
        <v>-1</v>
      </c>
      <c r="AU325" s="33">
        <v>-1</v>
      </c>
      <c r="AV325" s="33">
        <v>-1</v>
      </c>
      <c r="AW325" s="85">
        <v>-1</v>
      </c>
      <c r="AX325" s="33">
        <v>-1</v>
      </c>
      <c r="AY325" s="33">
        <v>-1</v>
      </c>
      <c r="AZ325" s="33">
        <v>-1</v>
      </c>
      <c r="BA325" s="33">
        <v>-1</v>
      </c>
      <c r="BB325" s="33">
        <v>-1</v>
      </c>
      <c r="BC325" s="33">
        <v>-1</v>
      </c>
      <c r="BD325" s="33">
        <v>-1</v>
      </c>
      <c r="BE325" s="33">
        <v>-1</v>
      </c>
      <c r="BF325" s="33">
        <v>-1</v>
      </c>
      <c r="BG325" s="33"/>
      <c r="BH325" s="33"/>
      <c r="BI325" s="33"/>
      <c r="BJ325" s="33"/>
      <c r="BK325" s="33"/>
      <c r="BL325" s="33"/>
      <c r="BM325" s="33"/>
      <c r="BN325" s="28"/>
      <c r="BO325" s="28"/>
      <c r="BP325" s="28"/>
      <c r="BQ325" s="28"/>
      <c r="BR325" s="28"/>
      <c r="BS325" s="28"/>
      <c r="BT325" s="28"/>
      <c r="BU325" s="28"/>
      <c r="BV325" s="28"/>
      <c r="BW325" s="28"/>
      <c r="BX325" s="28"/>
      <c r="BY325" s="28"/>
      <c r="BZ325" s="28"/>
      <c r="CA325" s="28"/>
      <c r="CB325" s="28"/>
      <c r="CC325" s="28"/>
      <c r="CD325" s="28"/>
      <c r="CE325" s="28"/>
      <c r="CF325" s="28"/>
      <c r="CG325" s="28"/>
      <c r="CH325" s="28"/>
      <c r="CI325" s="28"/>
      <c r="CJ325" s="28"/>
      <c r="CK325" s="28"/>
      <c r="CL325" s="28"/>
      <c r="CM325" s="28"/>
      <c r="CN325" s="28"/>
      <c r="CO325" s="28"/>
      <c r="CP325" s="28"/>
      <c r="CQ325" s="28"/>
      <c r="CR325" s="28"/>
      <c r="CS325" s="28"/>
      <c r="CT325" s="28"/>
      <c r="CU325" s="28"/>
      <c r="CV325" s="28"/>
      <c r="CW325" s="28"/>
      <c r="CX325" s="28"/>
      <c r="CY325" s="28"/>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c r="DY325" s="34"/>
      <c r="DZ325" s="34"/>
      <c r="EA325" s="34"/>
      <c r="EB325" s="34"/>
      <c r="EC325" s="34"/>
      <c r="ED325" s="34"/>
    </row>
    <row r="326" spans="1:134" ht="11.25" customHeight="1" x14ac:dyDescent="0.3">
      <c r="A326" s="28" t="e">
        <f t="array" aca="1" ref="A326" ca="1">_xludf.XLOOKUP(S326,Master_Registrations!P:P,Master_Registrations!A:A,"")</f>
        <v>#NAME?</v>
      </c>
      <c r="B326" s="28" t="s">
        <v>7072</v>
      </c>
      <c r="C326" s="28">
        <v>2026</v>
      </c>
      <c r="D326" s="28" t="s">
        <v>4886</v>
      </c>
      <c r="E326" s="28">
        <v>3</v>
      </c>
      <c r="F326" s="29" t="str">
        <f t="shared" si="6"/>
        <v>VED-04-2026-GR-3</v>
      </c>
      <c r="G326" s="28" t="s">
        <v>7076</v>
      </c>
      <c r="H326" s="28" t="s">
        <v>7077</v>
      </c>
      <c r="I326" s="28" t="s">
        <v>7003</v>
      </c>
      <c r="J326" s="28" t="s">
        <v>198</v>
      </c>
      <c r="K326" s="35">
        <v>1</v>
      </c>
      <c r="L326" s="35">
        <v>1</v>
      </c>
      <c r="M326" s="37">
        <v>-1</v>
      </c>
      <c r="N326" s="28" t="s">
        <v>714</v>
      </c>
      <c r="O326" s="28" t="s">
        <v>916</v>
      </c>
      <c r="P326" s="28" t="s">
        <v>2117</v>
      </c>
      <c r="Q326" s="28" t="e">
        <f t="shared" ref="Q326:Q580" ca="1" si="7">_xludf.TEXTJOIN(" ",TRUE,O326:P326)</f>
        <v>#NAME?</v>
      </c>
      <c r="R326" s="28" t="s">
        <v>316</v>
      </c>
      <c r="S326" s="55">
        <v>3182434371</v>
      </c>
      <c r="T326" s="29" t="s">
        <v>315</v>
      </c>
      <c r="U326" s="28">
        <v>1976</v>
      </c>
      <c r="V326" s="33">
        <v>-1</v>
      </c>
      <c r="W326" s="33">
        <v>-1</v>
      </c>
      <c r="X326" s="35">
        <v>1</v>
      </c>
      <c r="Y326" s="35">
        <v>1</v>
      </c>
      <c r="Z326" s="35">
        <v>1</v>
      </c>
      <c r="AA326" s="35">
        <v>1</v>
      </c>
      <c r="AB326" s="35">
        <v>1</v>
      </c>
      <c r="AC326" s="33">
        <v>-1</v>
      </c>
      <c r="AD326" s="33">
        <v>-1</v>
      </c>
      <c r="AE326" s="35">
        <v>1</v>
      </c>
      <c r="AF326" s="35">
        <v>1</v>
      </c>
      <c r="AG326" s="35">
        <v>1</v>
      </c>
      <c r="AH326" s="35">
        <v>1</v>
      </c>
      <c r="AI326" s="33">
        <v>-1</v>
      </c>
      <c r="AJ326" s="84">
        <v>1</v>
      </c>
      <c r="AK326" s="84">
        <v>1</v>
      </c>
      <c r="AL326" s="84">
        <v>1</v>
      </c>
      <c r="AM326" s="84">
        <v>1</v>
      </c>
      <c r="AN326" s="84">
        <v>1</v>
      </c>
      <c r="AO326" s="84">
        <v>1</v>
      </c>
      <c r="AP326" s="33">
        <v>-1</v>
      </c>
      <c r="AQ326" s="84">
        <v>1</v>
      </c>
      <c r="AR326" s="84">
        <v>1</v>
      </c>
      <c r="AS326" s="33">
        <v>-1</v>
      </c>
      <c r="AT326" s="33">
        <v>-1</v>
      </c>
      <c r="AU326" s="33">
        <v>-1</v>
      </c>
      <c r="AV326" s="33">
        <v>-1</v>
      </c>
      <c r="AW326" s="85">
        <v>-1</v>
      </c>
      <c r="AX326" s="33">
        <v>-1</v>
      </c>
      <c r="AY326" s="33">
        <v>-1</v>
      </c>
      <c r="AZ326" s="33">
        <v>-1</v>
      </c>
      <c r="BA326" s="33">
        <v>-1</v>
      </c>
      <c r="BB326" s="33">
        <v>-1</v>
      </c>
      <c r="BC326" s="33">
        <v>-1</v>
      </c>
      <c r="BD326" s="33">
        <v>-1</v>
      </c>
      <c r="BE326" s="33">
        <v>-1</v>
      </c>
      <c r="BF326" s="33">
        <v>-1</v>
      </c>
      <c r="BG326" s="33"/>
      <c r="BH326" s="33"/>
      <c r="BI326" s="33"/>
      <c r="BJ326" s="33"/>
      <c r="BK326" s="33"/>
      <c r="BL326" s="33"/>
      <c r="BM326" s="33"/>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c r="CR326" s="28"/>
      <c r="CS326" s="28"/>
      <c r="CT326" s="28"/>
      <c r="CU326" s="28"/>
      <c r="CV326" s="28"/>
      <c r="CW326" s="28"/>
      <c r="CX326" s="28"/>
      <c r="CY326" s="28"/>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c r="DZ326" s="34"/>
      <c r="EA326" s="34"/>
      <c r="EB326" s="34"/>
      <c r="EC326" s="34"/>
      <c r="ED326" s="34"/>
    </row>
    <row r="327" spans="1:134" ht="11.25" customHeight="1" x14ac:dyDescent="0.3">
      <c r="A327" s="28" t="e">
        <f t="array" aca="1" ref="A327" ca="1">_xludf.XLOOKUP(S327,Master_Registrations!P:P,Master_Registrations!A:A,"")</f>
        <v>#NAME?</v>
      </c>
      <c r="B327" s="28" t="s">
        <v>7072</v>
      </c>
      <c r="C327" s="28">
        <v>2026</v>
      </c>
      <c r="D327" s="28" t="s">
        <v>4886</v>
      </c>
      <c r="E327" s="28">
        <v>3</v>
      </c>
      <c r="F327" s="29" t="str">
        <f t="shared" si="6"/>
        <v>VED-04-2026-GR-3</v>
      </c>
      <c r="G327" s="28" t="s">
        <v>7076</v>
      </c>
      <c r="H327" s="28" t="s">
        <v>7077</v>
      </c>
      <c r="I327" s="28" t="s">
        <v>7003</v>
      </c>
      <c r="J327" s="28" t="s">
        <v>198</v>
      </c>
      <c r="K327" s="35">
        <v>1</v>
      </c>
      <c r="L327" s="35">
        <v>1</v>
      </c>
      <c r="M327" s="35">
        <v>1</v>
      </c>
      <c r="N327" s="28" t="s">
        <v>786</v>
      </c>
      <c r="O327" s="28" t="s">
        <v>5985</v>
      </c>
      <c r="P327" s="28" t="s">
        <v>6704</v>
      </c>
      <c r="Q327" s="28" t="e">
        <f t="shared" ca="1" si="7"/>
        <v>#NAME?</v>
      </c>
      <c r="R327" s="28" t="s">
        <v>112</v>
      </c>
      <c r="S327" s="55">
        <v>9701144482</v>
      </c>
      <c r="T327" s="29" t="s">
        <v>111</v>
      </c>
      <c r="U327" s="28">
        <v>1960</v>
      </c>
      <c r="V327" s="33">
        <v>-1</v>
      </c>
      <c r="W327" s="33">
        <v>-1</v>
      </c>
      <c r="X327" s="35">
        <v>1</v>
      </c>
      <c r="Y327" s="35">
        <v>1</v>
      </c>
      <c r="Z327" s="35">
        <v>1</v>
      </c>
      <c r="AA327" s="35">
        <v>1</v>
      </c>
      <c r="AB327" s="35">
        <v>1</v>
      </c>
      <c r="AC327" s="33">
        <v>-1</v>
      </c>
      <c r="AD327" s="33">
        <v>-1</v>
      </c>
      <c r="AE327" s="35">
        <v>1</v>
      </c>
      <c r="AF327" s="35">
        <v>1</v>
      </c>
      <c r="AG327" s="35">
        <v>1</v>
      </c>
      <c r="AH327" s="35">
        <v>1</v>
      </c>
      <c r="AI327" s="33">
        <v>-1</v>
      </c>
      <c r="AJ327" s="85">
        <v>-1</v>
      </c>
      <c r="AK327" s="84">
        <v>1</v>
      </c>
      <c r="AL327" s="84">
        <v>1</v>
      </c>
      <c r="AM327" s="84">
        <v>1</v>
      </c>
      <c r="AN327" s="33">
        <v>-1</v>
      </c>
      <c r="AO327" s="33">
        <v>-1</v>
      </c>
      <c r="AP327" s="33">
        <v>-1</v>
      </c>
      <c r="AQ327" s="33">
        <v>-1</v>
      </c>
      <c r="AR327" s="84">
        <v>1</v>
      </c>
      <c r="AS327" s="33">
        <v>-1</v>
      </c>
      <c r="AT327" s="84">
        <v>1</v>
      </c>
      <c r="AU327" s="33">
        <v>-1</v>
      </c>
      <c r="AV327" s="33">
        <v>-1</v>
      </c>
      <c r="AW327" s="84">
        <v>1</v>
      </c>
      <c r="AX327" s="33">
        <v>-1</v>
      </c>
      <c r="AY327" s="33">
        <v>-1</v>
      </c>
      <c r="AZ327" s="33">
        <v>-1</v>
      </c>
      <c r="BA327" s="33">
        <v>-1</v>
      </c>
      <c r="BB327" s="33">
        <v>-1</v>
      </c>
      <c r="BC327" s="33">
        <v>-1</v>
      </c>
      <c r="BD327" s="33">
        <v>-1</v>
      </c>
      <c r="BE327" s="33">
        <v>-1</v>
      </c>
      <c r="BF327" s="33">
        <v>-1</v>
      </c>
      <c r="BG327" s="33"/>
      <c r="BH327" s="33"/>
      <c r="BI327" s="33"/>
      <c r="BJ327" s="33"/>
      <c r="BK327" s="33"/>
      <c r="BL327" s="33"/>
      <c r="BM327" s="33"/>
      <c r="BN327" s="28"/>
      <c r="BO327" s="28"/>
      <c r="BP327" s="28"/>
      <c r="BQ327" s="28"/>
      <c r="BR327" s="28"/>
      <c r="BS327" s="28"/>
      <c r="BT327" s="28"/>
      <c r="BU327" s="28"/>
      <c r="BV327" s="28"/>
      <c r="BW327" s="28"/>
      <c r="BX327" s="28"/>
      <c r="BY327" s="28"/>
      <c r="BZ327" s="28"/>
      <c r="CA327" s="28"/>
      <c r="CB327" s="28"/>
      <c r="CC327" s="28"/>
      <c r="CD327" s="28"/>
      <c r="CE327" s="28"/>
      <c r="CF327" s="28"/>
      <c r="CG327" s="28"/>
      <c r="CH327" s="28"/>
      <c r="CI327" s="28"/>
      <c r="CJ327" s="28"/>
      <c r="CK327" s="28"/>
      <c r="CL327" s="28"/>
      <c r="CM327" s="28"/>
      <c r="CN327" s="28"/>
      <c r="CO327" s="28"/>
      <c r="CP327" s="28"/>
      <c r="CQ327" s="28"/>
      <c r="CR327" s="28"/>
      <c r="CS327" s="28"/>
      <c r="CT327" s="28"/>
      <c r="CU327" s="28"/>
      <c r="CV327" s="28"/>
      <c r="CW327" s="28"/>
      <c r="CX327" s="28"/>
      <c r="CY327" s="28"/>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c r="DW327" s="34"/>
      <c r="DX327" s="34"/>
      <c r="DY327" s="34"/>
      <c r="DZ327" s="34"/>
      <c r="EA327" s="34"/>
      <c r="EB327" s="34"/>
      <c r="EC327" s="34"/>
      <c r="ED327" s="34"/>
    </row>
    <row r="328" spans="1:134" ht="11.25" customHeight="1" x14ac:dyDescent="0.3">
      <c r="A328" s="28" t="e">
        <f t="array" aca="1" ref="A328" ca="1">_xludf.XLOOKUP(S328,Master_Registrations!P:P,Master_Registrations!A:A,"")</f>
        <v>#NAME?</v>
      </c>
      <c r="B328" s="28" t="s">
        <v>7072</v>
      </c>
      <c r="C328" s="28">
        <v>2026</v>
      </c>
      <c r="D328" s="28" t="s">
        <v>4886</v>
      </c>
      <c r="E328" s="28">
        <v>3</v>
      </c>
      <c r="F328" s="29" t="str">
        <f t="shared" si="6"/>
        <v>VED-04-2026-GR-3</v>
      </c>
      <c r="G328" s="28" t="s">
        <v>7076</v>
      </c>
      <c r="H328" s="28" t="s">
        <v>7077</v>
      </c>
      <c r="I328" s="28" t="s">
        <v>7003</v>
      </c>
      <c r="J328" s="28" t="s">
        <v>198</v>
      </c>
      <c r="K328" s="35"/>
      <c r="L328" s="35"/>
      <c r="M328" s="35"/>
      <c r="N328" s="28" t="s">
        <v>856</v>
      </c>
      <c r="O328" s="28" t="s">
        <v>1404</v>
      </c>
      <c r="P328" s="28" t="s">
        <v>1405</v>
      </c>
      <c r="Q328" s="28" t="e">
        <f t="shared" ca="1" si="7"/>
        <v>#NAME?</v>
      </c>
      <c r="R328" s="28" t="s">
        <v>112</v>
      </c>
      <c r="S328" s="55">
        <v>9766655172</v>
      </c>
      <c r="T328" s="29" t="s">
        <v>111</v>
      </c>
      <c r="U328" s="28">
        <v>1984</v>
      </c>
      <c r="V328" s="35">
        <v>1</v>
      </c>
      <c r="W328" s="35">
        <v>1</v>
      </c>
      <c r="X328" s="33">
        <v>1</v>
      </c>
      <c r="Y328" s="33">
        <v>1</v>
      </c>
      <c r="Z328" s="35">
        <v>2</v>
      </c>
      <c r="AA328" s="35">
        <v>1</v>
      </c>
      <c r="AB328" s="35">
        <v>1</v>
      </c>
      <c r="AC328" s="35">
        <v>1</v>
      </c>
      <c r="AD328" s="35">
        <v>1</v>
      </c>
      <c r="AE328" s="35">
        <v>1</v>
      </c>
      <c r="AF328" s="35">
        <v>1</v>
      </c>
      <c r="AG328" s="35">
        <v>1</v>
      </c>
      <c r="AH328" s="35">
        <v>1</v>
      </c>
      <c r="AI328" s="33">
        <v>-1</v>
      </c>
      <c r="AJ328" s="84">
        <v>-1</v>
      </c>
      <c r="AK328" s="33">
        <v>-1</v>
      </c>
      <c r="AL328" s="33">
        <v>-1</v>
      </c>
      <c r="AM328" s="33">
        <v>-1</v>
      </c>
      <c r="AN328" s="33">
        <v>-1</v>
      </c>
      <c r="AO328" s="33">
        <v>-1</v>
      </c>
      <c r="AP328" s="33">
        <v>-1</v>
      </c>
      <c r="AQ328" s="33">
        <v>-1</v>
      </c>
      <c r="AR328" s="33">
        <v>-1</v>
      </c>
      <c r="AS328" s="33">
        <v>-1</v>
      </c>
      <c r="AT328" s="33">
        <v>-1</v>
      </c>
      <c r="AU328" s="33">
        <v>-1</v>
      </c>
      <c r="AV328" s="33">
        <v>-1</v>
      </c>
      <c r="AW328" s="33">
        <v>-1</v>
      </c>
      <c r="AX328" s="33">
        <v>-1</v>
      </c>
      <c r="AY328" s="33">
        <v>-1</v>
      </c>
      <c r="AZ328" s="33">
        <v>-1</v>
      </c>
      <c r="BA328" s="33">
        <v>-1</v>
      </c>
      <c r="BB328" s="33">
        <v>-1</v>
      </c>
      <c r="BC328" s="33">
        <v>-1</v>
      </c>
      <c r="BD328" s="33">
        <v>-1</v>
      </c>
      <c r="BE328" s="33">
        <v>-1</v>
      </c>
      <c r="BF328" s="33">
        <v>-1</v>
      </c>
      <c r="BG328" s="33"/>
      <c r="BH328" s="33"/>
      <c r="BI328" s="33"/>
      <c r="BJ328" s="33"/>
      <c r="BK328" s="33"/>
      <c r="BL328" s="33"/>
      <c r="BM328" s="33"/>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c r="DZ328" s="34"/>
      <c r="EA328" s="34"/>
      <c r="EB328" s="34"/>
      <c r="EC328" s="34"/>
      <c r="ED328" s="34"/>
    </row>
    <row r="329" spans="1:134" ht="11.25" customHeight="1" x14ac:dyDescent="0.3">
      <c r="A329" s="28" t="e">
        <f t="array" aca="1" ref="A329" ca="1">_xludf.XLOOKUP(S329,Master_Registrations!P:P,Master_Registrations!A:A,"")</f>
        <v>#NAME?</v>
      </c>
      <c r="B329" s="28" t="s">
        <v>7072</v>
      </c>
      <c r="C329" s="28">
        <v>2026</v>
      </c>
      <c r="D329" s="28" t="s">
        <v>4886</v>
      </c>
      <c r="E329" s="28">
        <v>3</v>
      </c>
      <c r="F329" s="29" t="str">
        <f t="shared" si="6"/>
        <v>VED-04-2026-GR-3</v>
      </c>
      <c r="G329" s="28" t="s">
        <v>7076</v>
      </c>
      <c r="H329" s="28" t="s">
        <v>7077</v>
      </c>
      <c r="I329" s="28" t="s">
        <v>7003</v>
      </c>
      <c r="J329" s="28" t="s">
        <v>198</v>
      </c>
      <c r="K329" s="38"/>
      <c r="L329" s="38"/>
      <c r="M329" s="38"/>
      <c r="N329" s="28" t="s">
        <v>915</v>
      </c>
      <c r="O329" s="28" t="s">
        <v>1396</v>
      </c>
      <c r="P329" s="28" t="s">
        <v>1397</v>
      </c>
      <c r="Q329" s="28" t="e">
        <f t="shared" ca="1" si="7"/>
        <v>#NAME?</v>
      </c>
      <c r="R329" s="28" t="s">
        <v>112</v>
      </c>
      <c r="S329" s="55">
        <v>8297443036</v>
      </c>
      <c r="T329" s="29" t="s">
        <v>111</v>
      </c>
      <c r="U329" s="28">
        <v>1984</v>
      </c>
      <c r="V329" s="35">
        <v>2</v>
      </c>
      <c r="W329" s="35">
        <v>2</v>
      </c>
      <c r="X329" s="35">
        <v>2</v>
      </c>
      <c r="Y329" s="35">
        <v>2</v>
      </c>
      <c r="Z329" s="35">
        <v>2</v>
      </c>
      <c r="AA329" s="35">
        <v>2</v>
      </c>
      <c r="AB329" s="35">
        <v>2</v>
      </c>
      <c r="AC329" s="35">
        <v>2</v>
      </c>
      <c r="AD329" s="35">
        <v>2</v>
      </c>
      <c r="AE329" s="35">
        <v>2</v>
      </c>
      <c r="AF329" s="35">
        <v>2</v>
      </c>
      <c r="AG329" s="35">
        <v>2</v>
      </c>
      <c r="AH329" s="35">
        <v>2</v>
      </c>
      <c r="AI329" s="35">
        <v>4</v>
      </c>
      <c r="AJ329" s="84">
        <v>1</v>
      </c>
      <c r="AK329" s="84">
        <v>1</v>
      </c>
      <c r="AL329" s="84">
        <v>1</v>
      </c>
      <c r="AM329" s="84">
        <v>1</v>
      </c>
      <c r="AN329" s="84">
        <v>1</v>
      </c>
      <c r="AO329" s="84">
        <v>1</v>
      </c>
      <c r="AP329" s="84">
        <v>1</v>
      </c>
      <c r="AQ329" s="84">
        <v>1</v>
      </c>
      <c r="AR329" s="84">
        <v>1</v>
      </c>
      <c r="AS329" s="84">
        <v>1</v>
      </c>
      <c r="AT329" s="84">
        <v>1</v>
      </c>
      <c r="AU329" s="33">
        <v>-1</v>
      </c>
      <c r="AV329" s="33">
        <v>-1</v>
      </c>
      <c r="AW329" s="33">
        <v>-1</v>
      </c>
      <c r="AX329" s="33">
        <v>-1</v>
      </c>
      <c r="AY329" s="33">
        <v>-1</v>
      </c>
      <c r="AZ329" s="33">
        <v>-1</v>
      </c>
      <c r="BA329" s="33">
        <v>-1</v>
      </c>
      <c r="BB329" s="33">
        <v>-1</v>
      </c>
      <c r="BC329" s="33">
        <v>-1</v>
      </c>
      <c r="BD329" s="33">
        <v>-1</v>
      </c>
      <c r="BE329" s="33">
        <v>-1</v>
      </c>
      <c r="BF329" s="33">
        <v>-1</v>
      </c>
      <c r="BG329" s="33"/>
      <c r="BH329" s="33"/>
      <c r="BI329" s="33"/>
      <c r="BJ329" s="33"/>
      <c r="BK329" s="33"/>
      <c r="BL329" s="33"/>
      <c r="BM329" s="33"/>
      <c r="BN329" s="28"/>
      <c r="BO329" s="28"/>
      <c r="BP329" s="28"/>
      <c r="BQ329" s="28"/>
      <c r="BR329" s="28"/>
      <c r="BS329" s="28"/>
      <c r="BT329" s="28"/>
      <c r="BU329" s="28"/>
      <c r="BV329" s="28"/>
      <c r="BW329" s="28"/>
      <c r="BX329" s="28"/>
      <c r="BY329" s="28"/>
      <c r="BZ329" s="28"/>
      <c r="CA329" s="28"/>
      <c r="CB329" s="28"/>
      <c r="CC329" s="28"/>
      <c r="CD329" s="28"/>
      <c r="CE329" s="28"/>
      <c r="CF329" s="28"/>
      <c r="CG329" s="28"/>
      <c r="CH329" s="28"/>
      <c r="CI329" s="28"/>
      <c r="CJ329" s="28"/>
      <c r="CK329" s="28"/>
      <c r="CL329" s="28"/>
      <c r="CM329" s="28"/>
      <c r="CN329" s="28"/>
      <c r="CO329" s="28"/>
      <c r="CP329" s="28"/>
      <c r="CQ329" s="28"/>
      <c r="CR329" s="28"/>
      <c r="CS329" s="28"/>
      <c r="CT329" s="28"/>
      <c r="CU329" s="28"/>
      <c r="CV329" s="28"/>
      <c r="CW329" s="28"/>
      <c r="CX329" s="28"/>
      <c r="CY329" s="28"/>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c r="DZ329" s="34"/>
      <c r="EA329" s="34"/>
      <c r="EB329" s="34"/>
      <c r="EC329" s="34"/>
      <c r="ED329" s="34"/>
    </row>
    <row r="330" spans="1:134" ht="11.25" customHeight="1" x14ac:dyDescent="0.3">
      <c r="A330" s="28" t="e">
        <f t="array" aca="1" ref="A330" ca="1">_xludf.XLOOKUP(S330,Master_Registrations!P:P,Master_Registrations!A:A,"")</f>
        <v>#NAME?</v>
      </c>
      <c r="B330" s="28" t="s">
        <v>7072</v>
      </c>
      <c r="C330" s="28">
        <v>2026</v>
      </c>
      <c r="D330" s="28" t="s">
        <v>4886</v>
      </c>
      <c r="E330" s="28">
        <v>3</v>
      </c>
      <c r="F330" s="29" t="str">
        <f t="shared" si="6"/>
        <v>VED-04-2026-GR-3</v>
      </c>
      <c r="G330" s="28" t="s">
        <v>7076</v>
      </c>
      <c r="H330" s="28" t="s">
        <v>7077</v>
      </c>
      <c r="I330" s="28" t="s">
        <v>7003</v>
      </c>
      <c r="J330" s="28" t="s">
        <v>198</v>
      </c>
      <c r="K330" s="35">
        <v>1</v>
      </c>
      <c r="L330" s="35">
        <v>1</v>
      </c>
      <c r="M330" s="35">
        <v>1</v>
      </c>
      <c r="N330" s="28" t="s">
        <v>973</v>
      </c>
      <c r="O330" s="28" t="s">
        <v>2642</v>
      </c>
      <c r="P330" s="28" t="s">
        <v>2643</v>
      </c>
      <c r="Q330" s="28" t="e">
        <f t="shared" ca="1" si="7"/>
        <v>#NAME?</v>
      </c>
      <c r="R330" s="28" t="s">
        <v>316</v>
      </c>
      <c r="S330" s="55">
        <v>4694264289</v>
      </c>
      <c r="T330" s="29" t="s">
        <v>315</v>
      </c>
      <c r="U330" s="28">
        <v>1974</v>
      </c>
      <c r="V330" s="33">
        <v>-1</v>
      </c>
      <c r="W330" s="33">
        <v>-1</v>
      </c>
      <c r="X330" s="35">
        <v>1</v>
      </c>
      <c r="Y330" s="35">
        <v>1</v>
      </c>
      <c r="Z330" s="35">
        <v>1</v>
      </c>
      <c r="AA330" s="35">
        <v>1</v>
      </c>
      <c r="AB330" s="35">
        <v>1</v>
      </c>
      <c r="AC330" s="33">
        <v>-1</v>
      </c>
      <c r="AD330" s="33">
        <v>-1</v>
      </c>
      <c r="AE330" s="35">
        <v>1</v>
      </c>
      <c r="AF330" s="35">
        <v>1</v>
      </c>
      <c r="AG330" s="35">
        <v>1</v>
      </c>
      <c r="AH330" s="33">
        <v>-1</v>
      </c>
      <c r="AI330" s="33">
        <v>-1</v>
      </c>
      <c r="AJ330" s="84">
        <v>1</v>
      </c>
      <c r="AK330" s="33">
        <v>-1</v>
      </c>
      <c r="AL330" s="33">
        <v>-1</v>
      </c>
      <c r="AM330" s="33">
        <v>-1</v>
      </c>
      <c r="AN330" s="33">
        <v>-1</v>
      </c>
      <c r="AO330" s="33">
        <v>-1</v>
      </c>
      <c r="AP330" s="33">
        <v>-1</v>
      </c>
      <c r="AQ330" s="84">
        <v>1</v>
      </c>
      <c r="AR330" s="84">
        <v>1</v>
      </c>
      <c r="AS330" s="33">
        <v>-1</v>
      </c>
      <c r="AT330" s="33">
        <v>-1</v>
      </c>
      <c r="AU330" s="33">
        <v>-1</v>
      </c>
      <c r="AV330" s="33">
        <v>-1</v>
      </c>
      <c r="AW330" s="33">
        <v>-1</v>
      </c>
      <c r="AX330" s="33">
        <v>-1</v>
      </c>
      <c r="AY330" s="33">
        <v>-1</v>
      </c>
      <c r="AZ330" s="33">
        <v>-1</v>
      </c>
      <c r="BA330" s="33">
        <v>-1</v>
      </c>
      <c r="BB330" s="33">
        <v>-1</v>
      </c>
      <c r="BC330" s="33">
        <v>-1</v>
      </c>
      <c r="BD330" s="33">
        <v>-1</v>
      </c>
      <c r="BE330" s="33">
        <v>-1</v>
      </c>
      <c r="BF330" s="33">
        <v>-1</v>
      </c>
      <c r="BG330" s="33"/>
      <c r="BH330" s="33"/>
      <c r="BI330" s="33"/>
      <c r="BJ330" s="33"/>
      <c r="BK330" s="33"/>
      <c r="BL330" s="33"/>
      <c r="BM330" s="33"/>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c r="DZ330" s="34"/>
      <c r="EA330" s="34"/>
      <c r="EB330" s="34"/>
      <c r="EC330" s="34"/>
      <c r="ED330" s="34"/>
    </row>
    <row r="331" spans="1:134" ht="11.25" customHeight="1" x14ac:dyDescent="0.3">
      <c r="A331" s="28" t="e">
        <f t="array" aca="1" ref="A331" ca="1">_xludf.XLOOKUP(S331,Master_Registrations!P:P,Master_Registrations!A:A,"")</f>
        <v>#NAME?</v>
      </c>
      <c r="B331" s="28" t="s">
        <v>7072</v>
      </c>
      <c r="C331" s="28">
        <v>2026</v>
      </c>
      <c r="D331" s="28" t="s">
        <v>4886</v>
      </c>
      <c r="E331" s="28">
        <v>3</v>
      </c>
      <c r="F331" s="29" t="str">
        <f t="shared" si="6"/>
        <v>VED-04-2026-GR-3</v>
      </c>
      <c r="G331" s="28" t="s">
        <v>7076</v>
      </c>
      <c r="H331" s="28" t="s">
        <v>7077</v>
      </c>
      <c r="I331" s="28" t="s">
        <v>7003</v>
      </c>
      <c r="J331" s="28" t="s">
        <v>198</v>
      </c>
      <c r="K331" s="35"/>
      <c r="L331" s="35"/>
      <c r="M331" s="35"/>
      <c r="N331" s="28" t="s">
        <v>1031</v>
      </c>
      <c r="O331" s="28" t="s">
        <v>567</v>
      </c>
      <c r="P331" s="28" t="s">
        <v>568</v>
      </c>
      <c r="Q331" s="28" t="e">
        <f t="shared" ca="1" si="7"/>
        <v>#NAME?</v>
      </c>
      <c r="R331" s="28" t="s">
        <v>112</v>
      </c>
      <c r="S331" s="55">
        <v>9989244903</v>
      </c>
      <c r="T331" s="29" t="s">
        <v>111</v>
      </c>
      <c r="U331" s="28">
        <v>1985</v>
      </c>
      <c r="V331" s="35">
        <v>2</v>
      </c>
      <c r="W331" s="35">
        <v>2</v>
      </c>
      <c r="X331" s="35">
        <v>2</v>
      </c>
      <c r="Y331" s="35">
        <v>2</v>
      </c>
      <c r="Z331" s="35">
        <v>2</v>
      </c>
      <c r="AA331" s="35">
        <v>2</v>
      </c>
      <c r="AB331" s="35">
        <v>2</v>
      </c>
      <c r="AC331" s="35">
        <v>1</v>
      </c>
      <c r="AD331" s="33">
        <v>-1</v>
      </c>
      <c r="AE331" s="35">
        <v>2</v>
      </c>
      <c r="AF331" s="35">
        <v>2</v>
      </c>
      <c r="AG331" s="35">
        <v>1</v>
      </c>
      <c r="AH331" s="35">
        <v>1</v>
      </c>
      <c r="AI331" s="33">
        <v>-1</v>
      </c>
      <c r="AJ331" s="84">
        <v>-1</v>
      </c>
      <c r="AK331" s="33">
        <v>-1</v>
      </c>
      <c r="AL331" s="33">
        <v>-1</v>
      </c>
      <c r="AM331" s="33">
        <v>-1</v>
      </c>
      <c r="AN331" s="33">
        <v>-1</v>
      </c>
      <c r="AO331" s="33">
        <v>-1</v>
      </c>
      <c r="AP331" s="33">
        <v>-1</v>
      </c>
      <c r="AQ331" s="33">
        <v>-1</v>
      </c>
      <c r="AR331" s="33">
        <v>-1</v>
      </c>
      <c r="AS331" s="33">
        <v>-1</v>
      </c>
      <c r="AT331" s="33">
        <v>-1</v>
      </c>
      <c r="AU331" s="33">
        <v>-1</v>
      </c>
      <c r="AV331" s="33">
        <v>-1</v>
      </c>
      <c r="AW331" s="33">
        <v>-1</v>
      </c>
      <c r="AX331" s="33">
        <v>-1</v>
      </c>
      <c r="AY331" s="33">
        <v>-1</v>
      </c>
      <c r="AZ331" s="33">
        <v>-1</v>
      </c>
      <c r="BA331" s="33">
        <v>-1</v>
      </c>
      <c r="BB331" s="33">
        <v>-1</v>
      </c>
      <c r="BC331" s="33">
        <v>-1</v>
      </c>
      <c r="BD331" s="33">
        <v>-1</v>
      </c>
      <c r="BE331" s="33">
        <v>-1</v>
      </c>
      <c r="BF331" s="33">
        <v>-1</v>
      </c>
      <c r="BG331" s="33"/>
      <c r="BH331" s="33"/>
      <c r="BI331" s="33"/>
      <c r="BJ331" s="33"/>
      <c r="BK331" s="33"/>
      <c r="BL331" s="33"/>
      <c r="BM331" s="33"/>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c r="DZ331" s="34"/>
      <c r="EA331" s="34"/>
      <c r="EB331" s="34"/>
      <c r="EC331" s="34"/>
      <c r="ED331" s="34"/>
    </row>
    <row r="332" spans="1:134" ht="11.25" customHeight="1" x14ac:dyDescent="0.3">
      <c r="A332" s="28" t="e">
        <f t="array" aca="1" ref="A332" ca="1">_xludf.XLOOKUP(S332,Master_Registrations!P:P,Master_Registrations!A:A,"")</f>
        <v>#NAME?</v>
      </c>
      <c r="B332" s="28" t="s">
        <v>7072</v>
      </c>
      <c r="C332" s="28">
        <v>2026</v>
      </c>
      <c r="D332" s="28" t="s">
        <v>4886</v>
      </c>
      <c r="E332" s="28">
        <v>3</v>
      </c>
      <c r="F332" s="29" t="str">
        <f t="shared" si="6"/>
        <v>VED-04-2026-GR-3</v>
      </c>
      <c r="G332" s="28" t="s">
        <v>7076</v>
      </c>
      <c r="H332" s="28" t="s">
        <v>7077</v>
      </c>
      <c r="I332" s="28" t="s">
        <v>7003</v>
      </c>
      <c r="J332" s="28" t="s">
        <v>198</v>
      </c>
      <c r="K332" s="38"/>
      <c r="L332" s="38"/>
      <c r="M332" s="38"/>
      <c r="N332" s="28" t="s">
        <v>1112</v>
      </c>
      <c r="O332" s="28" t="s">
        <v>6814</v>
      </c>
      <c r="P332" s="28" t="s">
        <v>6815</v>
      </c>
      <c r="Q332" s="28" t="e">
        <f t="shared" ca="1" si="7"/>
        <v>#NAME?</v>
      </c>
      <c r="R332" s="28" t="s">
        <v>112</v>
      </c>
      <c r="S332" s="55">
        <v>9963122211</v>
      </c>
      <c r="T332" s="29" t="s">
        <v>111</v>
      </c>
      <c r="U332" s="28">
        <v>1963</v>
      </c>
      <c r="V332" s="35">
        <v>2</v>
      </c>
      <c r="W332" s="35">
        <v>2</v>
      </c>
      <c r="X332" s="35">
        <v>2</v>
      </c>
      <c r="Y332" s="35">
        <v>2</v>
      </c>
      <c r="Z332" s="35">
        <v>2</v>
      </c>
      <c r="AA332" s="35">
        <v>2</v>
      </c>
      <c r="AB332" s="35">
        <v>2</v>
      </c>
      <c r="AC332" s="35">
        <v>2</v>
      </c>
      <c r="AD332" s="35">
        <v>2</v>
      </c>
      <c r="AE332" s="35">
        <v>2</v>
      </c>
      <c r="AF332" s="35">
        <v>2</v>
      </c>
      <c r="AG332" s="35">
        <v>2</v>
      </c>
      <c r="AH332" s="35">
        <v>2</v>
      </c>
      <c r="AI332" s="35">
        <v>3</v>
      </c>
      <c r="AJ332" s="84">
        <v>2</v>
      </c>
      <c r="AK332" s="84">
        <v>2</v>
      </c>
      <c r="AL332" s="84">
        <v>2</v>
      </c>
      <c r="AM332" s="84">
        <v>2</v>
      </c>
      <c r="AN332" s="84">
        <v>2</v>
      </c>
      <c r="AO332" s="84">
        <v>2</v>
      </c>
      <c r="AP332" s="84">
        <v>2</v>
      </c>
      <c r="AQ332" s="84">
        <v>2</v>
      </c>
      <c r="AR332" s="84">
        <v>2</v>
      </c>
      <c r="AS332" s="84">
        <v>2</v>
      </c>
      <c r="AT332" s="84">
        <v>2</v>
      </c>
      <c r="AU332" s="84">
        <v>2</v>
      </c>
      <c r="AV332" s="84">
        <v>4</v>
      </c>
      <c r="AW332" s="84">
        <v>2</v>
      </c>
      <c r="AX332" s="84">
        <v>2</v>
      </c>
      <c r="AY332" s="84">
        <v>1</v>
      </c>
      <c r="AZ332" s="84">
        <v>1</v>
      </c>
      <c r="BA332" s="84">
        <v>1</v>
      </c>
      <c r="BB332" s="84">
        <v>1</v>
      </c>
      <c r="BC332" s="84">
        <v>1</v>
      </c>
      <c r="BD332" s="85">
        <v>-1</v>
      </c>
      <c r="BE332" s="85">
        <v>-1</v>
      </c>
      <c r="BF332" s="85">
        <v>-1</v>
      </c>
      <c r="BG332" s="33"/>
      <c r="BH332" s="33"/>
      <c r="BI332" s="33"/>
      <c r="BJ332" s="33"/>
      <c r="BK332" s="33"/>
      <c r="BL332" s="33"/>
      <c r="BM332" s="33"/>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row>
    <row r="333" spans="1:134" ht="11.25" customHeight="1" x14ac:dyDescent="0.3">
      <c r="A333" s="28" t="e">
        <f t="array" aca="1" ref="A333" ca="1">_xludf.XLOOKUP(S333,Master_Registrations!P:P,Master_Registrations!A:A,"")</f>
        <v>#NAME?</v>
      </c>
      <c r="B333" s="28" t="s">
        <v>7072</v>
      </c>
      <c r="C333" s="28">
        <v>2026</v>
      </c>
      <c r="D333" s="28" t="s">
        <v>4886</v>
      </c>
      <c r="E333" s="28">
        <v>3</v>
      </c>
      <c r="F333" s="29" t="str">
        <f t="shared" si="6"/>
        <v>VED-04-2026-GR-3</v>
      </c>
      <c r="G333" s="28" t="s">
        <v>7076</v>
      </c>
      <c r="H333" s="28" t="s">
        <v>7077</v>
      </c>
      <c r="I333" s="28" t="s">
        <v>7003</v>
      </c>
      <c r="J333" s="28" t="s">
        <v>198</v>
      </c>
      <c r="K333" s="38"/>
      <c r="L333" s="38"/>
      <c r="M333" s="38"/>
      <c r="N333" s="28" t="s">
        <v>1196</v>
      </c>
      <c r="O333" s="28" t="s">
        <v>2320</v>
      </c>
      <c r="P333" s="28" t="s">
        <v>2321</v>
      </c>
      <c r="Q333" s="28" t="e">
        <f t="shared" ca="1" si="7"/>
        <v>#NAME?</v>
      </c>
      <c r="R333" s="28" t="s">
        <v>112</v>
      </c>
      <c r="S333" s="55">
        <v>6262282808</v>
      </c>
      <c r="T333" s="29" t="s">
        <v>111</v>
      </c>
      <c r="U333" s="28">
        <v>1994</v>
      </c>
      <c r="V333" s="35">
        <v>2</v>
      </c>
      <c r="W333" s="35">
        <v>2</v>
      </c>
      <c r="X333" s="35">
        <v>2</v>
      </c>
      <c r="Y333" s="35">
        <v>2</v>
      </c>
      <c r="Z333" s="35">
        <v>2</v>
      </c>
      <c r="AA333" s="35">
        <v>2</v>
      </c>
      <c r="AB333" s="35">
        <v>2</v>
      </c>
      <c r="AC333" s="35">
        <v>2</v>
      </c>
      <c r="AD333" s="35">
        <v>2</v>
      </c>
      <c r="AE333" s="35">
        <v>2</v>
      </c>
      <c r="AF333" s="35">
        <v>2</v>
      </c>
      <c r="AG333" s="35">
        <v>2</v>
      </c>
      <c r="AH333" s="35">
        <v>2</v>
      </c>
      <c r="AI333" s="35">
        <v>4</v>
      </c>
      <c r="AJ333" s="84">
        <v>2</v>
      </c>
      <c r="AK333" s="84">
        <v>2</v>
      </c>
      <c r="AL333" s="84">
        <v>2</v>
      </c>
      <c r="AM333" s="84">
        <v>2</v>
      </c>
      <c r="AN333" s="84">
        <v>2</v>
      </c>
      <c r="AO333" s="84">
        <v>2</v>
      </c>
      <c r="AP333" s="84">
        <v>2</v>
      </c>
      <c r="AQ333" s="84">
        <v>2</v>
      </c>
      <c r="AR333" s="84">
        <v>2</v>
      </c>
      <c r="AS333" s="84">
        <v>2</v>
      </c>
      <c r="AT333" s="84">
        <v>2</v>
      </c>
      <c r="AU333" s="84">
        <v>2</v>
      </c>
      <c r="AV333" s="84">
        <v>4</v>
      </c>
      <c r="AW333" s="84">
        <v>2</v>
      </c>
      <c r="AX333" s="84">
        <v>2</v>
      </c>
      <c r="AY333" s="84">
        <v>1</v>
      </c>
      <c r="AZ333" s="84">
        <v>1</v>
      </c>
      <c r="BA333" s="84">
        <v>2</v>
      </c>
      <c r="BB333" s="84">
        <v>1</v>
      </c>
      <c r="BC333" s="85">
        <v>-1</v>
      </c>
      <c r="BD333" s="85">
        <v>-1</v>
      </c>
      <c r="BE333" s="85">
        <v>-1</v>
      </c>
      <c r="BF333" s="85">
        <v>-1</v>
      </c>
      <c r="BG333" s="33"/>
      <c r="BH333" s="33"/>
      <c r="BI333" s="33"/>
      <c r="BJ333" s="33"/>
      <c r="BK333" s="33"/>
      <c r="BL333" s="33"/>
      <c r="BM333" s="33"/>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c r="DZ333" s="34"/>
      <c r="EA333" s="34"/>
      <c r="EB333" s="34"/>
      <c r="EC333" s="34"/>
      <c r="ED333" s="34"/>
    </row>
    <row r="334" spans="1:134" ht="11.25" customHeight="1" x14ac:dyDescent="0.3">
      <c r="A334" s="28" t="e">
        <f t="array" aca="1" ref="A334" ca="1">_xludf.XLOOKUP(S334,Master_Registrations!P:P,Master_Registrations!A:A,"")</f>
        <v>#NAME?</v>
      </c>
      <c r="B334" s="39" t="s">
        <v>7072</v>
      </c>
      <c r="C334" s="39">
        <v>2026</v>
      </c>
      <c r="D334" s="39" t="s">
        <v>4886</v>
      </c>
      <c r="E334" s="39">
        <v>4</v>
      </c>
      <c r="F334" s="40" t="str">
        <f t="shared" si="6"/>
        <v>VED-04-2026-GR-4</v>
      </c>
      <c r="G334" s="39" t="s">
        <v>7078</v>
      </c>
      <c r="H334" s="39" t="s">
        <v>7079</v>
      </c>
      <c r="I334" s="39" t="s">
        <v>7080</v>
      </c>
      <c r="J334" s="39" t="s">
        <v>198</v>
      </c>
      <c r="K334" s="52"/>
      <c r="L334" s="52"/>
      <c r="M334" s="52"/>
      <c r="N334" s="39" t="s">
        <v>200</v>
      </c>
      <c r="O334" s="39" t="s">
        <v>1562</v>
      </c>
      <c r="P334" s="39" t="s">
        <v>1584</v>
      </c>
      <c r="Q334" s="39" t="e">
        <f t="shared" ca="1" si="7"/>
        <v>#NAME?</v>
      </c>
      <c r="R334" s="39" t="s">
        <v>112</v>
      </c>
      <c r="S334" s="50">
        <v>9848756299</v>
      </c>
      <c r="T334" s="40" t="s">
        <v>111</v>
      </c>
      <c r="U334" s="39">
        <v>1990</v>
      </c>
      <c r="V334" s="44">
        <v>2</v>
      </c>
      <c r="W334" s="44">
        <v>2</v>
      </c>
      <c r="X334" s="44">
        <v>2</v>
      </c>
      <c r="Y334" s="44">
        <v>2</v>
      </c>
      <c r="Z334" s="44">
        <v>2</v>
      </c>
      <c r="AA334" s="44">
        <v>2</v>
      </c>
      <c r="AB334" s="44">
        <v>2</v>
      </c>
      <c r="AC334" s="44">
        <v>2</v>
      </c>
      <c r="AD334" s="44">
        <v>2</v>
      </c>
      <c r="AE334" s="44">
        <v>2</v>
      </c>
      <c r="AF334" s="44">
        <v>2</v>
      </c>
      <c r="AG334" s="44">
        <v>2</v>
      </c>
      <c r="AH334" s="44">
        <v>2</v>
      </c>
      <c r="AI334" s="44">
        <v>4</v>
      </c>
      <c r="AJ334" s="44">
        <v>2</v>
      </c>
      <c r="AK334" s="44">
        <v>1</v>
      </c>
      <c r="AL334" s="44">
        <v>2</v>
      </c>
      <c r="AM334" s="44">
        <v>2</v>
      </c>
      <c r="AN334" s="44">
        <v>2</v>
      </c>
      <c r="AO334" s="44">
        <v>2</v>
      </c>
      <c r="AP334" s="44">
        <v>2</v>
      </c>
      <c r="AQ334" s="44">
        <v>1</v>
      </c>
      <c r="AR334" s="44">
        <v>2</v>
      </c>
      <c r="AS334" s="44">
        <v>2</v>
      </c>
      <c r="AT334" s="44">
        <v>1</v>
      </c>
      <c r="AU334" s="44">
        <v>2</v>
      </c>
      <c r="AV334" s="45">
        <v>-1</v>
      </c>
      <c r="AW334" s="44">
        <v>2</v>
      </c>
      <c r="AX334" s="44">
        <v>2</v>
      </c>
      <c r="AY334" s="44">
        <v>2</v>
      </c>
      <c r="AZ334" s="44">
        <v>2</v>
      </c>
      <c r="BA334" s="44">
        <v>2</v>
      </c>
      <c r="BB334" s="44">
        <v>2</v>
      </c>
      <c r="BC334" s="44">
        <v>2</v>
      </c>
      <c r="BD334" s="44">
        <v>2</v>
      </c>
      <c r="BE334" s="44">
        <v>2</v>
      </c>
      <c r="BF334" s="45">
        <v>-1</v>
      </c>
      <c r="BG334" s="45"/>
      <c r="BH334" s="45"/>
      <c r="BI334" s="45"/>
      <c r="BJ334" s="45"/>
      <c r="BK334" s="45"/>
      <c r="BL334" s="45"/>
      <c r="BM334" s="45"/>
      <c r="BN334" s="39"/>
      <c r="BO334" s="39"/>
      <c r="BP334" s="39"/>
      <c r="BQ334" s="39"/>
      <c r="BR334" s="39"/>
      <c r="BS334" s="39"/>
      <c r="BT334" s="39"/>
      <c r="BU334" s="39"/>
      <c r="BV334" s="39"/>
      <c r="BW334" s="39"/>
      <c r="BX334" s="39"/>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48"/>
      <c r="DA334" s="48"/>
      <c r="DB334" s="48"/>
      <c r="DC334" s="48"/>
      <c r="DD334" s="48"/>
      <c r="DE334" s="48"/>
      <c r="DF334" s="48"/>
      <c r="DG334" s="48"/>
      <c r="DH334" s="48"/>
      <c r="DI334" s="48"/>
      <c r="DJ334" s="48"/>
      <c r="DK334" s="48"/>
      <c r="DL334" s="48"/>
      <c r="DM334" s="48"/>
      <c r="DN334" s="48"/>
      <c r="DO334" s="48"/>
      <c r="DP334" s="48"/>
      <c r="DQ334" s="48"/>
      <c r="DR334" s="48"/>
      <c r="DS334" s="48"/>
      <c r="DT334" s="48"/>
      <c r="DU334" s="48"/>
      <c r="DV334" s="48"/>
      <c r="DW334" s="48"/>
      <c r="DX334" s="48"/>
      <c r="DY334" s="48"/>
      <c r="DZ334" s="48"/>
      <c r="EA334" s="48"/>
      <c r="EB334" s="48"/>
      <c r="EC334" s="48"/>
      <c r="ED334" s="48"/>
    </row>
    <row r="335" spans="1:134" ht="11.25" customHeight="1" x14ac:dyDescent="0.3">
      <c r="A335" s="28" t="e">
        <f t="array" aca="1" ref="A335" ca="1">_xludf.XLOOKUP(S335,Master_Registrations!P:P,Master_Registrations!A:A,"")</f>
        <v>#NAME?</v>
      </c>
      <c r="B335" s="39" t="s">
        <v>7072</v>
      </c>
      <c r="C335" s="39">
        <v>2026</v>
      </c>
      <c r="D335" s="39" t="s">
        <v>4886</v>
      </c>
      <c r="E335" s="39">
        <v>4</v>
      </c>
      <c r="F335" s="40" t="str">
        <f t="shared" si="6"/>
        <v>VED-04-2026-GR-4</v>
      </c>
      <c r="G335" s="39" t="s">
        <v>7078</v>
      </c>
      <c r="H335" s="39" t="s">
        <v>7079</v>
      </c>
      <c r="I335" s="39" t="s">
        <v>7080</v>
      </c>
      <c r="J335" s="39" t="s">
        <v>198</v>
      </c>
      <c r="K335" s="52"/>
      <c r="L335" s="52"/>
      <c r="M335" s="52"/>
      <c r="N335" s="39" t="s">
        <v>299</v>
      </c>
      <c r="O335" s="39" t="s">
        <v>1158</v>
      </c>
      <c r="P335" s="39" t="s">
        <v>1159</v>
      </c>
      <c r="Q335" s="39" t="e">
        <f t="shared" ca="1" si="7"/>
        <v>#NAME?</v>
      </c>
      <c r="R335" s="39" t="s">
        <v>112</v>
      </c>
      <c r="S335" s="50">
        <v>9989094198</v>
      </c>
      <c r="T335" s="40" t="s">
        <v>111</v>
      </c>
      <c r="U335" s="39">
        <v>1970</v>
      </c>
      <c r="V335" s="44">
        <v>2</v>
      </c>
      <c r="W335" s="44">
        <v>2</v>
      </c>
      <c r="X335" s="44">
        <v>2</v>
      </c>
      <c r="Y335" s="44">
        <v>2</v>
      </c>
      <c r="Z335" s="44">
        <v>2</v>
      </c>
      <c r="AA335" s="44">
        <v>2</v>
      </c>
      <c r="AB335" s="44">
        <v>2</v>
      </c>
      <c r="AC335" s="44">
        <v>2</v>
      </c>
      <c r="AD335" s="44">
        <v>2</v>
      </c>
      <c r="AE335" s="44">
        <v>2</v>
      </c>
      <c r="AF335" s="44">
        <v>2</v>
      </c>
      <c r="AG335" s="44">
        <v>2</v>
      </c>
      <c r="AH335" s="44">
        <v>2</v>
      </c>
      <c r="AI335" s="44">
        <v>4</v>
      </c>
      <c r="AJ335" s="44">
        <v>2</v>
      </c>
      <c r="AK335" s="44">
        <v>2</v>
      </c>
      <c r="AL335" s="44">
        <v>2</v>
      </c>
      <c r="AM335" s="44">
        <v>2</v>
      </c>
      <c r="AN335" s="44">
        <v>2</v>
      </c>
      <c r="AO335" s="44">
        <v>2</v>
      </c>
      <c r="AP335" s="44">
        <v>2</v>
      </c>
      <c r="AQ335" s="44">
        <v>2</v>
      </c>
      <c r="AR335" s="44">
        <v>2</v>
      </c>
      <c r="AS335" s="44">
        <v>2</v>
      </c>
      <c r="AT335" s="44">
        <v>2</v>
      </c>
      <c r="AU335" s="44">
        <v>2</v>
      </c>
      <c r="AV335" s="44">
        <v>4</v>
      </c>
      <c r="AW335" s="44">
        <v>2</v>
      </c>
      <c r="AX335" s="44">
        <v>2</v>
      </c>
      <c r="AY335" s="44">
        <v>1</v>
      </c>
      <c r="AZ335" s="44">
        <v>2</v>
      </c>
      <c r="BA335" s="44">
        <v>2</v>
      </c>
      <c r="BB335" s="44">
        <v>2</v>
      </c>
      <c r="BC335" s="44">
        <v>2</v>
      </c>
      <c r="BD335" s="44">
        <v>2</v>
      </c>
      <c r="BE335" s="44">
        <v>2</v>
      </c>
      <c r="BF335" s="45">
        <v>-1</v>
      </c>
      <c r="BG335" s="45"/>
      <c r="BH335" s="45"/>
      <c r="BI335" s="45"/>
      <c r="BJ335" s="45"/>
      <c r="BK335" s="45"/>
      <c r="BL335" s="45"/>
      <c r="BM335" s="45"/>
      <c r="BN335" s="39"/>
      <c r="BO335" s="39"/>
      <c r="BP335" s="39"/>
      <c r="BQ335" s="39"/>
      <c r="BR335" s="39"/>
      <c r="BS335" s="39"/>
      <c r="BT335" s="39"/>
      <c r="BU335" s="39"/>
      <c r="BV335" s="39"/>
      <c r="BW335" s="39"/>
      <c r="BX335" s="39"/>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48"/>
      <c r="DA335" s="48"/>
      <c r="DB335" s="48"/>
      <c r="DC335" s="48"/>
      <c r="DD335" s="48"/>
      <c r="DE335" s="48"/>
      <c r="DF335" s="48"/>
      <c r="DG335" s="48"/>
      <c r="DH335" s="48"/>
      <c r="DI335" s="48"/>
      <c r="DJ335" s="48"/>
      <c r="DK335" s="48"/>
      <c r="DL335" s="48"/>
      <c r="DM335" s="48"/>
      <c r="DN335" s="48"/>
      <c r="DO335" s="48"/>
      <c r="DP335" s="48"/>
      <c r="DQ335" s="48"/>
      <c r="DR335" s="48"/>
      <c r="DS335" s="48"/>
      <c r="DT335" s="48"/>
      <c r="DU335" s="48"/>
      <c r="DV335" s="48"/>
      <c r="DW335" s="48"/>
      <c r="DX335" s="48"/>
      <c r="DY335" s="48"/>
      <c r="DZ335" s="48"/>
      <c r="EA335" s="48"/>
      <c r="EB335" s="48"/>
      <c r="EC335" s="48"/>
      <c r="ED335" s="48"/>
    </row>
    <row r="336" spans="1:134" ht="11.25" customHeight="1" x14ac:dyDescent="0.3">
      <c r="A336" s="28" t="e">
        <f t="array" aca="1" ref="A336" ca="1">_xludf.XLOOKUP(S336,Master_Registrations!P:P,Master_Registrations!A:A,"")</f>
        <v>#NAME?</v>
      </c>
      <c r="B336" s="39" t="s">
        <v>7072</v>
      </c>
      <c r="C336" s="39">
        <v>2026</v>
      </c>
      <c r="D336" s="39" t="s">
        <v>4886</v>
      </c>
      <c r="E336" s="39">
        <v>4</v>
      </c>
      <c r="F336" s="40" t="str">
        <f t="shared" si="6"/>
        <v>VED-04-2026-GR-4</v>
      </c>
      <c r="G336" s="39" t="s">
        <v>7078</v>
      </c>
      <c r="H336" s="39" t="s">
        <v>7079</v>
      </c>
      <c r="I336" s="39" t="s">
        <v>7080</v>
      </c>
      <c r="J336" s="39" t="s">
        <v>198</v>
      </c>
      <c r="K336" s="52"/>
      <c r="L336" s="52"/>
      <c r="M336" s="52"/>
      <c r="N336" s="39" t="s">
        <v>369</v>
      </c>
      <c r="O336" s="39" t="s">
        <v>2544</v>
      </c>
      <c r="P336" s="39" t="s">
        <v>2545</v>
      </c>
      <c r="Q336" s="39" t="e">
        <f t="shared" ca="1" si="7"/>
        <v>#NAME?</v>
      </c>
      <c r="R336" s="39" t="s">
        <v>112</v>
      </c>
      <c r="S336" s="50">
        <v>9866368486</v>
      </c>
      <c r="T336" s="40" t="s">
        <v>111</v>
      </c>
      <c r="U336" s="39">
        <v>1975</v>
      </c>
      <c r="V336" s="44">
        <v>2</v>
      </c>
      <c r="W336" s="44">
        <v>2</v>
      </c>
      <c r="X336" s="44">
        <v>2</v>
      </c>
      <c r="Y336" s="44">
        <v>2</v>
      </c>
      <c r="Z336" s="44">
        <v>2</v>
      </c>
      <c r="AA336" s="44">
        <v>2</v>
      </c>
      <c r="AB336" s="44">
        <v>2</v>
      </c>
      <c r="AC336" s="44">
        <v>2</v>
      </c>
      <c r="AD336" s="44">
        <v>2</v>
      </c>
      <c r="AE336" s="44">
        <v>2</v>
      </c>
      <c r="AF336" s="44">
        <v>2</v>
      </c>
      <c r="AG336" s="44">
        <v>2</v>
      </c>
      <c r="AH336" s="44">
        <v>2</v>
      </c>
      <c r="AI336" s="45">
        <v>-1</v>
      </c>
      <c r="AJ336" s="45">
        <v>-1</v>
      </c>
      <c r="AK336" s="45">
        <v>-1</v>
      </c>
      <c r="AL336" s="44">
        <v>2</v>
      </c>
      <c r="AM336" s="44">
        <v>2</v>
      </c>
      <c r="AN336" s="44">
        <v>2</v>
      </c>
      <c r="AO336" s="44">
        <v>2</v>
      </c>
      <c r="AP336" s="45">
        <v>-1</v>
      </c>
      <c r="AQ336" s="45">
        <v>-1</v>
      </c>
      <c r="AR336" s="45">
        <v>-1</v>
      </c>
      <c r="AS336" s="44">
        <v>1</v>
      </c>
      <c r="AT336" s="44">
        <v>2</v>
      </c>
      <c r="AU336" s="44">
        <v>2</v>
      </c>
      <c r="AV336" s="45">
        <v>-1</v>
      </c>
      <c r="AW336" s="45">
        <v>-1</v>
      </c>
      <c r="AX336" s="45">
        <v>-1</v>
      </c>
      <c r="AY336" s="45">
        <v>-1</v>
      </c>
      <c r="AZ336" s="45">
        <v>-1</v>
      </c>
      <c r="BA336" s="45">
        <v>-1</v>
      </c>
      <c r="BB336" s="45">
        <v>-1</v>
      </c>
      <c r="BC336" s="45">
        <v>-1</v>
      </c>
      <c r="BD336" s="45">
        <v>-1</v>
      </c>
      <c r="BE336" s="45">
        <v>-1</v>
      </c>
      <c r="BF336" s="45">
        <v>-1</v>
      </c>
      <c r="BG336" s="45"/>
      <c r="BH336" s="45"/>
      <c r="BI336" s="45"/>
      <c r="BJ336" s="45"/>
      <c r="BK336" s="45"/>
      <c r="BL336" s="45"/>
      <c r="BM336" s="45"/>
      <c r="BN336" s="39"/>
      <c r="BO336" s="39"/>
      <c r="BP336" s="39"/>
      <c r="BQ336" s="39"/>
      <c r="BR336" s="39"/>
      <c r="BS336" s="39"/>
      <c r="BT336" s="39"/>
      <c r="BU336" s="39"/>
      <c r="BV336" s="39"/>
      <c r="BW336" s="39"/>
      <c r="BX336" s="39"/>
      <c r="BY336" s="39"/>
      <c r="BZ336" s="39"/>
      <c r="CA336" s="39"/>
      <c r="CB336" s="39"/>
      <c r="CC336" s="39"/>
      <c r="CD336" s="39"/>
      <c r="CE336" s="39"/>
      <c r="CF336" s="39"/>
      <c r="CG336" s="39"/>
      <c r="CH336" s="39"/>
      <c r="CI336" s="39"/>
      <c r="CJ336" s="39"/>
      <c r="CK336" s="39"/>
      <c r="CL336" s="39"/>
      <c r="CM336" s="39"/>
      <c r="CN336" s="39"/>
      <c r="CO336" s="39"/>
      <c r="CP336" s="39"/>
      <c r="CQ336" s="39"/>
      <c r="CR336" s="39"/>
      <c r="CS336" s="39"/>
      <c r="CT336" s="39"/>
      <c r="CU336" s="39"/>
      <c r="CV336" s="39"/>
      <c r="CW336" s="39"/>
      <c r="CX336" s="39"/>
      <c r="CY336" s="39"/>
      <c r="CZ336" s="48"/>
      <c r="DA336" s="48"/>
      <c r="DB336" s="48"/>
      <c r="DC336" s="48"/>
      <c r="DD336" s="48"/>
      <c r="DE336" s="48"/>
      <c r="DF336" s="48"/>
      <c r="DG336" s="48"/>
      <c r="DH336" s="48"/>
      <c r="DI336" s="48"/>
      <c r="DJ336" s="48"/>
      <c r="DK336" s="48"/>
      <c r="DL336" s="48"/>
      <c r="DM336" s="48"/>
      <c r="DN336" s="48"/>
      <c r="DO336" s="48"/>
      <c r="DP336" s="48"/>
      <c r="DQ336" s="48"/>
      <c r="DR336" s="48"/>
      <c r="DS336" s="48"/>
      <c r="DT336" s="48"/>
      <c r="DU336" s="48"/>
      <c r="DV336" s="48"/>
      <c r="DW336" s="48"/>
      <c r="DX336" s="48"/>
      <c r="DY336" s="48"/>
      <c r="DZ336" s="48"/>
      <c r="EA336" s="48"/>
      <c r="EB336" s="48"/>
      <c r="EC336" s="48"/>
      <c r="ED336" s="48"/>
    </row>
    <row r="337" spans="1:134" ht="11.25" customHeight="1" x14ac:dyDescent="0.3">
      <c r="A337" s="28" t="e">
        <f t="array" aca="1" ref="A337" ca="1">_xludf.XLOOKUP(S337,Master_Registrations!P:P,Master_Registrations!A:A,"")</f>
        <v>#NAME?</v>
      </c>
      <c r="B337" s="39" t="s">
        <v>7072</v>
      </c>
      <c r="C337" s="39">
        <v>2026</v>
      </c>
      <c r="D337" s="39" t="s">
        <v>4886</v>
      </c>
      <c r="E337" s="39">
        <v>4</v>
      </c>
      <c r="F337" s="40" t="str">
        <f t="shared" si="6"/>
        <v>VED-04-2026-GR-4</v>
      </c>
      <c r="G337" s="39" t="s">
        <v>7078</v>
      </c>
      <c r="H337" s="39" t="s">
        <v>7079</v>
      </c>
      <c r="I337" s="39" t="s">
        <v>7080</v>
      </c>
      <c r="J337" s="39" t="s">
        <v>198</v>
      </c>
      <c r="K337" s="52"/>
      <c r="L337" s="52"/>
      <c r="M337" s="52"/>
      <c r="N337" s="39" t="s">
        <v>434</v>
      </c>
      <c r="O337" s="39" t="s">
        <v>1330</v>
      </c>
      <c r="P337" s="39" t="s">
        <v>1331</v>
      </c>
      <c r="Q337" s="39" t="e">
        <f t="shared" ca="1" si="7"/>
        <v>#NAME?</v>
      </c>
      <c r="R337" s="39" t="s">
        <v>112</v>
      </c>
      <c r="S337" s="50">
        <v>8374548534</v>
      </c>
      <c r="T337" s="40" t="s">
        <v>111</v>
      </c>
      <c r="U337" s="39">
        <v>1974</v>
      </c>
      <c r="V337" s="44">
        <v>2</v>
      </c>
      <c r="W337" s="44">
        <v>2</v>
      </c>
      <c r="X337" s="44">
        <v>2</v>
      </c>
      <c r="Y337" s="44">
        <v>2</v>
      </c>
      <c r="Z337" s="44">
        <v>2</v>
      </c>
      <c r="AA337" s="44">
        <v>2</v>
      </c>
      <c r="AB337" s="44">
        <v>2</v>
      </c>
      <c r="AC337" s="44">
        <v>2</v>
      </c>
      <c r="AD337" s="44">
        <v>2</v>
      </c>
      <c r="AE337" s="44">
        <v>2</v>
      </c>
      <c r="AF337" s="44">
        <v>2</v>
      </c>
      <c r="AG337" s="44">
        <v>2</v>
      </c>
      <c r="AH337" s="44">
        <v>2</v>
      </c>
      <c r="AI337" s="44">
        <v>4</v>
      </c>
      <c r="AJ337" s="44">
        <v>2</v>
      </c>
      <c r="AK337" s="44">
        <v>2</v>
      </c>
      <c r="AL337" s="44">
        <v>2</v>
      </c>
      <c r="AM337" s="44">
        <v>2</v>
      </c>
      <c r="AN337" s="44">
        <v>2</v>
      </c>
      <c r="AO337" s="44">
        <v>2</v>
      </c>
      <c r="AP337" s="44">
        <v>2</v>
      </c>
      <c r="AQ337" s="44">
        <v>2</v>
      </c>
      <c r="AR337" s="44">
        <v>2</v>
      </c>
      <c r="AS337" s="44">
        <v>2</v>
      </c>
      <c r="AT337" s="44">
        <v>2</v>
      </c>
      <c r="AU337" s="44">
        <v>2</v>
      </c>
      <c r="AV337" s="44">
        <v>4</v>
      </c>
      <c r="AW337" s="44">
        <v>2</v>
      </c>
      <c r="AX337" s="44">
        <v>2</v>
      </c>
      <c r="AY337" s="44">
        <v>2</v>
      </c>
      <c r="AZ337" s="45">
        <v>-1</v>
      </c>
      <c r="BA337" s="45">
        <v>-1</v>
      </c>
      <c r="BB337" s="45">
        <v>-1</v>
      </c>
      <c r="BC337" s="44">
        <v>2</v>
      </c>
      <c r="BD337" s="45">
        <v>-1</v>
      </c>
      <c r="BE337" s="45">
        <v>-1</v>
      </c>
      <c r="BF337" s="45">
        <v>-1</v>
      </c>
      <c r="BG337" s="45"/>
      <c r="BH337" s="45"/>
      <c r="BI337" s="45"/>
      <c r="BJ337" s="45"/>
      <c r="BK337" s="45"/>
      <c r="BL337" s="45"/>
      <c r="BM337" s="45"/>
      <c r="BN337" s="39"/>
      <c r="BO337" s="39"/>
      <c r="BP337" s="39"/>
      <c r="BQ337" s="39"/>
      <c r="BR337" s="39"/>
      <c r="BS337" s="39"/>
      <c r="BT337" s="39"/>
      <c r="BU337" s="39"/>
      <c r="BV337" s="39"/>
      <c r="BW337" s="39"/>
      <c r="BX337" s="39"/>
      <c r="BY337" s="39"/>
      <c r="BZ337" s="39"/>
      <c r="CA337" s="39"/>
      <c r="CB337" s="39"/>
      <c r="CC337" s="39"/>
      <c r="CD337" s="39"/>
      <c r="CE337" s="39"/>
      <c r="CF337" s="39"/>
      <c r="CG337" s="39"/>
      <c r="CH337" s="39"/>
      <c r="CI337" s="39"/>
      <c r="CJ337" s="39"/>
      <c r="CK337" s="39"/>
      <c r="CL337" s="39"/>
      <c r="CM337" s="39"/>
      <c r="CN337" s="39"/>
      <c r="CO337" s="39"/>
      <c r="CP337" s="39"/>
      <c r="CQ337" s="39"/>
      <c r="CR337" s="39"/>
      <c r="CS337" s="39"/>
      <c r="CT337" s="39"/>
      <c r="CU337" s="39"/>
      <c r="CV337" s="39"/>
      <c r="CW337" s="39"/>
      <c r="CX337" s="39"/>
      <c r="CY337" s="39"/>
      <c r="CZ337" s="48"/>
      <c r="DA337" s="48"/>
      <c r="DB337" s="48"/>
      <c r="DC337" s="48"/>
      <c r="DD337" s="48"/>
      <c r="DE337" s="48"/>
      <c r="DF337" s="48"/>
      <c r="DG337" s="48"/>
      <c r="DH337" s="48"/>
      <c r="DI337" s="48"/>
      <c r="DJ337" s="48"/>
      <c r="DK337" s="48"/>
      <c r="DL337" s="48"/>
      <c r="DM337" s="48"/>
      <c r="DN337" s="48"/>
      <c r="DO337" s="48"/>
      <c r="DP337" s="48"/>
      <c r="DQ337" s="48"/>
      <c r="DR337" s="48"/>
      <c r="DS337" s="48"/>
      <c r="DT337" s="48"/>
      <c r="DU337" s="48"/>
      <c r="DV337" s="48"/>
      <c r="DW337" s="48"/>
      <c r="DX337" s="48"/>
      <c r="DY337" s="48"/>
      <c r="DZ337" s="48"/>
      <c r="EA337" s="48"/>
      <c r="EB337" s="48"/>
      <c r="EC337" s="48"/>
      <c r="ED337" s="48"/>
    </row>
    <row r="338" spans="1:134" ht="11.25" customHeight="1" x14ac:dyDescent="0.3">
      <c r="A338" s="28" t="e">
        <f t="array" aca="1" ref="A338" ca="1">_xludf.XLOOKUP(S338,Master_Registrations!P:P,Master_Registrations!A:A,"")</f>
        <v>#NAME?</v>
      </c>
      <c r="B338" s="39" t="s">
        <v>7072</v>
      </c>
      <c r="C338" s="39">
        <v>2026</v>
      </c>
      <c r="D338" s="39" t="s">
        <v>4886</v>
      </c>
      <c r="E338" s="39">
        <v>4</v>
      </c>
      <c r="F338" s="40" t="str">
        <f t="shared" si="6"/>
        <v>VED-04-2026-GR-4</v>
      </c>
      <c r="G338" s="39" t="s">
        <v>7078</v>
      </c>
      <c r="H338" s="39" t="s">
        <v>7079</v>
      </c>
      <c r="I338" s="39" t="s">
        <v>7080</v>
      </c>
      <c r="J338" s="39" t="s">
        <v>198</v>
      </c>
      <c r="K338" s="52"/>
      <c r="L338" s="52"/>
      <c r="M338" s="52"/>
      <c r="N338" s="39" t="s">
        <v>525</v>
      </c>
      <c r="O338" s="39" t="s">
        <v>6739</v>
      </c>
      <c r="P338" s="39" t="s">
        <v>6740</v>
      </c>
      <c r="Q338" s="39" t="e">
        <f t="shared" ca="1" si="7"/>
        <v>#NAME?</v>
      </c>
      <c r="R338" s="39" t="s">
        <v>112</v>
      </c>
      <c r="S338" s="50">
        <v>9769114998</v>
      </c>
      <c r="T338" s="40" t="s">
        <v>111</v>
      </c>
      <c r="U338" s="39">
        <v>1983</v>
      </c>
      <c r="V338" s="44">
        <v>2</v>
      </c>
      <c r="W338" s="44">
        <v>2</v>
      </c>
      <c r="X338" s="44">
        <v>2</v>
      </c>
      <c r="Y338" s="44">
        <v>2</v>
      </c>
      <c r="Z338" s="44">
        <v>2</v>
      </c>
      <c r="AA338" s="44">
        <v>2</v>
      </c>
      <c r="AB338" s="44">
        <v>2</v>
      </c>
      <c r="AC338" s="44">
        <v>2</v>
      </c>
      <c r="AD338" s="44">
        <v>2</v>
      </c>
      <c r="AE338" s="44">
        <v>2</v>
      </c>
      <c r="AF338" s="44">
        <v>2</v>
      </c>
      <c r="AG338" s="44">
        <v>2</v>
      </c>
      <c r="AH338" s="44">
        <v>2</v>
      </c>
      <c r="AI338" s="45">
        <v>-1</v>
      </c>
      <c r="AJ338" s="44">
        <v>1</v>
      </c>
      <c r="AK338" s="44">
        <v>1</v>
      </c>
      <c r="AL338" s="44">
        <v>1</v>
      </c>
      <c r="AM338" s="44">
        <v>1</v>
      </c>
      <c r="AN338" s="44">
        <v>1</v>
      </c>
      <c r="AO338" s="44">
        <v>1</v>
      </c>
      <c r="AP338" s="44">
        <v>1</v>
      </c>
      <c r="AQ338" s="44">
        <v>1</v>
      </c>
      <c r="AR338" s="44">
        <v>1</v>
      </c>
      <c r="AS338" s="44">
        <v>1</v>
      </c>
      <c r="AT338" s="44">
        <v>1</v>
      </c>
      <c r="AU338" s="44">
        <v>1</v>
      </c>
      <c r="AV338" s="45">
        <v>-1</v>
      </c>
      <c r="AW338" s="44">
        <v>2</v>
      </c>
      <c r="AX338" s="62">
        <v>1</v>
      </c>
      <c r="AY338" s="44">
        <v>1</v>
      </c>
      <c r="AZ338" s="45">
        <v>-1</v>
      </c>
      <c r="BA338" s="44">
        <v>2</v>
      </c>
      <c r="BB338" s="45">
        <v>-1</v>
      </c>
      <c r="BC338" s="44">
        <v>1</v>
      </c>
      <c r="BD338" s="44">
        <v>2</v>
      </c>
      <c r="BE338" s="45">
        <v>-1</v>
      </c>
      <c r="BF338" s="45">
        <v>-1</v>
      </c>
      <c r="BG338" s="45"/>
      <c r="BH338" s="45"/>
      <c r="BI338" s="45"/>
      <c r="BJ338" s="45"/>
      <c r="BK338" s="45"/>
      <c r="BL338" s="45"/>
      <c r="BM338" s="45"/>
      <c r="BN338" s="39"/>
      <c r="BO338" s="39"/>
      <c r="BP338" s="39"/>
      <c r="BQ338" s="39"/>
      <c r="BR338" s="39"/>
      <c r="BS338" s="39"/>
      <c r="BT338" s="39"/>
      <c r="BU338" s="39"/>
      <c r="BV338" s="39"/>
      <c r="BW338" s="39"/>
      <c r="BX338" s="39"/>
      <c r="BY338" s="39"/>
      <c r="BZ338" s="39"/>
      <c r="CA338" s="39"/>
      <c r="CB338" s="39"/>
      <c r="CC338" s="39"/>
      <c r="CD338" s="39"/>
      <c r="CE338" s="39"/>
      <c r="CF338" s="39"/>
      <c r="CG338" s="39"/>
      <c r="CH338" s="39"/>
      <c r="CI338" s="39"/>
      <c r="CJ338" s="39"/>
      <c r="CK338" s="39"/>
      <c r="CL338" s="39"/>
      <c r="CM338" s="39"/>
      <c r="CN338" s="39"/>
      <c r="CO338" s="39"/>
      <c r="CP338" s="39"/>
      <c r="CQ338" s="39"/>
      <c r="CR338" s="39"/>
      <c r="CS338" s="39"/>
      <c r="CT338" s="39"/>
      <c r="CU338" s="39"/>
      <c r="CV338" s="39"/>
      <c r="CW338" s="39"/>
      <c r="CX338" s="39"/>
      <c r="CY338" s="39"/>
      <c r="CZ338" s="48"/>
      <c r="DA338" s="48"/>
      <c r="DB338" s="48"/>
      <c r="DC338" s="48"/>
      <c r="DD338" s="48"/>
      <c r="DE338" s="48"/>
      <c r="DF338" s="48"/>
      <c r="DG338" s="48"/>
      <c r="DH338" s="48"/>
      <c r="DI338" s="48"/>
      <c r="DJ338" s="48"/>
      <c r="DK338" s="48"/>
      <c r="DL338" s="48"/>
      <c r="DM338" s="48"/>
      <c r="DN338" s="48"/>
      <c r="DO338" s="48"/>
      <c r="DP338" s="48"/>
      <c r="DQ338" s="48"/>
      <c r="DR338" s="48"/>
      <c r="DS338" s="48"/>
      <c r="DT338" s="48"/>
      <c r="DU338" s="48"/>
      <c r="DV338" s="48"/>
      <c r="DW338" s="48"/>
      <c r="DX338" s="48"/>
      <c r="DY338" s="48"/>
      <c r="DZ338" s="48"/>
      <c r="EA338" s="48"/>
      <c r="EB338" s="48"/>
      <c r="EC338" s="48"/>
      <c r="ED338" s="48"/>
    </row>
    <row r="339" spans="1:134" ht="11.25" customHeight="1" x14ac:dyDescent="0.3">
      <c r="A339" s="28" t="e">
        <f t="array" aca="1" ref="A339" ca="1">_xludf.XLOOKUP(S339,Master_Registrations!P:P,Master_Registrations!A:A,"")</f>
        <v>#NAME?</v>
      </c>
      <c r="B339" s="39" t="s">
        <v>7072</v>
      </c>
      <c r="C339" s="39">
        <v>2026</v>
      </c>
      <c r="D339" s="39" t="s">
        <v>4886</v>
      </c>
      <c r="E339" s="39">
        <v>4</v>
      </c>
      <c r="F339" s="40" t="str">
        <f t="shared" si="6"/>
        <v>VED-04-2026-GR-4</v>
      </c>
      <c r="G339" s="39" t="s">
        <v>7078</v>
      </c>
      <c r="H339" s="39" t="s">
        <v>7079</v>
      </c>
      <c r="I339" s="39" t="s">
        <v>7080</v>
      </c>
      <c r="J339" s="39" t="s">
        <v>198</v>
      </c>
      <c r="K339" s="52"/>
      <c r="L339" s="52"/>
      <c r="M339" s="52"/>
      <c r="N339" s="39" t="s">
        <v>621</v>
      </c>
      <c r="O339" s="39" t="s">
        <v>2552</v>
      </c>
      <c r="P339" s="39" t="s">
        <v>2553</v>
      </c>
      <c r="Q339" s="39" t="e">
        <f t="shared" ca="1" si="7"/>
        <v>#NAME?</v>
      </c>
      <c r="R339" s="39" t="s">
        <v>112</v>
      </c>
      <c r="S339" s="50">
        <v>9963855574</v>
      </c>
      <c r="T339" s="40" t="s">
        <v>111</v>
      </c>
      <c r="U339" s="39">
        <v>1973</v>
      </c>
      <c r="V339" s="44">
        <v>2</v>
      </c>
      <c r="W339" s="44">
        <v>2</v>
      </c>
      <c r="X339" s="44">
        <v>2</v>
      </c>
      <c r="Y339" s="44">
        <v>2</v>
      </c>
      <c r="Z339" s="44">
        <v>2</v>
      </c>
      <c r="AA339" s="44">
        <v>2</v>
      </c>
      <c r="AB339" s="44">
        <v>2</v>
      </c>
      <c r="AC339" s="44">
        <v>2</v>
      </c>
      <c r="AD339" s="44">
        <v>2</v>
      </c>
      <c r="AE339" s="44">
        <v>2</v>
      </c>
      <c r="AF339" s="44">
        <v>2</v>
      </c>
      <c r="AG339" s="44">
        <v>2</v>
      </c>
      <c r="AH339" s="44">
        <v>2</v>
      </c>
      <c r="AI339" s="44">
        <v>3</v>
      </c>
      <c r="AJ339" s="44">
        <v>2</v>
      </c>
      <c r="AK339" s="44">
        <v>2</v>
      </c>
      <c r="AL339" s="44">
        <v>2</v>
      </c>
      <c r="AM339" s="44">
        <v>2</v>
      </c>
      <c r="AN339" s="44">
        <v>2</v>
      </c>
      <c r="AO339" s="44">
        <v>2</v>
      </c>
      <c r="AP339" s="44">
        <v>2</v>
      </c>
      <c r="AQ339" s="44">
        <v>2</v>
      </c>
      <c r="AR339" s="44">
        <v>2</v>
      </c>
      <c r="AS339" s="44">
        <v>2</v>
      </c>
      <c r="AT339" s="44">
        <v>2</v>
      </c>
      <c r="AU339" s="44">
        <v>2</v>
      </c>
      <c r="AV339" s="44">
        <v>4</v>
      </c>
      <c r="AW339" s="44">
        <v>2</v>
      </c>
      <c r="AX339" s="44">
        <v>2</v>
      </c>
      <c r="AY339" s="44">
        <v>2</v>
      </c>
      <c r="AZ339" s="44">
        <v>2</v>
      </c>
      <c r="BA339" s="44">
        <v>2</v>
      </c>
      <c r="BB339" s="44">
        <v>2</v>
      </c>
      <c r="BC339" s="44">
        <v>2</v>
      </c>
      <c r="BD339" s="44">
        <v>2</v>
      </c>
      <c r="BE339" s="44">
        <v>2</v>
      </c>
      <c r="BF339" s="44">
        <v>4</v>
      </c>
      <c r="BG339" s="45"/>
      <c r="BH339" s="45"/>
      <c r="BI339" s="45"/>
      <c r="BJ339" s="45"/>
      <c r="BK339" s="45"/>
      <c r="BL339" s="45"/>
      <c r="BM339" s="45"/>
      <c r="BN339" s="39"/>
      <c r="BO339" s="39"/>
      <c r="BP339" s="39"/>
      <c r="BQ339" s="39"/>
      <c r="BR339" s="39"/>
      <c r="BS339" s="39"/>
      <c r="BT339" s="39"/>
      <c r="BU339" s="39"/>
      <c r="BV339" s="39"/>
      <c r="BW339" s="39"/>
      <c r="BX339" s="39"/>
      <c r="BY339" s="39"/>
      <c r="BZ339" s="39"/>
      <c r="CA339" s="39"/>
      <c r="CB339" s="39"/>
      <c r="CC339" s="39"/>
      <c r="CD339" s="39"/>
      <c r="CE339" s="39"/>
      <c r="CF339" s="39"/>
      <c r="CG339" s="39"/>
      <c r="CH339" s="39"/>
      <c r="CI339" s="39"/>
      <c r="CJ339" s="39"/>
      <c r="CK339" s="39"/>
      <c r="CL339" s="39"/>
      <c r="CM339" s="39"/>
      <c r="CN339" s="39"/>
      <c r="CO339" s="39"/>
      <c r="CP339" s="39"/>
      <c r="CQ339" s="39"/>
      <c r="CR339" s="39"/>
      <c r="CS339" s="39"/>
      <c r="CT339" s="39"/>
      <c r="CU339" s="39"/>
      <c r="CV339" s="39"/>
      <c r="CW339" s="39"/>
      <c r="CX339" s="39"/>
      <c r="CY339" s="39"/>
      <c r="CZ339" s="48"/>
      <c r="DA339" s="48"/>
      <c r="DB339" s="48"/>
      <c r="DC339" s="48"/>
      <c r="DD339" s="48"/>
      <c r="DE339" s="48"/>
      <c r="DF339" s="48"/>
      <c r="DG339" s="48"/>
      <c r="DH339" s="48"/>
      <c r="DI339" s="48"/>
      <c r="DJ339" s="48"/>
      <c r="DK339" s="48"/>
      <c r="DL339" s="48"/>
      <c r="DM339" s="48"/>
      <c r="DN339" s="48"/>
      <c r="DO339" s="48"/>
      <c r="DP339" s="48"/>
      <c r="DQ339" s="48"/>
      <c r="DR339" s="48"/>
      <c r="DS339" s="48"/>
      <c r="DT339" s="48"/>
      <c r="DU339" s="48"/>
      <c r="DV339" s="48"/>
      <c r="DW339" s="48"/>
      <c r="DX339" s="48"/>
      <c r="DY339" s="48"/>
      <c r="DZ339" s="48"/>
      <c r="EA339" s="48"/>
      <c r="EB339" s="48"/>
      <c r="EC339" s="48"/>
      <c r="ED339" s="48"/>
    </row>
    <row r="340" spans="1:134" ht="11.25" customHeight="1" x14ac:dyDescent="0.3">
      <c r="A340" s="28" t="e">
        <f t="array" aca="1" ref="A340" ca="1">_xludf.XLOOKUP(S340,Master_Registrations!P:P,Master_Registrations!A:A,"")</f>
        <v>#NAME?</v>
      </c>
      <c r="B340" s="39" t="s">
        <v>7072</v>
      </c>
      <c r="C340" s="39">
        <v>2026</v>
      </c>
      <c r="D340" s="39" t="s">
        <v>4886</v>
      </c>
      <c r="E340" s="39">
        <v>4</v>
      </c>
      <c r="F340" s="40" t="str">
        <f t="shared" si="6"/>
        <v>VED-04-2026-GR-4</v>
      </c>
      <c r="G340" s="39" t="s">
        <v>7078</v>
      </c>
      <c r="H340" s="39" t="s">
        <v>7079</v>
      </c>
      <c r="I340" s="39" t="s">
        <v>7080</v>
      </c>
      <c r="J340" s="39" t="s">
        <v>198</v>
      </c>
      <c r="K340" s="52"/>
      <c r="L340" s="52"/>
      <c r="M340" s="52"/>
      <c r="N340" s="39" t="s">
        <v>714</v>
      </c>
      <c r="O340" s="39" t="s">
        <v>313</v>
      </c>
      <c r="P340" s="39" t="s">
        <v>6793</v>
      </c>
      <c r="Q340" s="39" t="e">
        <f t="shared" ca="1" si="7"/>
        <v>#NAME?</v>
      </c>
      <c r="R340" s="39" t="s">
        <v>112</v>
      </c>
      <c r="S340" s="50">
        <v>9866707774</v>
      </c>
      <c r="T340" s="40" t="s">
        <v>111</v>
      </c>
      <c r="U340" s="43">
        <v>1980</v>
      </c>
      <c r="V340" s="44">
        <v>2</v>
      </c>
      <c r="W340" s="44">
        <v>2</v>
      </c>
      <c r="X340" s="44">
        <v>2</v>
      </c>
      <c r="Y340" s="44">
        <v>2</v>
      </c>
      <c r="Z340" s="44">
        <v>2</v>
      </c>
      <c r="AA340" s="44">
        <v>2</v>
      </c>
      <c r="AB340" s="44">
        <v>2</v>
      </c>
      <c r="AC340" s="44">
        <v>2</v>
      </c>
      <c r="AD340" s="44">
        <v>2</v>
      </c>
      <c r="AE340" s="44">
        <v>2</v>
      </c>
      <c r="AF340" s="44">
        <v>2</v>
      </c>
      <c r="AG340" s="44">
        <v>2</v>
      </c>
      <c r="AH340" s="44">
        <v>2</v>
      </c>
      <c r="AI340" s="44">
        <v>4</v>
      </c>
      <c r="AJ340" s="44">
        <v>2</v>
      </c>
      <c r="AK340" s="44">
        <v>2</v>
      </c>
      <c r="AL340" s="44">
        <v>2</v>
      </c>
      <c r="AM340" s="44">
        <v>2</v>
      </c>
      <c r="AN340" s="44">
        <v>2</v>
      </c>
      <c r="AO340" s="44">
        <v>2</v>
      </c>
      <c r="AP340" s="44">
        <v>2</v>
      </c>
      <c r="AQ340" s="44">
        <v>2</v>
      </c>
      <c r="AR340" s="44">
        <v>2</v>
      </c>
      <c r="AS340" s="44">
        <v>2</v>
      </c>
      <c r="AT340" s="44">
        <v>2</v>
      </c>
      <c r="AU340" s="44">
        <v>2</v>
      </c>
      <c r="AV340" s="44">
        <v>4</v>
      </c>
      <c r="AW340" s="44">
        <v>2</v>
      </c>
      <c r="AX340" s="44">
        <v>2</v>
      </c>
      <c r="AY340" s="44">
        <v>2</v>
      </c>
      <c r="AZ340" s="44">
        <v>2</v>
      </c>
      <c r="BA340" s="44">
        <v>2</v>
      </c>
      <c r="BB340" s="44">
        <v>2</v>
      </c>
      <c r="BC340" s="44">
        <v>2</v>
      </c>
      <c r="BD340" s="44">
        <v>2</v>
      </c>
      <c r="BE340" s="44">
        <v>2</v>
      </c>
      <c r="BF340" s="45">
        <v>-1</v>
      </c>
      <c r="BG340" s="45"/>
      <c r="BH340" s="45"/>
      <c r="BI340" s="45"/>
      <c r="BJ340" s="45"/>
      <c r="BK340" s="45"/>
      <c r="BL340" s="45"/>
      <c r="BM340" s="45"/>
      <c r="BN340" s="39"/>
      <c r="BO340" s="39"/>
      <c r="BP340" s="39"/>
      <c r="BQ340" s="39"/>
      <c r="BR340" s="39"/>
      <c r="BS340" s="39"/>
      <c r="BT340" s="39"/>
      <c r="BU340" s="39"/>
      <c r="BV340" s="39"/>
      <c r="BW340" s="39"/>
      <c r="BX340" s="39"/>
      <c r="BY340" s="39"/>
      <c r="BZ340" s="39"/>
      <c r="CA340" s="39"/>
      <c r="CB340" s="39"/>
      <c r="CC340" s="39"/>
      <c r="CD340" s="39"/>
      <c r="CE340" s="39"/>
      <c r="CF340" s="39"/>
      <c r="CG340" s="39"/>
      <c r="CH340" s="39"/>
      <c r="CI340" s="39"/>
      <c r="CJ340" s="39"/>
      <c r="CK340" s="39"/>
      <c r="CL340" s="39"/>
      <c r="CM340" s="39"/>
      <c r="CN340" s="39"/>
      <c r="CO340" s="39"/>
      <c r="CP340" s="39"/>
      <c r="CQ340" s="39"/>
      <c r="CR340" s="39"/>
      <c r="CS340" s="39"/>
      <c r="CT340" s="39"/>
      <c r="CU340" s="39"/>
      <c r="CV340" s="39"/>
      <c r="CW340" s="39"/>
      <c r="CX340" s="39"/>
      <c r="CY340" s="39"/>
      <c r="CZ340" s="48"/>
      <c r="DA340" s="48"/>
      <c r="DB340" s="48"/>
      <c r="DC340" s="48"/>
      <c r="DD340" s="48"/>
      <c r="DE340" s="48"/>
      <c r="DF340" s="48"/>
      <c r="DG340" s="48"/>
      <c r="DH340" s="48"/>
      <c r="DI340" s="48"/>
      <c r="DJ340" s="48"/>
      <c r="DK340" s="48"/>
      <c r="DL340" s="48"/>
      <c r="DM340" s="48"/>
      <c r="DN340" s="48"/>
      <c r="DO340" s="48"/>
      <c r="DP340" s="48"/>
      <c r="DQ340" s="48"/>
      <c r="DR340" s="48"/>
      <c r="DS340" s="48"/>
      <c r="DT340" s="48"/>
      <c r="DU340" s="48"/>
      <c r="DV340" s="48"/>
      <c r="DW340" s="48"/>
      <c r="DX340" s="48"/>
      <c r="DY340" s="48"/>
      <c r="DZ340" s="48"/>
      <c r="EA340" s="48"/>
      <c r="EB340" s="48"/>
      <c r="EC340" s="48"/>
      <c r="ED340" s="48"/>
    </row>
    <row r="341" spans="1:134" ht="11.25" customHeight="1" x14ac:dyDescent="0.3">
      <c r="A341" s="28" t="e">
        <f t="array" aca="1" ref="A341" ca="1">_xludf.XLOOKUP(S341,Master_Registrations!P:P,Master_Registrations!A:A,"")</f>
        <v>#NAME?</v>
      </c>
      <c r="B341" s="39" t="s">
        <v>7072</v>
      </c>
      <c r="C341" s="39">
        <v>2026</v>
      </c>
      <c r="D341" s="39" t="s">
        <v>4886</v>
      </c>
      <c r="E341" s="39">
        <v>4</v>
      </c>
      <c r="F341" s="40" t="str">
        <f t="shared" si="6"/>
        <v>VED-04-2026-GR-4</v>
      </c>
      <c r="G341" s="39" t="s">
        <v>7078</v>
      </c>
      <c r="H341" s="39" t="s">
        <v>7079</v>
      </c>
      <c r="I341" s="39" t="s">
        <v>7080</v>
      </c>
      <c r="J341" s="39" t="s">
        <v>198</v>
      </c>
      <c r="K341" s="52"/>
      <c r="L341" s="52"/>
      <c r="M341" s="52"/>
      <c r="N341" s="39" t="s">
        <v>786</v>
      </c>
      <c r="O341" s="39" t="s">
        <v>6509</v>
      </c>
      <c r="P341" s="39" t="s">
        <v>6510</v>
      </c>
      <c r="Q341" s="39" t="e">
        <f t="shared" ca="1" si="7"/>
        <v>#NAME?</v>
      </c>
      <c r="R341" s="39" t="s">
        <v>112</v>
      </c>
      <c r="S341" s="50">
        <v>9676490004</v>
      </c>
      <c r="T341" s="40" t="s">
        <v>111</v>
      </c>
      <c r="U341" s="39">
        <v>1982</v>
      </c>
      <c r="V341" s="44">
        <v>2</v>
      </c>
      <c r="W341" s="44">
        <v>2</v>
      </c>
      <c r="X341" s="44">
        <v>2</v>
      </c>
      <c r="Y341" s="44">
        <v>2</v>
      </c>
      <c r="Z341" s="44">
        <v>2</v>
      </c>
      <c r="AA341" s="44">
        <v>2</v>
      </c>
      <c r="AB341" s="44">
        <v>2</v>
      </c>
      <c r="AC341" s="44">
        <v>2</v>
      </c>
      <c r="AD341" s="44">
        <v>2</v>
      </c>
      <c r="AE341" s="44">
        <v>2</v>
      </c>
      <c r="AF341" s="44">
        <v>2</v>
      </c>
      <c r="AG341" s="44">
        <v>2</v>
      </c>
      <c r="AH341" s="44">
        <v>2</v>
      </c>
      <c r="AI341" s="44">
        <v>4</v>
      </c>
      <c r="AJ341" s="44">
        <v>2</v>
      </c>
      <c r="AK341" s="44">
        <v>2</v>
      </c>
      <c r="AL341" s="44">
        <v>2</v>
      </c>
      <c r="AM341" s="44">
        <v>2</v>
      </c>
      <c r="AN341" s="44">
        <v>2</v>
      </c>
      <c r="AO341" s="44">
        <v>2</v>
      </c>
      <c r="AP341" s="44">
        <v>2</v>
      </c>
      <c r="AQ341" s="44">
        <v>2</v>
      </c>
      <c r="AR341" s="44">
        <v>1</v>
      </c>
      <c r="AS341" s="44">
        <v>2</v>
      </c>
      <c r="AT341" s="44">
        <v>2</v>
      </c>
      <c r="AU341" s="44">
        <v>1</v>
      </c>
      <c r="AV341" s="45">
        <v>-1</v>
      </c>
      <c r="AW341" s="44">
        <v>2</v>
      </c>
      <c r="AX341" s="44">
        <v>2</v>
      </c>
      <c r="AY341" s="44">
        <v>2</v>
      </c>
      <c r="AZ341" s="44">
        <v>2</v>
      </c>
      <c r="BA341" s="44">
        <v>2</v>
      </c>
      <c r="BB341" s="44">
        <v>2</v>
      </c>
      <c r="BC341" s="44">
        <v>2</v>
      </c>
      <c r="BD341" s="44">
        <v>2</v>
      </c>
      <c r="BE341" s="44">
        <v>2</v>
      </c>
      <c r="BF341" s="45">
        <v>-1</v>
      </c>
      <c r="BG341" s="45"/>
      <c r="BH341" s="45"/>
      <c r="BI341" s="45"/>
      <c r="BJ341" s="45"/>
      <c r="BK341" s="45"/>
      <c r="BL341" s="45"/>
      <c r="BM341" s="45"/>
      <c r="BN341" s="39"/>
      <c r="BO341" s="39"/>
      <c r="BP341" s="39"/>
      <c r="BQ341" s="39"/>
      <c r="BR341" s="39"/>
      <c r="BS341" s="39"/>
      <c r="BT341" s="39"/>
      <c r="BU341" s="39"/>
      <c r="BV341" s="39"/>
      <c r="BW341" s="39"/>
      <c r="BX341" s="39"/>
      <c r="BY341" s="39"/>
      <c r="BZ341" s="39"/>
      <c r="CA341" s="39"/>
      <c r="CB341" s="39"/>
      <c r="CC341" s="39"/>
      <c r="CD341" s="39"/>
      <c r="CE341" s="39"/>
      <c r="CF341" s="39"/>
      <c r="CG341" s="39"/>
      <c r="CH341" s="39"/>
      <c r="CI341" s="39"/>
      <c r="CJ341" s="39"/>
      <c r="CK341" s="39"/>
      <c r="CL341" s="39"/>
      <c r="CM341" s="39"/>
      <c r="CN341" s="39"/>
      <c r="CO341" s="39"/>
      <c r="CP341" s="39"/>
      <c r="CQ341" s="39"/>
      <c r="CR341" s="39"/>
      <c r="CS341" s="39"/>
      <c r="CT341" s="39"/>
      <c r="CU341" s="39"/>
      <c r="CV341" s="39"/>
      <c r="CW341" s="39"/>
      <c r="CX341" s="39"/>
      <c r="CY341" s="39"/>
      <c r="CZ341" s="48"/>
      <c r="DA341" s="48"/>
      <c r="DB341" s="48"/>
      <c r="DC341" s="48"/>
      <c r="DD341" s="48"/>
      <c r="DE341" s="48"/>
      <c r="DF341" s="48"/>
      <c r="DG341" s="48"/>
      <c r="DH341" s="48"/>
      <c r="DI341" s="48"/>
      <c r="DJ341" s="48"/>
      <c r="DK341" s="48"/>
      <c r="DL341" s="48"/>
      <c r="DM341" s="48"/>
      <c r="DN341" s="48"/>
      <c r="DO341" s="48"/>
      <c r="DP341" s="48"/>
      <c r="DQ341" s="48"/>
      <c r="DR341" s="48"/>
      <c r="DS341" s="48"/>
      <c r="DT341" s="48"/>
      <c r="DU341" s="48"/>
      <c r="DV341" s="48"/>
      <c r="DW341" s="48"/>
      <c r="DX341" s="48"/>
      <c r="DY341" s="48"/>
      <c r="DZ341" s="48"/>
      <c r="EA341" s="48"/>
      <c r="EB341" s="48"/>
      <c r="EC341" s="48"/>
      <c r="ED341" s="48"/>
    </row>
    <row r="342" spans="1:134" ht="11.25" customHeight="1" x14ac:dyDescent="0.3">
      <c r="A342" s="28" t="e">
        <f t="array" aca="1" ref="A342" ca="1">_xludf.XLOOKUP(S342,Master_Registrations!P:P,Master_Registrations!A:A,"")</f>
        <v>#NAME?</v>
      </c>
      <c r="B342" s="28" t="s">
        <v>7081</v>
      </c>
      <c r="C342" s="28">
        <v>2026</v>
      </c>
      <c r="D342" s="28" t="s">
        <v>4886</v>
      </c>
      <c r="E342" s="28">
        <v>1</v>
      </c>
      <c r="F342" s="29" t="str">
        <f t="shared" si="6"/>
        <v>VED-05-2026-GR-1</v>
      </c>
      <c r="G342" s="28" t="s">
        <v>4750</v>
      </c>
      <c r="H342" s="28" t="s">
        <v>6768</v>
      </c>
      <c r="I342" s="28" t="s">
        <v>7082</v>
      </c>
      <c r="J342" s="28" t="s">
        <v>198</v>
      </c>
      <c r="K342" s="38"/>
      <c r="L342" s="38"/>
      <c r="M342" s="38"/>
      <c r="N342" s="28" t="s">
        <v>200</v>
      </c>
      <c r="O342" s="28" t="s">
        <v>370</v>
      </c>
      <c r="P342" s="28" t="s">
        <v>6526</v>
      </c>
      <c r="Q342" s="28" t="e">
        <f t="shared" ca="1" si="7"/>
        <v>#NAME?</v>
      </c>
      <c r="R342" s="28" t="s">
        <v>316</v>
      </c>
      <c r="S342" s="32">
        <v>5126455375</v>
      </c>
      <c r="T342" s="29" t="s">
        <v>315</v>
      </c>
      <c r="U342" s="29">
        <v>1983</v>
      </c>
      <c r="V342" s="35">
        <v>2</v>
      </c>
      <c r="W342" s="35">
        <v>2</v>
      </c>
      <c r="X342" s="35">
        <v>2</v>
      </c>
      <c r="Y342" s="35">
        <v>2</v>
      </c>
      <c r="Z342" s="35">
        <v>2</v>
      </c>
      <c r="AA342" s="35">
        <v>2</v>
      </c>
      <c r="AB342" s="35">
        <v>2</v>
      </c>
      <c r="AC342" s="35">
        <v>2</v>
      </c>
      <c r="AD342" s="35">
        <v>2</v>
      </c>
      <c r="AE342" s="35">
        <v>2</v>
      </c>
      <c r="AF342" s="35">
        <v>2</v>
      </c>
      <c r="AG342" s="35">
        <v>2</v>
      </c>
      <c r="AH342" s="35">
        <v>2</v>
      </c>
      <c r="AI342" s="35">
        <v>3</v>
      </c>
      <c r="AJ342" s="35">
        <v>2</v>
      </c>
      <c r="AK342" s="35">
        <v>2</v>
      </c>
      <c r="AL342" s="35">
        <v>2</v>
      </c>
      <c r="AM342" s="35">
        <v>2</v>
      </c>
      <c r="AN342" s="35">
        <v>2</v>
      </c>
      <c r="AO342" s="35">
        <v>2</v>
      </c>
      <c r="AP342" s="35">
        <v>2</v>
      </c>
      <c r="AQ342" s="35">
        <v>2</v>
      </c>
      <c r="AR342" s="35">
        <v>2</v>
      </c>
      <c r="AS342" s="35">
        <v>2</v>
      </c>
      <c r="AT342" s="35">
        <v>2</v>
      </c>
      <c r="AU342" s="35">
        <v>2</v>
      </c>
      <c r="AV342" s="35">
        <v>4</v>
      </c>
      <c r="AW342" s="35">
        <v>2</v>
      </c>
      <c r="AX342" s="35">
        <v>2</v>
      </c>
      <c r="AY342" s="35">
        <v>2</v>
      </c>
      <c r="AZ342" s="35">
        <v>2</v>
      </c>
      <c r="BA342" s="35">
        <v>2</v>
      </c>
      <c r="BB342" s="35">
        <v>2</v>
      </c>
      <c r="BC342" s="35">
        <v>2</v>
      </c>
      <c r="BD342" s="35">
        <v>2</v>
      </c>
      <c r="BE342" s="35">
        <v>2</v>
      </c>
      <c r="BF342" s="35">
        <v>4</v>
      </c>
      <c r="BG342" s="33">
        <v>-1</v>
      </c>
      <c r="BH342" s="33">
        <v>-1</v>
      </c>
      <c r="BI342" s="33">
        <v>-1</v>
      </c>
      <c r="BJ342" s="33">
        <v>-1</v>
      </c>
      <c r="BK342" s="35">
        <v>1</v>
      </c>
      <c r="BL342" s="35">
        <v>2</v>
      </c>
      <c r="BM342" s="33">
        <v>-1</v>
      </c>
      <c r="BN342" s="85">
        <v>-1</v>
      </c>
      <c r="BO342" s="85">
        <v>-1</v>
      </c>
      <c r="BP342" s="85">
        <v>-1</v>
      </c>
      <c r="BQ342" s="85"/>
      <c r="BR342" s="85"/>
      <c r="BS342" s="85"/>
      <c r="BT342" s="85"/>
      <c r="BU342" s="85"/>
      <c r="BV342" s="85"/>
      <c r="BW342" s="28"/>
      <c r="BX342" s="28"/>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c r="DY342" s="34"/>
      <c r="DZ342" s="34"/>
      <c r="EA342" s="34"/>
      <c r="EB342" s="34"/>
      <c r="EC342" s="34"/>
      <c r="ED342" s="34"/>
    </row>
    <row r="343" spans="1:134" ht="11.25" customHeight="1" x14ac:dyDescent="0.3">
      <c r="A343" s="28" t="e">
        <f t="array" aca="1" ref="A343" ca="1">_xludf.XLOOKUP(S343,Master_Registrations!P:P,Master_Registrations!A:A,"")</f>
        <v>#NAME?</v>
      </c>
      <c r="B343" s="28" t="s">
        <v>7081</v>
      </c>
      <c r="C343" s="28">
        <v>2026</v>
      </c>
      <c r="D343" s="28" t="s">
        <v>4886</v>
      </c>
      <c r="E343" s="28">
        <v>1</v>
      </c>
      <c r="F343" s="29" t="str">
        <f t="shared" si="6"/>
        <v>VED-05-2026-GR-1</v>
      </c>
      <c r="G343" s="28" t="s">
        <v>4750</v>
      </c>
      <c r="H343" s="28" t="s">
        <v>6768</v>
      </c>
      <c r="I343" s="28" t="s">
        <v>7082</v>
      </c>
      <c r="J343" s="28" t="s">
        <v>198</v>
      </c>
      <c r="K343" s="38"/>
      <c r="L343" s="38"/>
      <c r="M343" s="38"/>
      <c r="N343" s="28" t="s">
        <v>299</v>
      </c>
      <c r="O343" s="28" t="s">
        <v>653</v>
      </c>
      <c r="P343" s="28" t="s">
        <v>1226</v>
      </c>
      <c r="Q343" s="28" t="e">
        <f t="shared" ca="1" si="7"/>
        <v>#NAME?</v>
      </c>
      <c r="R343" s="28" t="s">
        <v>316</v>
      </c>
      <c r="S343" s="55">
        <v>4699545338</v>
      </c>
      <c r="T343" s="29" t="s">
        <v>315</v>
      </c>
      <c r="U343" s="28">
        <v>1986</v>
      </c>
      <c r="V343" s="35">
        <v>2</v>
      </c>
      <c r="W343" s="35">
        <v>2</v>
      </c>
      <c r="X343" s="35">
        <v>2</v>
      </c>
      <c r="Y343" s="35">
        <v>2</v>
      </c>
      <c r="Z343" s="35">
        <v>2</v>
      </c>
      <c r="AA343" s="35">
        <v>2</v>
      </c>
      <c r="AB343" s="35">
        <v>2</v>
      </c>
      <c r="AC343" s="35">
        <v>2</v>
      </c>
      <c r="AD343" s="35">
        <v>2</v>
      </c>
      <c r="AE343" s="35">
        <v>2</v>
      </c>
      <c r="AF343" s="35">
        <v>2</v>
      </c>
      <c r="AG343" s="35">
        <v>2</v>
      </c>
      <c r="AH343" s="35">
        <v>2</v>
      </c>
      <c r="AI343" s="35">
        <v>3</v>
      </c>
      <c r="AJ343" s="35">
        <v>2</v>
      </c>
      <c r="AK343" s="35">
        <v>2</v>
      </c>
      <c r="AL343" s="35">
        <v>2</v>
      </c>
      <c r="AM343" s="35">
        <v>2</v>
      </c>
      <c r="AN343" s="35">
        <v>2</v>
      </c>
      <c r="AO343" s="35">
        <v>2</v>
      </c>
      <c r="AP343" s="35">
        <v>2</v>
      </c>
      <c r="AQ343" s="35">
        <v>2</v>
      </c>
      <c r="AR343" s="35">
        <v>2</v>
      </c>
      <c r="AS343" s="35">
        <v>2</v>
      </c>
      <c r="AT343" s="35">
        <v>2</v>
      </c>
      <c r="AU343" s="35">
        <v>2</v>
      </c>
      <c r="AV343" s="35">
        <v>3</v>
      </c>
      <c r="AW343" s="35">
        <v>2</v>
      </c>
      <c r="AX343" s="35">
        <v>2</v>
      </c>
      <c r="AY343" s="35">
        <v>2</v>
      </c>
      <c r="AZ343" s="35">
        <v>2</v>
      </c>
      <c r="BA343" s="35">
        <v>2</v>
      </c>
      <c r="BB343" s="35">
        <v>2</v>
      </c>
      <c r="BC343" s="35">
        <v>2</v>
      </c>
      <c r="BD343" s="35">
        <v>2</v>
      </c>
      <c r="BE343" s="35">
        <v>2</v>
      </c>
      <c r="BF343" s="35">
        <v>4</v>
      </c>
      <c r="BG343" s="35">
        <v>2</v>
      </c>
      <c r="BH343" s="35">
        <v>2</v>
      </c>
      <c r="BI343" s="35">
        <v>2</v>
      </c>
      <c r="BJ343" s="35">
        <v>2</v>
      </c>
      <c r="BK343" s="35">
        <v>2</v>
      </c>
      <c r="BL343" s="35">
        <v>2</v>
      </c>
      <c r="BM343" s="35">
        <v>4</v>
      </c>
      <c r="BN343" s="85">
        <v>-1</v>
      </c>
      <c r="BO343" s="85">
        <v>-1</v>
      </c>
      <c r="BP343" s="85">
        <v>-1</v>
      </c>
      <c r="BQ343" s="85"/>
      <c r="BR343" s="85"/>
      <c r="BS343" s="85"/>
      <c r="BT343" s="85"/>
      <c r="BU343" s="85"/>
      <c r="BV343" s="85"/>
      <c r="BW343" s="28"/>
      <c r="BX343" s="28"/>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c r="DZ343" s="34"/>
      <c r="EA343" s="34"/>
      <c r="EB343" s="34"/>
      <c r="EC343" s="34"/>
      <c r="ED343" s="34"/>
    </row>
    <row r="344" spans="1:134" ht="11.25" customHeight="1" x14ac:dyDescent="0.3">
      <c r="A344" s="28" t="e">
        <f t="array" aca="1" ref="A344" ca="1">_xludf.XLOOKUP(S344,Master_Registrations!P:P,Master_Registrations!A:A,"")</f>
        <v>#NAME?</v>
      </c>
      <c r="B344" s="28" t="s">
        <v>7081</v>
      </c>
      <c r="C344" s="28">
        <v>2026</v>
      </c>
      <c r="D344" s="28" t="s">
        <v>4886</v>
      </c>
      <c r="E344" s="28">
        <v>1</v>
      </c>
      <c r="F344" s="29" t="str">
        <f t="shared" si="6"/>
        <v>VED-05-2026-GR-1</v>
      </c>
      <c r="G344" s="28" t="s">
        <v>4750</v>
      </c>
      <c r="H344" s="28" t="s">
        <v>6768</v>
      </c>
      <c r="I344" s="28" t="s">
        <v>7082</v>
      </c>
      <c r="J344" s="28" t="s">
        <v>198</v>
      </c>
      <c r="K344" s="38"/>
      <c r="L344" s="38"/>
      <c r="M344" s="38"/>
      <c r="N344" s="28" t="s">
        <v>369</v>
      </c>
      <c r="O344" s="28" t="s">
        <v>781</v>
      </c>
      <c r="P344" s="28" t="s">
        <v>1296</v>
      </c>
      <c r="Q344" s="28" t="e">
        <f t="shared" ca="1" si="7"/>
        <v>#NAME?</v>
      </c>
      <c r="R344" s="28" t="s">
        <v>316</v>
      </c>
      <c r="S344" s="32">
        <v>3468046591</v>
      </c>
      <c r="T344" s="29" t="s">
        <v>315</v>
      </c>
      <c r="U344" s="29">
        <v>1990</v>
      </c>
      <c r="V344" s="35">
        <v>2</v>
      </c>
      <c r="W344" s="35">
        <v>2</v>
      </c>
      <c r="X344" s="35">
        <v>2</v>
      </c>
      <c r="Y344" s="35">
        <v>2</v>
      </c>
      <c r="Z344" s="35">
        <v>2</v>
      </c>
      <c r="AA344" s="35">
        <v>2</v>
      </c>
      <c r="AB344" s="35">
        <v>2</v>
      </c>
      <c r="AC344" s="35">
        <v>2</v>
      </c>
      <c r="AD344" s="35">
        <v>2</v>
      </c>
      <c r="AE344" s="35">
        <v>2</v>
      </c>
      <c r="AF344" s="35">
        <v>2</v>
      </c>
      <c r="AG344" s="35">
        <v>2</v>
      </c>
      <c r="AH344" s="35">
        <v>2</v>
      </c>
      <c r="AI344" s="35">
        <v>3</v>
      </c>
      <c r="AJ344" s="35">
        <v>2</v>
      </c>
      <c r="AK344" s="35">
        <v>2</v>
      </c>
      <c r="AL344" s="35">
        <v>2</v>
      </c>
      <c r="AM344" s="35">
        <v>2</v>
      </c>
      <c r="AN344" s="35">
        <v>2</v>
      </c>
      <c r="AO344" s="35">
        <v>2</v>
      </c>
      <c r="AP344" s="35">
        <v>2</v>
      </c>
      <c r="AQ344" s="35">
        <v>2</v>
      </c>
      <c r="AR344" s="35">
        <v>2</v>
      </c>
      <c r="AS344" s="35">
        <v>2</v>
      </c>
      <c r="AT344" s="35">
        <v>2</v>
      </c>
      <c r="AU344" s="35">
        <v>2</v>
      </c>
      <c r="AV344" s="35">
        <v>4</v>
      </c>
      <c r="AW344" s="35">
        <v>2</v>
      </c>
      <c r="AX344" s="35">
        <v>2</v>
      </c>
      <c r="AY344" s="35">
        <v>2</v>
      </c>
      <c r="AZ344" s="35">
        <v>-1</v>
      </c>
      <c r="BA344" s="35">
        <v>2</v>
      </c>
      <c r="BB344" s="35">
        <v>2</v>
      </c>
      <c r="BC344" s="35">
        <v>-1</v>
      </c>
      <c r="BD344" s="35">
        <v>2</v>
      </c>
      <c r="BE344" s="35">
        <v>-1</v>
      </c>
      <c r="BF344" s="33">
        <v>-1</v>
      </c>
      <c r="BG344" s="35">
        <v>2</v>
      </c>
      <c r="BH344" s="35">
        <v>2</v>
      </c>
      <c r="BI344" s="35">
        <v>1</v>
      </c>
      <c r="BJ344" s="33">
        <v>-1</v>
      </c>
      <c r="BK344" s="35">
        <v>1</v>
      </c>
      <c r="BL344" s="33">
        <v>-1</v>
      </c>
      <c r="BM344" s="33">
        <v>-1</v>
      </c>
      <c r="BN344" s="85">
        <v>-1</v>
      </c>
      <c r="BO344" s="85">
        <v>-1</v>
      </c>
      <c r="BP344" s="85">
        <v>-1</v>
      </c>
      <c r="BQ344" s="85"/>
      <c r="BR344" s="85"/>
      <c r="BS344" s="85"/>
      <c r="BT344" s="85"/>
      <c r="BU344" s="85"/>
      <c r="BV344" s="85"/>
      <c r="BW344" s="28"/>
      <c r="BX344" s="28"/>
      <c r="BY344" s="28"/>
      <c r="BZ344" s="28"/>
      <c r="CA344" s="28"/>
      <c r="CB344" s="28"/>
      <c r="CC344" s="28"/>
      <c r="CD344" s="28"/>
      <c r="CE344" s="28"/>
      <c r="CF344" s="28"/>
      <c r="CG344" s="28"/>
      <c r="CH344" s="28"/>
      <c r="CI344" s="28"/>
      <c r="CJ344" s="28"/>
      <c r="CK344" s="28"/>
      <c r="CL344" s="28"/>
      <c r="CM344" s="28"/>
      <c r="CN344" s="28"/>
      <c r="CO344" s="28"/>
      <c r="CP344" s="28"/>
      <c r="CQ344" s="28"/>
      <c r="CR344" s="28"/>
      <c r="CS344" s="28"/>
      <c r="CT344" s="28"/>
      <c r="CU344" s="28"/>
      <c r="CV344" s="28"/>
      <c r="CW344" s="28"/>
      <c r="CX344" s="28"/>
      <c r="CY344" s="28"/>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c r="DW344" s="34"/>
      <c r="DX344" s="34"/>
      <c r="DY344" s="34"/>
      <c r="DZ344" s="34"/>
      <c r="EA344" s="34"/>
      <c r="EB344" s="34"/>
      <c r="EC344" s="34"/>
      <c r="ED344" s="34"/>
    </row>
    <row r="345" spans="1:134" ht="11.25" customHeight="1" x14ac:dyDescent="0.3">
      <c r="A345" s="28" t="e">
        <f t="array" aca="1" ref="A345" ca="1">_xludf.XLOOKUP(S345,Master_Registrations!P:P,Master_Registrations!A:A,"")</f>
        <v>#NAME?</v>
      </c>
      <c r="B345" s="28" t="s">
        <v>7081</v>
      </c>
      <c r="C345" s="28">
        <v>2026</v>
      </c>
      <c r="D345" s="28" t="s">
        <v>4886</v>
      </c>
      <c r="E345" s="28">
        <v>1</v>
      </c>
      <c r="F345" s="29" t="str">
        <f t="shared" si="6"/>
        <v>VED-05-2026-GR-1</v>
      </c>
      <c r="G345" s="28" t="s">
        <v>4750</v>
      </c>
      <c r="H345" s="28" t="s">
        <v>6768</v>
      </c>
      <c r="I345" s="28" t="s">
        <v>7082</v>
      </c>
      <c r="J345" s="28" t="s">
        <v>198</v>
      </c>
      <c r="K345" s="38"/>
      <c r="L345" s="38"/>
      <c r="M345" s="38"/>
      <c r="N345" s="28" t="s">
        <v>434</v>
      </c>
      <c r="O345" s="28" t="s">
        <v>1303</v>
      </c>
      <c r="P345" s="28" t="s">
        <v>1304</v>
      </c>
      <c r="Q345" s="28" t="e">
        <f t="shared" ca="1" si="7"/>
        <v>#NAME?</v>
      </c>
      <c r="R345" s="28" t="s">
        <v>316</v>
      </c>
      <c r="S345" s="32">
        <v>7178772989</v>
      </c>
      <c r="T345" s="29" t="s">
        <v>315</v>
      </c>
      <c r="U345" s="29">
        <v>1987</v>
      </c>
      <c r="V345" s="35">
        <v>2</v>
      </c>
      <c r="W345" s="35">
        <v>2</v>
      </c>
      <c r="X345" s="35">
        <v>2</v>
      </c>
      <c r="Y345" s="35">
        <v>2</v>
      </c>
      <c r="Z345" s="35">
        <v>2</v>
      </c>
      <c r="AA345" s="35">
        <v>2</v>
      </c>
      <c r="AB345" s="35">
        <v>2</v>
      </c>
      <c r="AC345" s="35">
        <v>2</v>
      </c>
      <c r="AD345" s="35">
        <v>2</v>
      </c>
      <c r="AE345" s="35">
        <v>2</v>
      </c>
      <c r="AF345" s="35">
        <v>2</v>
      </c>
      <c r="AG345" s="35">
        <v>2</v>
      </c>
      <c r="AH345" s="35">
        <v>2</v>
      </c>
      <c r="AI345" s="35">
        <v>3</v>
      </c>
      <c r="AJ345" s="35">
        <v>2</v>
      </c>
      <c r="AK345" s="35">
        <v>2</v>
      </c>
      <c r="AL345" s="35">
        <v>2</v>
      </c>
      <c r="AM345" s="35">
        <v>2</v>
      </c>
      <c r="AN345" s="35">
        <v>2</v>
      </c>
      <c r="AO345" s="35">
        <v>2</v>
      </c>
      <c r="AP345" s="35">
        <v>2</v>
      </c>
      <c r="AQ345" s="35">
        <v>2</v>
      </c>
      <c r="AR345" s="35">
        <v>2</v>
      </c>
      <c r="AS345" s="35">
        <v>2</v>
      </c>
      <c r="AT345" s="35">
        <v>2</v>
      </c>
      <c r="AU345" s="35">
        <v>2</v>
      </c>
      <c r="AV345" s="35">
        <v>4</v>
      </c>
      <c r="AW345" s="35">
        <v>2</v>
      </c>
      <c r="AX345" s="35">
        <v>2</v>
      </c>
      <c r="AY345" s="35">
        <v>2</v>
      </c>
      <c r="AZ345" s="35">
        <v>2</v>
      </c>
      <c r="BA345" s="35">
        <v>2</v>
      </c>
      <c r="BB345" s="35">
        <v>2</v>
      </c>
      <c r="BC345" s="35">
        <v>2</v>
      </c>
      <c r="BD345" s="35">
        <v>2</v>
      </c>
      <c r="BE345" s="35">
        <v>2</v>
      </c>
      <c r="BF345" s="35">
        <v>4</v>
      </c>
      <c r="BG345" s="35">
        <v>2</v>
      </c>
      <c r="BH345" s="35">
        <v>2</v>
      </c>
      <c r="BI345" s="35">
        <v>1</v>
      </c>
      <c r="BJ345" s="35">
        <v>2</v>
      </c>
      <c r="BK345" s="35">
        <v>2</v>
      </c>
      <c r="BL345" s="33">
        <v>-1</v>
      </c>
      <c r="BM345" s="33">
        <v>-1</v>
      </c>
      <c r="BN345" s="85">
        <v>-1</v>
      </c>
      <c r="BO345" s="85">
        <v>-1</v>
      </c>
      <c r="BP345" s="85">
        <v>-1</v>
      </c>
      <c r="BQ345" s="85"/>
      <c r="BR345" s="85"/>
      <c r="BS345" s="85"/>
      <c r="BT345" s="85"/>
      <c r="BU345" s="85"/>
      <c r="BV345" s="85"/>
      <c r="BW345" s="28"/>
      <c r="BX345" s="28"/>
      <c r="BY345" s="28"/>
      <c r="BZ345" s="28"/>
      <c r="CA345" s="28"/>
      <c r="CB345" s="28"/>
      <c r="CC345" s="28"/>
      <c r="CD345" s="28"/>
      <c r="CE345" s="28"/>
      <c r="CF345" s="28"/>
      <c r="CG345" s="28"/>
      <c r="CH345" s="28"/>
      <c r="CI345" s="28"/>
      <c r="CJ345" s="28"/>
      <c r="CK345" s="28"/>
      <c r="CL345" s="28"/>
      <c r="CM345" s="28"/>
      <c r="CN345" s="28"/>
      <c r="CO345" s="28"/>
      <c r="CP345" s="28"/>
      <c r="CQ345" s="28"/>
      <c r="CR345" s="28"/>
      <c r="CS345" s="28"/>
      <c r="CT345" s="28"/>
      <c r="CU345" s="28"/>
      <c r="CV345" s="28"/>
      <c r="CW345" s="28"/>
      <c r="CX345" s="28"/>
      <c r="CY345" s="28"/>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c r="EA345" s="34"/>
      <c r="EB345" s="34"/>
      <c r="EC345" s="34"/>
      <c r="ED345" s="34"/>
    </row>
    <row r="346" spans="1:134" ht="11.25" customHeight="1" x14ac:dyDescent="0.3">
      <c r="A346" s="28" t="e">
        <f t="array" aca="1" ref="A346" ca="1">_xludf.XLOOKUP(S346,Master_Registrations!P:P,Master_Registrations!A:A,"")</f>
        <v>#NAME?</v>
      </c>
      <c r="B346" s="28" t="s">
        <v>7081</v>
      </c>
      <c r="C346" s="28">
        <v>2026</v>
      </c>
      <c r="D346" s="28" t="s">
        <v>4886</v>
      </c>
      <c r="E346" s="28">
        <v>1</v>
      </c>
      <c r="F346" s="29" t="str">
        <f t="shared" si="6"/>
        <v>VED-05-2026-GR-1</v>
      </c>
      <c r="G346" s="28" t="s">
        <v>4750</v>
      </c>
      <c r="H346" s="28" t="s">
        <v>6768</v>
      </c>
      <c r="I346" s="28" t="s">
        <v>7082</v>
      </c>
      <c r="J346" s="28" t="s">
        <v>198</v>
      </c>
      <c r="K346" s="38"/>
      <c r="L346" s="38"/>
      <c r="M346" s="38"/>
      <c r="N346" s="28" t="s">
        <v>525</v>
      </c>
      <c r="O346" s="28" t="s">
        <v>1287</v>
      </c>
      <c r="P346" s="28" t="s">
        <v>3070</v>
      </c>
      <c r="Q346" s="28" t="e">
        <f t="shared" ca="1" si="7"/>
        <v>#NAME?</v>
      </c>
      <c r="R346" s="28" t="s">
        <v>316</v>
      </c>
      <c r="S346" s="55">
        <v>9403151546</v>
      </c>
      <c r="T346" s="29" t="s">
        <v>315</v>
      </c>
      <c r="U346" s="28">
        <v>1992</v>
      </c>
      <c r="V346" s="35">
        <v>2</v>
      </c>
      <c r="W346" s="35">
        <v>2</v>
      </c>
      <c r="X346" s="35">
        <v>2</v>
      </c>
      <c r="Y346" s="35">
        <v>2</v>
      </c>
      <c r="Z346" s="35">
        <v>2</v>
      </c>
      <c r="AA346" s="35">
        <v>2</v>
      </c>
      <c r="AB346" s="35">
        <v>2</v>
      </c>
      <c r="AC346" s="35">
        <v>2</v>
      </c>
      <c r="AD346" s="35">
        <v>2</v>
      </c>
      <c r="AE346" s="35">
        <v>2</v>
      </c>
      <c r="AF346" s="35">
        <v>2</v>
      </c>
      <c r="AG346" s="35">
        <v>2</v>
      </c>
      <c r="AH346" s="35">
        <v>2</v>
      </c>
      <c r="AI346" s="35">
        <v>3</v>
      </c>
      <c r="AJ346" s="35">
        <v>2</v>
      </c>
      <c r="AK346" s="35">
        <v>2</v>
      </c>
      <c r="AL346" s="35">
        <v>2</v>
      </c>
      <c r="AM346" s="35">
        <v>2</v>
      </c>
      <c r="AN346" s="35">
        <v>2</v>
      </c>
      <c r="AO346" s="35">
        <v>2</v>
      </c>
      <c r="AP346" s="35">
        <v>2</v>
      </c>
      <c r="AQ346" s="35">
        <v>2</v>
      </c>
      <c r="AR346" s="35">
        <v>2</v>
      </c>
      <c r="AS346" s="35">
        <v>2</v>
      </c>
      <c r="AT346" s="35">
        <v>2</v>
      </c>
      <c r="AU346" s="35">
        <v>2</v>
      </c>
      <c r="AV346" s="35">
        <v>4</v>
      </c>
      <c r="AW346" s="35">
        <v>2</v>
      </c>
      <c r="AX346" s="35">
        <v>2</v>
      </c>
      <c r="AY346" s="35">
        <v>2</v>
      </c>
      <c r="AZ346" s="35">
        <v>2</v>
      </c>
      <c r="BA346" s="35">
        <v>2</v>
      </c>
      <c r="BB346" s="35">
        <v>2</v>
      </c>
      <c r="BC346" s="35">
        <v>2</v>
      </c>
      <c r="BD346" s="35">
        <v>2</v>
      </c>
      <c r="BE346" s="35">
        <v>2</v>
      </c>
      <c r="BF346" s="33">
        <v>-1</v>
      </c>
      <c r="BG346" s="35">
        <v>2</v>
      </c>
      <c r="BH346" s="33">
        <v>-1</v>
      </c>
      <c r="BI346" s="33">
        <v>-1</v>
      </c>
      <c r="BJ346" s="33">
        <v>-1</v>
      </c>
      <c r="BK346" s="33">
        <v>-1</v>
      </c>
      <c r="BL346" s="33">
        <v>-1</v>
      </c>
      <c r="BM346" s="33">
        <v>-1</v>
      </c>
      <c r="BN346" s="85">
        <v>-1</v>
      </c>
      <c r="BO346" s="85">
        <v>-1</v>
      </c>
      <c r="BP346" s="85">
        <v>-1</v>
      </c>
      <c r="BQ346" s="85"/>
      <c r="BR346" s="85"/>
      <c r="BS346" s="85"/>
      <c r="BT346" s="85"/>
      <c r="BU346" s="85"/>
      <c r="BV346" s="85"/>
      <c r="BW346" s="28"/>
      <c r="BX346" s="28"/>
      <c r="BY346" s="28"/>
      <c r="BZ346" s="28"/>
      <c r="CA346" s="28"/>
      <c r="CB346" s="28"/>
      <c r="CC346" s="28"/>
      <c r="CD346" s="28"/>
      <c r="CE346" s="28"/>
      <c r="CF346" s="28"/>
      <c r="CG346" s="28"/>
      <c r="CH346" s="28"/>
      <c r="CI346" s="28"/>
      <c r="CJ346" s="28"/>
      <c r="CK346" s="28"/>
      <c r="CL346" s="28"/>
      <c r="CM346" s="28"/>
      <c r="CN346" s="28"/>
      <c r="CO346" s="28"/>
      <c r="CP346" s="28"/>
      <c r="CQ346" s="28"/>
      <c r="CR346" s="28"/>
      <c r="CS346" s="28"/>
      <c r="CT346" s="28"/>
      <c r="CU346" s="28"/>
      <c r="CV346" s="28"/>
      <c r="CW346" s="28"/>
      <c r="CX346" s="28"/>
      <c r="CY346" s="28"/>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c r="DZ346" s="34"/>
      <c r="EA346" s="34"/>
      <c r="EB346" s="34"/>
      <c r="EC346" s="34"/>
      <c r="ED346" s="34"/>
    </row>
    <row r="347" spans="1:134" ht="11.25" customHeight="1" x14ac:dyDescent="0.3">
      <c r="A347" s="28" t="e">
        <f t="array" aca="1" ref="A347" ca="1">_xludf.XLOOKUP(S347,Master_Registrations!P:P,Master_Registrations!A:A,"")</f>
        <v>#NAME?</v>
      </c>
      <c r="B347" s="28" t="s">
        <v>7081</v>
      </c>
      <c r="C347" s="28">
        <v>2026</v>
      </c>
      <c r="D347" s="28" t="s">
        <v>4886</v>
      </c>
      <c r="E347" s="28">
        <v>1</v>
      </c>
      <c r="F347" s="29" t="str">
        <f t="shared" si="6"/>
        <v>VED-05-2026-GR-1</v>
      </c>
      <c r="G347" s="28" t="s">
        <v>4750</v>
      </c>
      <c r="H347" s="28" t="s">
        <v>6768</v>
      </c>
      <c r="I347" s="28" t="s">
        <v>7082</v>
      </c>
      <c r="J347" s="28" t="s">
        <v>198</v>
      </c>
      <c r="K347" s="38"/>
      <c r="L347" s="38"/>
      <c r="M347" s="38"/>
      <c r="N347" s="28" t="s">
        <v>621</v>
      </c>
      <c r="O347" s="28" t="s">
        <v>891</v>
      </c>
      <c r="P347" s="28" t="s">
        <v>6912</v>
      </c>
      <c r="Q347" s="28" t="e">
        <f t="shared" ca="1" si="7"/>
        <v>#NAME?</v>
      </c>
      <c r="R347" s="28" t="s">
        <v>316</v>
      </c>
      <c r="S347" s="55">
        <v>4702725998</v>
      </c>
      <c r="T347" s="29" t="s">
        <v>402</v>
      </c>
      <c r="U347" s="28">
        <v>1979</v>
      </c>
      <c r="V347" s="35">
        <v>2</v>
      </c>
      <c r="W347" s="35">
        <v>2</v>
      </c>
      <c r="X347" s="35">
        <v>2</v>
      </c>
      <c r="Y347" s="35">
        <v>2</v>
      </c>
      <c r="Z347" s="35">
        <v>2</v>
      </c>
      <c r="AA347" s="35">
        <v>2</v>
      </c>
      <c r="AB347" s="35">
        <v>2</v>
      </c>
      <c r="AC347" s="35">
        <v>2</v>
      </c>
      <c r="AD347" s="35">
        <v>2</v>
      </c>
      <c r="AE347" s="35">
        <v>2</v>
      </c>
      <c r="AF347" s="35">
        <v>2</v>
      </c>
      <c r="AG347" s="35">
        <v>2</v>
      </c>
      <c r="AH347" s="35">
        <v>2</v>
      </c>
      <c r="AI347" s="35">
        <v>4</v>
      </c>
      <c r="AJ347" s="35">
        <v>2</v>
      </c>
      <c r="AK347" s="35">
        <v>2</v>
      </c>
      <c r="AL347" s="35">
        <v>2</v>
      </c>
      <c r="AM347" s="35">
        <v>2</v>
      </c>
      <c r="AN347" s="35">
        <v>2</v>
      </c>
      <c r="AO347" s="35">
        <v>2</v>
      </c>
      <c r="AP347" s="35">
        <v>2</v>
      </c>
      <c r="AQ347" s="35">
        <v>2</v>
      </c>
      <c r="AR347" s="35">
        <v>2</v>
      </c>
      <c r="AS347" s="35">
        <v>2</v>
      </c>
      <c r="AT347" s="35">
        <v>2</v>
      </c>
      <c r="AU347" s="35">
        <v>2</v>
      </c>
      <c r="AV347" s="35">
        <v>4</v>
      </c>
      <c r="AW347" s="35">
        <v>2</v>
      </c>
      <c r="AX347" s="35">
        <v>2</v>
      </c>
      <c r="AY347" s="35">
        <v>2</v>
      </c>
      <c r="AZ347" s="35">
        <v>2</v>
      </c>
      <c r="BA347" s="35">
        <v>2</v>
      </c>
      <c r="BB347" s="35">
        <v>2</v>
      </c>
      <c r="BC347" s="35">
        <v>2</v>
      </c>
      <c r="BD347" s="35">
        <v>2</v>
      </c>
      <c r="BE347" s="35">
        <v>2</v>
      </c>
      <c r="BF347" s="35">
        <v>4</v>
      </c>
      <c r="BG347" s="35">
        <v>2</v>
      </c>
      <c r="BH347" s="35">
        <v>2</v>
      </c>
      <c r="BI347" s="35">
        <v>2</v>
      </c>
      <c r="BJ347" s="35">
        <v>2</v>
      </c>
      <c r="BK347" s="35">
        <v>2</v>
      </c>
      <c r="BL347" s="35">
        <v>2</v>
      </c>
      <c r="BM347" s="35">
        <v>4</v>
      </c>
      <c r="BN347" s="85">
        <v>-1</v>
      </c>
      <c r="BO347" s="85">
        <v>-1</v>
      </c>
      <c r="BP347" s="85">
        <v>-1</v>
      </c>
      <c r="BQ347" s="85"/>
      <c r="BR347" s="85"/>
      <c r="BS347" s="85"/>
      <c r="BT347" s="85"/>
      <c r="BU347" s="85"/>
      <c r="BV347" s="85"/>
      <c r="BW347" s="28"/>
      <c r="BX347" s="28"/>
      <c r="BY347" s="28"/>
      <c r="BZ347" s="28"/>
      <c r="CA347" s="28"/>
      <c r="CB347" s="28"/>
      <c r="CC347" s="28"/>
      <c r="CD347" s="28"/>
      <c r="CE347" s="28"/>
      <c r="CF347" s="28"/>
      <c r="CG347" s="28"/>
      <c r="CH347" s="28"/>
      <c r="CI347" s="28"/>
      <c r="CJ347" s="28"/>
      <c r="CK347" s="28"/>
      <c r="CL347" s="28"/>
      <c r="CM347" s="28"/>
      <c r="CN347" s="28"/>
      <c r="CO347" s="28"/>
      <c r="CP347" s="28"/>
      <c r="CQ347" s="28"/>
      <c r="CR347" s="28"/>
      <c r="CS347" s="28"/>
      <c r="CT347" s="28"/>
      <c r="CU347" s="28"/>
      <c r="CV347" s="28"/>
      <c r="CW347" s="28"/>
      <c r="CX347" s="28"/>
      <c r="CY347" s="28"/>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row>
    <row r="348" spans="1:134" ht="11.25" customHeight="1" x14ac:dyDescent="0.3">
      <c r="A348" s="28" t="e">
        <f t="array" aca="1" ref="A348" ca="1">_xludf.XLOOKUP(S348,Master_Registrations!P:P,Master_Registrations!A:A,"")</f>
        <v>#NAME?</v>
      </c>
      <c r="B348" s="28" t="s">
        <v>7081</v>
      </c>
      <c r="C348" s="28">
        <v>2026</v>
      </c>
      <c r="D348" s="28" t="s">
        <v>4886</v>
      </c>
      <c r="E348" s="28">
        <v>1</v>
      </c>
      <c r="F348" s="29" t="str">
        <f t="shared" si="6"/>
        <v>VED-05-2026-GR-1</v>
      </c>
      <c r="G348" s="28" t="s">
        <v>4750</v>
      </c>
      <c r="H348" s="28" t="s">
        <v>6768</v>
      </c>
      <c r="I348" s="28" t="s">
        <v>7082</v>
      </c>
      <c r="J348" s="28" t="s">
        <v>198</v>
      </c>
      <c r="K348" s="38"/>
      <c r="L348" s="38"/>
      <c r="M348" s="38"/>
      <c r="N348" s="28" t="s">
        <v>714</v>
      </c>
      <c r="O348" s="28" t="s">
        <v>1115</v>
      </c>
      <c r="P348" s="28" t="s">
        <v>1739</v>
      </c>
      <c r="Q348" s="28" t="e">
        <f t="shared" ca="1" si="7"/>
        <v>#NAME?</v>
      </c>
      <c r="R348" s="28" t="s">
        <v>316</v>
      </c>
      <c r="S348" s="55">
        <v>6104573193</v>
      </c>
      <c r="T348" s="29" t="s">
        <v>402</v>
      </c>
      <c r="U348" s="28">
        <v>1977</v>
      </c>
      <c r="V348" s="35">
        <v>2</v>
      </c>
      <c r="W348" s="35">
        <v>2</v>
      </c>
      <c r="X348" s="35">
        <v>2</v>
      </c>
      <c r="Y348" s="35">
        <v>2</v>
      </c>
      <c r="Z348" s="35">
        <v>2</v>
      </c>
      <c r="AA348" s="35">
        <v>2</v>
      </c>
      <c r="AB348" s="35">
        <v>2</v>
      </c>
      <c r="AC348" s="35">
        <v>2</v>
      </c>
      <c r="AD348" s="35">
        <v>2</v>
      </c>
      <c r="AE348" s="35">
        <v>2</v>
      </c>
      <c r="AF348" s="35">
        <v>2</v>
      </c>
      <c r="AG348" s="35">
        <v>2</v>
      </c>
      <c r="AH348" s="35">
        <v>2</v>
      </c>
      <c r="AI348" s="35">
        <v>3</v>
      </c>
      <c r="AJ348" s="35">
        <v>2</v>
      </c>
      <c r="AK348" s="35">
        <v>2</v>
      </c>
      <c r="AL348" s="35">
        <v>2</v>
      </c>
      <c r="AM348" s="35">
        <v>2</v>
      </c>
      <c r="AN348" s="35">
        <v>2</v>
      </c>
      <c r="AO348" s="35">
        <v>2</v>
      </c>
      <c r="AP348" s="35">
        <v>2</v>
      </c>
      <c r="AQ348" s="35">
        <v>2</v>
      </c>
      <c r="AR348" s="35">
        <v>2</v>
      </c>
      <c r="AS348" s="35">
        <v>2</v>
      </c>
      <c r="AT348" s="35">
        <v>2</v>
      </c>
      <c r="AU348" s="35">
        <v>2</v>
      </c>
      <c r="AV348" s="35">
        <v>3</v>
      </c>
      <c r="AW348" s="35">
        <v>2</v>
      </c>
      <c r="AX348" s="35">
        <v>2</v>
      </c>
      <c r="AY348" s="35">
        <v>2</v>
      </c>
      <c r="AZ348" s="35">
        <v>2</v>
      </c>
      <c r="BA348" s="35">
        <v>2</v>
      </c>
      <c r="BB348" s="35">
        <v>2</v>
      </c>
      <c r="BC348" s="35">
        <v>2</v>
      </c>
      <c r="BD348" s="35">
        <v>2</v>
      </c>
      <c r="BE348" s="35">
        <v>2</v>
      </c>
      <c r="BF348" s="35">
        <v>3</v>
      </c>
      <c r="BG348" s="35">
        <v>2</v>
      </c>
      <c r="BH348" s="35">
        <v>2</v>
      </c>
      <c r="BI348" s="35">
        <v>2</v>
      </c>
      <c r="BJ348" s="35">
        <v>2</v>
      </c>
      <c r="BK348" s="35">
        <v>2</v>
      </c>
      <c r="BL348" s="35">
        <v>2</v>
      </c>
      <c r="BM348" s="35">
        <v>3</v>
      </c>
      <c r="BN348" s="85">
        <v>-1</v>
      </c>
      <c r="BO348" s="85">
        <v>-1</v>
      </c>
      <c r="BP348" s="85">
        <v>-1</v>
      </c>
      <c r="BQ348" s="85"/>
      <c r="BR348" s="85"/>
      <c r="BS348" s="85"/>
      <c r="BT348" s="85"/>
      <c r="BU348" s="85"/>
      <c r="BV348" s="85"/>
      <c r="BW348" s="28"/>
      <c r="BX348" s="28"/>
      <c r="BY348" s="28"/>
      <c r="BZ348" s="28"/>
      <c r="CA348" s="28"/>
      <c r="CB348" s="28"/>
      <c r="CC348" s="28"/>
      <c r="CD348" s="28"/>
      <c r="CE348" s="28"/>
      <c r="CF348" s="28"/>
      <c r="CG348" s="28"/>
      <c r="CH348" s="28"/>
      <c r="CI348" s="28"/>
      <c r="CJ348" s="28"/>
      <c r="CK348" s="28"/>
      <c r="CL348" s="28"/>
      <c r="CM348" s="28"/>
      <c r="CN348" s="28"/>
      <c r="CO348" s="28"/>
      <c r="CP348" s="28"/>
      <c r="CQ348" s="28"/>
      <c r="CR348" s="28"/>
      <c r="CS348" s="28"/>
      <c r="CT348" s="28"/>
      <c r="CU348" s="28"/>
      <c r="CV348" s="28"/>
      <c r="CW348" s="28"/>
      <c r="CX348" s="28"/>
      <c r="CY348" s="28"/>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row>
    <row r="349" spans="1:134" ht="11.25" customHeight="1" x14ac:dyDescent="0.3">
      <c r="A349" s="28" t="e">
        <f t="array" aca="1" ref="A349" ca="1">_xludf.XLOOKUP(S349,Master_Registrations!P:P,Master_Registrations!A:A,"")</f>
        <v>#NAME?</v>
      </c>
      <c r="B349" s="39" t="s">
        <v>7081</v>
      </c>
      <c r="C349" s="39">
        <v>2026</v>
      </c>
      <c r="D349" s="39" t="s">
        <v>4886</v>
      </c>
      <c r="E349" s="39">
        <v>2</v>
      </c>
      <c r="F349" s="40" t="str">
        <f t="shared" si="6"/>
        <v>VED-05-2026-GR-2</v>
      </c>
      <c r="G349" s="39" t="s">
        <v>4750</v>
      </c>
      <c r="H349" s="39" t="s">
        <v>2109</v>
      </c>
      <c r="I349" s="39" t="s">
        <v>7083</v>
      </c>
      <c r="J349" s="39" t="s">
        <v>198</v>
      </c>
      <c r="K349" s="52"/>
      <c r="L349" s="52"/>
      <c r="M349" s="52"/>
      <c r="N349" s="39" t="s">
        <v>200</v>
      </c>
      <c r="O349" s="39" t="s">
        <v>1711</v>
      </c>
      <c r="P349" s="39" t="s">
        <v>1713</v>
      </c>
      <c r="Q349" s="39" t="e">
        <f t="shared" ca="1" si="7"/>
        <v>#NAME?</v>
      </c>
      <c r="R349" s="39" t="s">
        <v>316</v>
      </c>
      <c r="S349" s="50">
        <v>6504549003</v>
      </c>
      <c r="T349" s="40" t="s">
        <v>315</v>
      </c>
      <c r="U349" s="39">
        <v>1974</v>
      </c>
      <c r="V349" s="44">
        <v>2</v>
      </c>
      <c r="W349" s="44">
        <v>2</v>
      </c>
      <c r="X349" s="44">
        <v>2</v>
      </c>
      <c r="Y349" s="44">
        <v>2</v>
      </c>
      <c r="Z349" s="44">
        <v>2</v>
      </c>
      <c r="AA349" s="44">
        <v>2</v>
      </c>
      <c r="AB349" s="44">
        <v>2</v>
      </c>
      <c r="AC349" s="44">
        <v>2</v>
      </c>
      <c r="AD349" s="44">
        <v>2</v>
      </c>
      <c r="AE349" s="44">
        <v>2</v>
      </c>
      <c r="AF349" s="44">
        <v>2</v>
      </c>
      <c r="AG349" s="44">
        <v>2</v>
      </c>
      <c r="AH349" s="44">
        <v>2</v>
      </c>
      <c r="AI349" s="44">
        <v>3</v>
      </c>
      <c r="AJ349" s="44">
        <v>2</v>
      </c>
      <c r="AK349" s="44">
        <v>2</v>
      </c>
      <c r="AL349" s="44">
        <v>2</v>
      </c>
      <c r="AM349" s="44">
        <v>2</v>
      </c>
      <c r="AN349" s="44">
        <v>2</v>
      </c>
      <c r="AO349" s="44">
        <v>2</v>
      </c>
      <c r="AP349" s="44">
        <v>2</v>
      </c>
      <c r="AQ349" s="44">
        <v>2</v>
      </c>
      <c r="AR349" s="44">
        <v>2</v>
      </c>
      <c r="AS349" s="44">
        <v>2</v>
      </c>
      <c r="AT349" s="44">
        <v>2</v>
      </c>
      <c r="AU349" s="44">
        <v>2</v>
      </c>
      <c r="AV349" s="44">
        <v>4</v>
      </c>
      <c r="AW349" s="44">
        <v>2</v>
      </c>
      <c r="AX349" s="44">
        <v>2</v>
      </c>
      <c r="AY349" s="44">
        <v>2</v>
      </c>
      <c r="AZ349" s="44">
        <v>2</v>
      </c>
      <c r="BA349" s="44">
        <v>2</v>
      </c>
      <c r="BB349" s="44">
        <v>2</v>
      </c>
      <c r="BC349" s="44">
        <v>2</v>
      </c>
      <c r="BD349" s="44">
        <v>2</v>
      </c>
      <c r="BE349" s="44">
        <v>2</v>
      </c>
      <c r="BF349" s="44">
        <v>4</v>
      </c>
      <c r="BG349" s="44">
        <v>2</v>
      </c>
      <c r="BH349" s="44">
        <v>2</v>
      </c>
      <c r="BI349" s="44">
        <v>2</v>
      </c>
      <c r="BJ349" s="44">
        <v>2</v>
      </c>
      <c r="BK349" s="44">
        <v>2</v>
      </c>
      <c r="BL349" s="44">
        <v>2</v>
      </c>
      <c r="BM349" s="44">
        <v>4</v>
      </c>
      <c r="BN349" s="61">
        <v>-1</v>
      </c>
      <c r="BO349" s="61">
        <v>-1</v>
      </c>
      <c r="BP349" s="61">
        <v>-1</v>
      </c>
      <c r="BQ349" s="61"/>
      <c r="BR349" s="61"/>
      <c r="BS349" s="61"/>
      <c r="BT349" s="61"/>
      <c r="BU349" s="61"/>
      <c r="BV349" s="61"/>
      <c r="BW349" s="39"/>
      <c r="BX349" s="39"/>
      <c r="BY349" s="39"/>
      <c r="BZ349" s="39"/>
      <c r="CA349" s="39"/>
      <c r="CB349" s="39"/>
      <c r="CC349" s="39"/>
      <c r="CD349" s="39"/>
      <c r="CE349" s="39"/>
      <c r="CF349" s="39"/>
      <c r="CG349" s="39"/>
      <c r="CH349" s="39"/>
      <c r="CI349" s="39"/>
      <c r="CJ349" s="39"/>
      <c r="CK349" s="39"/>
      <c r="CL349" s="39"/>
      <c r="CM349" s="39"/>
      <c r="CN349" s="39"/>
      <c r="CO349" s="39"/>
      <c r="CP349" s="39"/>
      <c r="CQ349" s="39"/>
      <c r="CR349" s="39"/>
      <c r="CS349" s="39"/>
      <c r="CT349" s="39"/>
      <c r="CU349" s="39"/>
      <c r="CV349" s="39"/>
      <c r="CW349" s="39"/>
      <c r="CX349" s="39"/>
      <c r="CY349" s="39"/>
      <c r="CZ349" s="48"/>
      <c r="DA349" s="48"/>
      <c r="DB349" s="48"/>
      <c r="DC349" s="48"/>
      <c r="DD349" s="48"/>
      <c r="DE349" s="48"/>
      <c r="DF349" s="48"/>
      <c r="DG349" s="48"/>
      <c r="DH349" s="48"/>
      <c r="DI349" s="48"/>
      <c r="DJ349" s="48"/>
      <c r="DK349" s="48"/>
      <c r="DL349" s="48"/>
      <c r="DM349" s="48"/>
      <c r="DN349" s="48"/>
      <c r="DO349" s="48"/>
      <c r="DP349" s="48"/>
      <c r="DQ349" s="48"/>
      <c r="DR349" s="48"/>
      <c r="DS349" s="48"/>
      <c r="DT349" s="48"/>
      <c r="DU349" s="48"/>
      <c r="DV349" s="48"/>
      <c r="DW349" s="48"/>
      <c r="DX349" s="48"/>
      <c r="DY349" s="48"/>
      <c r="DZ349" s="48"/>
      <c r="EA349" s="48"/>
      <c r="EB349" s="48"/>
      <c r="EC349" s="48"/>
      <c r="ED349" s="48"/>
    </row>
    <row r="350" spans="1:134" ht="11.25" customHeight="1" x14ac:dyDescent="0.3">
      <c r="A350" s="28" t="e">
        <f t="array" aca="1" ref="A350" ca="1">_xludf.XLOOKUP(S350,Master_Registrations!P:P,Master_Registrations!A:A,"")</f>
        <v>#NAME?</v>
      </c>
      <c r="B350" s="39" t="s">
        <v>7081</v>
      </c>
      <c r="C350" s="39">
        <v>2026</v>
      </c>
      <c r="D350" s="39" t="s">
        <v>4886</v>
      </c>
      <c r="E350" s="39">
        <v>2</v>
      </c>
      <c r="F350" s="40" t="str">
        <f t="shared" si="6"/>
        <v>VED-05-2026-GR-2</v>
      </c>
      <c r="G350" s="39" t="s">
        <v>4750</v>
      </c>
      <c r="H350" s="39" t="s">
        <v>2109</v>
      </c>
      <c r="I350" s="39" t="s">
        <v>7083</v>
      </c>
      <c r="J350" s="39" t="s">
        <v>198</v>
      </c>
      <c r="K350" s="52"/>
      <c r="L350" s="52"/>
      <c r="M350" s="52"/>
      <c r="N350" s="39" t="s">
        <v>299</v>
      </c>
      <c r="O350" s="39" t="s">
        <v>1598</v>
      </c>
      <c r="P350" s="39" t="s">
        <v>1599</v>
      </c>
      <c r="Q350" s="39" t="e">
        <f t="shared" ca="1" si="7"/>
        <v>#NAME?</v>
      </c>
      <c r="R350" s="39" t="s">
        <v>316</v>
      </c>
      <c r="S350" s="50">
        <v>5715998145</v>
      </c>
      <c r="T350" s="40" t="s">
        <v>402</v>
      </c>
      <c r="U350" s="39">
        <v>1987</v>
      </c>
      <c r="V350" s="44">
        <v>2</v>
      </c>
      <c r="W350" s="44">
        <v>2</v>
      </c>
      <c r="X350" s="44">
        <v>2</v>
      </c>
      <c r="Y350" s="44">
        <v>2</v>
      </c>
      <c r="Z350" s="44">
        <v>2</v>
      </c>
      <c r="AA350" s="44">
        <v>2</v>
      </c>
      <c r="AB350" s="44">
        <v>2</v>
      </c>
      <c r="AC350" s="44">
        <v>2</v>
      </c>
      <c r="AD350" s="44">
        <v>2</v>
      </c>
      <c r="AE350" s="44">
        <v>2</v>
      </c>
      <c r="AF350" s="44">
        <v>2</v>
      </c>
      <c r="AG350" s="44">
        <v>2</v>
      </c>
      <c r="AH350" s="44">
        <v>2</v>
      </c>
      <c r="AI350" s="44">
        <v>3</v>
      </c>
      <c r="AJ350" s="44">
        <v>2</v>
      </c>
      <c r="AK350" s="44">
        <v>2</v>
      </c>
      <c r="AL350" s="44">
        <v>2</v>
      </c>
      <c r="AM350" s="44">
        <v>2</v>
      </c>
      <c r="AN350" s="44">
        <v>2</v>
      </c>
      <c r="AO350" s="44">
        <v>2</v>
      </c>
      <c r="AP350" s="44">
        <v>2</v>
      </c>
      <c r="AQ350" s="44">
        <v>2</v>
      </c>
      <c r="AR350" s="44">
        <v>2</v>
      </c>
      <c r="AS350" s="44">
        <v>2</v>
      </c>
      <c r="AT350" s="44">
        <v>2</v>
      </c>
      <c r="AU350" s="44">
        <v>2</v>
      </c>
      <c r="AV350" s="44">
        <v>4</v>
      </c>
      <c r="AW350" s="44">
        <v>2</v>
      </c>
      <c r="AX350" s="44">
        <v>2</v>
      </c>
      <c r="AY350" s="44">
        <v>2</v>
      </c>
      <c r="AZ350" s="44">
        <v>2</v>
      </c>
      <c r="BA350" s="44">
        <v>2</v>
      </c>
      <c r="BB350" s="44">
        <v>2</v>
      </c>
      <c r="BC350" s="44">
        <v>2</v>
      </c>
      <c r="BD350" s="44">
        <v>2</v>
      </c>
      <c r="BE350" s="44">
        <v>2</v>
      </c>
      <c r="BF350" s="44">
        <v>4</v>
      </c>
      <c r="BG350" s="44">
        <v>2</v>
      </c>
      <c r="BH350" s="44">
        <v>2</v>
      </c>
      <c r="BI350" s="44">
        <v>1</v>
      </c>
      <c r="BJ350" s="44">
        <v>1</v>
      </c>
      <c r="BK350" s="44">
        <v>2</v>
      </c>
      <c r="BL350" s="44">
        <v>2</v>
      </c>
      <c r="BM350" s="45">
        <v>-1</v>
      </c>
      <c r="BN350" s="61">
        <v>-1</v>
      </c>
      <c r="BO350" s="61">
        <v>-1</v>
      </c>
      <c r="BP350" s="61">
        <v>-1</v>
      </c>
      <c r="BQ350" s="61"/>
      <c r="BR350" s="61"/>
      <c r="BS350" s="61"/>
      <c r="BT350" s="61"/>
      <c r="BU350" s="61"/>
      <c r="BV350" s="61"/>
      <c r="BW350" s="39"/>
      <c r="BX350" s="39"/>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48"/>
      <c r="DA350" s="48"/>
      <c r="DB350" s="48"/>
      <c r="DC350" s="48"/>
      <c r="DD350" s="48"/>
      <c r="DE350" s="48"/>
      <c r="DF350" s="48"/>
      <c r="DG350" s="48"/>
      <c r="DH350" s="48"/>
      <c r="DI350" s="48"/>
      <c r="DJ350" s="48"/>
      <c r="DK350" s="48"/>
      <c r="DL350" s="48"/>
      <c r="DM350" s="48"/>
      <c r="DN350" s="48"/>
      <c r="DO350" s="48"/>
      <c r="DP350" s="48"/>
      <c r="DQ350" s="48"/>
      <c r="DR350" s="48"/>
      <c r="DS350" s="48"/>
      <c r="DT350" s="48"/>
      <c r="DU350" s="48"/>
      <c r="DV350" s="48"/>
      <c r="DW350" s="48"/>
      <c r="DX350" s="48"/>
      <c r="DY350" s="48"/>
      <c r="DZ350" s="48"/>
      <c r="EA350" s="48"/>
      <c r="EB350" s="48"/>
      <c r="EC350" s="48"/>
      <c r="ED350" s="48"/>
    </row>
    <row r="351" spans="1:134" ht="11.25" customHeight="1" x14ac:dyDescent="0.3">
      <c r="A351" s="28" t="e">
        <f t="array" aca="1" ref="A351" ca="1">_xludf.XLOOKUP(S351,Master_Registrations!P:P,Master_Registrations!A:A,"")</f>
        <v>#NAME?</v>
      </c>
      <c r="B351" s="39" t="s">
        <v>7081</v>
      </c>
      <c r="C351" s="39">
        <v>2026</v>
      </c>
      <c r="D351" s="39" t="s">
        <v>4886</v>
      </c>
      <c r="E351" s="39">
        <v>2</v>
      </c>
      <c r="F351" s="40" t="str">
        <f t="shared" si="6"/>
        <v>VED-05-2026-GR-2</v>
      </c>
      <c r="G351" s="39" t="s">
        <v>4750</v>
      </c>
      <c r="H351" s="39" t="s">
        <v>2109</v>
      </c>
      <c r="I351" s="39" t="s">
        <v>7083</v>
      </c>
      <c r="J351" s="39" t="s">
        <v>198</v>
      </c>
      <c r="K351" s="52"/>
      <c r="L351" s="52"/>
      <c r="M351" s="52"/>
      <c r="N351" s="39" t="s">
        <v>369</v>
      </c>
      <c r="O351" s="39" t="s">
        <v>937</v>
      </c>
      <c r="P351" s="39" t="s">
        <v>1605</v>
      </c>
      <c r="Q351" s="39" t="e">
        <f t="shared" ca="1" si="7"/>
        <v>#NAME?</v>
      </c>
      <c r="R351" s="39" t="s">
        <v>316</v>
      </c>
      <c r="S351" s="50">
        <v>6107724308</v>
      </c>
      <c r="T351" s="40" t="s">
        <v>474</v>
      </c>
      <c r="U351" s="39">
        <v>1984</v>
      </c>
      <c r="V351" s="44">
        <v>2</v>
      </c>
      <c r="W351" s="44">
        <v>2</v>
      </c>
      <c r="X351" s="44">
        <v>2</v>
      </c>
      <c r="Y351" s="44">
        <v>2</v>
      </c>
      <c r="Z351" s="44">
        <v>2</v>
      </c>
      <c r="AA351" s="44">
        <v>2</v>
      </c>
      <c r="AB351" s="44">
        <v>2</v>
      </c>
      <c r="AC351" s="44">
        <v>2</v>
      </c>
      <c r="AD351" s="44">
        <v>2</v>
      </c>
      <c r="AE351" s="44">
        <v>2</v>
      </c>
      <c r="AF351" s="44">
        <v>2</v>
      </c>
      <c r="AG351" s="44">
        <v>2</v>
      </c>
      <c r="AH351" s="44">
        <v>2</v>
      </c>
      <c r="AI351" s="44">
        <v>3</v>
      </c>
      <c r="AJ351" s="44">
        <v>2</v>
      </c>
      <c r="AK351" s="44">
        <v>2</v>
      </c>
      <c r="AL351" s="44">
        <v>2</v>
      </c>
      <c r="AM351" s="44">
        <v>2</v>
      </c>
      <c r="AN351" s="44">
        <v>2</v>
      </c>
      <c r="AO351" s="44">
        <v>2</v>
      </c>
      <c r="AP351" s="44">
        <v>2</v>
      </c>
      <c r="AQ351" s="44">
        <v>2</v>
      </c>
      <c r="AR351" s="44">
        <v>2</v>
      </c>
      <c r="AS351" s="44">
        <v>2</v>
      </c>
      <c r="AT351" s="44">
        <v>2</v>
      </c>
      <c r="AU351" s="44">
        <v>2</v>
      </c>
      <c r="AV351" s="44">
        <v>3</v>
      </c>
      <c r="AW351" s="44">
        <v>2</v>
      </c>
      <c r="AX351" s="44">
        <v>2</v>
      </c>
      <c r="AY351" s="44">
        <v>2</v>
      </c>
      <c r="AZ351" s="44">
        <v>1</v>
      </c>
      <c r="BA351" s="44">
        <v>1</v>
      </c>
      <c r="BB351" s="44">
        <v>-1</v>
      </c>
      <c r="BC351" s="44">
        <v>1</v>
      </c>
      <c r="BD351" s="44">
        <v>2</v>
      </c>
      <c r="BE351" s="44">
        <v>-1</v>
      </c>
      <c r="BF351" s="45">
        <v>-1</v>
      </c>
      <c r="BG351" s="44">
        <v>1</v>
      </c>
      <c r="BH351" s="44">
        <v>1</v>
      </c>
      <c r="BI351" s="45">
        <v>-1</v>
      </c>
      <c r="BJ351" s="45">
        <v>-1</v>
      </c>
      <c r="BK351" s="45">
        <v>-1</v>
      </c>
      <c r="BL351" s="45">
        <v>-1</v>
      </c>
      <c r="BM351" s="45">
        <v>-1</v>
      </c>
      <c r="BN351" s="61">
        <v>-1</v>
      </c>
      <c r="BO351" s="61">
        <v>-1</v>
      </c>
      <c r="BP351" s="61">
        <v>-1</v>
      </c>
      <c r="BQ351" s="61"/>
      <c r="BR351" s="61"/>
      <c r="BS351" s="61"/>
      <c r="BT351" s="61"/>
      <c r="BU351" s="61"/>
      <c r="BV351" s="61"/>
      <c r="BW351" s="39"/>
      <c r="BX351" s="39"/>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48"/>
      <c r="DA351" s="48"/>
      <c r="DB351" s="48"/>
      <c r="DC351" s="48"/>
      <c r="DD351" s="48"/>
      <c r="DE351" s="48"/>
      <c r="DF351" s="48"/>
      <c r="DG351" s="48"/>
      <c r="DH351" s="48"/>
      <c r="DI351" s="48"/>
      <c r="DJ351" s="48"/>
      <c r="DK351" s="48"/>
      <c r="DL351" s="48"/>
      <c r="DM351" s="48"/>
      <c r="DN351" s="48"/>
      <c r="DO351" s="48"/>
      <c r="DP351" s="48"/>
      <c r="DQ351" s="48"/>
      <c r="DR351" s="48"/>
      <c r="DS351" s="48"/>
      <c r="DT351" s="48"/>
      <c r="DU351" s="48"/>
      <c r="DV351" s="48"/>
      <c r="DW351" s="48"/>
      <c r="DX351" s="48"/>
      <c r="DY351" s="48"/>
      <c r="DZ351" s="48"/>
      <c r="EA351" s="48"/>
      <c r="EB351" s="48"/>
      <c r="EC351" s="48"/>
      <c r="ED351" s="48"/>
    </row>
    <row r="352" spans="1:134" ht="11.25" customHeight="1" x14ac:dyDescent="0.3">
      <c r="A352" s="28" t="e">
        <f t="array" aca="1" ref="A352" ca="1">_xludf.XLOOKUP(S352,Master_Registrations!P:P,Master_Registrations!A:A,"")</f>
        <v>#NAME?</v>
      </c>
      <c r="B352" s="39" t="s">
        <v>7081</v>
      </c>
      <c r="C352" s="39">
        <v>2026</v>
      </c>
      <c r="D352" s="39" t="s">
        <v>4886</v>
      </c>
      <c r="E352" s="39">
        <v>2</v>
      </c>
      <c r="F352" s="40" t="str">
        <f t="shared" si="6"/>
        <v>VED-05-2026-GR-2</v>
      </c>
      <c r="G352" s="39" t="s">
        <v>4750</v>
      </c>
      <c r="H352" s="39" t="s">
        <v>2109</v>
      </c>
      <c r="I352" s="39" t="s">
        <v>7083</v>
      </c>
      <c r="J352" s="39" t="s">
        <v>198</v>
      </c>
      <c r="K352" s="52"/>
      <c r="L352" s="52"/>
      <c r="M352" s="52"/>
      <c r="N352" s="39" t="s">
        <v>434</v>
      </c>
      <c r="O352" s="39" t="s">
        <v>781</v>
      </c>
      <c r="P352" s="39" t="s">
        <v>6851</v>
      </c>
      <c r="Q352" s="39" t="e">
        <f t="shared" ca="1" si="7"/>
        <v>#NAME?</v>
      </c>
      <c r="R352" s="39" t="s">
        <v>316</v>
      </c>
      <c r="S352" s="50">
        <v>8188762063</v>
      </c>
      <c r="T352" s="40" t="s">
        <v>315</v>
      </c>
      <c r="U352" s="39">
        <v>1973</v>
      </c>
      <c r="V352" s="44">
        <v>2</v>
      </c>
      <c r="W352" s="44">
        <v>2</v>
      </c>
      <c r="X352" s="44">
        <v>2</v>
      </c>
      <c r="Y352" s="44">
        <v>2</v>
      </c>
      <c r="Z352" s="44">
        <v>2</v>
      </c>
      <c r="AA352" s="44">
        <v>2</v>
      </c>
      <c r="AB352" s="44">
        <v>2</v>
      </c>
      <c r="AC352" s="44">
        <v>2</v>
      </c>
      <c r="AD352" s="44">
        <v>2</v>
      </c>
      <c r="AE352" s="44">
        <v>2</v>
      </c>
      <c r="AF352" s="44">
        <v>2</v>
      </c>
      <c r="AG352" s="44">
        <v>2</v>
      </c>
      <c r="AH352" s="44">
        <v>2</v>
      </c>
      <c r="AI352" s="44">
        <v>3</v>
      </c>
      <c r="AJ352" s="44">
        <v>2</v>
      </c>
      <c r="AK352" s="44">
        <v>2</v>
      </c>
      <c r="AL352" s="44">
        <v>2</v>
      </c>
      <c r="AM352" s="44">
        <v>2</v>
      </c>
      <c r="AN352" s="44">
        <v>2</v>
      </c>
      <c r="AO352" s="44">
        <v>2</v>
      </c>
      <c r="AP352" s="44">
        <v>2</v>
      </c>
      <c r="AQ352" s="44">
        <v>2</v>
      </c>
      <c r="AR352" s="44">
        <v>2</v>
      </c>
      <c r="AS352" s="44">
        <v>2</v>
      </c>
      <c r="AT352" s="44">
        <v>2</v>
      </c>
      <c r="AU352" s="44">
        <v>2</v>
      </c>
      <c r="AV352" s="44">
        <v>4</v>
      </c>
      <c r="AW352" s="44">
        <v>2</v>
      </c>
      <c r="AX352" s="44">
        <v>2</v>
      </c>
      <c r="AY352" s="44">
        <v>2</v>
      </c>
      <c r="AZ352" s="44">
        <v>2</v>
      </c>
      <c r="BA352" s="44">
        <v>2</v>
      </c>
      <c r="BB352" s="44">
        <v>2</v>
      </c>
      <c r="BC352" s="44">
        <v>2</v>
      </c>
      <c r="BD352" s="44">
        <v>2</v>
      </c>
      <c r="BE352" s="44">
        <v>2</v>
      </c>
      <c r="BF352" s="44">
        <v>4</v>
      </c>
      <c r="BG352" s="44">
        <v>2</v>
      </c>
      <c r="BH352" s="44">
        <v>2</v>
      </c>
      <c r="BI352" s="44">
        <v>2</v>
      </c>
      <c r="BJ352" s="44">
        <v>2</v>
      </c>
      <c r="BK352" s="44">
        <v>2</v>
      </c>
      <c r="BL352" s="44">
        <v>2</v>
      </c>
      <c r="BM352" s="44">
        <v>4</v>
      </c>
      <c r="BN352" s="61">
        <v>-1</v>
      </c>
      <c r="BO352" s="61">
        <v>-1</v>
      </c>
      <c r="BP352" s="61">
        <v>-1</v>
      </c>
      <c r="BQ352" s="61"/>
      <c r="BR352" s="61"/>
      <c r="BS352" s="61"/>
      <c r="BT352" s="61"/>
      <c r="BU352" s="61"/>
      <c r="BV352" s="61"/>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48"/>
      <c r="DA352" s="48"/>
      <c r="DB352" s="48"/>
      <c r="DC352" s="48"/>
      <c r="DD352" s="48"/>
      <c r="DE352" s="48"/>
      <c r="DF352" s="48"/>
      <c r="DG352" s="48"/>
      <c r="DH352" s="48"/>
      <c r="DI352" s="48"/>
      <c r="DJ352" s="48"/>
      <c r="DK352" s="48"/>
      <c r="DL352" s="48"/>
      <c r="DM352" s="48"/>
      <c r="DN352" s="48"/>
      <c r="DO352" s="48"/>
      <c r="DP352" s="48"/>
      <c r="DQ352" s="48"/>
      <c r="DR352" s="48"/>
      <c r="DS352" s="48"/>
      <c r="DT352" s="48"/>
      <c r="DU352" s="48"/>
      <c r="DV352" s="48"/>
      <c r="DW352" s="48"/>
      <c r="DX352" s="48"/>
      <c r="DY352" s="48"/>
      <c r="DZ352" s="48"/>
      <c r="EA352" s="48"/>
      <c r="EB352" s="48"/>
      <c r="EC352" s="48"/>
      <c r="ED352" s="48"/>
    </row>
    <row r="353" spans="1:134" ht="11.25" customHeight="1" x14ac:dyDescent="0.3">
      <c r="A353" s="28" t="e">
        <f t="array" aca="1" ref="A353" ca="1">_xludf.XLOOKUP(S353,Master_Registrations!P:P,Master_Registrations!A:A,"")</f>
        <v>#NAME?</v>
      </c>
      <c r="B353" s="39" t="s">
        <v>7081</v>
      </c>
      <c r="C353" s="39">
        <v>2026</v>
      </c>
      <c r="D353" s="39" t="s">
        <v>4886</v>
      </c>
      <c r="E353" s="39">
        <v>2</v>
      </c>
      <c r="F353" s="40" t="str">
        <f t="shared" si="6"/>
        <v>VED-05-2026-GR-2</v>
      </c>
      <c r="G353" s="39" t="s">
        <v>4750</v>
      </c>
      <c r="H353" s="39" t="s">
        <v>2109</v>
      </c>
      <c r="I353" s="39" t="s">
        <v>7083</v>
      </c>
      <c r="J353" s="39" t="s">
        <v>198</v>
      </c>
      <c r="K353" s="44"/>
      <c r="L353" s="44"/>
      <c r="M353" s="44"/>
      <c r="N353" s="39" t="s">
        <v>525</v>
      </c>
      <c r="O353" s="39" t="s">
        <v>1641</v>
      </c>
      <c r="P353" s="39" t="s">
        <v>862</v>
      </c>
      <c r="Q353" s="39" t="e">
        <f t="shared" ca="1" si="7"/>
        <v>#NAME?</v>
      </c>
      <c r="R353" s="39" t="s">
        <v>316</v>
      </c>
      <c r="S353" s="50">
        <v>3304610026</v>
      </c>
      <c r="T353" s="40" t="s">
        <v>402</v>
      </c>
      <c r="U353" s="39">
        <v>1983</v>
      </c>
      <c r="V353" s="44">
        <v>2</v>
      </c>
      <c r="W353" s="44">
        <v>2</v>
      </c>
      <c r="X353" s="44">
        <v>2</v>
      </c>
      <c r="Y353" s="44">
        <v>2</v>
      </c>
      <c r="Z353" s="44">
        <v>2</v>
      </c>
      <c r="AA353" s="44">
        <v>2</v>
      </c>
      <c r="AB353" s="44">
        <v>2</v>
      </c>
      <c r="AC353" s="44">
        <v>2</v>
      </c>
      <c r="AD353" s="44">
        <v>2</v>
      </c>
      <c r="AE353" s="44">
        <v>2</v>
      </c>
      <c r="AF353" s="44">
        <v>2</v>
      </c>
      <c r="AG353" s="44">
        <v>2</v>
      </c>
      <c r="AH353" s="44">
        <v>1</v>
      </c>
      <c r="AI353" s="45">
        <v>-1</v>
      </c>
      <c r="AJ353" s="44">
        <v>1</v>
      </c>
      <c r="AK353" s="44">
        <v>1</v>
      </c>
      <c r="AL353" s="44">
        <v>1</v>
      </c>
      <c r="AM353" s="44">
        <v>1</v>
      </c>
      <c r="AN353" s="44">
        <v>1</v>
      </c>
      <c r="AO353" s="44">
        <v>1</v>
      </c>
      <c r="AP353" s="45">
        <v>2</v>
      </c>
      <c r="AQ353" s="44">
        <v>1</v>
      </c>
      <c r="AR353" s="44">
        <v>1</v>
      </c>
      <c r="AS353" s="44">
        <v>1</v>
      </c>
      <c r="AT353" s="44">
        <v>-1</v>
      </c>
      <c r="AU353" s="44">
        <v>2</v>
      </c>
      <c r="AV353" s="45">
        <v>-1</v>
      </c>
      <c r="AW353" s="44">
        <v>2</v>
      </c>
      <c r="AX353" s="62">
        <v>1</v>
      </c>
      <c r="AY353" s="44">
        <v>2</v>
      </c>
      <c r="AZ353" s="44">
        <v>-1</v>
      </c>
      <c r="BA353" s="44">
        <v>2</v>
      </c>
      <c r="BB353" s="44">
        <v>2</v>
      </c>
      <c r="BC353" s="44">
        <v>1</v>
      </c>
      <c r="BD353" s="44">
        <v>-1</v>
      </c>
      <c r="BE353" s="44">
        <v>-1</v>
      </c>
      <c r="BF353" s="45">
        <v>-1</v>
      </c>
      <c r="BG353" s="45">
        <v>-1</v>
      </c>
      <c r="BH353" s="45">
        <v>-1</v>
      </c>
      <c r="BI353" s="45">
        <v>-1</v>
      </c>
      <c r="BJ353" s="45">
        <v>-1</v>
      </c>
      <c r="BK353" s="45">
        <v>-1</v>
      </c>
      <c r="BL353" s="45">
        <v>-1</v>
      </c>
      <c r="BM353" s="45">
        <v>-1</v>
      </c>
      <c r="BN353" s="61">
        <v>-1</v>
      </c>
      <c r="BO353" s="61">
        <v>-1</v>
      </c>
      <c r="BP353" s="61">
        <v>-1</v>
      </c>
      <c r="BQ353" s="61"/>
      <c r="BR353" s="61"/>
      <c r="BS353" s="61"/>
      <c r="BT353" s="61"/>
      <c r="BU353" s="61"/>
      <c r="BV353" s="61"/>
      <c r="BW353" s="39"/>
      <c r="BX353" s="39"/>
      <c r="BY353" s="39"/>
      <c r="BZ353" s="39"/>
      <c r="CA353" s="39"/>
      <c r="CB353" s="39"/>
      <c r="CC353" s="39"/>
      <c r="CD353" s="39"/>
      <c r="CE353" s="39"/>
      <c r="CF353" s="39"/>
      <c r="CG353" s="39"/>
      <c r="CH353" s="39"/>
      <c r="CI353" s="39"/>
      <c r="CJ353" s="39"/>
      <c r="CK353" s="39"/>
      <c r="CL353" s="39"/>
      <c r="CM353" s="39"/>
      <c r="CN353" s="39"/>
      <c r="CO353" s="39"/>
      <c r="CP353" s="39"/>
      <c r="CQ353" s="39"/>
      <c r="CR353" s="39"/>
      <c r="CS353" s="39"/>
      <c r="CT353" s="39"/>
      <c r="CU353" s="39"/>
      <c r="CV353" s="39"/>
      <c r="CW353" s="39"/>
      <c r="CX353" s="39"/>
      <c r="CY353" s="39"/>
      <c r="CZ353" s="48"/>
      <c r="DA353" s="48"/>
      <c r="DB353" s="48"/>
      <c r="DC353" s="48"/>
      <c r="DD353" s="48"/>
      <c r="DE353" s="48"/>
      <c r="DF353" s="48"/>
      <c r="DG353" s="48"/>
      <c r="DH353" s="48"/>
      <c r="DI353" s="48"/>
      <c r="DJ353" s="48"/>
      <c r="DK353" s="48"/>
      <c r="DL353" s="48"/>
      <c r="DM353" s="48"/>
      <c r="DN353" s="48"/>
      <c r="DO353" s="48"/>
      <c r="DP353" s="48"/>
      <c r="DQ353" s="48"/>
      <c r="DR353" s="48"/>
      <c r="DS353" s="48"/>
      <c r="DT353" s="48"/>
      <c r="DU353" s="48"/>
      <c r="DV353" s="48"/>
      <c r="DW353" s="48"/>
      <c r="DX353" s="48"/>
      <c r="DY353" s="48"/>
      <c r="DZ353" s="48"/>
      <c r="EA353" s="48"/>
      <c r="EB353" s="48"/>
      <c r="EC353" s="48"/>
      <c r="ED353" s="48"/>
    </row>
    <row r="354" spans="1:134" ht="11.25" customHeight="1" x14ac:dyDescent="0.3">
      <c r="A354" s="28" t="e">
        <f t="array" aca="1" ref="A354" ca="1">_xludf.XLOOKUP(S354,Master_Registrations!P:P,Master_Registrations!A:A,"")</f>
        <v>#NAME?</v>
      </c>
      <c r="B354" s="39" t="s">
        <v>7081</v>
      </c>
      <c r="C354" s="39">
        <v>2026</v>
      </c>
      <c r="D354" s="39" t="s">
        <v>4886</v>
      </c>
      <c r="E354" s="39">
        <v>2</v>
      </c>
      <c r="F354" s="40" t="str">
        <f t="shared" si="6"/>
        <v>VED-05-2026-GR-2</v>
      </c>
      <c r="G354" s="39" t="s">
        <v>4750</v>
      </c>
      <c r="H354" s="39" t="s">
        <v>2109</v>
      </c>
      <c r="I354" s="39" t="s">
        <v>7083</v>
      </c>
      <c r="J354" s="39" t="s">
        <v>198</v>
      </c>
      <c r="K354" s="52"/>
      <c r="L354" s="52"/>
      <c r="M354" s="52"/>
      <c r="N354" s="39" t="s">
        <v>621</v>
      </c>
      <c r="O354" s="39" t="s">
        <v>1388</v>
      </c>
      <c r="P354" s="39" t="s">
        <v>1389</v>
      </c>
      <c r="Q354" s="39" t="e">
        <f t="shared" ca="1" si="7"/>
        <v>#NAME?</v>
      </c>
      <c r="R354" s="39" t="s">
        <v>316</v>
      </c>
      <c r="S354" s="50">
        <v>2482296058</v>
      </c>
      <c r="T354" s="40" t="s">
        <v>402</v>
      </c>
      <c r="U354" s="39">
        <v>1972</v>
      </c>
      <c r="V354" s="44">
        <v>2</v>
      </c>
      <c r="W354" s="44">
        <v>2</v>
      </c>
      <c r="X354" s="44">
        <v>2</v>
      </c>
      <c r="Y354" s="44">
        <v>2</v>
      </c>
      <c r="Z354" s="44">
        <v>2</v>
      </c>
      <c r="AA354" s="44">
        <v>2</v>
      </c>
      <c r="AB354" s="44">
        <v>2</v>
      </c>
      <c r="AC354" s="44">
        <v>2</v>
      </c>
      <c r="AD354" s="44">
        <v>2</v>
      </c>
      <c r="AE354" s="44">
        <v>2</v>
      </c>
      <c r="AF354" s="44">
        <v>2</v>
      </c>
      <c r="AG354" s="44">
        <v>2</v>
      </c>
      <c r="AH354" s="44">
        <v>2</v>
      </c>
      <c r="AI354" s="45">
        <v>-1</v>
      </c>
      <c r="AJ354" s="44">
        <v>1</v>
      </c>
      <c r="AK354" s="44">
        <v>1</v>
      </c>
      <c r="AL354" s="44">
        <v>1</v>
      </c>
      <c r="AM354" s="44">
        <v>1</v>
      </c>
      <c r="AN354" s="44">
        <v>1</v>
      </c>
      <c r="AO354" s="45">
        <v>2</v>
      </c>
      <c r="AP354" s="44">
        <v>1</v>
      </c>
      <c r="AQ354" s="44">
        <v>1</v>
      </c>
      <c r="AR354" s="44">
        <v>1</v>
      </c>
      <c r="AS354" s="44">
        <v>2</v>
      </c>
      <c r="AT354" s="44">
        <v>2</v>
      </c>
      <c r="AU354" s="44">
        <v>1</v>
      </c>
      <c r="AV354" s="45">
        <v>-1</v>
      </c>
      <c r="AW354" s="44">
        <v>1</v>
      </c>
      <c r="AX354" s="62">
        <v>1</v>
      </c>
      <c r="AY354" s="44">
        <v>2</v>
      </c>
      <c r="AZ354" s="44">
        <v>2</v>
      </c>
      <c r="BA354" s="44">
        <v>1</v>
      </c>
      <c r="BB354" s="44">
        <v>2</v>
      </c>
      <c r="BC354" s="44">
        <v>1</v>
      </c>
      <c r="BD354" s="44">
        <v>1</v>
      </c>
      <c r="BE354" s="44">
        <v>1</v>
      </c>
      <c r="BF354" s="45">
        <v>-1</v>
      </c>
      <c r="BG354" s="44">
        <v>1</v>
      </c>
      <c r="BH354" s="44">
        <v>1</v>
      </c>
      <c r="BI354" s="44">
        <v>1</v>
      </c>
      <c r="BJ354" s="44">
        <v>-1</v>
      </c>
      <c r="BK354" s="44">
        <v>1</v>
      </c>
      <c r="BL354" s="44">
        <v>1</v>
      </c>
      <c r="BM354" s="45">
        <v>-1</v>
      </c>
      <c r="BN354" s="61">
        <v>-1</v>
      </c>
      <c r="BO354" s="61">
        <v>-1</v>
      </c>
      <c r="BP354" s="61">
        <v>-1</v>
      </c>
      <c r="BQ354" s="61"/>
      <c r="BR354" s="61"/>
      <c r="BS354" s="61"/>
      <c r="BT354" s="61"/>
      <c r="BU354" s="61"/>
      <c r="BV354" s="61"/>
      <c r="BW354" s="39"/>
      <c r="BX354" s="39"/>
      <c r="BY354" s="39"/>
      <c r="BZ354" s="39"/>
      <c r="CA354" s="39"/>
      <c r="CB354" s="39"/>
      <c r="CC354" s="39"/>
      <c r="CD354" s="39"/>
      <c r="CE354" s="39"/>
      <c r="CF354" s="39"/>
      <c r="CG354" s="39"/>
      <c r="CH354" s="39"/>
      <c r="CI354" s="39"/>
      <c r="CJ354" s="39"/>
      <c r="CK354" s="39"/>
      <c r="CL354" s="39"/>
      <c r="CM354" s="39"/>
      <c r="CN354" s="39"/>
      <c r="CO354" s="39"/>
      <c r="CP354" s="39"/>
      <c r="CQ354" s="39"/>
      <c r="CR354" s="39"/>
      <c r="CS354" s="39"/>
      <c r="CT354" s="39"/>
      <c r="CU354" s="39"/>
      <c r="CV354" s="39"/>
      <c r="CW354" s="39"/>
      <c r="CX354" s="39"/>
      <c r="CY354" s="39"/>
      <c r="CZ354" s="48"/>
      <c r="DA354" s="48"/>
      <c r="DB354" s="48"/>
      <c r="DC354" s="48"/>
      <c r="DD354" s="48"/>
      <c r="DE354" s="48"/>
      <c r="DF354" s="48"/>
      <c r="DG354" s="48"/>
      <c r="DH354" s="48"/>
      <c r="DI354" s="48"/>
      <c r="DJ354" s="48"/>
      <c r="DK354" s="48"/>
      <c r="DL354" s="48"/>
      <c r="DM354" s="48"/>
      <c r="DN354" s="48"/>
      <c r="DO354" s="48"/>
      <c r="DP354" s="48"/>
      <c r="DQ354" s="48"/>
      <c r="DR354" s="48"/>
      <c r="DS354" s="48"/>
      <c r="DT354" s="48"/>
      <c r="DU354" s="48"/>
      <c r="DV354" s="48"/>
      <c r="DW354" s="48"/>
      <c r="DX354" s="48"/>
      <c r="DY354" s="48"/>
      <c r="DZ354" s="48"/>
      <c r="EA354" s="48"/>
      <c r="EB354" s="48"/>
      <c r="EC354" s="48"/>
      <c r="ED354" s="48"/>
    </row>
    <row r="355" spans="1:134" ht="11.25" customHeight="1" x14ac:dyDescent="0.3">
      <c r="A355" s="28" t="e">
        <f t="array" aca="1" ref="A355" ca="1">_xludf.XLOOKUP(S355,Master_Registrations!P:P,Master_Registrations!A:A,"")</f>
        <v>#NAME?</v>
      </c>
      <c r="B355" s="39" t="s">
        <v>7081</v>
      </c>
      <c r="C355" s="39">
        <v>2026</v>
      </c>
      <c r="D355" s="39" t="s">
        <v>4886</v>
      </c>
      <c r="E355" s="39">
        <v>2</v>
      </c>
      <c r="F355" s="40" t="str">
        <f t="shared" si="6"/>
        <v>VED-05-2026-GR-2</v>
      </c>
      <c r="G355" s="39" t="s">
        <v>4750</v>
      </c>
      <c r="H355" s="39" t="s">
        <v>2109</v>
      </c>
      <c r="I355" s="39" t="s">
        <v>7083</v>
      </c>
      <c r="J355" s="39" t="s">
        <v>198</v>
      </c>
      <c r="K355" s="52"/>
      <c r="L355" s="52"/>
      <c r="M355" s="52"/>
      <c r="N355" s="39" t="s">
        <v>714</v>
      </c>
      <c r="O355" s="39" t="s">
        <v>6728</v>
      </c>
      <c r="P355" s="39" t="s">
        <v>6917</v>
      </c>
      <c r="Q355" s="39" t="e">
        <f t="shared" ca="1" si="7"/>
        <v>#NAME?</v>
      </c>
      <c r="R355" s="39" t="s">
        <v>316</v>
      </c>
      <c r="S355" s="50">
        <v>9802293255</v>
      </c>
      <c r="T355" s="40" t="s">
        <v>474</v>
      </c>
      <c r="U355" s="39">
        <v>1985</v>
      </c>
      <c r="V355" s="44">
        <v>2</v>
      </c>
      <c r="W355" s="44">
        <v>2</v>
      </c>
      <c r="X355" s="44">
        <v>2</v>
      </c>
      <c r="Y355" s="44">
        <v>2</v>
      </c>
      <c r="Z355" s="44">
        <v>2</v>
      </c>
      <c r="AA355" s="44">
        <v>2</v>
      </c>
      <c r="AB355" s="44">
        <v>2</v>
      </c>
      <c r="AC355" s="44">
        <v>2</v>
      </c>
      <c r="AD355" s="44">
        <v>2</v>
      </c>
      <c r="AE355" s="44">
        <v>2</v>
      </c>
      <c r="AF355" s="44">
        <v>2</v>
      </c>
      <c r="AG355" s="44">
        <v>2</v>
      </c>
      <c r="AH355" s="44">
        <v>2</v>
      </c>
      <c r="AI355" s="44">
        <v>3</v>
      </c>
      <c r="AJ355" s="44">
        <v>2</v>
      </c>
      <c r="AK355" s="44">
        <v>2</v>
      </c>
      <c r="AL355" s="44">
        <v>2</v>
      </c>
      <c r="AM355" s="44">
        <v>2</v>
      </c>
      <c r="AN355" s="44">
        <v>2</v>
      </c>
      <c r="AO355" s="44">
        <v>2</v>
      </c>
      <c r="AP355" s="44">
        <v>2</v>
      </c>
      <c r="AQ355" s="44">
        <v>2</v>
      </c>
      <c r="AR355" s="44">
        <v>2</v>
      </c>
      <c r="AS355" s="44">
        <v>2</v>
      </c>
      <c r="AT355" s="44">
        <v>2</v>
      </c>
      <c r="AU355" s="44">
        <v>2</v>
      </c>
      <c r="AV355" s="44">
        <v>4</v>
      </c>
      <c r="AW355" s="44">
        <v>2</v>
      </c>
      <c r="AX355" s="44">
        <v>2</v>
      </c>
      <c r="AY355" s="44">
        <v>2</v>
      </c>
      <c r="AZ355" s="44">
        <v>2</v>
      </c>
      <c r="BA355" s="44">
        <v>2</v>
      </c>
      <c r="BB355" s="44">
        <v>2</v>
      </c>
      <c r="BC355" s="44">
        <v>2</v>
      </c>
      <c r="BD355" s="44">
        <v>2</v>
      </c>
      <c r="BE355" s="44">
        <v>2</v>
      </c>
      <c r="BF355" s="44">
        <v>4</v>
      </c>
      <c r="BG355" s="44">
        <v>2</v>
      </c>
      <c r="BH355" s="44">
        <v>2</v>
      </c>
      <c r="BI355" s="44">
        <v>2</v>
      </c>
      <c r="BJ355" s="44">
        <v>2</v>
      </c>
      <c r="BK355" s="44">
        <v>2</v>
      </c>
      <c r="BL355" s="44">
        <v>2</v>
      </c>
      <c r="BM355" s="44">
        <v>4</v>
      </c>
      <c r="BN355" s="61">
        <v>-1</v>
      </c>
      <c r="BO355" s="61">
        <v>-1</v>
      </c>
      <c r="BP355" s="61">
        <v>-1</v>
      </c>
      <c r="BQ355" s="61"/>
      <c r="BR355" s="61"/>
      <c r="BS355" s="61"/>
      <c r="BT355" s="61"/>
      <c r="BU355" s="61"/>
      <c r="BV355" s="61"/>
      <c r="BW355" s="39"/>
      <c r="BX355" s="39"/>
      <c r="BY355" s="39"/>
      <c r="BZ355" s="39"/>
      <c r="CA355" s="39"/>
      <c r="CB355" s="39"/>
      <c r="CC355" s="39"/>
      <c r="CD355" s="39"/>
      <c r="CE355" s="39"/>
      <c r="CF355" s="39"/>
      <c r="CG355" s="39"/>
      <c r="CH355" s="39"/>
      <c r="CI355" s="39"/>
      <c r="CJ355" s="39"/>
      <c r="CK355" s="39"/>
      <c r="CL355" s="39"/>
      <c r="CM355" s="39"/>
      <c r="CN355" s="39"/>
      <c r="CO355" s="39"/>
      <c r="CP355" s="39"/>
      <c r="CQ355" s="39"/>
      <c r="CR355" s="39"/>
      <c r="CS355" s="39"/>
      <c r="CT355" s="39"/>
      <c r="CU355" s="39"/>
      <c r="CV355" s="39"/>
      <c r="CW355" s="39"/>
      <c r="CX355" s="39"/>
      <c r="CY355" s="39"/>
      <c r="CZ355" s="48"/>
      <c r="DA355" s="48"/>
      <c r="DB355" s="48"/>
      <c r="DC355" s="48"/>
      <c r="DD355" s="48"/>
      <c r="DE355" s="48"/>
      <c r="DF355" s="48"/>
      <c r="DG355" s="48"/>
      <c r="DH355" s="48"/>
      <c r="DI355" s="48"/>
      <c r="DJ355" s="48"/>
      <c r="DK355" s="48"/>
      <c r="DL355" s="48"/>
      <c r="DM355" s="48"/>
      <c r="DN355" s="48"/>
      <c r="DO355" s="48"/>
      <c r="DP355" s="48"/>
      <c r="DQ355" s="48"/>
      <c r="DR355" s="48"/>
      <c r="DS355" s="48"/>
      <c r="DT355" s="48"/>
      <c r="DU355" s="48"/>
      <c r="DV355" s="48"/>
      <c r="DW355" s="48"/>
      <c r="DX355" s="48"/>
      <c r="DY355" s="48"/>
      <c r="DZ355" s="48"/>
      <c r="EA355" s="48"/>
      <c r="EB355" s="48"/>
      <c r="EC355" s="48"/>
      <c r="ED355" s="48"/>
    </row>
    <row r="356" spans="1:134" ht="11.25" customHeight="1" x14ac:dyDescent="0.3">
      <c r="A356" s="28" t="e">
        <f t="array" aca="1" ref="A356" ca="1">_xludf.XLOOKUP(S356,Master_Registrations!P:P,Master_Registrations!A:A,"")</f>
        <v>#NAME?</v>
      </c>
      <c r="B356" s="39" t="s">
        <v>7081</v>
      </c>
      <c r="C356" s="39">
        <v>2026</v>
      </c>
      <c r="D356" s="39" t="s">
        <v>4886</v>
      </c>
      <c r="E356" s="39">
        <v>2</v>
      </c>
      <c r="F356" s="40" t="str">
        <f t="shared" si="6"/>
        <v>VED-05-2026-GR-2</v>
      </c>
      <c r="G356" s="39" t="s">
        <v>4750</v>
      </c>
      <c r="H356" s="39" t="s">
        <v>2109</v>
      </c>
      <c r="I356" s="39" t="s">
        <v>7083</v>
      </c>
      <c r="J356" s="39" t="s">
        <v>198</v>
      </c>
      <c r="K356" s="52"/>
      <c r="L356" s="52"/>
      <c r="M356" s="52"/>
      <c r="N356" s="39" t="s">
        <v>786</v>
      </c>
      <c r="O356" s="39" t="s">
        <v>6733</v>
      </c>
      <c r="P356" s="39" t="s">
        <v>6734</v>
      </c>
      <c r="Q356" s="39" t="e">
        <f t="shared" ca="1" si="7"/>
        <v>#NAME?</v>
      </c>
      <c r="R356" s="39" t="s">
        <v>112</v>
      </c>
      <c r="S356" s="50">
        <v>9866306410</v>
      </c>
      <c r="T356" s="40" t="s">
        <v>111</v>
      </c>
      <c r="U356" s="39">
        <v>1960</v>
      </c>
      <c r="V356" s="44">
        <v>2</v>
      </c>
      <c r="W356" s="44">
        <v>2</v>
      </c>
      <c r="X356" s="44">
        <v>2</v>
      </c>
      <c r="Y356" s="44">
        <v>2</v>
      </c>
      <c r="Z356" s="44">
        <v>2</v>
      </c>
      <c r="AA356" s="44">
        <v>2</v>
      </c>
      <c r="AB356" s="44">
        <v>2</v>
      </c>
      <c r="AC356" s="44">
        <v>2</v>
      </c>
      <c r="AD356" s="44">
        <v>2</v>
      </c>
      <c r="AE356" s="44">
        <v>2</v>
      </c>
      <c r="AF356" s="44">
        <v>2</v>
      </c>
      <c r="AG356" s="44">
        <v>2</v>
      </c>
      <c r="AH356" s="44">
        <v>2</v>
      </c>
      <c r="AI356" s="44">
        <v>3</v>
      </c>
      <c r="AJ356" s="44">
        <v>2</v>
      </c>
      <c r="AK356" s="44">
        <v>2</v>
      </c>
      <c r="AL356" s="44">
        <v>2</v>
      </c>
      <c r="AM356" s="44">
        <v>2</v>
      </c>
      <c r="AN356" s="44">
        <v>2</v>
      </c>
      <c r="AO356" s="44">
        <v>2</v>
      </c>
      <c r="AP356" s="44">
        <v>2</v>
      </c>
      <c r="AQ356" s="44">
        <v>2</v>
      </c>
      <c r="AR356" s="44">
        <v>2</v>
      </c>
      <c r="AS356" s="44">
        <v>2</v>
      </c>
      <c r="AT356" s="44">
        <v>2</v>
      </c>
      <c r="AU356" s="44">
        <v>2</v>
      </c>
      <c r="AV356" s="44">
        <v>4</v>
      </c>
      <c r="AW356" s="44">
        <v>2</v>
      </c>
      <c r="AX356" s="44">
        <v>2</v>
      </c>
      <c r="AY356" s="44">
        <v>2</v>
      </c>
      <c r="AZ356" s="44">
        <v>2</v>
      </c>
      <c r="BA356" s="44">
        <v>2</v>
      </c>
      <c r="BB356" s="44">
        <v>2</v>
      </c>
      <c r="BC356" s="44">
        <v>2</v>
      </c>
      <c r="BD356" s="44">
        <v>2</v>
      </c>
      <c r="BE356" s="44">
        <v>2</v>
      </c>
      <c r="BF356" s="44">
        <v>4</v>
      </c>
      <c r="BG356" s="44">
        <v>2</v>
      </c>
      <c r="BH356" s="44">
        <v>2</v>
      </c>
      <c r="BI356" s="44">
        <v>2</v>
      </c>
      <c r="BJ356" s="44">
        <v>2</v>
      </c>
      <c r="BK356" s="44">
        <v>2</v>
      </c>
      <c r="BL356" s="44">
        <v>2</v>
      </c>
      <c r="BM356" s="44">
        <v>4</v>
      </c>
      <c r="BN356" s="61">
        <v>-1</v>
      </c>
      <c r="BO356" s="61">
        <v>-1</v>
      </c>
      <c r="BP356" s="61">
        <v>-1</v>
      </c>
      <c r="BQ356" s="61"/>
      <c r="BR356" s="61"/>
      <c r="BS356" s="61"/>
      <c r="BT356" s="61"/>
      <c r="BU356" s="61"/>
      <c r="BV356" s="61"/>
      <c r="BW356" s="39"/>
      <c r="BX356" s="39"/>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48"/>
      <c r="DA356" s="48"/>
      <c r="DB356" s="48"/>
      <c r="DC356" s="48"/>
      <c r="DD356" s="48"/>
      <c r="DE356" s="48"/>
      <c r="DF356" s="48"/>
      <c r="DG356" s="48"/>
      <c r="DH356" s="48"/>
      <c r="DI356" s="48"/>
      <c r="DJ356" s="48"/>
      <c r="DK356" s="48"/>
      <c r="DL356" s="48"/>
      <c r="DM356" s="48"/>
      <c r="DN356" s="48"/>
      <c r="DO356" s="48"/>
      <c r="DP356" s="48"/>
      <c r="DQ356" s="48"/>
      <c r="DR356" s="48"/>
      <c r="DS356" s="48"/>
      <c r="DT356" s="48"/>
      <c r="DU356" s="48"/>
      <c r="DV356" s="48"/>
      <c r="DW356" s="48"/>
      <c r="DX356" s="48"/>
      <c r="DY356" s="48"/>
      <c r="DZ356" s="48"/>
      <c r="EA356" s="48"/>
      <c r="EB356" s="48"/>
      <c r="EC356" s="48"/>
      <c r="ED356" s="48"/>
    </row>
    <row r="357" spans="1:134" ht="11.25" customHeight="1" x14ac:dyDescent="0.3">
      <c r="A357" s="28" t="e">
        <f t="array" aca="1" ref="A357" ca="1">_xludf.XLOOKUP(S357,Master_Registrations!P:P,Master_Registrations!A:A,"")</f>
        <v>#NAME?</v>
      </c>
      <c r="B357" s="28" t="s">
        <v>7081</v>
      </c>
      <c r="C357" s="28">
        <v>2026</v>
      </c>
      <c r="D357" s="28" t="s">
        <v>4886</v>
      </c>
      <c r="E357" s="28">
        <v>3</v>
      </c>
      <c r="F357" s="29" t="str">
        <f t="shared" si="6"/>
        <v>VED-05-2026-GR-3</v>
      </c>
      <c r="G357" s="28" t="s">
        <v>7073</v>
      </c>
      <c r="H357" s="28" t="s">
        <v>7051</v>
      </c>
      <c r="I357" s="28" t="s">
        <v>3306</v>
      </c>
      <c r="J357" s="28" t="s">
        <v>198</v>
      </c>
      <c r="K357" s="38"/>
      <c r="L357" s="38"/>
      <c r="M357" s="38"/>
      <c r="N357" s="28" t="s">
        <v>200</v>
      </c>
      <c r="O357" s="28" t="s">
        <v>604</v>
      </c>
      <c r="P357" s="28" t="s">
        <v>605</v>
      </c>
      <c r="Q357" s="28" t="e">
        <f t="shared" ca="1" si="7"/>
        <v>#NAME?</v>
      </c>
      <c r="R357" s="28" t="s">
        <v>112</v>
      </c>
      <c r="S357" s="55">
        <v>9959167555</v>
      </c>
      <c r="T357" s="29" t="s">
        <v>111</v>
      </c>
      <c r="U357" s="28">
        <v>1988</v>
      </c>
      <c r="V357" s="35">
        <v>2</v>
      </c>
      <c r="W357" s="35">
        <v>2</v>
      </c>
      <c r="X357" s="35">
        <v>2</v>
      </c>
      <c r="Y357" s="35">
        <v>2</v>
      </c>
      <c r="Z357" s="35">
        <v>2</v>
      </c>
      <c r="AA357" s="35">
        <v>2</v>
      </c>
      <c r="AB357" s="35">
        <v>2</v>
      </c>
      <c r="AC357" s="35">
        <v>2</v>
      </c>
      <c r="AD357" s="35">
        <v>2</v>
      </c>
      <c r="AE357" s="35">
        <v>2</v>
      </c>
      <c r="AF357" s="35">
        <v>2</v>
      </c>
      <c r="AG357" s="35">
        <v>2</v>
      </c>
      <c r="AH357" s="35">
        <v>2</v>
      </c>
      <c r="AI357" s="35">
        <v>4</v>
      </c>
      <c r="AJ357" s="35">
        <v>2</v>
      </c>
      <c r="AK357" s="35">
        <v>2</v>
      </c>
      <c r="AL357" s="35">
        <v>2</v>
      </c>
      <c r="AM357" s="35">
        <v>2</v>
      </c>
      <c r="AN357" s="35">
        <v>2</v>
      </c>
      <c r="AO357" s="35">
        <v>2</v>
      </c>
      <c r="AP357" s="35">
        <v>2</v>
      </c>
      <c r="AQ357" s="35">
        <v>2</v>
      </c>
      <c r="AR357" s="35">
        <v>2</v>
      </c>
      <c r="AS357" s="35">
        <v>2</v>
      </c>
      <c r="AT357" s="35">
        <v>2</v>
      </c>
      <c r="AU357" s="35">
        <v>2</v>
      </c>
      <c r="AV357" s="35">
        <v>4</v>
      </c>
      <c r="AW357" s="35">
        <v>2</v>
      </c>
      <c r="AX357" s="35">
        <v>2</v>
      </c>
      <c r="AY357" s="35">
        <v>2</v>
      </c>
      <c r="AZ357" s="35">
        <v>2</v>
      </c>
      <c r="BA357" s="35">
        <v>2</v>
      </c>
      <c r="BB357" s="35">
        <v>2</v>
      </c>
      <c r="BC357" s="35">
        <v>2</v>
      </c>
      <c r="BD357" s="35">
        <v>2</v>
      </c>
      <c r="BE357" s="35">
        <v>2</v>
      </c>
      <c r="BF357" s="35">
        <v>4</v>
      </c>
      <c r="BG357" s="35">
        <v>1</v>
      </c>
      <c r="BH357" s="35">
        <v>1</v>
      </c>
      <c r="BI357" s="35">
        <v>1</v>
      </c>
      <c r="BJ357" s="35">
        <v>1</v>
      </c>
      <c r="BK357" s="35">
        <v>1</v>
      </c>
      <c r="BL357" s="35">
        <v>1</v>
      </c>
      <c r="BM357" s="33">
        <v>-1</v>
      </c>
      <c r="BN357" s="28"/>
      <c r="BO357" s="28"/>
      <c r="BP357" s="28"/>
      <c r="BQ357" s="28"/>
      <c r="BR357" s="28"/>
      <c r="BS357" s="28"/>
      <c r="BT357" s="28"/>
      <c r="BU357" s="28"/>
      <c r="BV357" s="28"/>
      <c r="BW357" s="28"/>
      <c r="BX357" s="28"/>
      <c r="BY357" s="28"/>
      <c r="BZ357" s="28"/>
      <c r="CA357" s="28"/>
      <c r="CB357" s="28"/>
      <c r="CC357" s="28"/>
      <c r="CD357" s="28"/>
      <c r="CE357" s="28"/>
      <c r="CF357" s="28"/>
      <c r="CG357" s="28"/>
      <c r="CH357" s="28"/>
      <c r="CI357" s="28"/>
      <c r="CJ357" s="28"/>
      <c r="CK357" s="28"/>
      <c r="CL357" s="28"/>
      <c r="CM357" s="28"/>
      <c r="CN357" s="28"/>
      <c r="CO357" s="28"/>
      <c r="CP357" s="28"/>
      <c r="CQ357" s="28"/>
      <c r="CR357" s="28"/>
      <c r="CS357" s="28"/>
      <c r="CT357" s="28"/>
      <c r="CU357" s="28"/>
      <c r="CV357" s="28"/>
      <c r="CW357" s="28"/>
      <c r="CX357" s="28"/>
      <c r="CY357" s="28"/>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c r="DZ357" s="34"/>
      <c r="EA357" s="34"/>
      <c r="EB357" s="34"/>
      <c r="EC357" s="34"/>
      <c r="ED357" s="34"/>
    </row>
    <row r="358" spans="1:134" ht="11.25" customHeight="1" x14ac:dyDescent="0.3">
      <c r="A358" s="28" t="e">
        <f t="array" aca="1" ref="A358" ca="1">_xludf.XLOOKUP(S358,Master_Registrations!P:P,Master_Registrations!A:A,"")</f>
        <v>#NAME?</v>
      </c>
      <c r="B358" s="28" t="s">
        <v>7081</v>
      </c>
      <c r="C358" s="28">
        <v>2026</v>
      </c>
      <c r="D358" s="28" t="s">
        <v>4886</v>
      </c>
      <c r="E358" s="28">
        <v>3</v>
      </c>
      <c r="F358" s="29" t="str">
        <f t="shared" si="6"/>
        <v>VED-05-2026-GR-3</v>
      </c>
      <c r="G358" s="28" t="s">
        <v>7073</v>
      </c>
      <c r="H358" s="28" t="s">
        <v>7051</v>
      </c>
      <c r="I358" s="28" t="s">
        <v>3306</v>
      </c>
      <c r="J358" s="28" t="s">
        <v>198</v>
      </c>
      <c r="K358" s="38"/>
      <c r="L358" s="38"/>
      <c r="M358" s="35"/>
      <c r="N358" s="28" t="s">
        <v>299</v>
      </c>
      <c r="O358" s="28" t="s">
        <v>2996</v>
      </c>
      <c r="P358" s="28" t="s">
        <v>6365</v>
      </c>
      <c r="Q358" s="28" t="e">
        <f t="shared" ca="1" si="7"/>
        <v>#NAME?</v>
      </c>
      <c r="R358" s="28" t="s">
        <v>112</v>
      </c>
      <c r="S358" s="55">
        <v>9703587931</v>
      </c>
      <c r="T358" s="29" t="s">
        <v>111</v>
      </c>
      <c r="U358" s="28">
        <v>1997</v>
      </c>
      <c r="V358" s="35">
        <v>2</v>
      </c>
      <c r="W358" s="35">
        <v>2</v>
      </c>
      <c r="X358" s="35">
        <v>2</v>
      </c>
      <c r="Y358" s="35">
        <v>2</v>
      </c>
      <c r="Z358" s="35">
        <v>1</v>
      </c>
      <c r="AA358" s="35">
        <v>1</v>
      </c>
      <c r="AB358" s="35">
        <v>1</v>
      </c>
      <c r="AC358" s="35">
        <v>1</v>
      </c>
      <c r="AD358" s="35">
        <v>1</v>
      </c>
      <c r="AE358" s="35">
        <v>2</v>
      </c>
      <c r="AF358" s="35">
        <v>2</v>
      </c>
      <c r="AG358" s="35">
        <v>2</v>
      </c>
      <c r="AH358" s="35">
        <v>2</v>
      </c>
      <c r="AI358" s="33">
        <v>-1</v>
      </c>
      <c r="AJ358" s="35">
        <v>1</v>
      </c>
      <c r="AK358" s="35">
        <v>1</v>
      </c>
      <c r="AL358" s="35">
        <v>1</v>
      </c>
      <c r="AM358" s="35">
        <v>1</v>
      </c>
      <c r="AN358" s="35">
        <v>1</v>
      </c>
      <c r="AO358" s="35">
        <v>1</v>
      </c>
      <c r="AP358" s="33">
        <v>-1</v>
      </c>
      <c r="AQ358" s="35">
        <v>1</v>
      </c>
      <c r="AR358" s="35">
        <v>1</v>
      </c>
      <c r="AS358" s="35">
        <v>1</v>
      </c>
      <c r="AT358" s="35">
        <v>1</v>
      </c>
      <c r="AU358" s="35">
        <v>-1</v>
      </c>
      <c r="AV358" s="33">
        <v>-1</v>
      </c>
      <c r="AW358" s="35">
        <v>1</v>
      </c>
      <c r="AX358" s="35">
        <v>2</v>
      </c>
      <c r="AY358" s="35">
        <v>-1</v>
      </c>
      <c r="AZ358" s="33">
        <v>-1</v>
      </c>
      <c r="BA358" s="35">
        <v>1</v>
      </c>
      <c r="BB358" s="35">
        <v>1</v>
      </c>
      <c r="BC358" s="35">
        <v>-1</v>
      </c>
      <c r="BD358" s="35">
        <v>1</v>
      </c>
      <c r="BE358" s="35">
        <v>-1</v>
      </c>
      <c r="BF358" s="33">
        <v>-1</v>
      </c>
      <c r="BG358" s="33">
        <v>-1</v>
      </c>
      <c r="BH358" s="33">
        <v>-1</v>
      </c>
      <c r="BI358" s="33">
        <v>-1</v>
      </c>
      <c r="BJ358" s="33">
        <v>-1</v>
      </c>
      <c r="BK358" s="33">
        <v>-1</v>
      </c>
      <c r="BL358" s="33">
        <v>-1</v>
      </c>
      <c r="BM358" s="33">
        <v>-1</v>
      </c>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c r="CR358" s="28"/>
      <c r="CS358" s="28"/>
      <c r="CT358" s="28"/>
      <c r="CU358" s="28"/>
      <c r="CV358" s="28"/>
      <c r="CW358" s="28"/>
      <c r="CX358" s="28"/>
      <c r="CY358" s="28"/>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c r="DW358" s="34"/>
      <c r="DX358" s="34"/>
      <c r="DY358" s="34"/>
      <c r="DZ358" s="34"/>
      <c r="EA358" s="34"/>
      <c r="EB358" s="34"/>
      <c r="EC358" s="34"/>
      <c r="ED358" s="34"/>
    </row>
    <row r="359" spans="1:134" ht="11.25" customHeight="1" x14ac:dyDescent="0.3">
      <c r="A359" s="28" t="e">
        <f t="array" aca="1" ref="A359" ca="1">_xludf.XLOOKUP(S359,Master_Registrations!P:P,Master_Registrations!A:A,"")</f>
        <v>#NAME?</v>
      </c>
      <c r="B359" s="28" t="s">
        <v>7081</v>
      </c>
      <c r="C359" s="28">
        <v>2026</v>
      </c>
      <c r="D359" s="28" t="s">
        <v>4886</v>
      </c>
      <c r="E359" s="28">
        <v>3</v>
      </c>
      <c r="F359" s="29" t="str">
        <f t="shared" si="6"/>
        <v>VED-05-2026-GR-3</v>
      </c>
      <c r="G359" s="28" t="s">
        <v>7073</v>
      </c>
      <c r="H359" s="28" t="s">
        <v>7051</v>
      </c>
      <c r="I359" s="28" t="s">
        <v>3306</v>
      </c>
      <c r="J359" s="28" t="s">
        <v>198</v>
      </c>
      <c r="K359" s="38"/>
      <c r="L359" s="38"/>
      <c r="M359" s="38"/>
      <c r="N359" s="28" t="s">
        <v>369</v>
      </c>
      <c r="O359" s="28" t="s">
        <v>1181</v>
      </c>
      <c r="P359" s="28" t="s">
        <v>1182</v>
      </c>
      <c r="Q359" s="28" t="e">
        <f t="shared" ca="1" si="7"/>
        <v>#NAME?</v>
      </c>
      <c r="R359" s="28" t="s">
        <v>112</v>
      </c>
      <c r="S359" s="55">
        <v>9490018864</v>
      </c>
      <c r="T359" s="29" t="s">
        <v>111</v>
      </c>
      <c r="U359" s="28">
        <v>1984</v>
      </c>
      <c r="V359" s="35">
        <v>2</v>
      </c>
      <c r="W359" s="35">
        <v>2</v>
      </c>
      <c r="X359" s="35">
        <v>2</v>
      </c>
      <c r="Y359" s="35">
        <v>2</v>
      </c>
      <c r="Z359" s="35">
        <v>2</v>
      </c>
      <c r="AA359" s="35">
        <v>2</v>
      </c>
      <c r="AB359" s="35">
        <v>2</v>
      </c>
      <c r="AC359" s="35">
        <v>2</v>
      </c>
      <c r="AD359" s="35">
        <v>2</v>
      </c>
      <c r="AE359" s="35">
        <v>2</v>
      </c>
      <c r="AF359" s="35">
        <v>2</v>
      </c>
      <c r="AG359" s="35">
        <v>2</v>
      </c>
      <c r="AH359" s="35">
        <v>2</v>
      </c>
      <c r="AI359" s="35">
        <v>4</v>
      </c>
      <c r="AJ359" s="35">
        <v>2</v>
      </c>
      <c r="AK359" s="35">
        <v>2</v>
      </c>
      <c r="AL359" s="35">
        <v>2</v>
      </c>
      <c r="AM359" s="35">
        <v>2</v>
      </c>
      <c r="AN359" s="35">
        <v>2</v>
      </c>
      <c r="AO359" s="35">
        <v>2</v>
      </c>
      <c r="AP359" s="35">
        <v>2</v>
      </c>
      <c r="AQ359" s="35">
        <v>2</v>
      </c>
      <c r="AR359" s="35">
        <v>2</v>
      </c>
      <c r="AS359" s="35">
        <v>2</v>
      </c>
      <c r="AT359" s="35">
        <v>2</v>
      </c>
      <c r="AU359" s="35">
        <v>2</v>
      </c>
      <c r="AV359" s="35">
        <v>4</v>
      </c>
      <c r="AW359" s="35">
        <v>1</v>
      </c>
      <c r="AX359" s="84">
        <v>1</v>
      </c>
      <c r="AY359" s="35">
        <v>1</v>
      </c>
      <c r="AZ359" s="33">
        <v>-1</v>
      </c>
      <c r="BA359" s="35">
        <v>1</v>
      </c>
      <c r="BB359" s="35">
        <v>-1</v>
      </c>
      <c r="BC359" s="35">
        <v>1</v>
      </c>
      <c r="BD359" s="35">
        <v>1</v>
      </c>
      <c r="BE359" s="35">
        <v>-1</v>
      </c>
      <c r="BF359" s="33">
        <v>-1</v>
      </c>
      <c r="BG359" s="33">
        <v>-1</v>
      </c>
      <c r="BH359" s="33">
        <v>-1</v>
      </c>
      <c r="BI359" s="33">
        <v>-1</v>
      </c>
      <c r="BJ359" s="33">
        <v>-1</v>
      </c>
      <c r="BK359" s="33">
        <v>-1</v>
      </c>
      <c r="BL359" s="33">
        <v>-1</v>
      </c>
      <c r="BM359" s="33">
        <v>-1</v>
      </c>
      <c r="BN359" s="28"/>
      <c r="BO359" s="28"/>
      <c r="BP359" s="28"/>
      <c r="BQ359" s="28"/>
      <c r="BR359" s="28"/>
      <c r="BS359" s="28"/>
      <c r="BT359" s="28"/>
      <c r="BU359" s="28"/>
      <c r="BV359" s="28"/>
      <c r="BW359" s="28"/>
      <c r="BX359" s="28"/>
      <c r="BY359" s="28"/>
      <c r="BZ359" s="28"/>
      <c r="CA359" s="28"/>
      <c r="CB359" s="28"/>
      <c r="CC359" s="28"/>
      <c r="CD359" s="28"/>
      <c r="CE359" s="28"/>
      <c r="CF359" s="28"/>
      <c r="CG359" s="28"/>
      <c r="CH359" s="28"/>
      <c r="CI359" s="28"/>
      <c r="CJ359" s="28"/>
      <c r="CK359" s="28"/>
      <c r="CL359" s="28"/>
      <c r="CM359" s="28"/>
      <c r="CN359" s="28"/>
      <c r="CO359" s="28"/>
      <c r="CP359" s="28"/>
      <c r="CQ359" s="28"/>
      <c r="CR359" s="28"/>
      <c r="CS359" s="28"/>
      <c r="CT359" s="28"/>
      <c r="CU359" s="28"/>
      <c r="CV359" s="28"/>
      <c r="CW359" s="28"/>
      <c r="CX359" s="28"/>
      <c r="CY359" s="28"/>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row>
    <row r="360" spans="1:134" ht="11.25" customHeight="1" x14ac:dyDescent="0.3">
      <c r="A360" s="28" t="e">
        <f t="array" aca="1" ref="A360" ca="1">_xludf.XLOOKUP(S360,Master_Registrations!P:P,Master_Registrations!A:A,"")</f>
        <v>#NAME?</v>
      </c>
      <c r="B360" s="28" t="s">
        <v>7081</v>
      </c>
      <c r="C360" s="28">
        <v>2026</v>
      </c>
      <c r="D360" s="28" t="s">
        <v>4886</v>
      </c>
      <c r="E360" s="28">
        <v>3</v>
      </c>
      <c r="F360" s="29" t="str">
        <f t="shared" si="6"/>
        <v>VED-05-2026-GR-3</v>
      </c>
      <c r="G360" s="28" t="s">
        <v>7073</v>
      </c>
      <c r="H360" s="28" t="s">
        <v>7051</v>
      </c>
      <c r="I360" s="28" t="s">
        <v>3306</v>
      </c>
      <c r="J360" s="28" t="s">
        <v>198</v>
      </c>
      <c r="K360" s="86"/>
      <c r="L360" s="86"/>
      <c r="M360" s="86"/>
      <c r="N360" s="28" t="s">
        <v>434</v>
      </c>
      <c r="O360" s="28" t="s">
        <v>422</v>
      </c>
      <c r="P360" s="28" t="s">
        <v>423</v>
      </c>
      <c r="Q360" s="28" t="e">
        <f t="shared" ca="1" si="7"/>
        <v>#NAME?</v>
      </c>
      <c r="R360" s="28" t="s">
        <v>112</v>
      </c>
      <c r="S360" s="55">
        <v>9440378057</v>
      </c>
      <c r="T360" s="29" t="s">
        <v>111</v>
      </c>
      <c r="U360" s="28">
        <v>1976</v>
      </c>
      <c r="V360" s="35">
        <v>1</v>
      </c>
      <c r="W360" s="35">
        <v>1</v>
      </c>
      <c r="X360" s="35">
        <v>1</v>
      </c>
      <c r="Y360" s="35">
        <v>1</v>
      </c>
      <c r="Z360" s="35">
        <v>1</v>
      </c>
      <c r="AA360" s="35">
        <v>1</v>
      </c>
      <c r="AB360" s="35">
        <v>1</v>
      </c>
      <c r="AC360" s="35">
        <v>1</v>
      </c>
      <c r="AD360" s="35">
        <v>1</v>
      </c>
      <c r="AE360" s="35">
        <v>1</v>
      </c>
      <c r="AF360" s="35">
        <v>1</v>
      </c>
      <c r="AG360" s="35">
        <v>1</v>
      </c>
      <c r="AH360" s="35">
        <v>1</v>
      </c>
      <c r="AI360" s="33">
        <v>-1</v>
      </c>
      <c r="AJ360" s="35">
        <v>1</v>
      </c>
      <c r="AK360" s="35">
        <v>1</v>
      </c>
      <c r="AL360" s="35">
        <v>1</v>
      </c>
      <c r="AM360" s="35">
        <v>1</v>
      </c>
      <c r="AN360" s="35">
        <v>1</v>
      </c>
      <c r="AO360" s="35">
        <v>1</v>
      </c>
      <c r="AP360" s="35">
        <v>1</v>
      </c>
      <c r="AQ360" s="35">
        <v>1</v>
      </c>
      <c r="AR360" s="35">
        <v>1</v>
      </c>
      <c r="AS360" s="35">
        <v>1</v>
      </c>
      <c r="AT360" s="35">
        <v>1</v>
      </c>
      <c r="AU360" s="35">
        <v>1</v>
      </c>
      <c r="AV360" s="33">
        <v>-1</v>
      </c>
      <c r="AW360" s="35">
        <v>1</v>
      </c>
      <c r="AX360" s="84">
        <v>1</v>
      </c>
      <c r="AY360" s="35">
        <v>1</v>
      </c>
      <c r="AZ360" s="33">
        <v>-1</v>
      </c>
      <c r="BA360" s="35">
        <v>-1</v>
      </c>
      <c r="BB360" s="35">
        <v>-1</v>
      </c>
      <c r="BC360" s="35">
        <v>1</v>
      </c>
      <c r="BD360" s="35">
        <v>1</v>
      </c>
      <c r="BE360" s="35">
        <v>1</v>
      </c>
      <c r="BF360" s="33">
        <v>-1</v>
      </c>
      <c r="BG360" s="33">
        <v>-1</v>
      </c>
      <c r="BH360" s="33">
        <v>-1</v>
      </c>
      <c r="BI360" s="33">
        <v>-1</v>
      </c>
      <c r="BJ360" s="33">
        <v>-1</v>
      </c>
      <c r="BK360" s="33">
        <v>-1</v>
      </c>
      <c r="BL360" s="33">
        <v>-1</v>
      </c>
      <c r="BM360" s="33">
        <v>-1</v>
      </c>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c r="CR360" s="28"/>
      <c r="CS360" s="28"/>
      <c r="CT360" s="28"/>
      <c r="CU360" s="28"/>
      <c r="CV360" s="28"/>
      <c r="CW360" s="28"/>
      <c r="CX360" s="28"/>
      <c r="CY360" s="28"/>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row>
    <row r="361" spans="1:134" ht="11.25" customHeight="1" x14ac:dyDescent="0.3">
      <c r="A361" s="28" t="e">
        <f t="array" aca="1" ref="A361" ca="1">_xludf.XLOOKUP(S361,Master_Registrations!P:P,Master_Registrations!A:A,"")</f>
        <v>#NAME?</v>
      </c>
      <c r="B361" s="28" t="s">
        <v>7081</v>
      </c>
      <c r="C361" s="28">
        <v>2026</v>
      </c>
      <c r="D361" s="28" t="s">
        <v>4886</v>
      </c>
      <c r="E361" s="28">
        <v>3</v>
      </c>
      <c r="F361" s="29" t="str">
        <f t="shared" si="6"/>
        <v>VED-05-2026-GR-3</v>
      </c>
      <c r="G361" s="28" t="s">
        <v>7073</v>
      </c>
      <c r="H361" s="28" t="s">
        <v>7051</v>
      </c>
      <c r="I361" s="28" t="s">
        <v>3306</v>
      </c>
      <c r="J361" s="28" t="s">
        <v>198</v>
      </c>
      <c r="K361" s="35"/>
      <c r="L361" s="35"/>
      <c r="M361" s="35"/>
      <c r="N361" s="28" t="s">
        <v>525</v>
      </c>
      <c r="O361" s="28" t="s">
        <v>908</v>
      </c>
      <c r="P361" s="28" t="s">
        <v>909</v>
      </c>
      <c r="Q361" s="28" t="e">
        <f t="shared" ca="1" si="7"/>
        <v>#NAME?</v>
      </c>
      <c r="R361" s="28" t="s">
        <v>112</v>
      </c>
      <c r="S361" s="55">
        <v>9502020229</v>
      </c>
      <c r="T361" s="29" t="s">
        <v>111</v>
      </c>
      <c r="U361" s="28">
        <v>1992</v>
      </c>
      <c r="V361" s="35">
        <v>1</v>
      </c>
      <c r="W361" s="35">
        <v>1</v>
      </c>
      <c r="X361" s="35">
        <v>1</v>
      </c>
      <c r="Y361" s="35">
        <v>1</v>
      </c>
      <c r="Z361" s="35">
        <v>1</v>
      </c>
      <c r="AA361" s="35">
        <v>1</v>
      </c>
      <c r="AB361" s="35">
        <v>1</v>
      </c>
      <c r="AC361" s="35">
        <v>1</v>
      </c>
      <c r="AD361" s="35">
        <v>1</v>
      </c>
      <c r="AE361" s="35">
        <v>1</v>
      </c>
      <c r="AF361" s="35">
        <v>1</v>
      </c>
      <c r="AG361" s="35">
        <v>1</v>
      </c>
      <c r="AH361" s="35">
        <v>1</v>
      </c>
      <c r="AI361" s="33">
        <v>-1</v>
      </c>
      <c r="AJ361" s="35">
        <v>1</v>
      </c>
      <c r="AK361" s="35">
        <v>1</v>
      </c>
      <c r="AL361" s="35">
        <v>1</v>
      </c>
      <c r="AM361" s="35">
        <v>1</v>
      </c>
      <c r="AN361" s="35">
        <v>1</v>
      </c>
      <c r="AO361" s="35">
        <v>1</v>
      </c>
      <c r="AP361" s="35">
        <v>1</v>
      </c>
      <c r="AQ361" s="35">
        <v>1</v>
      </c>
      <c r="AR361" s="35">
        <v>1</v>
      </c>
      <c r="AS361" s="35">
        <v>1</v>
      </c>
      <c r="AT361" s="35">
        <v>1</v>
      </c>
      <c r="AU361" s="35">
        <v>1</v>
      </c>
      <c r="AV361" s="33">
        <v>-1</v>
      </c>
      <c r="AW361" s="35">
        <v>1</v>
      </c>
      <c r="AX361" s="84">
        <v>1</v>
      </c>
      <c r="AY361" s="35">
        <v>1</v>
      </c>
      <c r="AZ361" s="33">
        <v>-1</v>
      </c>
      <c r="BA361" s="35">
        <v>1</v>
      </c>
      <c r="BB361" s="35">
        <v>-1</v>
      </c>
      <c r="BC361" s="35">
        <v>1</v>
      </c>
      <c r="BD361" s="35">
        <v>1</v>
      </c>
      <c r="BE361" s="35">
        <v>-1</v>
      </c>
      <c r="BF361" s="33">
        <v>-1</v>
      </c>
      <c r="BG361" s="35">
        <v>1</v>
      </c>
      <c r="BH361" s="35">
        <v>1</v>
      </c>
      <c r="BI361" s="33">
        <v>-1</v>
      </c>
      <c r="BJ361" s="33">
        <v>-1</v>
      </c>
      <c r="BK361" s="33">
        <v>-1</v>
      </c>
      <c r="BL361" s="33">
        <v>-1</v>
      </c>
      <c r="BM361" s="33">
        <v>-1</v>
      </c>
      <c r="BN361" s="28"/>
      <c r="BO361" s="28"/>
      <c r="BP361" s="28"/>
      <c r="BQ361" s="28"/>
      <c r="BR361" s="28"/>
      <c r="BS361" s="28"/>
      <c r="BT361" s="28"/>
      <c r="BU361" s="28"/>
      <c r="BV361" s="28"/>
      <c r="BW361" s="28"/>
      <c r="BX361" s="28"/>
      <c r="BY361" s="28"/>
      <c r="BZ361" s="28"/>
      <c r="CA361" s="28"/>
      <c r="CB361" s="28"/>
      <c r="CC361" s="28"/>
      <c r="CD361" s="28"/>
      <c r="CE361" s="28"/>
      <c r="CF361" s="28"/>
      <c r="CG361" s="28"/>
      <c r="CH361" s="28"/>
      <c r="CI361" s="28"/>
      <c r="CJ361" s="28"/>
      <c r="CK361" s="28"/>
      <c r="CL361" s="28"/>
      <c r="CM361" s="28"/>
      <c r="CN361" s="28"/>
      <c r="CO361" s="28"/>
      <c r="CP361" s="28"/>
      <c r="CQ361" s="28"/>
      <c r="CR361" s="28"/>
      <c r="CS361" s="28"/>
      <c r="CT361" s="28"/>
      <c r="CU361" s="28"/>
      <c r="CV361" s="28"/>
      <c r="CW361" s="28"/>
      <c r="CX361" s="28"/>
      <c r="CY361" s="28"/>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row>
    <row r="362" spans="1:134" ht="11.25" customHeight="1" x14ac:dyDescent="0.3">
      <c r="A362" s="28" t="e">
        <f t="array" aca="1" ref="A362" ca="1">_xludf.XLOOKUP(S362,Master_Registrations!P:P,Master_Registrations!A:A,"")</f>
        <v>#NAME?</v>
      </c>
      <c r="B362" s="28" t="s">
        <v>7081</v>
      </c>
      <c r="C362" s="28">
        <v>2026</v>
      </c>
      <c r="D362" s="28" t="s">
        <v>4886</v>
      </c>
      <c r="E362" s="28">
        <v>3</v>
      </c>
      <c r="F362" s="29" t="str">
        <f t="shared" si="6"/>
        <v>VED-05-2026-GR-3</v>
      </c>
      <c r="G362" s="28" t="s">
        <v>7073</v>
      </c>
      <c r="H362" s="28" t="s">
        <v>7051</v>
      </c>
      <c r="I362" s="28" t="s">
        <v>3306</v>
      </c>
      <c r="J362" s="28" t="s">
        <v>198</v>
      </c>
      <c r="K362" s="38"/>
      <c r="L362" s="38"/>
      <c r="M362" s="38"/>
      <c r="N362" s="28" t="s">
        <v>621</v>
      </c>
      <c r="O362" s="28" t="s">
        <v>653</v>
      </c>
      <c r="P362" s="28" t="s">
        <v>6429</v>
      </c>
      <c r="Q362" s="28" t="e">
        <f t="shared" ca="1" si="7"/>
        <v>#NAME?</v>
      </c>
      <c r="R362" s="28" t="s">
        <v>112</v>
      </c>
      <c r="S362" s="55">
        <v>8867194001</v>
      </c>
      <c r="T362" s="29" t="s">
        <v>111</v>
      </c>
      <c r="U362" s="28">
        <v>1982</v>
      </c>
      <c r="V362" s="35">
        <v>2</v>
      </c>
      <c r="W362" s="35">
        <v>2</v>
      </c>
      <c r="X362" s="35">
        <v>2</v>
      </c>
      <c r="Y362" s="35">
        <v>2</v>
      </c>
      <c r="Z362" s="35">
        <v>2</v>
      </c>
      <c r="AA362" s="35">
        <v>2</v>
      </c>
      <c r="AB362" s="35">
        <v>2</v>
      </c>
      <c r="AC362" s="35">
        <v>2</v>
      </c>
      <c r="AD362" s="35">
        <v>2</v>
      </c>
      <c r="AE362" s="35">
        <v>2</v>
      </c>
      <c r="AF362" s="35">
        <v>2</v>
      </c>
      <c r="AG362" s="35">
        <v>2</v>
      </c>
      <c r="AH362" s="35">
        <v>2</v>
      </c>
      <c r="AI362" s="35">
        <v>3</v>
      </c>
      <c r="AJ362" s="35">
        <v>1</v>
      </c>
      <c r="AK362" s="35">
        <v>1</v>
      </c>
      <c r="AL362" s="35">
        <v>1</v>
      </c>
      <c r="AM362" s="35">
        <v>1</v>
      </c>
      <c r="AN362" s="35">
        <v>1</v>
      </c>
      <c r="AO362" s="35">
        <v>1</v>
      </c>
      <c r="AP362" s="35">
        <v>1</v>
      </c>
      <c r="AQ362" s="35">
        <v>1</v>
      </c>
      <c r="AR362" s="35">
        <v>1</v>
      </c>
      <c r="AS362" s="35">
        <v>1</v>
      </c>
      <c r="AT362" s="35">
        <v>1</v>
      </c>
      <c r="AU362" s="35">
        <v>1</v>
      </c>
      <c r="AV362" s="33">
        <v>-1</v>
      </c>
      <c r="AW362" s="35">
        <v>1</v>
      </c>
      <c r="AX362" s="84">
        <v>1</v>
      </c>
      <c r="AY362" s="35">
        <v>1</v>
      </c>
      <c r="AZ362" s="33">
        <v>-1</v>
      </c>
      <c r="BA362" s="35">
        <v>1</v>
      </c>
      <c r="BB362" s="35">
        <v>1</v>
      </c>
      <c r="BC362" s="35">
        <v>1</v>
      </c>
      <c r="BD362" s="35">
        <v>1</v>
      </c>
      <c r="BE362" s="35">
        <v>-1</v>
      </c>
      <c r="BF362" s="33">
        <v>-1</v>
      </c>
      <c r="BG362" s="35">
        <v>1</v>
      </c>
      <c r="BH362" s="35">
        <v>1</v>
      </c>
      <c r="BI362" s="33">
        <v>-1</v>
      </c>
      <c r="BJ362" s="33">
        <v>-1</v>
      </c>
      <c r="BK362" s="33">
        <v>-1</v>
      </c>
      <c r="BL362" s="33">
        <v>-1</v>
      </c>
      <c r="BM362" s="33">
        <v>-1</v>
      </c>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c r="CR362" s="28"/>
      <c r="CS362" s="28"/>
      <c r="CT362" s="28"/>
      <c r="CU362" s="28"/>
      <c r="CV362" s="28"/>
      <c r="CW362" s="28"/>
      <c r="CX362" s="28"/>
      <c r="CY362" s="28"/>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row>
    <row r="363" spans="1:134" ht="11.25" customHeight="1" x14ac:dyDescent="0.3">
      <c r="A363" s="28" t="e">
        <f t="array" aca="1" ref="A363" ca="1">_xludf.XLOOKUP(S363,Master_Registrations!P:P,Master_Registrations!A:A,"")</f>
        <v>#NAME?</v>
      </c>
      <c r="B363" s="28" t="s">
        <v>7081</v>
      </c>
      <c r="C363" s="28">
        <v>2026</v>
      </c>
      <c r="D363" s="28" t="s">
        <v>4886</v>
      </c>
      <c r="E363" s="28">
        <v>3</v>
      </c>
      <c r="F363" s="29" t="str">
        <f t="shared" si="6"/>
        <v>VED-05-2026-GR-3</v>
      </c>
      <c r="G363" s="28" t="s">
        <v>7073</v>
      </c>
      <c r="H363" s="28" t="s">
        <v>7051</v>
      </c>
      <c r="I363" s="28" t="s">
        <v>3306</v>
      </c>
      <c r="J363" s="28" t="s">
        <v>198</v>
      </c>
      <c r="K363" s="38"/>
      <c r="L363" s="38"/>
      <c r="M363" s="38"/>
      <c r="N363" s="28" t="s">
        <v>714</v>
      </c>
      <c r="O363" s="28" t="s">
        <v>4680</v>
      </c>
      <c r="P363" s="28" t="s">
        <v>6487</v>
      </c>
      <c r="Q363" s="28" t="e">
        <f t="shared" ca="1" si="7"/>
        <v>#NAME?</v>
      </c>
      <c r="R363" s="28" t="s">
        <v>112</v>
      </c>
      <c r="S363" s="55">
        <v>8106671812</v>
      </c>
      <c r="T363" s="29" t="s">
        <v>111</v>
      </c>
      <c r="U363" s="28">
        <v>1966</v>
      </c>
      <c r="V363" s="35">
        <v>2</v>
      </c>
      <c r="W363" s="35">
        <v>2</v>
      </c>
      <c r="X363" s="35">
        <v>2</v>
      </c>
      <c r="Y363" s="35">
        <v>2</v>
      </c>
      <c r="Z363" s="35">
        <v>2</v>
      </c>
      <c r="AA363" s="35">
        <v>2</v>
      </c>
      <c r="AB363" s="35">
        <v>2</v>
      </c>
      <c r="AC363" s="35">
        <v>2</v>
      </c>
      <c r="AD363" s="35">
        <v>2</v>
      </c>
      <c r="AE363" s="35">
        <v>2</v>
      </c>
      <c r="AF363" s="35">
        <v>2</v>
      </c>
      <c r="AG363" s="35">
        <v>2</v>
      </c>
      <c r="AH363" s="35">
        <v>2</v>
      </c>
      <c r="AI363" s="35">
        <v>4</v>
      </c>
      <c r="AJ363" s="35">
        <v>2</v>
      </c>
      <c r="AK363" s="35">
        <v>2</v>
      </c>
      <c r="AL363" s="35">
        <v>2</v>
      </c>
      <c r="AM363" s="35">
        <v>2</v>
      </c>
      <c r="AN363" s="35">
        <v>2</v>
      </c>
      <c r="AO363" s="35">
        <v>2</v>
      </c>
      <c r="AP363" s="35">
        <v>2</v>
      </c>
      <c r="AQ363" s="35">
        <v>2</v>
      </c>
      <c r="AR363" s="35">
        <v>2</v>
      </c>
      <c r="AS363" s="35">
        <v>2</v>
      </c>
      <c r="AT363" s="35">
        <v>2</v>
      </c>
      <c r="AU363" s="35">
        <v>2</v>
      </c>
      <c r="AV363" s="35">
        <v>4</v>
      </c>
      <c r="AW363" s="35">
        <v>2</v>
      </c>
      <c r="AX363" s="35">
        <v>2</v>
      </c>
      <c r="AY363" s="35">
        <v>2</v>
      </c>
      <c r="AZ363" s="35">
        <v>2</v>
      </c>
      <c r="BA363" s="35">
        <v>2</v>
      </c>
      <c r="BB363" s="35">
        <v>2</v>
      </c>
      <c r="BC363" s="35">
        <v>2</v>
      </c>
      <c r="BD363" s="35">
        <v>2</v>
      </c>
      <c r="BE363" s="35">
        <v>2</v>
      </c>
      <c r="BF363" s="35">
        <v>4</v>
      </c>
      <c r="BG363" s="35">
        <v>1</v>
      </c>
      <c r="BH363" s="35">
        <v>1</v>
      </c>
      <c r="BI363" s="35">
        <v>1</v>
      </c>
      <c r="BJ363" s="35">
        <v>1</v>
      </c>
      <c r="BK363" s="35">
        <v>1</v>
      </c>
      <c r="BL363" s="35">
        <v>1</v>
      </c>
      <c r="BM363" s="33">
        <v>-1</v>
      </c>
      <c r="BN363" s="28"/>
      <c r="BO363" s="28"/>
      <c r="BP363" s="28"/>
      <c r="BQ363" s="28"/>
      <c r="BR363" s="28"/>
      <c r="BS363" s="28"/>
      <c r="BT363" s="28"/>
      <c r="BU363" s="28"/>
      <c r="BV363" s="28"/>
      <c r="BW363" s="28"/>
      <c r="BX363" s="28"/>
      <c r="BY363" s="28"/>
      <c r="BZ363" s="28"/>
      <c r="CA363" s="28"/>
      <c r="CB363" s="28"/>
      <c r="CC363" s="28"/>
      <c r="CD363" s="28"/>
      <c r="CE363" s="28"/>
      <c r="CF363" s="28"/>
      <c r="CG363" s="28"/>
      <c r="CH363" s="28"/>
      <c r="CI363" s="28"/>
      <c r="CJ363" s="28"/>
      <c r="CK363" s="28"/>
      <c r="CL363" s="28"/>
      <c r="CM363" s="28"/>
      <c r="CN363" s="28"/>
      <c r="CO363" s="28"/>
      <c r="CP363" s="28"/>
      <c r="CQ363" s="28"/>
      <c r="CR363" s="28"/>
      <c r="CS363" s="28"/>
      <c r="CT363" s="28"/>
      <c r="CU363" s="28"/>
      <c r="CV363" s="28"/>
      <c r="CW363" s="28"/>
      <c r="CX363" s="28"/>
      <c r="CY363" s="28"/>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c r="DZ363" s="34"/>
      <c r="EA363" s="34"/>
      <c r="EB363" s="34"/>
      <c r="EC363" s="34"/>
      <c r="ED363" s="34"/>
    </row>
    <row r="364" spans="1:134" ht="11.25" customHeight="1" x14ac:dyDescent="0.3">
      <c r="A364" s="28" t="e">
        <f t="array" aca="1" ref="A364" ca="1">_xludf.XLOOKUP(S364,Master_Registrations!P:P,Master_Registrations!A:A,"")</f>
        <v>#NAME?</v>
      </c>
      <c r="B364" s="28" t="s">
        <v>7081</v>
      </c>
      <c r="C364" s="28">
        <v>2026</v>
      </c>
      <c r="D364" s="28" t="s">
        <v>4886</v>
      </c>
      <c r="E364" s="28">
        <v>3</v>
      </c>
      <c r="F364" s="29" t="str">
        <f t="shared" si="6"/>
        <v>VED-05-2026-GR-3</v>
      </c>
      <c r="G364" s="28" t="s">
        <v>7073</v>
      </c>
      <c r="H364" s="28" t="s">
        <v>7051</v>
      </c>
      <c r="I364" s="28" t="s">
        <v>3306</v>
      </c>
      <c r="J364" s="28" t="s">
        <v>198</v>
      </c>
      <c r="K364" s="35"/>
      <c r="L364" s="35"/>
      <c r="M364" s="35"/>
      <c r="N364" s="28" t="s">
        <v>786</v>
      </c>
      <c r="O364" s="28" t="s">
        <v>593</v>
      </c>
      <c r="P364" s="28" t="s">
        <v>594</v>
      </c>
      <c r="Q364" s="28" t="e">
        <f t="shared" ca="1" si="7"/>
        <v>#NAME?</v>
      </c>
      <c r="R364" s="28" t="s">
        <v>112</v>
      </c>
      <c r="S364" s="55">
        <v>9581698919</v>
      </c>
      <c r="T364" s="29" t="s">
        <v>111</v>
      </c>
      <c r="U364" s="28">
        <v>2001</v>
      </c>
      <c r="V364" s="35">
        <v>1</v>
      </c>
      <c r="W364" s="35">
        <v>1</v>
      </c>
      <c r="X364" s="35">
        <v>1</v>
      </c>
      <c r="Y364" s="35">
        <v>1</v>
      </c>
      <c r="Z364" s="35">
        <v>1</v>
      </c>
      <c r="AA364" s="35">
        <v>1</v>
      </c>
      <c r="AB364" s="35">
        <v>1</v>
      </c>
      <c r="AC364" s="35">
        <v>1</v>
      </c>
      <c r="AD364" s="35">
        <v>1</v>
      </c>
      <c r="AE364" s="35">
        <v>1</v>
      </c>
      <c r="AF364" s="35">
        <v>1</v>
      </c>
      <c r="AG364" s="35">
        <v>1</v>
      </c>
      <c r="AH364" s="35">
        <v>1</v>
      </c>
      <c r="AI364" s="33">
        <v>-1</v>
      </c>
      <c r="AJ364" s="35">
        <v>1</v>
      </c>
      <c r="AK364" s="35">
        <v>1</v>
      </c>
      <c r="AL364" s="35">
        <v>1</v>
      </c>
      <c r="AM364" s="35">
        <v>1</v>
      </c>
      <c r="AN364" s="35">
        <v>1</v>
      </c>
      <c r="AO364" s="35">
        <v>1</v>
      </c>
      <c r="AP364" s="35">
        <v>1</v>
      </c>
      <c r="AQ364" s="35">
        <v>1</v>
      </c>
      <c r="AR364" s="35">
        <v>1</v>
      </c>
      <c r="AS364" s="35">
        <v>1</v>
      </c>
      <c r="AT364" s="35">
        <v>1</v>
      </c>
      <c r="AU364" s="35">
        <v>1</v>
      </c>
      <c r="AV364" s="33">
        <v>-1</v>
      </c>
      <c r="AW364" s="35">
        <v>-1</v>
      </c>
      <c r="AX364" s="35">
        <v>-1</v>
      </c>
      <c r="AY364" s="35">
        <v>1</v>
      </c>
      <c r="AZ364" s="33">
        <v>-1</v>
      </c>
      <c r="BA364" s="35">
        <v>-1</v>
      </c>
      <c r="BB364" s="35">
        <v>-1</v>
      </c>
      <c r="BC364" s="35">
        <v>-1</v>
      </c>
      <c r="BD364" s="35">
        <v>-1</v>
      </c>
      <c r="BE364" s="35">
        <v>-1</v>
      </c>
      <c r="BF364" s="33">
        <v>-1</v>
      </c>
      <c r="BG364" s="33">
        <v>-1</v>
      </c>
      <c r="BH364" s="33">
        <v>-1</v>
      </c>
      <c r="BI364" s="33">
        <v>-1</v>
      </c>
      <c r="BJ364" s="33">
        <v>-1</v>
      </c>
      <c r="BK364" s="33">
        <v>-1</v>
      </c>
      <c r="BL364" s="33">
        <v>-1</v>
      </c>
      <c r="BM364" s="33">
        <v>-1</v>
      </c>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c r="DZ364" s="34"/>
      <c r="EA364" s="34"/>
      <c r="EB364" s="34"/>
      <c r="EC364" s="34"/>
      <c r="ED364" s="34"/>
    </row>
    <row r="365" spans="1:134" ht="11.25" customHeight="1" x14ac:dyDescent="0.3">
      <c r="A365" s="28" t="e">
        <f t="array" aca="1" ref="A365" ca="1">_xludf.XLOOKUP(S365,Master_Registrations!P:P,Master_Registrations!A:A,"")</f>
        <v>#NAME?</v>
      </c>
      <c r="B365" s="28" t="s">
        <v>7081</v>
      </c>
      <c r="C365" s="28">
        <v>2026</v>
      </c>
      <c r="D365" s="28" t="s">
        <v>4886</v>
      </c>
      <c r="E365" s="28">
        <v>3</v>
      </c>
      <c r="F365" s="29" t="str">
        <f t="shared" si="6"/>
        <v>VED-05-2026-GR-3</v>
      </c>
      <c r="G365" s="28" t="s">
        <v>7073</v>
      </c>
      <c r="H365" s="28" t="s">
        <v>7051</v>
      </c>
      <c r="I365" s="28" t="s">
        <v>3306</v>
      </c>
      <c r="J365" s="28" t="s">
        <v>198</v>
      </c>
      <c r="K365" s="35"/>
      <c r="L365" s="35"/>
      <c r="M365" s="35"/>
      <c r="N365" s="28" t="s">
        <v>856</v>
      </c>
      <c r="O365" s="28" t="s">
        <v>771</v>
      </c>
      <c r="P365" s="28" t="s">
        <v>772</v>
      </c>
      <c r="Q365" s="28" t="e">
        <f t="shared" ca="1" si="7"/>
        <v>#NAME?</v>
      </c>
      <c r="R365" s="28" t="s">
        <v>112</v>
      </c>
      <c r="S365" s="55">
        <v>8374522975</v>
      </c>
      <c r="T365" s="29" t="s">
        <v>111</v>
      </c>
      <c r="U365" s="28">
        <v>2002</v>
      </c>
      <c r="V365" s="35">
        <v>1</v>
      </c>
      <c r="W365" s="35">
        <v>1</v>
      </c>
      <c r="X365" s="35">
        <v>1</v>
      </c>
      <c r="Y365" s="35">
        <v>1</v>
      </c>
      <c r="Z365" s="35">
        <v>1</v>
      </c>
      <c r="AA365" s="35">
        <v>1</v>
      </c>
      <c r="AB365" s="35">
        <v>1</v>
      </c>
      <c r="AC365" s="35">
        <v>1</v>
      </c>
      <c r="AD365" s="35">
        <v>1</v>
      </c>
      <c r="AE365" s="35">
        <v>1</v>
      </c>
      <c r="AF365" s="35">
        <v>1</v>
      </c>
      <c r="AG365" s="35">
        <v>1</v>
      </c>
      <c r="AH365" s="35">
        <v>-1</v>
      </c>
      <c r="AI365" s="33">
        <v>-1</v>
      </c>
      <c r="AJ365" s="35">
        <v>1</v>
      </c>
      <c r="AK365" s="35">
        <v>1</v>
      </c>
      <c r="AL365" s="35">
        <v>1</v>
      </c>
      <c r="AM365" s="35">
        <v>1</v>
      </c>
      <c r="AN365" s="35">
        <v>1</v>
      </c>
      <c r="AO365" s="35">
        <v>1</v>
      </c>
      <c r="AP365" s="35">
        <v>1</v>
      </c>
      <c r="AQ365" s="35">
        <v>1</v>
      </c>
      <c r="AR365" s="35">
        <v>1</v>
      </c>
      <c r="AS365" s="35">
        <v>1</v>
      </c>
      <c r="AT365" s="35">
        <v>1</v>
      </c>
      <c r="AU365" s="35">
        <v>1</v>
      </c>
      <c r="AV365" s="33">
        <v>-1</v>
      </c>
      <c r="AW365" s="35">
        <v>-1</v>
      </c>
      <c r="AX365" s="35">
        <v>-1</v>
      </c>
      <c r="AY365" s="35">
        <v>1</v>
      </c>
      <c r="AZ365" s="33">
        <v>-1</v>
      </c>
      <c r="BA365" s="35">
        <v>-1</v>
      </c>
      <c r="BB365" s="35">
        <v>-1</v>
      </c>
      <c r="BC365" s="35">
        <v>-1</v>
      </c>
      <c r="BD365" s="35">
        <v>-1</v>
      </c>
      <c r="BE365" s="35">
        <v>-1</v>
      </c>
      <c r="BF365" s="33">
        <v>-1</v>
      </c>
      <c r="BG365" s="33">
        <v>-1</v>
      </c>
      <c r="BH365" s="33">
        <v>-1</v>
      </c>
      <c r="BI365" s="33">
        <v>-1</v>
      </c>
      <c r="BJ365" s="33">
        <v>-1</v>
      </c>
      <c r="BK365" s="33">
        <v>-1</v>
      </c>
      <c r="BL365" s="33">
        <v>-1</v>
      </c>
      <c r="BM365" s="33">
        <v>-1</v>
      </c>
      <c r="BN365" s="28"/>
      <c r="BO365" s="28"/>
      <c r="BP365" s="28"/>
      <c r="BQ365" s="28"/>
      <c r="BR365" s="28"/>
      <c r="BS365" s="28"/>
      <c r="BT365" s="28"/>
      <c r="BU365" s="28"/>
      <c r="BV365" s="28"/>
      <c r="BW365" s="28"/>
      <c r="BX365" s="28"/>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c r="DW365" s="34"/>
      <c r="DX365" s="34"/>
      <c r="DY365" s="34"/>
      <c r="DZ365" s="34"/>
      <c r="EA365" s="34"/>
      <c r="EB365" s="34"/>
      <c r="EC365" s="34"/>
      <c r="ED365" s="34"/>
    </row>
    <row r="366" spans="1:134" ht="11.25" customHeight="1" x14ac:dyDescent="0.3">
      <c r="A366" s="28" t="e">
        <f t="array" aca="1" ref="A366" ca="1">_xludf.XLOOKUP(S366,Master_Registrations!P:P,Master_Registrations!A:A,"")</f>
        <v>#NAME?</v>
      </c>
      <c r="B366" s="28" t="s">
        <v>7081</v>
      </c>
      <c r="C366" s="28">
        <v>2026</v>
      </c>
      <c r="D366" s="28" t="s">
        <v>4886</v>
      </c>
      <c r="E366" s="28">
        <v>3</v>
      </c>
      <c r="F366" s="29" t="str">
        <f t="shared" si="6"/>
        <v>VED-05-2026-GR-3</v>
      </c>
      <c r="G366" s="28" t="s">
        <v>7073</v>
      </c>
      <c r="H366" s="28" t="s">
        <v>7051</v>
      </c>
      <c r="I366" s="28" t="s">
        <v>3306</v>
      </c>
      <c r="J366" s="28" t="s">
        <v>198</v>
      </c>
      <c r="K366" s="38"/>
      <c r="L366" s="38"/>
      <c r="M366" s="38"/>
      <c r="N366" s="28" t="s">
        <v>915</v>
      </c>
      <c r="O366" s="28" t="s">
        <v>1682</v>
      </c>
      <c r="P366" s="28" t="s">
        <v>1683</v>
      </c>
      <c r="Q366" s="28" t="e">
        <f t="shared" ca="1" si="7"/>
        <v>#NAME?</v>
      </c>
      <c r="R366" s="28" t="s">
        <v>112</v>
      </c>
      <c r="S366" s="55">
        <v>8297184888</v>
      </c>
      <c r="T366" s="29" t="s">
        <v>111</v>
      </c>
      <c r="U366" s="28">
        <v>1952</v>
      </c>
      <c r="V366" s="35">
        <v>2</v>
      </c>
      <c r="W366" s="35">
        <v>2</v>
      </c>
      <c r="X366" s="35">
        <v>2</v>
      </c>
      <c r="Y366" s="35">
        <v>2</v>
      </c>
      <c r="Z366" s="35">
        <v>2</v>
      </c>
      <c r="AA366" s="35">
        <v>2</v>
      </c>
      <c r="AB366" s="35">
        <v>2</v>
      </c>
      <c r="AC366" s="35">
        <v>2</v>
      </c>
      <c r="AD366" s="35">
        <v>2</v>
      </c>
      <c r="AE366" s="35">
        <v>2</v>
      </c>
      <c r="AF366" s="35">
        <v>2</v>
      </c>
      <c r="AG366" s="35">
        <v>2</v>
      </c>
      <c r="AH366" s="35">
        <v>2</v>
      </c>
      <c r="AI366" s="35">
        <v>4</v>
      </c>
      <c r="AJ366" s="35">
        <v>2</v>
      </c>
      <c r="AK366" s="35">
        <v>2</v>
      </c>
      <c r="AL366" s="35">
        <v>2</v>
      </c>
      <c r="AM366" s="35">
        <v>2</v>
      </c>
      <c r="AN366" s="35">
        <v>2</v>
      </c>
      <c r="AO366" s="35">
        <v>2</v>
      </c>
      <c r="AP366" s="35">
        <v>2</v>
      </c>
      <c r="AQ366" s="35">
        <v>2</v>
      </c>
      <c r="AR366" s="35">
        <v>2</v>
      </c>
      <c r="AS366" s="35">
        <v>2</v>
      </c>
      <c r="AT366" s="35">
        <v>2</v>
      </c>
      <c r="AU366" s="35">
        <v>2</v>
      </c>
      <c r="AV366" s="35">
        <v>4</v>
      </c>
      <c r="AW366" s="35">
        <v>2</v>
      </c>
      <c r="AX366" s="35">
        <v>2</v>
      </c>
      <c r="AY366" s="35">
        <v>2</v>
      </c>
      <c r="AZ366" s="35">
        <v>2</v>
      </c>
      <c r="BA366" s="35">
        <v>2</v>
      </c>
      <c r="BB366" s="35">
        <v>2</v>
      </c>
      <c r="BC366" s="35">
        <v>2</v>
      </c>
      <c r="BD366" s="35">
        <v>2</v>
      </c>
      <c r="BE366" s="35">
        <v>2</v>
      </c>
      <c r="BF366" s="35">
        <v>4</v>
      </c>
      <c r="BG366" s="35">
        <v>3</v>
      </c>
      <c r="BH366" s="35">
        <v>3</v>
      </c>
      <c r="BI366" s="35">
        <v>3</v>
      </c>
      <c r="BJ366" s="35">
        <v>3</v>
      </c>
      <c r="BK366" s="35">
        <v>3</v>
      </c>
      <c r="BL366" s="35">
        <v>3</v>
      </c>
      <c r="BM366" s="33">
        <v>-1</v>
      </c>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c r="DZ366" s="34"/>
      <c r="EA366" s="34"/>
      <c r="EB366" s="34"/>
      <c r="EC366" s="34"/>
      <c r="ED366" s="34"/>
    </row>
    <row r="367" spans="1:134" ht="11.25" customHeight="1" x14ac:dyDescent="0.3">
      <c r="A367" s="28" t="e">
        <f t="array" aca="1" ref="A367" ca="1">_xludf.XLOOKUP(S367,Master_Registrations!P:P,Master_Registrations!A:A,"")</f>
        <v>#NAME?</v>
      </c>
      <c r="B367" s="28" t="s">
        <v>7081</v>
      </c>
      <c r="C367" s="28">
        <v>2026</v>
      </c>
      <c r="D367" s="28" t="s">
        <v>4886</v>
      </c>
      <c r="E367" s="28">
        <v>3</v>
      </c>
      <c r="F367" s="29" t="str">
        <f t="shared" si="6"/>
        <v>VED-05-2026-GR-3</v>
      </c>
      <c r="G367" s="28" t="s">
        <v>7073</v>
      </c>
      <c r="H367" s="28" t="s">
        <v>7051</v>
      </c>
      <c r="I367" s="28" t="s">
        <v>3306</v>
      </c>
      <c r="J367" s="28" t="s">
        <v>198</v>
      </c>
      <c r="K367" s="35"/>
      <c r="L367" s="35"/>
      <c r="M367" s="35"/>
      <c r="N367" s="28" t="s">
        <v>973</v>
      </c>
      <c r="O367" s="28" t="s">
        <v>5683</v>
      </c>
      <c r="P367" s="28" t="s">
        <v>4013</v>
      </c>
      <c r="Q367" s="28" t="e">
        <f t="shared" ca="1" si="7"/>
        <v>#NAME?</v>
      </c>
      <c r="R367" s="28" t="s">
        <v>316</v>
      </c>
      <c r="S367" s="32">
        <v>3369783300</v>
      </c>
      <c r="T367" s="29" t="s">
        <v>402</v>
      </c>
      <c r="U367" s="28">
        <v>1969</v>
      </c>
      <c r="V367" s="35">
        <v>1</v>
      </c>
      <c r="W367" s="35">
        <v>1</v>
      </c>
      <c r="X367" s="35">
        <v>1</v>
      </c>
      <c r="Y367" s="35">
        <v>1</v>
      </c>
      <c r="Z367" s="35">
        <v>1</v>
      </c>
      <c r="AA367" s="35">
        <v>1</v>
      </c>
      <c r="AB367" s="35">
        <v>1</v>
      </c>
      <c r="AC367" s="35">
        <v>2</v>
      </c>
      <c r="AD367" s="35">
        <v>1</v>
      </c>
      <c r="AE367" s="35">
        <v>1</v>
      </c>
      <c r="AF367" s="35">
        <v>1</v>
      </c>
      <c r="AG367" s="35">
        <v>1</v>
      </c>
      <c r="AH367" s="35">
        <v>1</v>
      </c>
      <c r="AI367" s="33">
        <v>-1</v>
      </c>
      <c r="AJ367" s="35">
        <v>-1</v>
      </c>
      <c r="AK367" s="35">
        <v>-1</v>
      </c>
      <c r="AL367" s="58">
        <v>1</v>
      </c>
      <c r="AM367" s="35">
        <v>-1</v>
      </c>
      <c r="AN367" s="35">
        <v>-1</v>
      </c>
      <c r="AO367" s="35">
        <v>1</v>
      </c>
      <c r="AP367" s="33">
        <v>-1</v>
      </c>
      <c r="AQ367" s="35">
        <v>-1</v>
      </c>
      <c r="AR367" s="35">
        <v>-1</v>
      </c>
      <c r="AS367" s="35">
        <v>-1</v>
      </c>
      <c r="AT367" s="35">
        <v>-1</v>
      </c>
      <c r="AU367" s="35">
        <v>-1</v>
      </c>
      <c r="AV367" s="33">
        <v>-1</v>
      </c>
      <c r="AW367" s="35">
        <v>-1</v>
      </c>
      <c r="AX367" s="35">
        <v>-1</v>
      </c>
      <c r="AY367" s="35">
        <v>-1</v>
      </c>
      <c r="AZ367" s="33">
        <v>-1</v>
      </c>
      <c r="BA367" s="35">
        <v>-1</v>
      </c>
      <c r="BB367" s="35">
        <v>-1</v>
      </c>
      <c r="BC367" s="35">
        <v>-1</v>
      </c>
      <c r="BD367" s="35">
        <v>-1</v>
      </c>
      <c r="BE367" s="35">
        <v>-1</v>
      </c>
      <c r="BF367" s="33">
        <v>-1</v>
      </c>
      <c r="BG367" s="33">
        <v>-1</v>
      </c>
      <c r="BH367" s="33">
        <v>-1</v>
      </c>
      <c r="BI367" s="33">
        <v>-1</v>
      </c>
      <c r="BJ367" s="33">
        <v>-1</v>
      </c>
      <c r="BK367" s="33">
        <v>-1</v>
      </c>
      <c r="BL367" s="33">
        <v>-1</v>
      </c>
      <c r="BM367" s="33">
        <v>-1</v>
      </c>
      <c r="BN367" s="28"/>
      <c r="BO367" s="28"/>
      <c r="BP367" s="28"/>
      <c r="BQ367" s="28"/>
      <c r="BR367" s="28"/>
      <c r="BS367" s="28"/>
      <c r="BT367" s="28"/>
      <c r="BU367" s="28"/>
      <c r="BV367" s="28"/>
      <c r="BW367" s="28"/>
      <c r="BX367" s="28"/>
      <c r="BY367" s="28"/>
      <c r="BZ367" s="28"/>
      <c r="CA367" s="28"/>
      <c r="CB367" s="28"/>
      <c r="CC367" s="28"/>
      <c r="CD367" s="28"/>
      <c r="CE367" s="28"/>
      <c r="CF367" s="28"/>
      <c r="CG367" s="28"/>
      <c r="CH367" s="28"/>
      <c r="CI367" s="28"/>
      <c r="CJ367" s="28"/>
      <c r="CK367" s="28"/>
      <c r="CL367" s="28"/>
      <c r="CM367" s="28"/>
      <c r="CN367" s="28"/>
      <c r="CO367" s="28"/>
      <c r="CP367" s="28"/>
      <c r="CQ367" s="28"/>
      <c r="CR367" s="28"/>
      <c r="CS367" s="28"/>
      <c r="CT367" s="28"/>
      <c r="CU367" s="28"/>
      <c r="CV367" s="28"/>
      <c r="CW367" s="28"/>
      <c r="CX367" s="28"/>
      <c r="CY367" s="28"/>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c r="DW367" s="34"/>
      <c r="DX367" s="34"/>
      <c r="DY367" s="34"/>
      <c r="DZ367" s="34"/>
      <c r="EA367" s="34"/>
      <c r="EB367" s="34"/>
      <c r="EC367" s="34"/>
      <c r="ED367" s="34"/>
    </row>
    <row r="368" spans="1:134" ht="11.25" customHeight="1" x14ac:dyDescent="0.3">
      <c r="A368" s="28" t="e">
        <f t="array" aca="1" ref="A368" ca="1">_xludf.XLOOKUP(S368,Master_Registrations!P:P,Master_Registrations!A:A,"")</f>
        <v>#NAME?</v>
      </c>
      <c r="B368" s="39" t="s">
        <v>7081</v>
      </c>
      <c r="C368" s="39">
        <v>2026</v>
      </c>
      <c r="D368" s="39" t="s">
        <v>4886</v>
      </c>
      <c r="E368" s="39">
        <v>4</v>
      </c>
      <c r="F368" s="40" t="str">
        <f t="shared" si="6"/>
        <v>VED-05-2026-GR-4</v>
      </c>
      <c r="G368" s="39" t="s">
        <v>7073</v>
      </c>
      <c r="H368" s="39" t="s">
        <v>4666</v>
      </c>
      <c r="I368" s="39" t="s">
        <v>2455</v>
      </c>
      <c r="J368" s="39" t="s">
        <v>198</v>
      </c>
      <c r="K368" s="52"/>
      <c r="L368" s="52"/>
      <c r="M368" s="52"/>
      <c r="N368" s="39" t="s">
        <v>200</v>
      </c>
      <c r="O368" s="39" t="s">
        <v>1264</v>
      </c>
      <c r="P368" s="39" t="s">
        <v>1265</v>
      </c>
      <c r="Q368" s="39" t="e">
        <f t="shared" ca="1" si="7"/>
        <v>#NAME?</v>
      </c>
      <c r="R368" s="39" t="s">
        <v>316</v>
      </c>
      <c r="S368" s="50">
        <v>9802539445</v>
      </c>
      <c r="T368" s="40" t="s">
        <v>474</v>
      </c>
      <c r="U368" s="39">
        <v>1982</v>
      </c>
      <c r="V368" s="44">
        <v>2</v>
      </c>
      <c r="W368" s="44">
        <v>2</v>
      </c>
      <c r="X368" s="44">
        <v>2</v>
      </c>
      <c r="Y368" s="44">
        <v>2</v>
      </c>
      <c r="Z368" s="44">
        <v>2</v>
      </c>
      <c r="AA368" s="44">
        <v>2</v>
      </c>
      <c r="AB368" s="44">
        <v>2</v>
      </c>
      <c r="AC368" s="44">
        <v>2</v>
      </c>
      <c r="AD368" s="44">
        <v>2</v>
      </c>
      <c r="AE368" s="44">
        <v>2</v>
      </c>
      <c r="AF368" s="44">
        <v>2</v>
      </c>
      <c r="AG368" s="44">
        <v>2</v>
      </c>
      <c r="AH368" s="44">
        <v>2</v>
      </c>
      <c r="AI368" s="44">
        <v>4</v>
      </c>
      <c r="AJ368" s="44">
        <v>2</v>
      </c>
      <c r="AK368" s="44">
        <v>2</v>
      </c>
      <c r="AL368" s="44">
        <v>2</v>
      </c>
      <c r="AM368" s="44">
        <v>2</v>
      </c>
      <c r="AN368" s="44">
        <v>2</v>
      </c>
      <c r="AO368" s="44">
        <v>2</v>
      </c>
      <c r="AP368" s="44">
        <v>2</v>
      </c>
      <c r="AQ368" s="44">
        <v>2</v>
      </c>
      <c r="AR368" s="44">
        <v>2</v>
      </c>
      <c r="AS368" s="44">
        <v>2</v>
      </c>
      <c r="AT368" s="44">
        <v>2</v>
      </c>
      <c r="AU368" s="44">
        <v>2</v>
      </c>
      <c r="AV368" s="44">
        <v>4</v>
      </c>
      <c r="AW368" s="44">
        <v>2</v>
      </c>
      <c r="AX368" s="44">
        <v>2</v>
      </c>
      <c r="AY368" s="44">
        <v>2</v>
      </c>
      <c r="AZ368" s="44">
        <v>2</v>
      </c>
      <c r="BA368" s="44">
        <v>2</v>
      </c>
      <c r="BB368" s="44">
        <v>2</v>
      </c>
      <c r="BC368" s="44">
        <v>2</v>
      </c>
      <c r="BD368" s="44">
        <v>2</v>
      </c>
      <c r="BE368" s="44">
        <v>2</v>
      </c>
      <c r="BF368" s="44">
        <v>4</v>
      </c>
      <c r="BG368" s="45">
        <v>-1</v>
      </c>
      <c r="BH368" s="45">
        <v>-1</v>
      </c>
      <c r="BI368" s="45">
        <v>-1</v>
      </c>
      <c r="BJ368" s="45">
        <v>-1</v>
      </c>
      <c r="BK368" s="45">
        <v>-1</v>
      </c>
      <c r="BL368" s="45">
        <v>-1</v>
      </c>
      <c r="BM368" s="45">
        <v>-1</v>
      </c>
      <c r="BN368" s="39"/>
      <c r="BO368" s="39"/>
      <c r="BP368" s="39"/>
      <c r="BQ368" s="39"/>
      <c r="BR368" s="39"/>
      <c r="BS368" s="39"/>
      <c r="BT368" s="39"/>
      <c r="BU368" s="39"/>
      <c r="BV368" s="39"/>
      <c r="BW368" s="39"/>
      <c r="BX368" s="39"/>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48"/>
      <c r="DA368" s="48"/>
      <c r="DB368" s="48"/>
      <c r="DC368" s="48"/>
      <c r="DD368" s="48"/>
      <c r="DE368" s="48"/>
      <c r="DF368" s="48"/>
      <c r="DG368" s="48"/>
      <c r="DH368" s="48"/>
      <c r="DI368" s="48"/>
      <c r="DJ368" s="48"/>
      <c r="DK368" s="48"/>
      <c r="DL368" s="48"/>
      <c r="DM368" s="48"/>
      <c r="DN368" s="48"/>
      <c r="DO368" s="48"/>
      <c r="DP368" s="48"/>
      <c r="DQ368" s="48"/>
      <c r="DR368" s="48"/>
      <c r="DS368" s="48"/>
      <c r="DT368" s="48"/>
      <c r="DU368" s="48"/>
      <c r="DV368" s="48"/>
      <c r="DW368" s="48"/>
      <c r="DX368" s="48"/>
      <c r="DY368" s="48"/>
      <c r="DZ368" s="48"/>
      <c r="EA368" s="48"/>
      <c r="EB368" s="48"/>
      <c r="EC368" s="48"/>
      <c r="ED368" s="48"/>
    </row>
    <row r="369" spans="1:134" ht="11.25" customHeight="1" x14ac:dyDescent="0.3">
      <c r="A369" s="28" t="e">
        <f t="array" aca="1" ref="A369" ca="1">_xludf.XLOOKUP(S369,Master_Registrations!P:P,Master_Registrations!A:A,"")</f>
        <v>#NAME?</v>
      </c>
      <c r="B369" s="39" t="s">
        <v>7081</v>
      </c>
      <c r="C369" s="39">
        <v>2026</v>
      </c>
      <c r="D369" s="39" t="s">
        <v>4886</v>
      </c>
      <c r="E369" s="39">
        <v>4</v>
      </c>
      <c r="F369" s="40" t="str">
        <f t="shared" si="6"/>
        <v>VED-05-2026-GR-4</v>
      </c>
      <c r="G369" s="39" t="s">
        <v>7073</v>
      </c>
      <c r="H369" s="39" t="s">
        <v>4666</v>
      </c>
      <c r="I369" s="39" t="s">
        <v>2455</v>
      </c>
      <c r="J369" s="39" t="s">
        <v>198</v>
      </c>
      <c r="K369" s="52"/>
      <c r="L369" s="52"/>
      <c r="M369" s="52"/>
      <c r="N369" s="39" t="s">
        <v>299</v>
      </c>
      <c r="O369" s="39" t="s">
        <v>5150</v>
      </c>
      <c r="P369" s="39" t="s">
        <v>6405</v>
      </c>
      <c r="Q369" s="39" t="e">
        <f t="shared" ca="1" si="7"/>
        <v>#NAME?</v>
      </c>
      <c r="R369" s="39" t="s">
        <v>112</v>
      </c>
      <c r="S369" s="50">
        <v>8121362700</v>
      </c>
      <c r="T369" s="40" t="s">
        <v>111</v>
      </c>
      <c r="U369" s="39">
        <v>1974</v>
      </c>
      <c r="V369" s="44">
        <v>2</v>
      </c>
      <c r="W369" s="44">
        <v>2</v>
      </c>
      <c r="X369" s="44">
        <v>2</v>
      </c>
      <c r="Y369" s="44">
        <v>2</v>
      </c>
      <c r="Z369" s="44">
        <v>2</v>
      </c>
      <c r="AA369" s="44">
        <v>2</v>
      </c>
      <c r="AB369" s="44">
        <v>2</v>
      </c>
      <c r="AC369" s="44">
        <v>1</v>
      </c>
      <c r="AD369" s="44">
        <v>1</v>
      </c>
      <c r="AE369" s="44">
        <v>2</v>
      </c>
      <c r="AF369" s="44">
        <v>2</v>
      </c>
      <c r="AG369" s="44">
        <v>2</v>
      </c>
      <c r="AH369" s="44">
        <v>2</v>
      </c>
      <c r="AI369" s="45">
        <v>-1</v>
      </c>
      <c r="AJ369" s="44">
        <v>1</v>
      </c>
      <c r="AK369" s="44">
        <v>1</v>
      </c>
      <c r="AL369" s="44">
        <v>1</v>
      </c>
      <c r="AM369" s="44">
        <v>1</v>
      </c>
      <c r="AN369" s="44">
        <v>1</v>
      </c>
      <c r="AO369" s="44">
        <v>1</v>
      </c>
      <c r="AP369" s="44">
        <v>1</v>
      </c>
      <c r="AQ369" s="44">
        <v>-1</v>
      </c>
      <c r="AR369" s="44">
        <v>1</v>
      </c>
      <c r="AS369" s="46">
        <v>-1</v>
      </c>
      <c r="AT369" s="46">
        <v>1</v>
      </c>
      <c r="AU369" s="44">
        <v>-1</v>
      </c>
      <c r="AV369" s="45">
        <v>-1</v>
      </c>
      <c r="AW369" s="44">
        <v>-1</v>
      </c>
      <c r="AX369" s="44">
        <v>-1</v>
      </c>
      <c r="AY369" s="44">
        <v>-1</v>
      </c>
      <c r="AZ369" s="44">
        <v>-1</v>
      </c>
      <c r="BA369" s="44">
        <v>-1</v>
      </c>
      <c r="BB369" s="44">
        <v>-1</v>
      </c>
      <c r="BC369" s="44">
        <v>-1</v>
      </c>
      <c r="BD369" s="44">
        <v>-1</v>
      </c>
      <c r="BE369" s="45">
        <v>-1</v>
      </c>
      <c r="BF369" s="45">
        <v>-1</v>
      </c>
      <c r="BG369" s="45">
        <v>-1</v>
      </c>
      <c r="BH369" s="45">
        <v>-1</v>
      </c>
      <c r="BI369" s="45">
        <v>-1</v>
      </c>
      <c r="BJ369" s="45">
        <v>-1</v>
      </c>
      <c r="BK369" s="45">
        <v>-1</v>
      </c>
      <c r="BL369" s="45">
        <v>-1</v>
      </c>
      <c r="BM369" s="45">
        <v>-1</v>
      </c>
      <c r="BN369" s="39"/>
      <c r="BO369" s="39"/>
      <c r="BP369" s="39"/>
      <c r="BQ369" s="39"/>
      <c r="BR369" s="39"/>
      <c r="BS369" s="39"/>
      <c r="BT369" s="39"/>
      <c r="BU369" s="39"/>
      <c r="BV369" s="39"/>
      <c r="BW369" s="39"/>
      <c r="BX369" s="39"/>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48"/>
      <c r="DA369" s="48"/>
      <c r="DB369" s="48"/>
      <c r="DC369" s="48"/>
      <c r="DD369" s="48"/>
      <c r="DE369" s="48"/>
      <c r="DF369" s="48"/>
      <c r="DG369" s="48"/>
      <c r="DH369" s="48"/>
      <c r="DI369" s="48"/>
      <c r="DJ369" s="48"/>
      <c r="DK369" s="48"/>
      <c r="DL369" s="48"/>
      <c r="DM369" s="48"/>
      <c r="DN369" s="48"/>
      <c r="DO369" s="48"/>
      <c r="DP369" s="48"/>
      <c r="DQ369" s="48"/>
      <c r="DR369" s="48"/>
      <c r="DS369" s="48"/>
      <c r="DT369" s="48"/>
      <c r="DU369" s="48"/>
      <c r="DV369" s="48"/>
      <c r="DW369" s="48"/>
      <c r="DX369" s="48"/>
      <c r="DY369" s="48"/>
      <c r="DZ369" s="48"/>
      <c r="EA369" s="48"/>
      <c r="EB369" s="48"/>
      <c r="EC369" s="48"/>
      <c r="ED369" s="48"/>
    </row>
    <row r="370" spans="1:134" ht="11.25" customHeight="1" x14ac:dyDescent="0.3">
      <c r="A370" s="28" t="e">
        <f t="array" aca="1" ref="A370" ca="1">_xludf.XLOOKUP(S370,Master_Registrations!P:P,Master_Registrations!A:A,"")</f>
        <v>#NAME?</v>
      </c>
      <c r="B370" s="39" t="s">
        <v>7081</v>
      </c>
      <c r="C370" s="39">
        <v>2026</v>
      </c>
      <c r="D370" s="39" t="s">
        <v>4886</v>
      </c>
      <c r="E370" s="39">
        <v>4</v>
      </c>
      <c r="F370" s="40" t="str">
        <f t="shared" si="6"/>
        <v>VED-05-2026-GR-4</v>
      </c>
      <c r="G370" s="39" t="s">
        <v>7073</v>
      </c>
      <c r="H370" s="39" t="s">
        <v>4666</v>
      </c>
      <c r="I370" s="39" t="s">
        <v>2455</v>
      </c>
      <c r="J370" s="39" t="s">
        <v>198</v>
      </c>
      <c r="K370" s="52"/>
      <c r="L370" s="52"/>
      <c r="M370" s="52"/>
      <c r="N370" s="39" t="s">
        <v>369</v>
      </c>
      <c r="O370" s="39" t="s">
        <v>716</v>
      </c>
      <c r="P370" s="39" t="s">
        <v>1859</v>
      </c>
      <c r="Q370" s="39" t="e">
        <f t="shared" ca="1" si="7"/>
        <v>#NAME?</v>
      </c>
      <c r="R370" s="39" t="s">
        <v>112</v>
      </c>
      <c r="S370" s="50">
        <v>9441975657</v>
      </c>
      <c r="T370" s="40" t="s">
        <v>111</v>
      </c>
      <c r="U370" s="39">
        <v>1962</v>
      </c>
      <c r="V370" s="44">
        <v>2</v>
      </c>
      <c r="W370" s="44">
        <v>2</v>
      </c>
      <c r="X370" s="44">
        <v>2</v>
      </c>
      <c r="Y370" s="44">
        <v>2</v>
      </c>
      <c r="Z370" s="44">
        <v>2</v>
      </c>
      <c r="AA370" s="44">
        <v>2</v>
      </c>
      <c r="AB370" s="44">
        <v>2</v>
      </c>
      <c r="AC370" s="44">
        <v>2</v>
      </c>
      <c r="AD370" s="44">
        <v>2</v>
      </c>
      <c r="AE370" s="44">
        <v>2</v>
      </c>
      <c r="AF370" s="44">
        <v>2</v>
      </c>
      <c r="AG370" s="44">
        <v>2</v>
      </c>
      <c r="AH370" s="44">
        <v>2</v>
      </c>
      <c r="AI370" s="44">
        <v>4</v>
      </c>
      <c r="AJ370" s="44">
        <v>2</v>
      </c>
      <c r="AK370" s="44">
        <v>2</v>
      </c>
      <c r="AL370" s="44">
        <v>2</v>
      </c>
      <c r="AM370" s="44">
        <v>2</v>
      </c>
      <c r="AN370" s="44">
        <v>2</v>
      </c>
      <c r="AO370" s="44">
        <v>2</v>
      </c>
      <c r="AP370" s="44">
        <v>2</v>
      </c>
      <c r="AQ370" s="44">
        <v>2</v>
      </c>
      <c r="AR370" s="44">
        <v>2</v>
      </c>
      <c r="AS370" s="44">
        <v>2</v>
      </c>
      <c r="AT370" s="44">
        <v>2</v>
      </c>
      <c r="AU370" s="44">
        <v>2</v>
      </c>
      <c r="AV370" s="44">
        <v>4</v>
      </c>
      <c r="AW370" s="44">
        <v>2</v>
      </c>
      <c r="AX370" s="44">
        <v>2</v>
      </c>
      <c r="AY370" s="44">
        <v>2</v>
      </c>
      <c r="AZ370" s="44">
        <v>2</v>
      </c>
      <c r="BA370" s="44">
        <v>2</v>
      </c>
      <c r="BB370" s="44">
        <v>2</v>
      </c>
      <c r="BC370" s="44">
        <v>2</v>
      </c>
      <c r="BD370" s="44">
        <v>2</v>
      </c>
      <c r="BE370" s="44">
        <v>2</v>
      </c>
      <c r="BF370" s="44">
        <v>4</v>
      </c>
      <c r="BG370" s="44">
        <v>2</v>
      </c>
      <c r="BH370" s="44">
        <v>2</v>
      </c>
      <c r="BI370" s="44">
        <v>2</v>
      </c>
      <c r="BJ370" s="44">
        <v>2</v>
      </c>
      <c r="BK370" s="44">
        <v>2</v>
      </c>
      <c r="BL370" s="44">
        <v>2</v>
      </c>
      <c r="BM370" s="44">
        <v>4</v>
      </c>
      <c r="BN370" s="39"/>
      <c r="BO370" s="39"/>
      <c r="BP370" s="39"/>
      <c r="BQ370" s="39"/>
      <c r="BR370" s="39"/>
      <c r="BS370" s="39"/>
      <c r="BT370" s="39"/>
      <c r="BU370" s="39"/>
      <c r="BV370" s="39"/>
      <c r="BW370" s="39"/>
      <c r="BX370" s="39"/>
      <c r="BY370" s="39"/>
      <c r="BZ370" s="39"/>
      <c r="CA370" s="39"/>
      <c r="CB370" s="39"/>
      <c r="CC370" s="39"/>
      <c r="CD370" s="39"/>
      <c r="CE370" s="39"/>
      <c r="CF370" s="39"/>
      <c r="CG370" s="39"/>
      <c r="CH370" s="39"/>
      <c r="CI370" s="39"/>
      <c r="CJ370" s="39"/>
      <c r="CK370" s="39"/>
      <c r="CL370" s="39"/>
      <c r="CM370" s="39"/>
      <c r="CN370" s="39"/>
      <c r="CO370" s="39"/>
      <c r="CP370" s="39"/>
      <c r="CQ370" s="39"/>
      <c r="CR370" s="39"/>
      <c r="CS370" s="39"/>
      <c r="CT370" s="39"/>
      <c r="CU370" s="39"/>
      <c r="CV370" s="39"/>
      <c r="CW370" s="39"/>
      <c r="CX370" s="39"/>
      <c r="CY370" s="39"/>
      <c r="CZ370" s="48"/>
      <c r="DA370" s="48"/>
      <c r="DB370" s="48"/>
      <c r="DC370" s="48"/>
      <c r="DD370" s="48"/>
      <c r="DE370" s="48"/>
      <c r="DF370" s="48"/>
      <c r="DG370" s="48"/>
      <c r="DH370" s="48"/>
      <c r="DI370" s="48"/>
      <c r="DJ370" s="48"/>
      <c r="DK370" s="48"/>
      <c r="DL370" s="48"/>
      <c r="DM370" s="48"/>
      <c r="DN370" s="48"/>
      <c r="DO370" s="48"/>
      <c r="DP370" s="48"/>
      <c r="DQ370" s="48"/>
      <c r="DR370" s="48"/>
      <c r="DS370" s="48"/>
      <c r="DT370" s="48"/>
      <c r="DU370" s="48"/>
      <c r="DV370" s="48"/>
      <c r="DW370" s="48"/>
      <c r="DX370" s="48"/>
      <c r="DY370" s="48"/>
      <c r="DZ370" s="48"/>
      <c r="EA370" s="48"/>
      <c r="EB370" s="48"/>
      <c r="EC370" s="48"/>
      <c r="ED370" s="48"/>
    </row>
    <row r="371" spans="1:134" ht="11.25" customHeight="1" x14ac:dyDescent="0.3">
      <c r="A371" s="28" t="e">
        <f t="array" aca="1" ref="A371" ca="1">_xludf.XLOOKUP(S371,Master_Registrations!P:P,Master_Registrations!A:A,"")</f>
        <v>#NAME?</v>
      </c>
      <c r="B371" s="39" t="s">
        <v>7081</v>
      </c>
      <c r="C371" s="39">
        <v>2026</v>
      </c>
      <c r="D371" s="39" t="s">
        <v>4886</v>
      </c>
      <c r="E371" s="39">
        <v>4</v>
      </c>
      <c r="F371" s="40" t="str">
        <f t="shared" si="6"/>
        <v>VED-05-2026-GR-4</v>
      </c>
      <c r="G371" s="39" t="s">
        <v>7073</v>
      </c>
      <c r="H371" s="39" t="s">
        <v>4666</v>
      </c>
      <c r="I371" s="39" t="s">
        <v>2455</v>
      </c>
      <c r="J371" s="39" t="s">
        <v>198</v>
      </c>
      <c r="K371" s="52"/>
      <c r="L371" s="52"/>
      <c r="M371" s="52"/>
      <c r="N371" s="39" t="s">
        <v>434</v>
      </c>
      <c r="O371" s="39" t="s">
        <v>462</v>
      </c>
      <c r="P371" s="39" t="s">
        <v>463</v>
      </c>
      <c r="Q371" s="39" t="e">
        <f t="shared" ca="1" si="7"/>
        <v>#NAME?</v>
      </c>
      <c r="R371" s="39" t="s">
        <v>112</v>
      </c>
      <c r="S371" s="50">
        <v>8500945799</v>
      </c>
      <c r="T371" s="40" t="s">
        <v>111</v>
      </c>
      <c r="U371" s="39">
        <v>1955</v>
      </c>
      <c r="V371" s="44">
        <v>2</v>
      </c>
      <c r="W371" s="44">
        <v>2</v>
      </c>
      <c r="X371" s="44">
        <v>2</v>
      </c>
      <c r="Y371" s="44">
        <v>2</v>
      </c>
      <c r="Z371" s="44">
        <v>2</v>
      </c>
      <c r="AA371" s="44">
        <v>2</v>
      </c>
      <c r="AB371" s="44">
        <v>2</v>
      </c>
      <c r="AC371" s="44">
        <v>2</v>
      </c>
      <c r="AD371" s="44">
        <v>2</v>
      </c>
      <c r="AE371" s="44">
        <v>2</v>
      </c>
      <c r="AF371" s="44">
        <v>2</v>
      </c>
      <c r="AG371" s="44">
        <v>2</v>
      </c>
      <c r="AH371" s="44">
        <v>2</v>
      </c>
      <c r="AI371" s="44">
        <v>4</v>
      </c>
      <c r="AJ371" s="44">
        <v>2</v>
      </c>
      <c r="AK371" s="44">
        <v>2</v>
      </c>
      <c r="AL371" s="44">
        <v>2</v>
      </c>
      <c r="AM371" s="44">
        <v>2</v>
      </c>
      <c r="AN371" s="44">
        <v>2</v>
      </c>
      <c r="AO371" s="44">
        <v>2</v>
      </c>
      <c r="AP371" s="44">
        <v>2</v>
      </c>
      <c r="AQ371" s="44">
        <v>2</v>
      </c>
      <c r="AR371" s="44">
        <v>2</v>
      </c>
      <c r="AS371" s="44">
        <v>2</v>
      </c>
      <c r="AT371" s="44">
        <v>2</v>
      </c>
      <c r="AU371" s="44">
        <v>2</v>
      </c>
      <c r="AV371" s="44">
        <v>4</v>
      </c>
      <c r="AW371" s="44">
        <v>2</v>
      </c>
      <c r="AX371" s="44">
        <v>2</v>
      </c>
      <c r="AY371" s="44">
        <v>2</v>
      </c>
      <c r="AZ371" s="44">
        <v>2</v>
      </c>
      <c r="BA371" s="44">
        <v>2</v>
      </c>
      <c r="BB371" s="44">
        <v>2</v>
      </c>
      <c r="BC371" s="44">
        <v>2</v>
      </c>
      <c r="BD371" s="44">
        <v>2</v>
      </c>
      <c r="BE371" s="44">
        <v>2</v>
      </c>
      <c r="BF371" s="44">
        <v>4</v>
      </c>
      <c r="BG371" s="44">
        <v>2</v>
      </c>
      <c r="BH371" s="44">
        <v>2</v>
      </c>
      <c r="BI371" s="44">
        <v>2</v>
      </c>
      <c r="BJ371" s="44">
        <v>2</v>
      </c>
      <c r="BK371" s="44">
        <v>2</v>
      </c>
      <c r="BL371" s="44">
        <v>2</v>
      </c>
      <c r="BM371" s="45">
        <v>-1</v>
      </c>
      <c r="BN371" s="39"/>
      <c r="BO371" s="39"/>
      <c r="BP371" s="39"/>
      <c r="BQ371" s="39"/>
      <c r="BR371" s="39"/>
      <c r="BS371" s="39"/>
      <c r="BT371" s="39"/>
      <c r="BU371" s="39"/>
      <c r="BV371" s="39"/>
      <c r="BW371" s="39"/>
      <c r="BX371" s="39"/>
      <c r="BY371" s="39"/>
      <c r="BZ371" s="39"/>
      <c r="CA371" s="39"/>
      <c r="CB371" s="39"/>
      <c r="CC371" s="39"/>
      <c r="CD371" s="39"/>
      <c r="CE371" s="39"/>
      <c r="CF371" s="39"/>
      <c r="CG371" s="39"/>
      <c r="CH371" s="39"/>
      <c r="CI371" s="39"/>
      <c r="CJ371" s="39"/>
      <c r="CK371" s="39"/>
      <c r="CL371" s="39"/>
      <c r="CM371" s="39"/>
      <c r="CN371" s="39"/>
      <c r="CO371" s="39"/>
      <c r="CP371" s="39"/>
      <c r="CQ371" s="39"/>
      <c r="CR371" s="39"/>
      <c r="CS371" s="39"/>
      <c r="CT371" s="39"/>
      <c r="CU371" s="39"/>
      <c r="CV371" s="39"/>
      <c r="CW371" s="39"/>
      <c r="CX371" s="39"/>
      <c r="CY371" s="39"/>
      <c r="CZ371" s="48"/>
      <c r="DA371" s="48"/>
      <c r="DB371" s="48"/>
      <c r="DC371" s="48"/>
      <c r="DD371" s="48"/>
      <c r="DE371" s="48"/>
      <c r="DF371" s="48"/>
      <c r="DG371" s="48"/>
      <c r="DH371" s="48"/>
      <c r="DI371" s="48"/>
      <c r="DJ371" s="48"/>
      <c r="DK371" s="48"/>
      <c r="DL371" s="48"/>
      <c r="DM371" s="48"/>
      <c r="DN371" s="48"/>
      <c r="DO371" s="48"/>
      <c r="DP371" s="48"/>
      <c r="DQ371" s="48"/>
      <c r="DR371" s="48"/>
      <c r="DS371" s="48"/>
      <c r="DT371" s="48"/>
      <c r="DU371" s="48"/>
      <c r="DV371" s="48"/>
      <c r="DW371" s="48"/>
      <c r="DX371" s="48"/>
      <c r="DY371" s="48"/>
      <c r="DZ371" s="48"/>
      <c r="EA371" s="48"/>
      <c r="EB371" s="48"/>
      <c r="EC371" s="48"/>
      <c r="ED371" s="48"/>
    </row>
    <row r="372" spans="1:134" ht="11.25" customHeight="1" x14ac:dyDescent="0.3">
      <c r="A372" s="28" t="e">
        <f t="array" aca="1" ref="A372" ca="1">_xludf.XLOOKUP(S372,Master_Registrations!P:P,Master_Registrations!A:A,"")</f>
        <v>#NAME?</v>
      </c>
      <c r="B372" s="39" t="s">
        <v>7081</v>
      </c>
      <c r="C372" s="39">
        <v>2026</v>
      </c>
      <c r="D372" s="39" t="s">
        <v>4886</v>
      </c>
      <c r="E372" s="39">
        <v>4</v>
      </c>
      <c r="F372" s="40" t="str">
        <f t="shared" si="6"/>
        <v>VED-05-2026-GR-4</v>
      </c>
      <c r="G372" s="39" t="s">
        <v>7073</v>
      </c>
      <c r="H372" s="39" t="s">
        <v>4666</v>
      </c>
      <c r="I372" s="39" t="s">
        <v>2455</v>
      </c>
      <c r="J372" s="39" t="s">
        <v>198</v>
      </c>
      <c r="K372" s="52"/>
      <c r="L372" s="52"/>
      <c r="M372" s="52"/>
      <c r="N372" s="39" t="s">
        <v>525</v>
      </c>
      <c r="O372" s="39" t="s">
        <v>519</v>
      </c>
      <c r="P372" s="39" t="s">
        <v>520</v>
      </c>
      <c r="Q372" s="39" t="e">
        <f t="shared" ca="1" si="7"/>
        <v>#NAME?</v>
      </c>
      <c r="R372" s="39" t="s">
        <v>316</v>
      </c>
      <c r="S372" s="50">
        <v>5123178882</v>
      </c>
      <c r="T372" s="40" t="s">
        <v>315</v>
      </c>
      <c r="U372" s="39">
        <v>1981</v>
      </c>
      <c r="V372" s="44">
        <v>2</v>
      </c>
      <c r="W372" s="44">
        <v>2</v>
      </c>
      <c r="X372" s="44">
        <v>2</v>
      </c>
      <c r="Y372" s="44">
        <v>2</v>
      </c>
      <c r="Z372" s="44">
        <v>2</v>
      </c>
      <c r="AA372" s="44">
        <v>2</v>
      </c>
      <c r="AB372" s="44">
        <v>2</v>
      </c>
      <c r="AC372" s="44">
        <v>2</v>
      </c>
      <c r="AD372" s="44">
        <v>2</v>
      </c>
      <c r="AE372" s="44">
        <v>2</v>
      </c>
      <c r="AF372" s="44">
        <v>2</v>
      </c>
      <c r="AG372" s="44">
        <v>2</v>
      </c>
      <c r="AH372" s="44">
        <v>2</v>
      </c>
      <c r="AI372" s="44">
        <v>3</v>
      </c>
      <c r="AJ372" s="44">
        <v>2</v>
      </c>
      <c r="AK372" s="44">
        <v>2</v>
      </c>
      <c r="AL372" s="44">
        <v>2</v>
      </c>
      <c r="AM372" s="44">
        <v>2</v>
      </c>
      <c r="AN372" s="44">
        <v>2</v>
      </c>
      <c r="AO372" s="44">
        <v>2</v>
      </c>
      <c r="AP372" s="44">
        <v>2</v>
      </c>
      <c r="AQ372" s="44">
        <v>2</v>
      </c>
      <c r="AR372" s="44">
        <v>2</v>
      </c>
      <c r="AS372" s="44">
        <v>2</v>
      </c>
      <c r="AT372" s="44">
        <v>2</v>
      </c>
      <c r="AU372" s="44">
        <v>2</v>
      </c>
      <c r="AV372" s="44">
        <v>4</v>
      </c>
      <c r="AW372" s="44">
        <v>2</v>
      </c>
      <c r="AX372" s="44">
        <v>2</v>
      </c>
      <c r="AY372" s="44">
        <v>2</v>
      </c>
      <c r="AZ372" s="44">
        <v>2</v>
      </c>
      <c r="BA372" s="44">
        <v>2</v>
      </c>
      <c r="BB372" s="44">
        <v>2</v>
      </c>
      <c r="BC372" s="44">
        <v>2</v>
      </c>
      <c r="BD372" s="44">
        <v>2</v>
      </c>
      <c r="BE372" s="44">
        <v>2</v>
      </c>
      <c r="BF372" s="44">
        <v>4</v>
      </c>
      <c r="BG372" s="45">
        <v>-1</v>
      </c>
      <c r="BH372" s="45">
        <v>-1</v>
      </c>
      <c r="BI372" s="45">
        <v>-1</v>
      </c>
      <c r="BJ372" s="45">
        <v>-1</v>
      </c>
      <c r="BK372" s="45">
        <v>-1</v>
      </c>
      <c r="BL372" s="45">
        <v>-1</v>
      </c>
      <c r="BM372" s="45">
        <v>-1</v>
      </c>
      <c r="BN372" s="39"/>
      <c r="BO372" s="39"/>
      <c r="BP372" s="39"/>
      <c r="BQ372" s="39"/>
      <c r="BR372" s="39"/>
      <c r="BS372" s="39"/>
      <c r="BT372" s="39"/>
      <c r="BU372" s="39"/>
      <c r="BV372" s="39"/>
      <c r="BW372" s="39"/>
      <c r="BX372" s="39"/>
      <c r="BY372" s="39"/>
      <c r="BZ372" s="39"/>
      <c r="CA372" s="39"/>
      <c r="CB372" s="39"/>
      <c r="CC372" s="39"/>
      <c r="CD372" s="39"/>
      <c r="CE372" s="39"/>
      <c r="CF372" s="39"/>
      <c r="CG372" s="39"/>
      <c r="CH372" s="39"/>
      <c r="CI372" s="39"/>
      <c r="CJ372" s="39"/>
      <c r="CK372" s="39"/>
      <c r="CL372" s="39"/>
      <c r="CM372" s="39"/>
      <c r="CN372" s="39"/>
      <c r="CO372" s="39"/>
      <c r="CP372" s="39"/>
      <c r="CQ372" s="39"/>
      <c r="CR372" s="39"/>
      <c r="CS372" s="39"/>
      <c r="CT372" s="39"/>
      <c r="CU372" s="39"/>
      <c r="CV372" s="39"/>
      <c r="CW372" s="39"/>
      <c r="CX372" s="39"/>
      <c r="CY372" s="39"/>
      <c r="CZ372" s="48"/>
      <c r="DA372" s="48"/>
      <c r="DB372" s="48"/>
      <c r="DC372" s="48"/>
      <c r="DD372" s="48"/>
      <c r="DE372" s="48"/>
      <c r="DF372" s="48"/>
      <c r="DG372" s="48"/>
      <c r="DH372" s="48"/>
      <c r="DI372" s="48"/>
      <c r="DJ372" s="48"/>
      <c r="DK372" s="48"/>
      <c r="DL372" s="48"/>
      <c r="DM372" s="48"/>
      <c r="DN372" s="48"/>
      <c r="DO372" s="48"/>
      <c r="DP372" s="48"/>
      <c r="DQ372" s="48"/>
      <c r="DR372" s="48"/>
      <c r="DS372" s="48"/>
      <c r="DT372" s="48"/>
      <c r="DU372" s="48"/>
      <c r="DV372" s="48"/>
      <c r="DW372" s="48"/>
      <c r="DX372" s="48"/>
      <c r="DY372" s="48"/>
      <c r="DZ372" s="48"/>
      <c r="EA372" s="48"/>
      <c r="EB372" s="48"/>
      <c r="EC372" s="48"/>
      <c r="ED372" s="48"/>
    </row>
    <row r="373" spans="1:134" ht="11.25" customHeight="1" x14ac:dyDescent="0.3">
      <c r="A373" s="28" t="e">
        <f t="array" aca="1" ref="A373" ca="1">_xludf.XLOOKUP(S373,Master_Registrations!P:P,Master_Registrations!A:A,"")</f>
        <v>#NAME?</v>
      </c>
      <c r="B373" s="39" t="s">
        <v>7081</v>
      </c>
      <c r="C373" s="39">
        <v>2026</v>
      </c>
      <c r="D373" s="39" t="s">
        <v>4886</v>
      </c>
      <c r="E373" s="39">
        <v>4</v>
      </c>
      <c r="F373" s="40" t="str">
        <f t="shared" si="6"/>
        <v>VED-05-2026-GR-4</v>
      </c>
      <c r="G373" s="39" t="s">
        <v>7073</v>
      </c>
      <c r="H373" s="39" t="s">
        <v>4666</v>
      </c>
      <c r="I373" s="39" t="s">
        <v>2455</v>
      </c>
      <c r="J373" s="39" t="s">
        <v>198</v>
      </c>
      <c r="K373" s="52"/>
      <c r="L373" s="52"/>
      <c r="M373" s="52"/>
      <c r="N373" s="39" t="s">
        <v>621</v>
      </c>
      <c r="O373" s="39" t="s">
        <v>5351</v>
      </c>
      <c r="P373" s="39" t="s">
        <v>5352</v>
      </c>
      <c r="Q373" s="39" t="e">
        <f t="shared" ca="1" si="7"/>
        <v>#NAME?</v>
      </c>
      <c r="R373" s="39" t="s">
        <v>112</v>
      </c>
      <c r="S373" s="43">
        <v>9849062337</v>
      </c>
      <c r="T373" s="40" t="s">
        <v>111</v>
      </c>
      <c r="U373" s="39">
        <v>1974</v>
      </c>
      <c r="V373" s="44">
        <v>2</v>
      </c>
      <c r="W373" s="44">
        <v>2</v>
      </c>
      <c r="X373" s="44">
        <v>2</v>
      </c>
      <c r="Y373" s="44">
        <v>2</v>
      </c>
      <c r="Z373" s="44">
        <v>2</v>
      </c>
      <c r="AA373" s="44">
        <v>2</v>
      </c>
      <c r="AB373" s="44">
        <v>2</v>
      </c>
      <c r="AC373" s="44">
        <v>2</v>
      </c>
      <c r="AD373" s="44">
        <v>2</v>
      </c>
      <c r="AE373" s="44">
        <v>2</v>
      </c>
      <c r="AF373" s="44">
        <v>2</v>
      </c>
      <c r="AG373" s="44">
        <v>2</v>
      </c>
      <c r="AH373" s="44">
        <v>2</v>
      </c>
      <c r="AI373" s="44">
        <v>3</v>
      </c>
      <c r="AJ373" s="44">
        <v>1</v>
      </c>
      <c r="AK373" s="44">
        <v>1</v>
      </c>
      <c r="AL373" s="44">
        <v>1</v>
      </c>
      <c r="AM373" s="44">
        <v>1</v>
      </c>
      <c r="AN373" s="44">
        <v>1</v>
      </c>
      <c r="AO373" s="44">
        <v>1</v>
      </c>
      <c r="AP373" s="44">
        <v>-1</v>
      </c>
      <c r="AQ373" s="44">
        <v>-1</v>
      </c>
      <c r="AR373" s="44">
        <v>1</v>
      </c>
      <c r="AS373" s="46">
        <v>-1</v>
      </c>
      <c r="AT373" s="44">
        <v>-1</v>
      </c>
      <c r="AU373" s="44">
        <v>1</v>
      </c>
      <c r="AV373" s="45">
        <v>-1</v>
      </c>
      <c r="AW373" s="44">
        <v>2</v>
      </c>
      <c r="AX373" s="44">
        <v>-1</v>
      </c>
      <c r="AY373" s="44">
        <v>1</v>
      </c>
      <c r="AZ373" s="44">
        <v>-1</v>
      </c>
      <c r="BA373" s="44">
        <v>-1</v>
      </c>
      <c r="BB373" s="44">
        <v>-1</v>
      </c>
      <c r="BC373" s="44">
        <v>2</v>
      </c>
      <c r="BD373" s="44">
        <v>2</v>
      </c>
      <c r="BE373" s="44">
        <v>2</v>
      </c>
      <c r="BF373" s="45">
        <v>-1</v>
      </c>
      <c r="BG373" s="46">
        <v>-1</v>
      </c>
      <c r="BH373" s="46">
        <v>-1</v>
      </c>
      <c r="BI373" s="46">
        <v>-1</v>
      </c>
      <c r="BJ373" s="47">
        <v>-1</v>
      </c>
      <c r="BK373" s="47">
        <v>-1</v>
      </c>
      <c r="BL373" s="47">
        <v>-1</v>
      </c>
      <c r="BM373" s="47">
        <v>-1</v>
      </c>
      <c r="BN373" s="39"/>
      <c r="BO373" s="39"/>
      <c r="BP373" s="39"/>
      <c r="BQ373" s="39"/>
      <c r="BR373" s="39"/>
      <c r="BS373" s="39"/>
      <c r="BT373" s="39"/>
      <c r="BU373" s="39"/>
      <c r="BV373" s="39"/>
      <c r="BW373" s="39"/>
      <c r="BX373" s="39"/>
      <c r="BY373" s="39"/>
      <c r="BZ373" s="39"/>
      <c r="CA373" s="39"/>
      <c r="CB373" s="39"/>
      <c r="CC373" s="39"/>
      <c r="CD373" s="39"/>
      <c r="CE373" s="39"/>
      <c r="CF373" s="39"/>
      <c r="CG373" s="39"/>
      <c r="CH373" s="39"/>
      <c r="CI373" s="39"/>
      <c r="CJ373" s="39"/>
      <c r="CK373" s="39"/>
      <c r="CL373" s="39"/>
      <c r="CM373" s="39"/>
      <c r="CN373" s="39"/>
      <c r="CO373" s="39"/>
      <c r="CP373" s="39"/>
      <c r="CQ373" s="39"/>
      <c r="CR373" s="39"/>
      <c r="CS373" s="39"/>
      <c r="CT373" s="39"/>
      <c r="CU373" s="39"/>
      <c r="CV373" s="39"/>
      <c r="CW373" s="39"/>
      <c r="CX373" s="39"/>
      <c r="CY373" s="39"/>
      <c r="CZ373" s="48"/>
      <c r="DA373" s="48"/>
      <c r="DB373" s="48"/>
      <c r="DC373" s="48"/>
      <c r="DD373" s="48"/>
      <c r="DE373" s="48"/>
      <c r="DF373" s="48"/>
      <c r="DG373" s="48"/>
      <c r="DH373" s="48"/>
      <c r="DI373" s="48"/>
      <c r="DJ373" s="48"/>
      <c r="DK373" s="48"/>
      <c r="DL373" s="48"/>
      <c r="DM373" s="48"/>
      <c r="DN373" s="48"/>
      <c r="DO373" s="48"/>
      <c r="DP373" s="48"/>
      <c r="DQ373" s="48"/>
      <c r="DR373" s="48"/>
      <c r="DS373" s="48"/>
      <c r="DT373" s="48"/>
      <c r="DU373" s="48"/>
      <c r="DV373" s="48"/>
      <c r="DW373" s="48"/>
      <c r="DX373" s="48"/>
      <c r="DY373" s="48"/>
      <c r="DZ373" s="48"/>
      <c r="EA373" s="48"/>
      <c r="EB373" s="48"/>
      <c r="EC373" s="48"/>
      <c r="ED373" s="48"/>
    </row>
    <row r="374" spans="1:134" ht="11.25" customHeight="1" x14ac:dyDescent="0.3">
      <c r="A374" s="28" t="e">
        <f t="array" aca="1" ref="A374" ca="1">_xludf.XLOOKUP(S374,Master_Registrations!P:P,Master_Registrations!A:A,"")</f>
        <v>#NAME?</v>
      </c>
      <c r="B374" s="39" t="s">
        <v>7081</v>
      </c>
      <c r="C374" s="39">
        <v>2026</v>
      </c>
      <c r="D374" s="39" t="s">
        <v>4886</v>
      </c>
      <c r="E374" s="39">
        <v>4</v>
      </c>
      <c r="F374" s="40" t="str">
        <f t="shared" si="6"/>
        <v>VED-05-2026-GR-4</v>
      </c>
      <c r="G374" s="39" t="s">
        <v>7073</v>
      </c>
      <c r="H374" s="39" t="s">
        <v>4666</v>
      </c>
      <c r="I374" s="39" t="s">
        <v>2455</v>
      </c>
      <c r="J374" s="39" t="s">
        <v>198</v>
      </c>
      <c r="K374" s="52"/>
      <c r="L374" s="52"/>
      <c r="M374" s="52"/>
      <c r="N374" s="39" t="s">
        <v>714</v>
      </c>
      <c r="O374" s="39" t="s">
        <v>432</v>
      </c>
      <c r="P374" s="39" t="s">
        <v>433</v>
      </c>
      <c r="Q374" s="39" t="e">
        <f t="shared" ca="1" si="7"/>
        <v>#NAME?</v>
      </c>
      <c r="R374" s="39" t="s">
        <v>316</v>
      </c>
      <c r="S374" s="50">
        <v>6474041774</v>
      </c>
      <c r="T374" s="40" t="s">
        <v>402</v>
      </c>
      <c r="U374" s="39">
        <v>1963</v>
      </c>
      <c r="V374" s="44">
        <v>2</v>
      </c>
      <c r="W374" s="44">
        <v>2</v>
      </c>
      <c r="X374" s="44">
        <v>2</v>
      </c>
      <c r="Y374" s="44">
        <v>2</v>
      </c>
      <c r="Z374" s="44">
        <v>2</v>
      </c>
      <c r="AA374" s="44">
        <v>2</v>
      </c>
      <c r="AB374" s="44">
        <v>2</v>
      </c>
      <c r="AC374" s="44">
        <v>2</v>
      </c>
      <c r="AD374" s="44">
        <v>2</v>
      </c>
      <c r="AE374" s="44">
        <v>2</v>
      </c>
      <c r="AF374" s="44">
        <v>2</v>
      </c>
      <c r="AG374" s="44">
        <v>2</v>
      </c>
      <c r="AH374" s="44">
        <v>2</v>
      </c>
      <c r="AI374" s="44">
        <v>4</v>
      </c>
      <c r="AJ374" s="44">
        <v>2</v>
      </c>
      <c r="AK374" s="44">
        <v>2</v>
      </c>
      <c r="AL374" s="44">
        <v>2</v>
      </c>
      <c r="AM374" s="44">
        <v>2</v>
      </c>
      <c r="AN374" s="44">
        <v>2</v>
      </c>
      <c r="AO374" s="44">
        <v>2</v>
      </c>
      <c r="AP374" s="44">
        <v>2</v>
      </c>
      <c r="AQ374" s="44">
        <v>2</v>
      </c>
      <c r="AR374" s="44">
        <v>2</v>
      </c>
      <c r="AS374" s="44">
        <v>2</v>
      </c>
      <c r="AT374" s="44">
        <v>2</v>
      </c>
      <c r="AU374" s="44">
        <v>2</v>
      </c>
      <c r="AV374" s="44">
        <v>4</v>
      </c>
      <c r="AW374" s="44">
        <v>2</v>
      </c>
      <c r="AX374" s="44">
        <v>2</v>
      </c>
      <c r="AY374" s="44">
        <v>2</v>
      </c>
      <c r="AZ374" s="44">
        <v>2</v>
      </c>
      <c r="BA374" s="44">
        <v>2</v>
      </c>
      <c r="BB374" s="44">
        <v>2</v>
      </c>
      <c r="BC374" s="44">
        <v>2</v>
      </c>
      <c r="BD374" s="44">
        <v>2</v>
      </c>
      <c r="BE374" s="44">
        <v>2</v>
      </c>
      <c r="BF374" s="44">
        <v>4</v>
      </c>
      <c r="BG374" s="44">
        <v>2</v>
      </c>
      <c r="BH374" s="44">
        <v>2</v>
      </c>
      <c r="BI374" s="44">
        <v>2</v>
      </c>
      <c r="BJ374" s="44">
        <v>2</v>
      </c>
      <c r="BK374" s="44">
        <v>2</v>
      </c>
      <c r="BL374" s="44">
        <v>2</v>
      </c>
      <c r="BM374" s="45">
        <v>-1</v>
      </c>
      <c r="BN374" s="39"/>
      <c r="BO374" s="39"/>
      <c r="BP374" s="39"/>
      <c r="BQ374" s="39"/>
      <c r="BR374" s="39"/>
      <c r="BS374" s="39"/>
      <c r="BT374" s="39"/>
      <c r="BU374" s="39"/>
      <c r="BV374" s="39"/>
      <c r="BW374" s="39"/>
      <c r="BX374" s="39"/>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48"/>
      <c r="DA374" s="48"/>
      <c r="DB374" s="48"/>
      <c r="DC374" s="48"/>
      <c r="DD374" s="48"/>
      <c r="DE374" s="48"/>
      <c r="DF374" s="48"/>
      <c r="DG374" s="48"/>
      <c r="DH374" s="48"/>
      <c r="DI374" s="48"/>
      <c r="DJ374" s="48"/>
      <c r="DK374" s="48"/>
      <c r="DL374" s="48"/>
      <c r="DM374" s="48"/>
      <c r="DN374" s="48"/>
      <c r="DO374" s="48"/>
      <c r="DP374" s="48"/>
      <c r="DQ374" s="48"/>
      <c r="DR374" s="48"/>
      <c r="DS374" s="48"/>
      <c r="DT374" s="48"/>
      <c r="DU374" s="48"/>
      <c r="DV374" s="48"/>
      <c r="DW374" s="48"/>
      <c r="DX374" s="48"/>
      <c r="DY374" s="48"/>
      <c r="DZ374" s="48"/>
      <c r="EA374" s="48"/>
      <c r="EB374" s="48"/>
      <c r="EC374" s="48"/>
      <c r="ED374" s="48"/>
    </row>
    <row r="375" spans="1:134" ht="11.25" customHeight="1" x14ac:dyDescent="0.3">
      <c r="A375" s="28" t="e">
        <f t="array" aca="1" ref="A375" ca="1">_xludf.XLOOKUP(S375,Master_Registrations!P:P,Master_Registrations!A:A,"")</f>
        <v>#NAME?</v>
      </c>
      <c r="B375" s="39" t="s">
        <v>7081</v>
      </c>
      <c r="C375" s="39">
        <v>2026</v>
      </c>
      <c r="D375" s="39" t="s">
        <v>4886</v>
      </c>
      <c r="E375" s="39">
        <v>4</v>
      </c>
      <c r="F375" s="40" t="str">
        <f t="shared" si="6"/>
        <v>VED-05-2026-GR-4</v>
      </c>
      <c r="G375" s="39" t="s">
        <v>7073</v>
      </c>
      <c r="H375" s="39" t="s">
        <v>4666</v>
      </c>
      <c r="I375" s="39" t="s">
        <v>2455</v>
      </c>
      <c r="J375" s="39" t="s">
        <v>198</v>
      </c>
      <c r="K375" s="52"/>
      <c r="L375" s="52"/>
      <c r="M375" s="52"/>
      <c r="N375" s="39" t="s">
        <v>786</v>
      </c>
      <c r="O375" s="39" t="s">
        <v>313</v>
      </c>
      <c r="P375" s="39" t="s">
        <v>2372</v>
      </c>
      <c r="Q375" s="39" t="e">
        <f t="shared" ca="1" si="7"/>
        <v>#NAME?</v>
      </c>
      <c r="R375" s="39" t="s">
        <v>316</v>
      </c>
      <c r="S375" s="50">
        <v>6024053283</v>
      </c>
      <c r="T375" s="40" t="s">
        <v>315</v>
      </c>
      <c r="U375" s="39">
        <v>1971</v>
      </c>
      <c r="V375" s="44">
        <v>2</v>
      </c>
      <c r="W375" s="44">
        <v>2</v>
      </c>
      <c r="X375" s="44">
        <v>2</v>
      </c>
      <c r="Y375" s="44">
        <v>2</v>
      </c>
      <c r="Z375" s="44">
        <v>2</v>
      </c>
      <c r="AA375" s="44">
        <v>2</v>
      </c>
      <c r="AB375" s="44">
        <v>2</v>
      </c>
      <c r="AC375" s="44">
        <v>2</v>
      </c>
      <c r="AD375" s="44">
        <v>2</v>
      </c>
      <c r="AE375" s="44">
        <v>2</v>
      </c>
      <c r="AF375" s="44">
        <v>2</v>
      </c>
      <c r="AG375" s="44">
        <v>2</v>
      </c>
      <c r="AH375" s="44">
        <v>2</v>
      </c>
      <c r="AI375" s="44">
        <v>4</v>
      </c>
      <c r="AJ375" s="44">
        <v>2</v>
      </c>
      <c r="AK375" s="44">
        <v>2</v>
      </c>
      <c r="AL375" s="44">
        <v>2</v>
      </c>
      <c r="AM375" s="44">
        <v>2</v>
      </c>
      <c r="AN375" s="44">
        <v>2</v>
      </c>
      <c r="AO375" s="44">
        <v>2</v>
      </c>
      <c r="AP375" s="44">
        <v>2</v>
      </c>
      <c r="AQ375" s="44">
        <v>2</v>
      </c>
      <c r="AR375" s="44">
        <v>2</v>
      </c>
      <c r="AS375" s="44">
        <v>2</v>
      </c>
      <c r="AT375" s="44">
        <v>2</v>
      </c>
      <c r="AU375" s="44">
        <v>2</v>
      </c>
      <c r="AV375" s="44">
        <v>3</v>
      </c>
      <c r="AW375" s="44">
        <v>2</v>
      </c>
      <c r="AX375" s="44">
        <v>2</v>
      </c>
      <c r="AY375" s="44">
        <v>2</v>
      </c>
      <c r="AZ375" s="44">
        <v>2</v>
      </c>
      <c r="BA375" s="44">
        <v>2</v>
      </c>
      <c r="BB375" s="44">
        <v>2</v>
      </c>
      <c r="BC375" s="44">
        <v>2</v>
      </c>
      <c r="BD375" s="44">
        <v>2</v>
      </c>
      <c r="BE375" s="44">
        <v>2</v>
      </c>
      <c r="BF375" s="44">
        <v>3</v>
      </c>
      <c r="BG375" s="44">
        <v>2</v>
      </c>
      <c r="BH375" s="44">
        <v>2</v>
      </c>
      <c r="BI375" s="44">
        <v>2</v>
      </c>
      <c r="BJ375" s="44">
        <v>2</v>
      </c>
      <c r="BK375" s="44">
        <v>2</v>
      </c>
      <c r="BL375" s="44">
        <v>2</v>
      </c>
      <c r="BM375" s="45">
        <v>-1</v>
      </c>
      <c r="BN375" s="39"/>
      <c r="BO375" s="39"/>
      <c r="BP375" s="39"/>
      <c r="BQ375" s="39"/>
      <c r="BR375" s="39"/>
      <c r="BS375" s="39"/>
      <c r="BT375" s="39"/>
      <c r="BU375" s="39"/>
      <c r="BV375" s="39"/>
      <c r="BW375" s="39"/>
      <c r="BX375" s="39"/>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48"/>
      <c r="DA375" s="48"/>
      <c r="DB375" s="48"/>
      <c r="DC375" s="48"/>
      <c r="DD375" s="48"/>
      <c r="DE375" s="48"/>
      <c r="DF375" s="48"/>
      <c r="DG375" s="48"/>
      <c r="DH375" s="48"/>
      <c r="DI375" s="48"/>
      <c r="DJ375" s="48"/>
      <c r="DK375" s="48"/>
      <c r="DL375" s="48"/>
      <c r="DM375" s="48"/>
      <c r="DN375" s="48"/>
      <c r="DO375" s="48"/>
      <c r="DP375" s="48"/>
      <c r="DQ375" s="48"/>
      <c r="DR375" s="48"/>
      <c r="DS375" s="48"/>
      <c r="DT375" s="48"/>
      <c r="DU375" s="48"/>
      <c r="DV375" s="48"/>
      <c r="DW375" s="48"/>
      <c r="DX375" s="48"/>
      <c r="DY375" s="48"/>
      <c r="DZ375" s="48"/>
      <c r="EA375" s="48"/>
      <c r="EB375" s="48"/>
      <c r="EC375" s="48"/>
      <c r="ED375" s="48"/>
    </row>
    <row r="376" spans="1:134" ht="11.25" customHeight="1" x14ac:dyDescent="0.3">
      <c r="A376" s="28" t="e">
        <f t="array" aca="1" ref="A376" ca="1">_xludf.XLOOKUP(S376,Master_Registrations!P:P,Master_Registrations!A:A,"")</f>
        <v>#NAME?</v>
      </c>
      <c r="B376" s="39" t="s">
        <v>7081</v>
      </c>
      <c r="C376" s="39">
        <v>2026</v>
      </c>
      <c r="D376" s="39" t="s">
        <v>4886</v>
      </c>
      <c r="E376" s="39">
        <v>4</v>
      </c>
      <c r="F376" s="40" t="str">
        <f t="shared" si="6"/>
        <v>VED-05-2026-GR-4</v>
      </c>
      <c r="G376" s="39" t="s">
        <v>7073</v>
      </c>
      <c r="H376" s="39" t="s">
        <v>4666</v>
      </c>
      <c r="I376" s="39" t="s">
        <v>2455</v>
      </c>
      <c r="J376" s="39" t="s">
        <v>198</v>
      </c>
      <c r="K376" s="52"/>
      <c r="L376" s="52"/>
      <c r="M376" s="52"/>
      <c r="N376" s="39" t="s">
        <v>856</v>
      </c>
      <c r="O376" s="39" t="s">
        <v>445</v>
      </c>
      <c r="P376" s="39" t="s">
        <v>643</v>
      </c>
      <c r="Q376" s="39" t="e">
        <f t="shared" ca="1" si="7"/>
        <v>#NAME?</v>
      </c>
      <c r="R376" s="39" t="s">
        <v>316</v>
      </c>
      <c r="S376" s="50">
        <v>6785499400</v>
      </c>
      <c r="T376" s="40" t="s">
        <v>402</v>
      </c>
      <c r="U376" s="39">
        <v>1970</v>
      </c>
      <c r="V376" s="44">
        <v>2</v>
      </c>
      <c r="W376" s="44">
        <v>2</v>
      </c>
      <c r="X376" s="44">
        <v>2</v>
      </c>
      <c r="Y376" s="44">
        <v>2</v>
      </c>
      <c r="Z376" s="44">
        <v>2</v>
      </c>
      <c r="AA376" s="44">
        <v>2</v>
      </c>
      <c r="AB376" s="44">
        <v>2</v>
      </c>
      <c r="AC376" s="44">
        <v>2</v>
      </c>
      <c r="AD376" s="44">
        <v>2</v>
      </c>
      <c r="AE376" s="44">
        <v>2</v>
      </c>
      <c r="AF376" s="44">
        <v>2</v>
      </c>
      <c r="AG376" s="44">
        <v>2</v>
      </c>
      <c r="AH376" s="44">
        <v>2</v>
      </c>
      <c r="AI376" s="44">
        <v>3</v>
      </c>
      <c r="AJ376" s="44">
        <v>2</v>
      </c>
      <c r="AK376" s="44">
        <v>2</v>
      </c>
      <c r="AL376" s="44">
        <v>2</v>
      </c>
      <c r="AM376" s="44">
        <v>2</v>
      </c>
      <c r="AN376" s="44">
        <v>2</v>
      </c>
      <c r="AO376" s="44">
        <v>2</v>
      </c>
      <c r="AP376" s="44">
        <v>2</v>
      </c>
      <c r="AQ376" s="44">
        <v>2</v>
      </c>
      <c r="AR376" s="44">
        <v>2</v>
      </c>
      <c r="AS376" s="44">
        <v>2</v>
      </c>
      <c r="AT376" s="44">
        <v>2</v>
      </c>
      <c r="AU376" s="44">
        <v>2</v>
      </c>
      <c r="AV376" s="44">
        <v>4</v>
      </c>
      <c r="AW376" s="44">
        <v>2</v>
      </c>
      <c r="AX376" s="44">
        <v>2</v>
      </c>
      <c r="AY376" s="44">
        <v>2</v>
      </c>
      <c r="AZ376" s="44">
        <v>2</v>
      </c>
      <c r="BA376" s="44">
        <v>2</v>
      </c>
      <c r="BB376" s="44">
        <v>2</v>
      </c>
      <c r="BC376" s="44">
        <v>2</v>
      </c>
      <c r="BD376" s="44">
        <v>2</v>
      </c>
      <c r="BE376" s="44">
        <v>2</v>
      </c>
      <c r="BF376" s="44">
        <v>4</v>
      </c>
      <c r="BG376" s="44">
        <v>3</v>
      </c>
      <c r="BH376" s="44">
        <v>3</v>
      </c>
      <c r="BI376" s="44">
        <v>3</v>
      </c>
      <c r="BJ376" s="44">
        <v>3</v>
      </c>
      <c r="BK376" s="44">
        <v>3</v>
      </c>
      <c r="BL376" s="44">
        <v>3</v>
      </c>
      <c r="BM376" s="45">
        <v>-1</v>
      </c>
      <c r="BN376" s="39"/>
      <c r="BO376" s="39"/>
      <c r="BP376" s="39"/>
      <c r="BQ376" s="39"/>
      <c r="BR376" s="39"/>
      <c r="BS376" s="39"/>
      <c r="BT376" s="39"/>
      <c r="BU376" s="39"/>
      <c r="BV376" s="39"/>
      <c r="BW376" s="39"/>
      <c r="BX376" s="39"/>
      <c r="BY376" s="39"/>
      <c r="BZ376" s="39"/>
      <c r="CA376" s="39"/>
      <c r="CB376" s="39"/>
      <c r="CC376" s="39"/>
      <c r="CD376" s="39"/>
      <c r="CE376" s="39"/>
      <c r="CF376" s="39"/>
      <c r="CG376" s="39"/>
      <c r="CH376" s="39"/>
      <c r="CI376" s="39"/>
      <c r="CJ376" s="39"/>
      <c r="CK376" s="39"/>
      <c r="CL376" s="39"/>
      <c r="CM376" s="39"/>
      <c r="CN376" s="39"/>
      <c r="CO376" s="39"/>
      <c r="CP376" s="39"/>
      <c r="CQ376" s="39"/>
      <c r="CR376" s="39"/>
      <c r="CS376" s="39"/>
      <c r="CT376" s="39"/>
      <c r="CU376" s="39"/>
      <c r="CV376" s="39"/>
      <c r="CW376" s="39"/>
      <c r="CX376" s="39"/>
      <c r="CY376" s="39"/>
      <c r="CZ376" s="48"/>
      <c r="DA376" s="48"/>
      <c r="DB376" s="48"/>
      <c r="DC376" s="48"/>
      <c r="DD376" s="48"/>
      <c r="DE376" s="48"/>
      <c r="DF376" s="48"/>
      <c r="DG376" s="48"/>
      <c r="DH376" s="48"/>
      <c r="DI376" s="48"/>
      <c r="DJ376" s="48"/>
      <c r="DK376" s="48"/>
      <c r="DL376" s="48"/>
      <c r="DM376" s="48"/>
      <c r="DN376" s="48"/>
      <c r="DO376" s="48"/>
      <c r="DP376" s="48"/>
      <c r="DQ376" s="48"/>
      <c r="DR376" s="48"/>
      <c r="DS376" s="48"/>
      <c r="DT376" s="48"/>
      <c r="DU376" s="48"/>
      <c r="DV376" s="48"/>
      <c r="DW376" s="48"/>
      <c r="DX376" s="48"/>
      <c r="DY376" s="48"/>
      <c r="DZ376" s="48"/>
      <c r="EA376" s="48"/>
      <c r="EB376" s="48"/>
      <c r="EC376" s="48"/>
      <c r="ED376" s="48"/>
    </row>
    <row r="377" spans="1:134" ht="11.25" customHeight="1" x14ac:dyDescent="0.3">
      <c r="A377" s="28" t="e">
        <f t="array" aca="1" ref="A377" ca="1">_xludf.XLOOKUP(S377,Master_Registrations!P:P,Master_Registrations!A:A,"")</f>
        <v>#NAME?</v>
      </c>
      <c r="B377" s="39" t="s">
        <v>7081</v>
      </c>
      <c r="C377" s="39">
        <v>2026</v>
      </c>
      <c r="D377" s="39" t="s">
        <v>4886</v>
      </c>
      <c r="E377" s="39">
        <v>4</v>
      </c>
      <c r="F377" s="40" t="str">
        <f t="shared" si="6"/>
        <v>VED-05-2026-GR-4</v>
      </c>
      <c r="G377" s="39" t="s">
        <v>7073</v>
      </c>
      <c r="H377" s="39" t="s">
        <v>4666</v>
      </c>
      <c r="I377" s="39" t="s">
        <v>2455</v>
      </c>
      <c r="J377" s="39" t="s">
        <v>198</v>
      </c>
      <c r="K377" s="52"/>
      <c r="L377" s="52"/>
      <c r="M377" s="52"/>
      <c r="N377" s="39" t="s">
        <v>915</v>
      </c>
      <c r="O377" s="39" t="s">
        <v>982</v>
      </c>
      <c r="P377" s="39" t="s">
        <v>1515</v>
      </c>
      <c r="Q377" s="39" t="e">
        <f t="shared" ca="1" si="7"/>
        <v>#NAME?</v>
      </c>
      <c r="R377" s="39" t="s">
        <v>316</v>
      </c>
      <c r="S377" s="50">
        <v>8582429506</v>
      </c>
      <c r="T377" s="40" t="s">
        <v>474</v>
      </c>
      <c r="U377" s="39">
        <v>1987</v>
      </c>
      <c r="V377" s="44">
        <v>2</v>
      </c>
      <c r="W377" s="44">
        <v>2</v>
      </c>
      <c r="X377" s="44">
        <v>2</v>
      </c>
      <c r="Y377" s="44">
        <v>2</v>
      </c>
      <c r="Z377" s="44">
        <v>2</v>
      </c>
      <c r="AA377" s="44">
        <v>2</v>
      </c>
      <c r="AB377" s="44">
        <v>2</v>
      </c>
      <c r="AC377" s="44">
        <v>2</v>
      </c>
      <c r="AD377" s="44">
        <v>2</v>
      </c>
      <c r="AE377" s="44">
        <v>2</v>
      </c>
      <c r="AF377" s="44">
        <v>2</v>
      </c>
      <c r="AG377" s="44">
        <v>2</v>
      </c>
      <c r="AH377" s="44">
        <v>2</v>
      </c>
      <c r="AI377" s="44">
        <v>4</v>
      </c>
      <c r="AJ377" s="44">
        <v>2</v>
      </c>
      <c r="AK377" s="44">
        <v>2</v>
      </c>
      <c r="AL377" s="44">
        <v>2</v>
      </c>
      <c r="AM377" s="44">
        <v>2</v>
      </c>
      <c r="AN377" s="44">
        <v>2</v>
      </c>
      <c r="AO377" s="44">
        <v>2</v>
      </c>
      <c r="AP377" s="44">
        <v>2</v>
      </c>
      <c r="AQ377" s="44">
        <v>2</v>
      </c>
      <c r="AR377" s="44">
        <v>2</v>
      </c>
      <c r="AS377" s="44">
        <v>2</v>
      </c>
      <c r="AT377" s="44">
        <v>2</v>
      </c>
      <c r="AU377" s="44">
        <v>2</v>
      </c>
      <c r="AV377" s="44">
        <v>4</v>
      </c>
      <c r="AW377" s="44">
        <v>2</v>
      </c>
      <c r="AX377" s="44">
        <v>2</v>
      </c>
      <c r="AY377" s="44">
        <v>2</v>
      </c>
      <c r="AZ377" s="44">
        <v>2</v>
      </c>
      <c r="BA377" s="44">
        <v>2</v>
      </c>
      <c r="BB377" s="44">
        <v>2</v>
      </c>
      <c r="BC377" s="44">
        <v>2</v>
      </c>
      <c r="BD377" s="44">
        <v>2</v>
      </c>
      <c r="BE377" s="44">
        <v>2</v>
      </c>
      <c r="BF377" s="44">
        <v>3</v>
      </c>
      <c r="BG377" s="44">
        <v>2</v>
      </c>
      <c r="BH377" s="45">
        <v>-1</v>
      </c>
      <c r="BI377" s="45">
        <v>-1</v>
      </c>
      <c r="BJ377" s="45">
        <v>-1</v>
      </c>
      <c r="BK377" s="45">
        <v>-1</v>
      </c>
      <c r="BL377" s="45">
        <v>-1</v>
      </c>
      <c r="BM377" s="45">
        <v>-1</v>
      </c>
      <c r="BN377" s="39"/>
      <c r="BO377" s="39"/>
      <c r="BP377" s="39"/>
      <c r="BQ377" s="39"/>
      <c r="BR377" s="39"/>
      <c r="BS377" s="39"/>
      <c r="BT377" s="39"/>
      <c r="BU377" s="39"/>
      <c r="BV377" s="39"/>
      <c r="BW377" s="39"/>
      <c r="BX377" s="39"/>
      <c r="BY377" s="39"/>
      <c r="BZ377" s="39"/>
      <c r="CA377" s="39"/>
      <c r="CB377" s="39"/>
      <c r="CC377" s="39"/>
      <c r="CD377" s="39"/>
      <c r="CE377" s="39"/>
      <c r="CF377" s="39"/>
      <c r="CG377" s="39"/>
      <c r="CH377" s="39"/>
      <c r="CI377" s="39"/>
      <c r="CJ377" s="39"/>
      <c r="CK377" s="39"/>
      <c r="CL377" s="39"/>
      <c r="CM377" s="39"/>
      <c r="CN377" s="39"/>
      <c r="CO377" s="39"/>
      <c r="CP377" s="39"/>
      <c r="CQ377" s="39"/>
      <c r="CR377" s="39"/>
      <c r="CS377" s="39"/>
      <c r="CT377" s="39"/>
      <c r="CU377" s="39"/>
      <c r="CV377" s="39"/>
      <c r="CW377" s="39"/>
      <c r="CX377" s="39"/>
      <c r="CY377" s="39"/>
      <c r="CZ377" s="48"/>
      <c r="DA377" s="48"/>
      <c r="DB377" s="48"/>
      <c r="DC377" s="48"/>
      <c r="DD377" s="48"/>
      <c r="DE377" s="48"/>
      <c r="DF377" s="48"/>
      <c r="DG377" s="48"/>
      <c r="DH377" s="48"/>
      <c r="DI377" s="48"/>
      <c r="DJ377" s="48"/>
      <c r="DK377" s="48"/>
      <c r="DL377" s="48"/>
      <c r="DM377" s="48"/>
      <c r="DN377" s="48"/>
      <c r="DO377" s="48"/>
      <c r="DP377" s="48"/>
      <c r="DQ377" s="48"/>
      <c r="DR377" s="48"/>
      <c r="DS377" s="48"/>
      <c r="DT377" s="48"/>
      <c r="DU377" s="48"/>
      <c r="DV377" s="48"/>
      <c r="DW377" s="48"/>
      <c r="DX377" s="48"/>
      <c r="DY377" s="48"/>
      <c r="DZ377" s="48"/>
      <c r="EA377" s="48"/>
      <c r="EB377" s="48"/>
      <c r="EC377" s="48"/>
      <c r="ED377" s="48"/>
    </row>
    <row r="378" spans="1:134" ht="11.25" customHeight="1" x14ac:dyDescent="0.3">
      <c r="A378" s="28" t="e">
        <f t="array" aca="1" ref="A378" ca="1">_xludf.XLOOKUP(S378,Master_Registrations!P:P,Master_Registrations!A:A,"")</f>
        <v>#NAME?</v>
      </c>
      <c r="B378" s="28" t="s">
        <v>7081</v>
      </c>
      <c r="C378" s="28">
        <v>2026</v>
      </c>
      <c r="D378" s="28" t="s">
        <v>4886</v>
      </c>
      <c r="E378" s="28">
        <v>5</v>
      </c>
      <c r="F378" s="29" t="str">
        <f t="shared" si="6"/>
        <v>VED-05-2026-GR-5</v>
      </c>
      <c r="G378" s="28" t="s">
        <v>4569</v>
      </c>
      <c r="H378" s="28" t="s">
        <v>1517</v>
      </c>
      <c r="I378" s="28"/>
      <c r="J378" s="28" t="s">
        <v>198</v>
      </c>
      <c r="K378" s="38"/>
      <c r="L378" s="38"/>
      <c r="M378" s="38"/>
      <c r="N378" s="28" t="s">
        <v>200</v>
      </c>
      <c r="O378" s="28" t="s">
        <v>4805</v>
      </c>
      <c r="P378" s="28" t="s">
        <v>6745</v>
      </c>
      <c r="Q378" s="28" t="e">
        <f t="shared" ca="1" si="7"/>
        <v>#NAME?</v>
      </c>
      <c r="R378" s="28" t="s">
        <v>112</v>
      </c>
      <c r="S378" s="55">
        <v>9866209719</v>
      </c>
      <c r="T378" s="29" t="s">
        <v>111</v>
      </c>
      <c r="U378" s="28">
        <v>1952</v>
      </c>
      <c r="V378" s="35">
        <v>2</v>
      </c>
      <c r="W378" s="35">
        <v>2</v>
      </c>
      <c r="X378" s="35">
        <v>2</v>
      </c>
      <c r="Y378" s="35">
        <v>2</v>
      </c>
      <c r="Z378" s="35">
        <v>2</v>
      </c>
      <c r="AA378" s="35">
        <v>2</v>
      </c>
      <c r="AB378" s="35">
        <v>2</v>
      </c>
      <c r="AC378" s="35">
        <v>2</v>
      </c>
      <c r="AD378" s="35">
        <v>2</v>
      </c>
      <c r="AE378" s="35">
        <v>2</v>
      </c>
      <c r="AF378" s="35">
        <v>2</v>
      </c>
      <c r="AG378" s="35">
        <v>2</v>
      </c>
      <c r="AH378" s="35">
        <v>2</v>
      </c>
      <c r="AI378" s="35">
        <v>4</v>
      </c>
      <c r="AJ378" s="35">
        <v>2</v>
      </c>
      <c r="AK378" s="35">
        <v>2</v>
      </c>
      <c r="AL378" s="35">
        <v>2</v>
      </c>
      <c r="AM378" s="35">
        <v>2</v>
      </c>
      <c r="AN378" s="35">
        <v>2</v>
      </c>
      <c r="AO378" s="35">
        <v>2</v>
      </c>
      <c r="AP378" s="35">
        <v>2</v>
      </c>
      <c r="AQ378" s="35">
        <v>2</v>
      </c>
      <c r="AR378" s="35">
        <v>2</v>
      </c>
      <c r="AS378" s="35">
        <v>2</v>
      </c>
      <c r="AT378" s="35">
        <v>2</v>
      </c>
      <c r="AU378" s="35">
        <v>2</v>
      </c>
      <c r="AV378" s="35">
        <v>4</v>
      </c>
      <c r="AW378" s="35">
        <v>3</v>
      </c>
      <c r="AX378" s="35">
        <v>3</v>
      </c>
      <c r="AY378" s="35">
        <v>3</v>
      </c>
      <c r="AZ378" s="35">
        <v>3</v>
      </c>
      <c r="BA378" s="35">
        <v>3</v>
      </c>
      <c r="BB378" s="35">
        <v>3</v>
      </c>
      <c r="BC378" s="35">
        <v>3</v>
      </c>
      <c r="BD378" s="35">
        <v>3</v>
      </c>
      <c r="BE378" s="35">
        <v>3</v>
      </c>
      <c r="BF378" s="33">
        <v>-1</v>
      </c>
      <c r="BG378" s="35">
        <v>2</v>
      </c>
      <c r="BH378" s="35">
        <v>2</v>
      </c>
      <c r="BI378" s="33">
        <v>-1</v>
      </c>
      <c r="BJ378" s="33">
        <v>-1</v>
      </c>
      <c r="BK378" s="33">
        <v>-1</v>
      </c>
      <c r="BL378" s="33">
        <v>-1</v>
      </c>
      <c r="BM378" s="33">
        <v>-1</v>
      </c>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c r="DZ378" s="34"/>
      <c r="EA378" s="34"/>
      <c r="EB378" s="34"/>
      <c r="EC378" s="34"/>
      <c r="ED378" s="34"/>
    </row>
    <row r="379" spans="1:134" ht="11.25" customHeight="1" x14ac:dyDescent="0.3">
      <c r="A379" s="28" t="e">
        <f t="array" aca="1" ref="A379" ca="1">_xludf.XLOOKUP(S379,Master_Registrations!P:P,Master_Registrations!A:A,"")</f>
        <v>#NAME?</v>
      </c>
      <c r="B379" s="28" t="s">
        <v>7081</v>
      </c>
      <c r="C379" s="28">
        <v>2026</v>
      </c>
      <c r="D379" s="28" t="s">
        <v>4886</v>
      </c>
      <c r="E379" s="28">
        <v>5</v>
      </c>
      <c r="F379" s="29" t="str">
        <f t="shared" si="6"/>
        <v>VED-05-2026-GR-5</v>
      </c>
      <c r="G379" s="28" t="s">
        <v>4569</v>
      </c>
      <c r="H379" s="28" t="s">
        <v>1517</v>
      </c>
      <c r="I379" s="28"/>
      <c r="J379" s="28" t="s">
        <v>198</v>
      </c>
      <c r="K379" s="35"/>
      <c r="L379" s="35"/>
      <c r="M379" s="35"/>
      <c r="N379" s="28" t="s">
        <v>299</v>
      </c>
      <c r="O379" s="28" t="s">
        <v>5576</v>
      </c>
      <c r="P379" s="28" t="s">
        <v>991</v>
      </c>
      <c r="Q379" s="28" t="e">
        <f t="shared" ca="1" si="7"/>
        <v>#NAME?</v>
      </c>
      <c r="R379" s="28" t="s">
        <v>316</v>
      </c>
      <c r="S379" s="32">
        <v>9543283227</v>
      </c>
      <c r="T379" s="29" t="s">
        <v>402</v>
      </c>
      <c r="U379" s="28">
        <v>1971</v>
      </c>
      <c r="V379" s="35">
        <v>1</v>
      </c>
      <c r="W379" s="35">
        <v>1</v>
      </c>
      <c r="X379" s="35">
        <v>2</v>
      </c>
      <c r="Y379" s="35">
        <v>2</v>
      </c>
      <c r="Z379" s="35">
        <v>2</v>
      </c>
      <c r="AA379" s="35">
        <v>1</v>
      </c>
      <c r="AB379" s="35">
        <v>1</v>
      </c>
      <c r="AC379" s="35">
        <v>1</v>
      </c>
      <c r="AD379" s="35">
        <v>1</v>
      </c>
      <c r="AE379" s="35">
        <v>1</v>
      </c>
      <c r="AF379" s="35">
        <v>1</v>
      </c>
      <c r="AG379" s="35">
        <v>1</v>
      </c>
      <c r="AH379" s="35">
        <v>2</v>
      </c>
      <c r="AI379" s="33">
        <v>-1</v>
      </c>
      <c r="AJ379" s="35">
        <v>1</v>
      </c>
      <c r="AK379" s="35">
        <v>1</v>
      </c>
      <c r="AL379" s="35">
        <v>1</v>
      </c>
      <c r="AM379" s="35">
        <v>1</v>
      </c>
      <c r="AN379" s="35">
        <v>1</v>
      </c>
      <c r="AO379" s="35">
        <v>1</v>
      </c>
      <c r="AP379" s="35">
        <v>1</v>
      </c>
      <c r="AQ379" s="35">
        <v>1</v>
      </c>
      <c r="AR379" s="35">
        <v>1</v>
      </c>
      <c r="AS379" s="35">
        <v>1</v>
      </c>
      <c r="AT379" s="35">
        <v>1</v>
      </c>
      <c r="AU379" s="35">
        <v>1</v>
      </c>
      <c r="AV379" s="33">
        <v>-1</v>
      </c>
      <c r="AW379" s="35">
        <v>-1</v>
      </c>
      <c r="AX379" s="35">
        <v>-1</v>
      </c>
      <c r="AY379" s="35">
        <v>1</v>
      </c>
      <c r="AZ379" s="35">
        <v>-1</v>
      </c>
      <c r="BA379" s="35">
        <v>-1</v>
      </c>
      <c r="BB379" s="35">
        <v>-1</v>
      </c>
      <c r="BC379" s="35">
        <v>-1</v>
      </c>
      <c r="BD379" s="35">
        <v>-1</v>
      </c>
      <c r="BE379" s="35">
        <v>-1</v>
      </c>
      <c r="BF379" s="33">
        <v>-1</v>
      </c>
      <c r="BG379" s="33">
        <v>-1</v>
      </c>
      <c r="BH379" s="33">
        <v>-1</v>
      </c>
      <c r="BI379" s="33">
        <v>-1</v>
      </c>
      <c r="BJ379" s="33">
        <v>-1</v>
      </c>
      <c r="BK379" s="33">
        <v>-1</v>
      </c>
      <c r="BL379" s="33">
        <v>-1</v>
      </c>
      <c r="BM379" s="33">
        <v>-1</v>
      </c>
      <c r="BN379" s="28"/>
      <c r="BO379" s="28"/>
      <c r="BP379" s="28"/>
      <c r="BQ379" s="28"/>
      <c r="BR379" s="28"/>
      <c r="BS379" s="28"/>
      <c r="BT379" s="28"/>
      <c r="BU379" s="28"/>
      <c r="BV379" s="28"/>
      <c r="BW379" s="28"/>
      <c r="BX379" s="28"/>
      <c r="BY379" s="28"/>
      <c r="BZ379" s="28"/>
      <c r="CA379" s="28"/>
      <c r="CB379" s="28"/>
      <c r="CC379" s="28"/>
      <c r="CD379" s="28"/>
      <c r="CE379" s="28"/>
      <c r="CF379" s="28"/>
      <c r="CG379" s="28"/>
      <c r="CH379" s="28"/>
      <c r="CI379" s="28"/>
      <c r="CJ379" s="28"/>
      <c r="CK379" s="28"/>
      <c r="CL379" s="28"/>
      <c r="CM379" s="28"/>
      <c r="CN379" s="28"/>
      <c r="CO379" s="28"/>
      <c r="CP379" s="28"/>
      <c r="CQ379" s="28"/>
      <c r="CR379" s="28"/>
      <c r="CS379" s="28"/>
      <c r="CT379" s="28"/>
      <c r="CU379" s="28"/>
      <c r="CV379" s="28"/>
      <c r="CW379" s="28"/>
      <c r="CX379" s="28"/>
      <c r="CY379" s="28"/>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c r="DW379" s="34"/>
      <c r="DX379" s="34"/>
      <c r="DY379" s="34"/>
      <c r="DZ379" s="34"/>
      <c r="EA379" s="34"/>
      <c r="EB379" s="34"/>
      <c r="EC379" s="34"/>
      <c r="ED379" s="34"/>
    </row>
    <row r="380" spans="1:134" ht="11.25" customHeight="1" x14ac:dyDescent="0.3">
      <c r="A380" s="28" t="e">
        <f t="array" aca="1" ref="A380" ca="1">_xludf.XLOOKUP(S380,Master_Registrations!P:P,Master_Registrations!A:A,"")</f>
        <v>#NAME?</v>
      </c>
      <c r="B380" s="28" t="s">
        <v>7081</v>
      </c>
      <c r="C380" s="28">
        <v>2026</v>
      </c>
      <c r="D380" s="28" t="s">
        <v>4886</v>
      </c>
      <c r="E380" s="28">
        <v>5</v>
      </c>
      <c r="F380" s="29" t="str">
        <f t="shared" si="6"/>
        <v>VED-05-2026-GR-5</v>
      </c>
      <c r="G380" s="28" t="s">
        <v>4569</v>
      </c>
      <c r="H380" s="28" t="s">
        <v>1517</v>
      </c>
      <c r="I380" s="28"/>
      <c r="J380" s="28" t="s">
        <v>198</v>
      </c>
      <c r="K380" s="38"/>
      <c r="L380" s="38"/>
      <c r="M380" s="38"/>
      <c r="N380" s="28" t="s">
        <v>369</v>
      </c>
      <c r="O380" s="28" t="s">
        <v>781</v>
      </c>
      <c r="P380" s="28" t="s">
        <v>782</v>
      </c>
      <c r="Q380" s="28" t="e">
        <f t="shared" ca="1" si="7"/>
        <v>#NAME?</v>
      </c>
      <c r="R380" s="28" t="s">
        <v>112</v>
      </c>
      <c r="S380" s="55">
        <v>8123277057</v>
      </c>
      <c r="T380" s="29" t="s">
        <v>111</v>
      </c>
      <c r="U380" s="28">
        <v>1987</v>
      </c>
      <c r="V380" s="35">
        <v>2</v>
      </c>
      <c r="W380" s="35">
        <v>2</v>
      </c>
      <c r="X380" s="35">
        <v>2</v>
      </c>
      <c r="Y380" s="35">
        <v>2</v>
      </c>
      <c r="Z380" s="35">
        <v>2</v>
      </c>
      <c r="AA380" s="35">
        <v>2</v>
      </c>
      <c r="AB380" s="35">
        <v>2</v>
      </c>
      <c r="AC380" s="35">
        <v>2</v>
      </c>
      <c r="AD380" s="35">
        <v>2</v>
      </c>
      <c r="AE380" s="35">
        <v>2</v>
      </c>
      <c r="AF380" s="35">
        <v>2</v>
      </c>
      <c r="AG380" s="35">
        <v>2</v>
      </c>
      <c r="AH380" s="35">
        <v>2</v>
      </c>
      <c r="AI380" s="35">
        <v>4</v>
      </c>
      <c r="AJ380" s="35">
        <v>1</v>
      </c>
      <c r="AK380" s="35">
        <v>1</v>
      </c>
      <c r="AL380" s="35">
        <v>1</v>
      </c>
      <c r="AM380" s="35">
        <v>1</v>
      </c>
      <c r="AN380" s="35">
        <v>1</v>
      </c>
      <c r="AO380" s="35">
        <v>1</v>
      </c>
      <c r="AP380" s="35">
        <v>1</v>
      </c>
      <c r="AQ380" s="35">
        <v>1</v>
      </c>
      <c r="AR380" s="35">
        <v>1</v>
      </c>
      <c r="AS380" s="58">
        <v>-1</v>
      </c>
      <c r="AT380" s="35">
        <v>-1</v>
      </c>
      <c r="AU380" s="35">
        <v>1</v>
      </c>
      <c r="AV380" s="33">
        <v>-1</v>
      </c>
      <c r="AW380" s="35">
        <v>1</v>
      </c>
      <c r="AX380" s="84">
        <v>1</v>
      </c>
      <c r="AY380" s="35">
        <v>1</v>
      </c>
      <c r="AZ380" s="35">
        <v>-1</v>
      </c>
      <c r="BA380" s="35">
        <v>1</v>
      </c>
      <c r="BB380" s="35">
        <v>1</v>
      </c>
      <c r="BC380" s="35">
        <v>1</v>
      </c>
      <c r="BD380" s="35">
        <v>-1</v>
      </c>
      <c r="BE380" s="35">
        <v>-1</v>
      </c>
      <c r="BF380" s="33">
        <v>-1</v>
      </c>
      <c r="BG380" s="33">
        <v>-1</v>
      </c>
      <c r="BH380" s="33">
        <v>-1</v>
      </c>
      <c r="BI380" s="33">
        <v>-1</v>
      </c>
      <c r="BJ380" s="33">
        <v>-1</v>
      </c>
      <c r="BK380" s="33">
        <v>-1</v>
      </c>
      <c r="BL380" s="33">
        <v>-1</v>
      </c>
      <c r="BM380" s="33">
        <v>-1</v>
      </c>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c r="CR380" s="28"/>
      <c r="CS380" s="28"/>
      <c r="CT380" s="28"/>
      <c r="CU380" s="28"/>
      <c r="CV380" s="28"/>
      <c r="CW380" s="28"/>
      <c r="CX380" s="28"/>
      <c r="CY380" s="28"/>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c r="DZ380" s="34"/>
      <c r="EA380" s="34"/>
      <c r="EB380" s="34"/>
      <c r="EC380" s="34"/>
      <c r="ED380" s="34"/>
    </row>
    <row r="381" spans="1:134" ht="11.25" customHeight="1" x14ac:dyDescent="0.3">
      <c r="A381" s="28" t="e">
        <f t="array" aca="1" ref="A381" ca="1">_xludf.XLOOKUP(S381,Master_Registrations!P:P,Master_Registrations!A:A,"")</f>
        <v>#NAME?</v>
      </c>
      <c r="B381" s="28" t="s">
        <v>7081</v>
      </c>
      <c r="C381" s="28">
        <v>2026</v>
      </c>
      <c r="D381" s="28" t="s">
        <v>4886</v>
      </c>
      <c r="E381" s="28">
        <v>5</v>
      </c>
      <c r="F381" s="29" t="str">
        <f t="shared" si="6"/>
        <v>VED-05-2026-GR-5</v>
      </c>
      <c r="G381" s="28" t="s">
        <v>4569</v>
      </c>
      <c r="H381" s="28" t="s">
        <v>1517</v>
      </c>
      <c r="I381" s="28"/>
      <c r="J381" s="28" t="s">
        <v>198</v>
      </c>
      <c r="K381" s="30"/>
      <c r="L381" s="30"/>
      <c r="M381" s="30"/>
      <c r="N381" s="28" t="s">
        <v>434</v>
      </c>
      <c r="O381" s="28" t="s">
        <v>1089</v>
      </c>
      <c r="P381" s="28" t="s">
        <v>1090</v>
      </c>
      <c r="Q381" s="28" t="e">
        <f t="shared" ca="1" si="7"/>
        <v>#NAME?</v>
      </c>
      <c r="R381" s="28" t="s">
        <v>112</v>
      </c>
      <c r="S381" s="55">
        <v>9133779696</v>
      </c>
      <c r="T381" s="29" t="s">
        <v>111</v>
      </c>
      <c r="U381" s="28">
        <v>1977</v>
      </c>
      <c r="V381" s="35">
        <v>2</v>
      </c>
      <c r="W381" s="35">
        <v>2</v>
      </c>
      <c r="X381" s="35">
        <v>2</v>
      </c>
      <c r="Y381" s="35">
        <v>2</v>
      </c>
      <c r="Z381" s="35">
        <v>2</v>
      </c>
      <c r="AA381" s="35">
        <v>2</v>
      </c>
      <c r="AB381" s="35">
        <v>2</v>
      </c>
      <c r="AC381" s="35">
        <v>2</v>
      </c>
      <c r="AD381" s="35">
        <v>2</v>
      </c>
      <c r="AE381" s="35">
        <v>2</v>
      </c>
      <c r="AF381" s="35">
        <v>2</v>
      </c>
      <c r="AG381" s="35">
        <v>2</v>
      </c>
      <c r="AH381" s="35">
        <v>2</v>
      </c>
      <c r="AI381" s="35">
        <v>3</v>
      </c>
      <c r="AJ381" s="35">
        <v>2</v>
      </c>
      <c r="AK381" s="35">
        <v>2</v>
      </c>
      <c r="AL381" s="35">
        <v>2</v>
      </c>
      <c r="AM381" s="35">
        <v>2</v>
      </c>
      <c r="AN381" s="35">
        <v>2</v>
      </c>
      <c r="AO381" s="35">
        <v>2</v>
      </c>
      <c r="AP381" s="35">
        <v>2</v>
      </c>
      <c r="AQ381" s="35">
        <v>2</v>
      </c>
      <c r="AR381" s="35">
        <v>2</v>
      </c>
      <c r="AS381" s="35">
        <v>2</v>
      </c>
      <c r="AT381" s="35">
        <v>2</v>
      </c>
      <c r="AU381" s="35">
        <v>2</v>
      </c>
      <c r="AV381" s="35">
        <v>3</v>
      </c>
      <c r="AW381" s="35">
        <v>2</v>
      </c>
      <c r="AX381" s="35">
        <v>2</v>
      </c>
      <c r="AY381" s="35">
        <v>2</v>
      </c>
      <c r="AZ381" s="33">
        <v>-1</v>
      </c>
      <c r="BA381" s="35">
        <v>2</v>
      </c>
      <c r="BB381" s="35">
        <v>2</v>
      </c>
      <c r="BC381" s="35">
        <v>2</v>
      </c>
      <c r="BD381" s="35">
        <v>-1</v>
      </c>
      <c r="BE381" s="35">
        <v>-1</v>
      </c>
      <c r="BF381" s="33">
        <v>-1</v>
      </c>
      <c r="BG381" s="33">
        <v>-1</v>
      </c>
      <c r="BH381" s="33">
        <v>-1</v>
      </c>
      <c r="BI381" s="33">
        <v>-1</v>
      </c>
      <c r="BJ381" s="33">
        <v>-1</v>
      </c>
      <c r="BK381" s="33">
        <v>-1</v>
      </c>
      <c r="BL381" s="33">
        <v>-1</v>
      </c>
      <c r="BM381" s="33">
        <v>-1</v>
      </c>
      <c r="BN381" s="28"/>
      <c r="BO381" s="28"/>
      <c r="BP381" s="28"/>
      <c r="BQ381" s="28"/>
      <c r="BR381" s="28"/>
      <c r="BS381" s="28"/>
      <c r="BT381" s="28"/>
      <c r="BU381" s="28"/>
      <c r="BV381" s="28"/>
      <c r="BW381" s="28"/>
      <c r="BX381" s="28"/>
      <c r="BY381" s="28"/>
      <c r="BZ381" s="28"/>
      <c r="CA381" s="28"/>
      <c r="CB381" s="28"/>
      <c r="CC381" s="28"/>
      <c r="CD381" s="28"/>
      <c r="CE381" s="28"/>
      <c r="CF381" s="28"/>
      <c r="CG381" s="28"/>
      <c r="CH381" s="28"/>
      <c r="CI381" s="28"/>
      <c r="CJ381" s="28"/>
      <c r="CK381" s="28"/>
      <c r="CL381" s="28"/>
      <c r="CM381" s="28"/>
      <c r="CN381" s="28"/>
      <c r="CO381" s="28"/>
      <c r="CP381" s="28"/>
      <c r="CQ381" s="28"/>
      <c r="CR381" s="28"/>
      <c r="CS381" s="28"/>
      <c r="CT381" s="28"/>
      <c r="CU381" s="28"/>
      <c r="CV381" s="28"/>
      <c r="CW381" s="28"/>
      <c r="CX381" s="28"/>
      <c r="CY381" s="28"/>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c r="DW381" s="34"/>
      <c r="DX381" s="34"/>
      <c r="DY381" s="34"/>
      <c r="DZ381" s="34"/>
      <c r="EA381" s="34"/>
      <c r="EB381" s="34"/>
      <c r="EC381" s="34"/>
      <c r="ED381" s="34"/>
    </row>
    <row r="382" spans="1:134" ht="11.25" customHeight="1" x14ac:dyDescent="0.3">
      <c r="A382" s="28" t="e">
        <f t="array" aca="1" ref="A382" ca="1">_xludf.XLOOKUP(S382,Master_Registrations!P:P,Master_Registrations!A:A,"")</f>
        <v>#NAME?</v>
      </c>
      <c r="B382" s="28" t="s">
        <v>7081</v>
      </c>
      <c r="C382" s="28">
        <v>2026</v>
      </c>
      <c r="D382" s="28" t="s">
        <v>4886</v>
      </c>
      <c r="E382" s="28">
        <v>5</v>
      </c>
      <c r="F382" s="29" t="str">
        <f t="shared" si="6"/>
        <v>VED-05-2026-GR-5</v>
      </c>
      <c r="G382" s="28" t="s">
        <v>4569</v>
      </c>
      <c r="H382" s="28" t="s">
        <v>1517</v>
      </c>
      <c r="I382" s="28"/>
      <c r="J382" s="28" t="s">
        <v>198</v>
      </c>
      <c r="K382" s="35"/>
      <c r="L382" s="35"/>
      <c r="M382" s="35"/>
      <c r="N382" s="28" t="s">
        <v>525</v>
      </c>
      <c r="O382" s="28" t="s">
        <v>3852</v>
      </c>
      <c r="P382" s="28" t="s">
        <v>1767</v>
      </c>
      <c r="Q382" s="28" t="e">
        <f t="shared" ca="1" si="7"/>
        <v>#NAME?</v>
      </c>
      <c r="R382" s="28" t="s">
        <v>112</v>
      </c>
      <c r="S382" s="55">
        <v>9100119679</v>
      </c>
      <c r="T382" s="29" t="s">
        <v>111</v>
      </c>
      <c r="U382" s="28">
        <v>1971</v>
      </c>
      <c r="V382" s="35">
        <v>2</v>
      </c>
      <c r="W382" s="35">
        <v>2</v>
      </c>
      <c r="X382" s="35">
        <v>2</v>
      </c>
      <c r="Y382" s="35">
        <v>2</v>
      </c>
      <c r="Z382" s="35">
        <v>2</v>
      </c>
      <c r="AA382" s="35">
        <v>2</v>
      </c>
      <c r="AB382" s="35">
        <v>2</v>
      </c>
      <c r="AC382" s="35">
        <v>2</v>
      </c>
      <c r="AD382" s="35">
        <v>2</v>
      </c>
      <c r="AE382" s="35">
        <v>2</v>
      </c>
      <c r="AF382" s="35">
        <v>2</v>
      </c>
      <c r="AG382" s="35">
        <v>2</v>
      </c>
      <c r="AH382" s="35">
        <v>2</v>
      </c>
      <c r="AI382" s="35">
        <v>4</v>
      </c>
      <c r="AJ382" s="35">
        <v>2</v>
      </c>
      <c r="AK382" s="35">
        <v>2</v>
      </c>
      <c r="AL382" s="35">
        <v>2</v>
      </c>
      <c r="AM382" s="35">
        <v>2</v>
      </c>
      <c r="AN382" s="35">
        <v>2</v>
      </c>
      <c r="AO382" s="35">
        <v>2</v>
      </c>
      <c r="AP382" s="35">
        <v>2</v>
      </c>
      <c r="AQ382" s="35">
        <v>2</v>
      </c>
      <c r="AR382" s="35">
        <v>2</v>
      </c>
      <c r="AS382" s="35">
        <v>2</v>
      </c>
      <c r="AT382" s="35">
        <v>2</v>
      </c>
      <c r="AU382" s="35">
        <v>2</v>
      </c>
      <c r="AV382" s="35">
        <v>4</v>
      </c>
      <c r="AW382" s="35">
        <v>2</v>
      </c>
      <c r="AX382" s="35">
        <v>2</v>
      </c>
      <c r="AY382" s="35">
        <v>2</v>
      </c>
      <c r="AZ382" s="35">
        <v>2</v>
      </c>
      <c r="BA382" s="35">
        <v>2</v>
      </c>
      <c r="BB382" s="35">
        <v>2</v>
      </c>
      <c r="BC382" s="35">
        <v>2</v>
      </c>
      <c r="BD382" s="35">
        <v>2</v>
      </c>
      <c r="BE382" s="35">
        <v>2</v>
      </c>
      <c r="BF382" s="33">
        <v>-1</v>
      </c>
      <c r="BG382" s="33">
        <v>-1</v>
      </c>
      <c r="BH382" s="33">
        <v>-1</v>
      </c>
      <c r="BI382" s="33">
        <v>-1</v>
      </c>
      <c r="BJ382" s="33">
        <v>-1</v>
      </c>
      <c r="BK382" s="33">
        <v>-1</v>
      </c>
      <c r="BL382" s="33">
        <v>-1</v>
      </c>
      <c r="BM382" s="33">
        <v>-1</v>
      </c>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c r="CR382" s="28"/>
      <c r="CS382" s="28"/>
      <c r="CT382" s="28"/>
      <c r="CU382" s="28"/>
      <c r="CV382" s="28"/>
      <c r="CW382" s="28"/>
      <c r="CX382" s="28"/>
      <c r="CY382" s="28"/>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c r="DZ382" s="34"/>
      <c r="EA382" s="34"/>
      <c r="EB382" s="34"/>
      <c r="EC382" s="34"/>
      <c r="ED382" s="34"/>
    </row>
    <row r="383" spans="1:134" ht="11.25" customHeight="1" x14ac:dyDescent="0.3">
      <c r="A383" s="28" t="e">
        <f t="array" aca="1" ref="A383" ca="1">_xludf.XLOOKUP(S383,Master_Registrations!P:P,Master_Registrations!A:A,"")</f>
        <v>#NAME?</v>
      </c>
      <c r="B383" s="28" t="s">
        <v>7081</v>
      </c>
      <c r="C383" s="28">
        <v>2026</v>
      </c>
      <c r="D383" s="28" t="s">
        <v>4886</v>
      </c>
      <c r="E383" s="28">
        <v>5</v>
      </c>
      <c r="F383" s="29" t="str">
        <f t="shared" si="6"/>
        <v>VED-05-2026-GR-5</v>
      </c>
      <c r="G383" s="28" t="s">
        <v>4569</v>
      </c>
      <c r="H383" s="28" t="s">
        <v>1517</v>
      </c>
      <c r="I383" s="28"/>
      <c r="J383" s="28" t="s">
        <v>198</v>
      </c>
      <c r="K383" s="38"/>
      <c r="L383" s="38"/>
      <c r="M383" s="38"/>
      <c r="N383" s="28" t="s">
        <v>621</v>
      </c>
      <c r="O383" s="28" t="s">
        <v>1426</v>
      </c>
      <c r="P383" s="28" t="s">
        <v>1427</v>
      </c>
      <c r="Q383" s="28" t="e">
        <f t="shared" ca="1" si="7"/>
        <v>#NAME?</v>
      </c>
      <c r="R383" s="28" t="s">
        <v>112</v>
      </c>
      <c r="S383" s="55">
        <v>9885913164</v>
      </c>
      <c r="T383" s="29" t="s">
        <v>111</v>
      </c>
      <c r="U383" s="28">
        <v>1988</v>
      </c>
      <c r="V383" s="35">
        <v>2</v>
      </c>
      <c r="W383" s="35">
        <v>2</v>
      </c>
      <c r="X383" s="35">
        <v>2</v>
      </c>
      <c r="Y383" s="35">
        <v>2</v>
      </c>
      <c r="Z383" s="35">
        <v>2</v>
      </c>
      <c r="AA383" s="35">
        <v>2</v>
      </c>
      <c r="AB383" s="35">
        <v>2</v>
      </c>
      <c r="AC383" s="35">
        <v>2</v>
      </c>
      <c r="AD383" s="35">
        <v>2</v>
      </c>
      <c r="AE383" s="35">
        <v>2</v>
      </c>
      <c r="AF383" s="35">
        <v>2</v>
      </c>
      <c r="AG383" s="35">
        <v>2</v>
      </c>
      <c r="AH383" s="35">
        <v>2</v>
      </c>
      <c r="AI383" s="35">
        <v>3</v>
      </c>
      <c r="AJ383" s="35">
        <v>2</v>
      </c>
      <c r="AK383" s="35">
        <v>2</v>
      </c>
      <c r="AL383" s="35">
        <v>2</v>
      </c>
      <c r="AM383" s="35">
        <v>2</v>
      </c>
      <c r="AN383" s="35">
        <v>2</v>
      </c>
      <c r="AO383" s="35">
        <v>2</v>
      </c>
      <c r="AP383" s="35">
        <v>2</v>
      </c>
      <c r="AQ383" s="35">
        <v>2</v>
      </c>
      <c r="AR383" s="35">
        <v>2</v>
      </c>
      <c r="AS383" s="35">
        <v>2</v>
      </c>
      <c r="AT383" s="35">
        <v>2</v>
      </c>
      <c r="AU383" s="35">
        <v>2</v>
      </c>
      <c r="AV383" s="35">
        <v>4</v>
      </c>
      <c r="AW383" s="35">
        <v>2</v>
      </c>
      <c r="AX383" s="35">
        <v>2</v>
      </c>
      <c r="AY383" s="35">
        <v>2</v>
      </c>
      <c r="AZ383" s="35">
        <v>2</v>
      </c>
      <c r="BA383" s="35">
        <v>2</v>
      </c>
      <c r="BB383" s="35">
        <v>2</v>
      </c>
      <c r="BC383" s="35">
        <v>2</v>
      </c>
      <c r="BD383" s="35">
        <v>2</v>
      </c>
      <c r="BE383" s="35">
        <v>1</v>
      </c>
      <c r="BF383" s="33">
        <v>-1</v>
      </c>
      <c r="BG383" s="33">
        <v>-1</v>
      </c>
      <c r="BH383" s="33">
        <v>-1</v>
      </c>
      <c r="BI383" s="33">
        <v>-1</v>
      </c>
      <c r="BJ383" s="33">
        <v>-1</v>
      </c>
      <c r="BK383" s="33">
        <v>-1</v>
      </c>
      <c r="BL383" s="33">
        <v>-1</v>
      </c>
      <c r="BM383" s="33">
        <v>-1</v>
      </c>
      <c r="BN383" s="28"/>
      <c r="BO383" s="28"/>
      <c r="BP383" s="28"/>
      <c r="BQ383" s="28"/>
      <c r="BR383" s="28"/>
      <c r="BS383" s="28"/>
      <c r="BT383" s="28"/>
      <c r="BU383" s="28"/>
      <c r="BV383" s="28"/>
      <c r="BW383" s="28"/>
      <c r="BX383" s="28"/>
      <c r="BY383" s="28"/>
      <c r="BZ383" s="28"/>
      <c r="CA383" s="28"/>
      <c r="CB383" s="28"/>
      <c r="CC383" s="28"/>
      <c r="CD383" s="28"/>
      <c r="CE383" s="28"/>
      <c r="CF383" s="28"/>
      <c r="CG383" s="28"/>
      <c r="CH383" s="28"/>
      <c r="CI383" s="28"/>
      <c r="CJ383" s="28"/>
      <c r="CK383" s="28"/>
      <c r="CL383" s="28"/>
      <c r="CM383" s="28"/>
      <c r="CN383" s="28"/>
      <c r="CO383" s="28"/>
      <c r="CP383" s="28"/>
      <c r="CQ383" s="28"/>
      <c r="CR383" s="28"/>
      <c r="CS383" s="28"/>
      <c r="CT383" s="28"/>
      <c r="CU383" s="28"/>
      <c r="CV383" s="28"/>
      <c r="CW383" s="28"/>
      <c r="CX383" s="28"/>
      <c r="CY383" s="28"/>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c r="DZ383" s="34"/>
      <c r="EA383" s="34"/>
      <c r="EB383" s="34"/>
      <c r="EC383" s="34"/>
      <c r="ED383" s="34"/>
    </row>
    <row r="384" spans="1:134" ht="11.25" customHeight="1" x14ac:dyDescent="0.3">
      <c r="A384" s="28" t="e">
        <f t="array" aca="1" ref="A384" ca="1">_xludf.XLOOKUP(S384,Master_Registrations!P:P,Master_Registrations!A:A,"")</f>
        <v>#NAME?</v>
      </c>
      <c r="B384" s="28" t="s">
        <v>7081</v>
      </c>
      <c r="C384" s="28">
        <v>2026</v>
      </c>
      <c r="D384" s="28" t="s">
        <v>4886</v>
      </c>
      <c r="E384" s="28">
        <v>5</v>
      </c>
      <c r="F384" s="29" t="str">
        <f t="shared" si="6"/>
        <v>VED-05-2026-GR-5</v>
      </c>
      <c r="G384" s="28" t="s">
        <v>4569</v>
      </c>
      <c r="H384" s="28" t="s">
        <v>1517</v>
      </c>
      <c r="I384" s="28"/>
      <c r="J384" s="28" t="s">
        <v>198</v>
      </c>
      <c r="K384" s="38"/>
      <c r="L384" s="38"/>
      <c r="M384" s="38"/>
      <c r="N384" s="28" t="s">
        <v>714</v>
      </c>
      <c r="O384" s="28" t="s">
        <v>6009</v>
      </c>
      <c r="P384" s="28" t="s">
        <v>1584</v>
      </c>
      <c r="Q384" s="28" t="e">
        <f t="shared" ca="1" si="7"/>
        <v>#NAME?</v>
      </c>
      <c r="R384" s="28" t="s">
        <v>112</v>
      </c>
      <c r="S384" s="55">
        <v>8886817734</v>
      </c>
      <c r="T384" s="29" t="s">
        <v>111</v>
      </c>
      <c r="U384" s="28">
        <v>1980</v>
      </c>
      <c r="V384" s="35">
        <v>2</v>
      </c>
      <c r="W384" s="35">
        <v>2</v>
      </c>
      <c r="X384" s="35">
        <v>2</v>
      </c>
      <c r="Y384" s="35">
        <v>2</v>
      </c>
      <c r="Z384" s="35">
        <v>2</v>
      </c>
      <c r="AA384" s="35">
        <v>2</v>
      </c>
      <c r="AB384" s="35">
        <v>2</v>
      </c>
      <c r="AC384" s="35">
        <v>2</v>
      </c>
      <c r="AD384" s="35">
        <v>2</v>
      </c>
      <c r="AE384" s="35">
        <v>2</v>
      </c>
      <c r="AF384" s="35">
        <v>2</v>
      </c>
      <c r="AG384" s="35">
        <v>2</v>
      </c>
      <c r="AH384" s="35">
        <v>2</v>
      </c>
      <c r="AI384" s="35">
        <v>4</v>
      </c>
      <c r="AJ384" s="35">
        <v>2</v>
      </c>
      <c r="AK384" s="35">
        <v>2</v>
      </c>
      <c r="AL384" s="35">
        <v>2</v>
      </c>
      <c r="AM384" s="35">
        <v>2</v>
      </c>
      <c r="AN384" s="35">
        <v>2</v>
      </c>
      <c r="AO384" s="35">
        <v>2</v>
      </c>
      <c r="AP384" s="35">
        <v>2</v>
      </c>
      <c r="AQ384" s="35">
        <v>2</v>
      </c>
      <c r="AR384" s="35">
        <v>2</v>
      </c>
      <c r="AS384" s="35">
        <v>2</v>
      </c>
      <c r="AT384" s="35">
        <v>2</v>
      </c>
      <c r="AU384" s="35">
        <v>2</v>
      </c>
      <c r="AV384" s="35">
        <v>4</v>
      </c>
      <c r="AW384" s="35">
        <v>1</v>
      </c>
      <c r="AX384" s="84">
        <v>1</v>
      </c>
      <c r="AY384" s="35">
        <v>1</v>
      </c>
      <c r="AZ384" s="35">
        <v>1</v>
      </c>
      <c r="BA384" s="35">
        <v>-1</v>
      </c>
      <c r="BB384" s="35">
        <v>-1</v>
      </c>
      <c r="BC384" s="35">
        <v>-1</v>
      </c>
      <c r="BD384" s="35">
        <v>-1</v>
      </c>
      <c r="BE384" s="35">
        <v>-1</v>
      </c>
      <c r="BF384" s="33">
        <v>-1</v>
      </c>
      <c r="BG384" s="33">
        <v>-1</v>
      </c>
      <c r="BH384" s="33">
        <v>-1</v>
      </c>
      <c r="BI384" s="33">
        <v>-1</v>
      </c>
      <c r="BJ384" s="33">
        <v>-1</v>
      </c>
      <c r="BK384" s="33">
        <v>-1</v>
      </c>
      <c r="BL384" s="33">
        <v>-1</v>
      </c>
      <c r="BM384" s="33">
        <v>-1</v>
      </c>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c r="CR384" s="28"/>
      <c r="CS384" s="28"/>
      <c r="CT384" s="28"/>
      <c r="CU384" s="28"/>
      <c r="CV384" s="28"/>
      <c r="CW384" s="28"/>
      <c r="CX384" s="28"/>
      <c r="CY384" s="28"/>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c r="DW384" s="34"/>
      <c r="DX384" s="34"/>
      <c r="DY384" s="34"/>
      <c r="DZ384" s="34"/>
      <c r="EA384" s="34"/>
      <c r="EB384" s="34"/>
      <c r="EC384" s="34"/>
      <c r="ED384" s="34"/>
    </row>
    <row r="385" spans="1:134" ht="11.25" customHeight="1" x14ac:dyDescent="0.3">
      <c r="A385" s="28" t="e">
        <f t="array" aca="1" ref="A385" ca="1">_xludf.XLOOKUP(S385,Master_Registrations!P:P,Master_Registrations!A:A,"")</f>
        <v>#NAME?</v>
      </c>
      <c r="B385" s="28" t="s">
        <v>7081</v>
      </c>
      <c r="C385" s="28">
        <v>2026</v>
      </c>
      <c r="D385" s="28" t="s">
        <v>4886</v>
      </c>
      <c r="E385" s="28">
        <v>5</v>
      </c>
      <c r="F385" s="29" t="str">
        <f t="shared" si="6"/>
        <v>VED-05-2026-GR-5</v>
      </c>
      <c r="G385" s="28" t="s">
        <v>4569</v>
      </c>
      <c r="H385" s="28" t="s">
        <v>1517</v>
      </c>
      <c r="I385" s="28"/>
      <c r="J385" s="28" t="s">
        <v>198</v>
      </c>
      <c r="K385" s="38"/>
      <c r="L385" s="38"/>
      <c r="M385" s="38"/>
      <c r="N385" s="28" t="s">
        <v>786</v>
      </c>
      <c r="O385" s="28" t="s">
        <v>982</v>
      </c>
      <c r="P385" s="28" t="s">
        <v>983</v>
      </c>
      <c r="Q385" s="28" t="e">
        <f t="shared" ca="1" si="7"/>
        <v>#NAME?</v>
      </c>
      <c r="R385" s="28" t="s">
        <v>112</v>
      </c>
      <c r="S385" s="55">
        <v>6281260746</v>
      </c>
      <c r="T385" s="29" t="s">
        <v>111</v>
      </c>
      <c r="U385" s="28">
        <v>1959</v>
      </c>
      <c r="V385" s="35">
        <v>2</v>
      </c>
      <c r="W385" s="35">
        <v>2</v>
      </c>
      <c r="X385" s="35">
        <v>2</v>
      </c>
      <c r="Y385" s="35">
        <v>2</v>
      </c>
      <c r="Z385" s="35">
        <v>2</v>
      </c>
      <c r="AA385" s="35">
        <v>2</v>
      </c>
      <c r="AB385" s="35">
        <v>2</v>
      </c>
      <c r="AC385" s="35">
        <v>2</v>
      </c>
      <c r="AD385" s="35">
        <v>2</v>
      </c>
      <c r="AE385" s="35">
        <v>2</v>
      </c>
      <c r="AF385" s="35">
        <v>2</v>
      </c>
      <c r="AG385" s="35">
        <v>2</v>
      </c>
      <c r="AH385" s="35">
        <v>2</v>
      </c>
      <c r="AI385" s="35">
        <v>4</v>
      </c>
      <c r="AJ385" s="35">
        <v>2</v>
      </c>
      <c r="AK385" s="35">
        <v>2</v>
      </c>
      <c r="AL385" s="35">
        <v>2</v>
      </c>
      <c r="AM385" s="35">
        <v>2</v>
      </c>
      <c r="AN385" s="35">
        <v>2</v>
      </c>
      <c r="AO385" s="35">
        <v>2</v>
      </c>
      <c r="AP385" s="35">
        <v>2</v>
      </c>
      <c r="AQ385" s="35">
        <v>2</v>
      </c>
      <c r="AR385" s="35">
        <v>2</v>
      </c>
      <c r="AS385" s="35">
        <v>2</v>
      </c>
      <c r="AT385" s="35">
        <v>2</v>
      </c>
      <c r="AU385" s="35">
        <v>2</v>
      </c>
      <c r="AV385" s="35">
        <v>4</v>
      </c>
      <c r="AW385" s="35">
        <v>2</v>
      </c>
      <c r="AX385" s="35">
        <v>2</v>
      </c>
      <c r="AY385" s="35">
        <v>2</v>
      </c>
      <c r="AZ385" s="35">
        <v>2</v>
      </c>
      <c r="BA385" s="35">
        <v>2</v>
      </c>
      <c r="BB385" s="35">
        <v>2</v>
      </c>
      <c r="BC385" s="35">
        <v>2</v>
      </c>
      <c r="BD385" s="35">
        <v>2</v>
      </c>
      <c r="BE385" s="35">
        <v>2</v>
      </c>
      <c r="BF385" s="33">
        <v>-1</v>
      </c>
      <c r="BG385" s="35">
        <v>2</v>
      </c>
      <c r="BH385" s="35">
        <v>2</v>
      </c>
      <c r="BI385" s="35">
        <v>1</v>
      </c>
      <c r="BJ385" s="33">
        <v>-1</v>
      </c>
      <c r="BK385" s="33">
        <v>-1</v>
      </c>
      <c r="BL385" s="33">
        <v>-1</v>
      </c>
      <c r="BM385" s="33">
        <v>-1</v>
      </c>
      <c r="BN385" s="28"/>
      <c r="BO385" s="28"/>
      <c r="BP385" s="28"/>
      <c r="BQ385" s="28"/>
      <c r="BR385" s="28"/>
      <c r="BS385" s="28"/>
      <c r="BT385" s="28"/>
      <c r="BU385" s="28"/>
      <c r="BV385" s="28"/>
      <c r="BW385" s="28"/>
      <c r="BX385" s="28"/>
      <c r="BY385" s="28"/>
      <c r="BZ385" s="28"/>
      <c r="CA385" s="28"/>
      <c r="CB385" s="28"/>
      <c r="CC385" s="28"/>
      <c r="CD385" s="28"/>
      <c r="CE385" s="28"/>
      <c r="CF385" s="28"/>
      <c r="CG385" s="28"/>
      <c r="CH385" s="28"/>
      <c r="CI385" s="28"/>
      <c r="CJ385" s="28"/>
      <c r="CK385" s="28"/>
      <c r="CL385" s="28"/>
      <c r="CM385" s="28"/>
      <c r="CN385" s="28"/>
      <c r="CO385" s="28"/>
      <c r="CP385" s="28"/>
      <c r="CQ385" s="28"/>
      <c r="CR385" s="28"/>
      <c r="CS385" s="28"/>
      <c r="CT385" s="28"/>
      <c r="CU385" s="28"/>
      <c r="CV385" s="28"/>
      <c r="CW385" s="28"/>
      <c r="CX385" s="28"/>
      <c r="CY385" s="28"/>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c r="DZ385" s="34"/>
      <c r="EA385" s="34"/>
      <c r="EB385" s="34"/>
      <c r="EC385" s="34"/>
      <c r="ED385" s="34"/>
    </row>
    <row r="386" spans="1:134" ht="11.25" customHeight="1" x14ac:dyDescent="0.3">
      <c r="A386" s="28" t="e">
        <f t="array" aca="1" ref="A386" ca="1">_xludf.XLOOKUP(S386,Master_Registrations!P:P,Master_Registrations!A:A,"")</f>
        <v>#NAME?</v>
      </c>
      <c r="B386" s="28" t="s">
        <v>7081</v>
      </c>
      <c r="C386" s="28">
        <v>2026</v>
      </c>
      <c r="D386" s="28" t="s">
        <v>4886</v>
      </c>
      <c r="E386" s="28">
        <v>5</v>
      </c>
      <c r="F386" s="29" t="str">
        <f t="shared" si="6"/>
        <v>VED-05-2026-GR-5</v>
      </c>
      <c r="G386" s="28" t="s">
        <v>4569</v>
      </c>
      <c r="H386" s="28" t="s">
        <v>1517</v>
      </c>
      <c r="I386" s="28"/>
      <c r="J386" s="28" t="s">
        <v>198</v>
      </c>
      <c r="K386" s="35"/>
      <c r="L386" s="35"/>
      <c r="M386" s="35"/>
      <c r="N386" s="28" t="s">
        <v>856</v>
      </c>
      <c r="O386" s="28" t="s">
        <v>6244</v>
      </c>
      <c r="P386" s="28" t="s">
        <v>6245</v>
      </c>
      <c r="Q386" s="28" t="e">
        <f t="shared" ca="1" si="7"/>
        <v>#NAME?</v>
      </c>
      <c r="R386" s="28" t="s">
        <v>316</v>
      </c>
      <c r="S386" s="32">
        <v>5127752518</v>
      </c>
      <c r="T386" s="29" t="s">
        <v>315</v>
      </c>
      <c r="U386" s="28">
        <v>1980</v>
      </c>
      <c r="V386" s="35">
        <v>1</v>
      </c>
      <c r="W386" s="35">
        <v>1</v>
      </c>
      <c r="X386" s="35">
        <v>1</v>
      </c>
      <c r="Y386" s="35">
        <v>1</v>
      </c>
      <c r="Z386" s="35">
        <v>1</v>
      </c>
      <c r="AA386" s="35">
        <v>1</v>
      </c>
      <c r="AB386" s="35">
        <v>1</v>
      </c>
      <c r="AC386" s="35">
        <v>1</v>
      </c>
      <c r="AD386" s="35">
        <v>1</v>
      </c>
      <c r="AE386" s="35">
        <v>1</v>
      </c>
      <c r="AF386" s="35">
        <v>1</v>
      </c>
      <c r="AG386" s="35">
        <v>1</v>
      </c>
      <c r="AH386" s="35">
        <v>1</v>
      </c>
      <c r="AI386" s="33">
        <v>-1</v>
      </c>
      <c r="AJ386" s="35">
        <v>1</v>
      </c>
      <c r="AK386" s="35">
        <v>1</v>
      </c>
      <c r="AL386" s="35">
        <v>1</v>
      </c>
      <c r="AM386" s="35">
        <v>1</v>
      </c>
      <c r="AN386" s="35">
        <v>1</v>
      </c>
      <c r="AO386" s="35">
        <v>1</v>
      </c>
      <c r="AP386" s="35">
        <v>-1</v>
      </c>
      <c r="AQ386" s="35">
        <v>-1</v>
      </c>
      <c r="AR386" s="35">
        <v>-1</v>
      </c>
      <c r="AS386" s="35">
        <v>1</v>
      </c>
      <c r="AT386" s="35">
        <v>-1</v>
      </c>
      <c r="AU386" s="35">
        <v>-1</v>
      </c>
      <c r="AV386" s="33">
        <v>-1</v>
      </c>
      <c r="AW386" s="35">
        <v>-1</v>
      </c>
      <c r="AX386" s="84">
        <v>1</v>
      </c>
      <c r="AY386" s="35">
        <v>-1</v>
      </c>
      <c r="AZ386" s="35">
        <v>-1</v>
      </c>
      <c r="BA386" s="35">
        <v>-1</v>
      </c>
      <c r="BB386" s="35">
        <v>-1</v>
      </c>
      <c r="BC386" s="35">
        <v>-1</v>
      </c>
      <c r="BD386" s="35">
        <v>-1</v>
      </c>
      <c r="BE386" s="35">
        <v>-1</v>
      </c>
      <c r="BF386" s="33">
        <v>-1</v>
      </c>
      <c r="BG386" s="33">
        <v>-1</v>
      </c>
      <c r="BH386" s="33">
        <v>-1</v>
      </c>
      <c r="BI386" s="33">
        <v>-1</v>
      </c>
      <c r="BJ386" s="33">
        <v>-1</v>
      </c>
      <c r="BK386" s="33">
        <v>-1</v>
      </c>
      <c r="BL386" s="33">
        <v>-1</v>
      </c>
      <c r="BM386" s="33">
        <v>-1</v>
      </c>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c r="CR386" s="28"/>
      <c r="CS386" s="28"/>
      <c r="CT386" s="28"/>
      <c r="CU386" s="28"/>
      <c r="CV386" s="28"/>
      <c r="CW386" s="28"/>
      <c r="CX386" s="28"/>
      <c r="CY386" s="28"/>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c r="DW386" s="34"/>
      <c r="DX386" s="34"/>
      <c r="DY386" s="34"/>
      <c r="DZ386" s="34"/>
      <c r="EA386" s="34"/>
      <c r="EB386" s="34"/>
      <c r="EC386" s="34"/>
      <c r="ED386" s="34"/>
    </row>
    <row r="387" spans="1:134" ht="11.25" customHeight="1" x14ac:dyDescent="0.3">
      <c r="A387" s="28" t="e">
        <f t="array" aca="1" ref="A387" ca="1">_xludf.XLOOKUP(S387,Master_Registrations!P:P,Master_Registrations!A:A,"")</f>
        <v>#NAME?</v>
      </c>
      <c r="B387" s="39" t="s">
        <v>7084</v>
      </c>
      <c r="C387" s="39">
        <v>2026</v>
      </c>
      <c r="D387" s="39" t="s">
        <v>4886</v>
      </c>
      <c r="E387" s="39">
        <v>1</v>
      </c>
      <c r="F387" s="40" t="str">
        <f t="shared" si="6"/>
        <v>VED-06-2026-GR-1</v>
      </c>
      <c r="G387" s="39" t="s">
        <v>7073</v>
      </c>
      <c r="H387" s="39" t="s">
        <v>7076</v>
      </c>
      <c r="I387" s="39" t="s">
        <v>7085</v>
      </c>
      <c r="J387" s="39" t="s">
        <v>198</v>
      </c>
      <c r="K387" s="60"/>
      <c r="L387" s="60"/>
      <c r="M387" s="60"/>
      <c r="N387" s="39" t="s">
        <v>200</v>
      </c>
      <c r="O387" s="39" t="s">
        <v>1208</v>
      </c>
      <c r="P387" s="39" t="s">
        <v>5741</v>
      </c>
      <c r="Q387" s="39" t="e">
        <f t="shared" ca="1" si="7"/>
        <v>#NAME?</v>
      </c>
      <c r="R387" s="39" t="s">
        <v>112</v>
      </c>
      <c r="S387" s="50">
        <v>8978455777</v>
      </c>
      <c r="T387" s="40" t="s">
        <v>111</v>
      </c>
      <c r="U387" s="39">
        <v>1977</v>
      </c>
      <c r="V387" s="44">
        <v>2</v>
      </c>
      <c r="W387" s="44">
        <v>2</v>
      </c>
      <c r="X387" s="44">
        <v>2</v>
      </c>
      <c r="Y387" s="44">
        <v>2</v>
      </c>
      <c r="Z387" s="44">
        <v>2</v>
      </c>
      <c r="AA387" s="44">
        <v>2</v>
      </c>
      <c r="AB387" s="44">
        <v>2</v>
      </c>
      <c r="AC387" s="44">
        <v>2</v>
      </c>
      <c r="AD387" s="44">
        <v>2</v>
      </c>
      <c r="AE387" s="44">
        <v>2</v>
      </c>
      <c r="AF387" s="44">
        <v>2</v>
      </c>
      <c r="AG387" s="44">
        <v>2</v>
      </c>
      <c r="AH387" s="44">
        <v>2</v>
      </c>
      <c r="AI387" s="44">
        <v>3</v>
      </c>
      <c r="AJ387" s="44">
        <v>2</v>
      </c>
      <c r="AK387" s="44">
        <v>2</v>
      </c>
      <c r="AL387" s="44">
        <v>2</v>
      </c>
      <c r="AM387" s="44">
        <v>2</v>
      </c>
      <c r="AN387" s="44">
        <v>2</v>
      </c>
      <c r="AO387" s="44">
        <v>2</v>
      </c>
      <c r="AP387" s="44">
        <v>2</v>
      </c>
      <c r="AQ387" s="44">
        <v>2</v>
      </c>
      <c r="AR387" s="44">
        <v>2</v>
      </c>
      <c r="AS387" s="44">
        <v>2</v>
      </c>
      <c r="AT387" s="44">
        <v>2</v>
      </c>
      <c r="AU387" s="44">
        <v>2</v>
      </c>
      <c r="AV387" s="87">
        <v>4</v>
      </c>
      <c r="AW387" s="44">
        <v>2</v>
      </c>
      <c r="AX387" s="44">
        <v>2</v>
      </c>
      <c r="AY387" s="44">
        <v>2</v>
      </c>
      <c r="AZ387" s="44">
        <v>2</v>
      </c>
      <c r="BA387" s="44">
        <v>2</v>
      </c>
      <c r="BB387" s="44">
        <v>2</v>
      </c>
      <c r="BC387" s="44">
        <v>2</v>
      </c>
      <c r="BD387" s="44">
        <v>2</v>
      </c>
      <c r="BE387" s="44">
        <v>2</v>
      </c>
      <c r="BF387" s="44">
        <v>4</v>
      </c>
      <c r="BG387" s="44">
        <v>2</v>
      </c>
      <c r="BH387" s="44">
        <v>2</v>
      </c>
      <c r="BI387" s="44">
        <v>2</v>
      </c>
      <c r="BJ387" s="44">
        <v>2</v>
      </c>
      <c r="BK387" s="44">
        <v>2</v>
      </c>
      <c r="BL387" s="44">
        <v>2</v>
      </c>
      <c r="BM387" s="44">
        <v>4</v>
      </c>
      <c r="BN387" s="44">
        <v>1</v>
      </c>
      <c r="BO387" s="44">
        <v>1</v>
      </c>
      <c r="BP387" s="44">
        <v>1</v>
      </c>
      <c r="BQ387" s="44">
        <v>1</v>
      </c>
      <c r="BR387" s="44">
        <v>1</v>
      </c>
      <c r="BS387" s="44">
        <v>1</v>
      </c>
      <c r="BT387" s="44">
        <v>1</v>
      </c>
      <c r="BU387" s="44">
        <v>1</v>
      </c>
      <c r="BV387" s="45">
        <v>-1</v>
      </c>
      <c r="BW387" s="61">
        <v>-1</v>
      </c>
      <c r="BX387" s="61">
        <v>-1</v>
      </c>
      <c r="BY387" s="61">
        <v>-1</v>
      </c>
      <c r="BZ387" s="61">
        <v>-1</v>
      </c>
      <c r="CA387" s="61">
        <v>-1</v>
      </c>
      <c r="CB387" s="61">
        <v>-1</v>
      </c>
      <c r="CC387" s="61"/>
      <c r="CD387" s="61"/>
      <c r="CE387" s="61"/>
      <c r="CF387" s="61"/>
      <c r="CG387" s="61"/>
      <c r="CH387" s="61"/>
      <c r="CI387" s="61"/>
      <c r="CJ387" s="61"/>
      <c r="CK387" s="61"/>
      <c r="CL387" s="61"/>
      <c r="CM387" s="61"/>
      <c r="CN387" s="44">
        <v>1</v>
      </c>
      <c r="CO387" s="44">
        <v>1</v>
      </c>
      <c r="CP387" s="44">
        <v>1</v>
      </c>
      <c r="CQ387" s="44">
        <v>1</v>
      </c>
      <c r="CR387" s="44">
        <v>1</v>
      </c>
      <c r="CS387" s="44">
        <v>1</v>
      </c>
      <c r="CT387" s="44">
        <v>1</v>
      </c>
      <c r="CU387" s="44">
        <v>1</v>
      </c>
      <c r="CV387" s="44">
        <v>1</v>
      </c>
      <c r="CW387" s="44">
        <v>1</v>
      </c>
      <c r="CX387" s="45">
        <v>-1</v>
      </c>
      <c r="CY387" s="45">
        <v>-1</v>
      </c>
      <c r="CZ387" s="48"/>
      <c r="DA387" s="48"/>
      <c r="DB387" s="48"/>
      <c r="DC387" s="48"/>
      <c r="DD387" s="48"/>
      <c r="DE387" s="48"/>
      <c r="DF387" s="48"/>
      <c r="DG387" s="48"/>
      <c r="DH387" s="48"/>
      <c r="DI387" s="48"/>
      <c r="DJ387" s="48"/>
      <c r="DK387" s="48"/>
      <c r="DL387" s="48"/>
      <c r="DM387" s="48"/>
      <c r="DN387" s="48"/>
      <c r="DO387" s="48"/>
      <c r="DP387" s="48"/>
      <c r="DQ387" s="48"/>
      <c r="DR387" s="48"/>
      <c r="DS387" s="48"/>
      <c r="DT387" s="48"/>
      <c r="DU387" s="48"/>
      <c r="DV387" s="48"/>
      <c r="DW387" s="48"/>
      <c r="DX387" s="48"/>
      <c r="DY387" s="48"/>
      <c r="DZ387" s="48"/>
      <c r="EA387" s="48"/>
      <c r="EB387" s="48"/>
      <c r="EC387" s="48"/>
      <c r="ED387" s="48"/>
    </row>
    <row r="388" spans="1:134" ht="11.25" customHeight="1" x14ac:dyDescent="0.3">
      <c r="A388" s="28" t="e">
        <f t="array" aca="1" ref="A388" ca="1">_xludf.XLOOKUP(S388,Master_Registrations!P:P,Master_Registrations!A:A,"")</f>
        <v>#NAME?</v>
      </c>
      <c r="B388" s="39" t="s">
        <v>7084</v>
      </c>
      <c r="C388" s="39">
        <v>2026</v>
      </c>
      <c r="D388" s="39" t="s">
        <v>4886</v>
      </c>
      <c r="E388" s="39">
        <v>1</v>
      </c>
      <c r="F388" s="40" t="str">
        <f t="shared" si="6"/>
        <v>VED-06-2026-GR-1</v>
      </c>
      <c r="G388" s="39" t="s">
        <v>7073</v>
      </c>
      <c r="H388" s="39" t="s">
        <v>7076</v>
      </c>
      <c r="I388" s="39" t="s">
        <v>7085</v>
      </c>
      <c r="J388" s="39" t="s">
        <v>198</v>
      </c>
      <c r="K388" s="60"/>
      <c r="L388" s="60"/>
      <c r="M388" s="60"/>
      <c r="N388" s="39" t="s">
        <v>299</v>
      </c>
      <c r="O388" s="39" t="s">
        <v>880</v>
      </c>
      <c r="P388" s="39" t="s">
        <v>5876</v>
      </c>
      <c r="Q388" s="39" t="e">
        <f t="shared" ca="1" si="7"/>
        <v>#NAME?</v>
      </c>
      <c r="R388" s="39" t="s">
        <v>112</v>
      </c>
      <c r="S388" s="50">
        <v>9958562369</v>
      </c>
      <c r="T388" s="40" t="s">
        <v>111</v>
      </c>
      <c r="U388" s="39">
        <v>1980</v>
      </c>
      <c r="V388" s="44">
        <v>2</v>
      </c>
      <c r="W388" s="44">
        <v>2</v>
      </c>
      <c r="X388" s="44">
        <v>2</v>
      </c>
      <c r="Y388" s="44">
        <v>2</v>
      </c>
      <c r="Z388" s="44">
        <v>2</v>
      </c>
      <c r="AA388" s="44">
        <v>2</v>
      </c>
      <c r="AB388" s="44">
        <v>2</v>
      </c>
      <c r="AC388" s="44">
        <v>2</v>
      </c>
      <c r="AD388" s="44">
        <v>2</v>
      </c>
      <c r="AE388" s="44">
        <v>2</v>
      </c>
      <c r="AF388" s="44">
        <v>2</v>
      </c>
      <c r="AG388" s="44">
        <v>2</v>
      </c>
      <c r="AH388" s="44">
        <v>2</v>
      </c>
      <c r="AI388" s="44">
        <v>4</v>
      </c>
      <c r="AJ388" s="44">
        <v>2</v>
      </c>
      <c r="AK388" s="44">
        <v>2</v>
      </c>
      <c r="AL388" s="44">
        <v>2</v>
      </c>
      <c r="AM388" s="44">
        <v>2</v>
      </c>
      <c r="AN388" s="44">
        <v>2</v>
      </c>
      <c r="AO388" s="44">
        <v>2</v>
      </c>
      <c r="AP388" s="44">
        <v>2</v>
      </c>
      <c r="AQ388" s="44">
        <v>2</v>
      </c>
      <c r="AR388" s="44">
        <v>2</v>
      </c>
      <c r="AS388" s="44">
        <v>2</v>
      </c>
      <c r="AT388" s="44">
        <v>2</v>
      </c>
      <c r="AU388" s="44">
        <v>2</v>
      </c>
      <c r="AV388" s="46">
        <v>4</v>
      </c>
      <c r="AW388" s="44">
        <v>2</v>
      </c>
      <c r="AX388" s="44">
        <v>2</v>
      </c>
      <c r="AY388" s="44">
        <v>2</v>
      </c>
      <c r="AZ388" s="44">
        <v>2</v>
      </c>
      <c r="BA388" s="44">
        <v>2</v>
      </c>
      <c r="BB388" s="44">
        <v>2</v>
      </c>
      <c r="BC388" s="44">
        <v>2</v>
      </c>
      <c r="BD388" s="44">
        <v>2</v>
      </c>
      <c r="BE388" s="44">
        <v>1</v>
      </c>
      <c r="BF388" s="45">
        <v>-1</v>
      </c>
      <c r="BG388" s="44">
        <v>1</v>
      </c>
      <c r="BH388" s="44">
        <v>1</v>
      </c>
      <c r="BI388" s="44">
        <v>1</v>
      </c>
      <c r="BJ388" s="44">
        <v>1</v>
      </c>
      <c r="BK388" s="45">
        <v>-1</v>
      </c>
      <c r="BL388" s="45">
        <v>-1</v>
      </c>
      <c r="BM388" s="45">
        <v>-1</v>
      </c>
      <c r="BN388" s="44">
        <v>1</v>
      </c>
      <c r="BO388" s="44">
        <v>1</v>
      </c>
      <c r="BP388" s="44">
        <v>1</v>
      </c>
      <c r="BQ388" s="44">
        <v>1</v>
      </c>
      <c r="BR388" s="44">
        <v>1</v>
      </c>
      <c r="BS388" s="44">
        <v>1</v>
      </c>
      <c r="BT388" s="44">
        <v>1</v>
      </c>
      <c r="BU388" s="44">
        <v>1</v>
      </c>
      <c r="BV388" s="45">
        <v>-1</v>
      </c>
      <c r="BW388" s="61">
        <v>-1</v>
      </c>
      <c r="BX388" s="61">
        <v>-1</v>
      </c>
      <c r="BY388" s="61">
        <v>-1</v>
      </c>
      <c r="BZ388" s="61">
        <v>-1</v>
      </c>
      <c r="CA388" s="61">
        <v>-1</v>
      </c>
      <c r="CB388" s="61">
        <v>-1</v>
      </c>
      <c r="CC388" s="61"/>
      <c r="CD388" s="61"/>
      <c r="CE388" s="61"/>
      <c r="CF388" s="61"/>
      <c r="CG388" s="61"/>
      <c r="CH388" s="61"/>
      <c r="CI388" s="61"/>
      <c r="CJ388" s="61"/>
      <c r="CK388" s="61"/>
      <c r="CL388" s="61"/>
      <c r="CM388" s="61"/>
      <c r="CN388" s="39"/>
      <c r="CO388" s="39"/>
      <c r="CP388" s="39"/>
      <c r="CQ388" s="39"/>
      <c r="CR388" s="39"/>
      <c r="CS388" s="39"/>
      <c r="CT388" s="39"/>
      <c r="CU388" s="39"/>
      <c r="CV388" s="39"/>
      <c r="CW388" s="39"/>
      <c r="CX388" s="39"/>
      <c r="CY388" s="39"/>
      <c r="CZ388" s="48"/>
      <c r="DA388" s="48"/>
      <c r="DB388" s="48"/>
      <c r="DC388" s="48"/>
      <c r="DD388" s="48"/>
      <c r="DE388" s="48"/>
      <c r="DF388" s="48"/>
      <c r="DG388" s="48"/>
      <c r="DH388" s="48"/>
      <c r="DI388" s="48"/>
      <c r="DJ388" s="48"/>
      <c r="DK388" s="48"/>
      <c r="DL388" s="48"/>
      <c r="DM388" s="48"/>
      <c r="DN388" s="48"/>
      <c r="DO388" s="48"/>
      <c r="DP388" s="48"/>
      <c r="DQ388" s="48"/>
      <c r="DR388" s="48"/>
      <c r="DS388" s="48"/>
      <c r="DT388" s="48"/>
      <c r="DU388" s="48"/>
      <c r="DV388" s="48"/>
      <c r="DW388" s="48"/>
      <c r="DX388" s="48"/>
      <c r="DY388" s="48"/>
      <c r="DZ388" s="48"/>
      <c r="EA388" s="48"/>
      <c r="EB388" s="48"/>
      <c r="EC388" s="48"/>
      <c r="ED388" s="48"/>
    </row>
    <row r="389" spans="1:134" ht="11.25" customHeight="1" x14ac:dyDescent="0.3">
      <c r="A389" s="28" t="e">
        <f t="array" aca="1" ref="A389" ca="1">_xludf.XLOOKUP(S389,Master_Registrations!P:P,Master_Registrations!A:A,"")</f>
        <v>#NAME?</v>
      </c>
      <c r="B389" s="39" t="s">
        <v>7084</v>
      </c>
      <c r="C389" s="39">
        <v>2026</v>
      </c>
      <c r="D389" s="39" t="s">
        <v>4886</v>
      </c>
      <c r="E389" s="39">
        <v>1</v>
      </c>
      <c r="F389" s="40" t="str">
        <f t="shared" si="6"/>
        <v>VED-06-2026-GR-1</v>
      </c>
      <c r="G389" s="39" t="s">
        <v>7073</v>
      </c>
      <c r="H389" s="39" t="s">
        <v>7076</v>
      </c>
      <c r="I389" s="39" t="s">
        <v>7085</v>
      </c>
      <c r="J389" s="39" t="s">
        <v>198</v>
      </c>
      <c r="K389" s="60"/>
      <c r="L389" s="60"/>
      <c r="M389" s="60"/>
      <c r="N389" s="39" t="s">
        <v>369</v>
      </c>
      <c r="O389" s="39" t="s">
        <v>612</v>
      </c>
      <c r="P389" s="39" t="s">
        <v>613</v>
      </c>
      <c r="Q389" s="39" t="e">
        <f t="shared" ca="1" si="7"/>
        <v>#NAME?</v>
      </c>
      <c r="R389" s="39" t="s">
        <v>112</v>
      </c>
      <c r="S389" s="50">
        <v>9885030611</v>
      </c>
      <c r="T389" s="40" t="s">
        <v>111</v>
      </c>
      <c r="U389" s="39">
        <v>1971</v>
      </c>
      <c r="V389" s="44">
        <v>2</v>
      </c>
      <c r="W389" s="44">
        <v>2</v>
      </c>
      <c r="X389" s="44">
        <v>2</v>
      </c>
      <c r="Y389" s="44">
        <v>2</v>
      </c>
      <c r="Z389" s="44">
        <v>2</v>
      </c>
      <c r="AA389" s="44">
        <v>2</v>
      </c>
      <c r="AB389" s="44">
        <v>2</v>
      </c>
      <c r="AC389" s="44">
        <v>2</v>
      </c>
      <c r="AD389" s="44">
        <v>2</v>
      </c>
      <c r="AE389" s="44">
        <v>2</v>
      </c>
      <c r="AF389" s="44">
        <v>2</v>
      </c>
      <c r="AG389" s="44">
        <v>2</v>
      </c>
      <c r="AH389" s="44">
        <v>2</v>
      </c>
      <c r="AI389" s="45">
        <v>-1</v>
      </c>
      <c r="AJ389" s="44">
        <v>2</v>
      </c>
      <c r="AK389" s="44">
        <v>2</v>
      </c>
      <c r="AL389" s="44">
        <v>2</v>
      </c>
      <c r="AM389" s="44">
        <v>2</v>
      </c>
      <c r="AN389" s="44">
        <v>2</v>
      </c>
      <c r="AO389" s="44">
        <v>2</v>
      </c>
      <c r="AP389" s="46">
        <v>-1</v>
      </c>
      <c r="AQ389" s="46">
        <v>-1</v>
      </c>
      <c r="AR389" s="44">
        <v>2</v>
      </c>
      <c r="AS389" s="46">
        <v>-1</v>
      </c>
      <c r="AT389" s="46">
        <v>-1</v>
      </c>
      <c r="AU389" s="44">
        <v>2</v>
      </c>
      <c r="AV389" s="45">
        <v>-1</v>
      </c>
      <c r="AW389" s="44">
        <v>-1</v>
      </c>
      <c r="AX389" s="44">
        <v>-1</v>
      </c>
      <c r="AY389" s="45">
        <v>1</v>
      </c>
      <c r="AZ389" s="44">
        <v>-1</v>
      </c>
      <c r="BA389" s="44">
        <v>1</v>
      </c>
      <c r="BB389" s="44">
        <v>1</v>
      </c>
      <c r="BC389" s="44">
        <v>-1</v>
      </c>
      <c r="BD389" s="44">
        <v>1</v>
      </c>
      <c r="BE389" s="44">
        <v>1</v>
      </c>
      <c r="BF389" s="45">
        <v>-1</v>
      </c>
      <c r="BG389" s="44">
        <v>1</v>
      </c>
      <c r="BH389" s="44">
        <v>1</v>
      </c>
      <c r="BI389" s="44">
        <v>1</v>
      </c>
      <c r="BJ389" s="44">
        <v>1</v>
      </c>
      <c r="BK389" s="45">
        <v>-1</v>
      </c>
      <c r="BL389" s="45">
        <v>-1</v>
      </c>
      <c r="BM389" s="45">
        <v>-1</v>
      </c>
      <c r="BN389" s="44">
        <v>1</v>
      </c>
      <c r="BO389" s="44">
        <v>-1</v>
      </c>
      <c r="BP389" s="44">
        <v>-1</v>
      </c>
      <c r="BQ389" s="44">
        <v>1</v>
      </c>
      <c r="BR389" s="45">
        <v>-1</v>
      </c>
      <c r="BS389" s="45">
        <v>-1</v>
      </c>
      <c r="BT389" s="45">
        <v>-1</v>
      </c>
      <c r="BU389" s="45">
        <v>-1</v>
      </c>
      <c r="BV389" s="45">
        <v>-1</v>
      </c>
      <c r="BW389" s="61">
        <v>-1</v>
      </c>
      <c r="BX389" s="61">
        <v>-1</v>
      </c>
      <c r="BY389" s="61">
        <v>-1</v>
      </c>
      <c r="BZ389" s="61">
        <v>-1</v>
      </c>
      <c r="CA389" s="61">
        <v>-1</v>
      </c>
      <c r="CB389" s="61">
        <v>-1</v>
      </c>
      <c r="CC389" s="61"/>
      <c r="CD389" s="61"/>
      <c r="CE389" s="61"/>
      <c r="CF389" s="61"/>
      <c r="CG389" s="61"/>
      <c r="CH389" s="61"/>
      <c r="CI389" s="61"/>
      <c r="CJ389" s="61"/>
      <c r="CK389" s="61"/>
      <c r="CL389" s="61"/>
      <c r="CM389" s="61"/>
      <c r="CN389" s="45">
        <v>-1</v>
      </c>
      <c r="CO389" s="45">
        <v>-1</v>
      </c>
      <c r="CP389" s="45">
        <v>-1</v>
      </c>
      <c r="CQ389" s="45">
        <v>-1</v>
      </c>
      <c r="CR389" s="45">
        <v>-1</v>
      </c>
      <c r="CS389" s="45">
        <v>-1</v>
      </c>
      <c r="CT389" s="45">
        <v>-1</v>
      </c>
      <c r="CU389" s="45">
        <v>-1</v>
      </c>
      <c r="CV389" s="45">
        <v>-1</v>
      </c>
      <c r="CW389" s="45">
        <v>-1</v>
      </c>
      <c r="CX389" s="45">
        <v>-1</v>
      </c>
      <c r="CY389" s="45">
        <v>-1</v>
      </c>
      <c r="CZ389" s="48"/>
      <c r="DA389" s="48"/>
      <c r="DB389" s="48"/>
      <c r="DC389" s="48"/>
      <c r="DD389" s="48"/>
      <c r="DE389" s="48"/>
      <c r="DF389" s="48"/>
      <c r="DG389" s="48"/>
      <c r="DH389" s="48"/>
      <c r="DI389" s="48"/>
      <c r="DJ389" s="48"/>
      <c r="DK389" s="48"/>
      <c r="DL389" s="48"/>
      <c r="DM389" s="48"/>
      <c r="DN389" s="48"/>
      <c r="DO389" s="48"/>
      <c r="DP389" s="48"/>
      <c r="DQ389" s="48"/>
      <c r="DR389" s="48"/>
      <c r="DS389" s="48"/>
      <c r="DT389" s="48"/>
      <c r="DU389" s="48"/>
      <c r="DV389" s="48"/>
      <c r="DW389" s="48"/>
      <c r="DX389" s="48"/>
      <c r="DY389" s="48"/>
      <c r="DZ389" s="48"/>
      <c r="EA389" s="48"/>
      <c r="EB389" s="48"/>
      <c r="EC389" s="48"/>
      <c r="ED389" s="48"/>
    </row>
    <row r="390" spans="1:134" ht="11.25" customHeight="1" x14ac:dyDescent="0.3">
      <c r="A390" s="28" t="e">
        <f t="array" aca="1" ref="A390" ca="1">_xludf.XLOOKUP(S390,Master_Registrations!P:P,Master_Registrations!A:A,"")</f>
        <v>#NAME?</v>
      </c>
      <c r="B390" s="39" t="s">
        <v>7084</v>
      </c>
      <c r="C390" s="39">
        <v>2026</v>
      </c>
      <c r="D390" s="39" t="s">
        <v>4886</v>
      </c>
      <c r="E390" s="39">
        <v>1</v>
      </c>
      <c r="F390" s="40" t="str">
        <f t="shared" si="6"/>
        <v>VED-06-2026-GR-1</v>
      </c>
      <c r="G390" s="39" t="s">
        <v>7073</v>
      </c>
      <c r="H390" s="39" t="s">
        <v>7076</v>
      </c>
      <c r="I390" s="39" t="s">
        <v>7085</v>
      </c>
      <c r="J390" s="39" t="s">
        <v>198</v>
      </c>
      <c r="K390" s="60"/>
      <c r="L390" s="60"/>
      <c r="M390" s="60"/>
      <c r="N390" s="39" t="s">
        <v>434</v>
      </c>
      <c r="O390" s="39" t="s">
        <v>5060</v>
      </c>
      <c r="P390" s="39" t="s">
        <v>5904</v>
      </c>
      <c r="Q390" s="39" t="e">
        <f t="shared" ca="1" si="7"/>
        <v>#NAME?</v>
      </c>
      <c r="R390" s="39" t="s">
        <v>112</v>
      </c>
      <c r="S390" s="50">
        <v>9007972162</v>
      </c>
      <c r="T390" s="40" t="s">
        <v>111</v>
      </c>
      <c r="U390" s="39">
        <v>1989</v>
      </c>
      <c r="V390" s="44">
        <v>2</v>
      </c>
      <c r="W390" s="44">
        <v>2</v>
      </c>
      <c r="X390" s="44">
        <v>2</v>
      </c>
      <c r="Y390" s="44">
        <v>2</v>
      </c>
      <c r="Z390" s="44">
        <v>2</v>
      </c>
      <c r="AA390" s="44">
        <v>2</v>
      </c>
      <c r="AB390" s="44">
        <v>2</v>
      </c>
      <c r="AC390" s="44">
        <v>2</v>
      </c>
      <c r="AD390" s="44">
        <v>2</v>
      </c>
      <c r="AE390" s="44">
        <v>2</v>
      </c>
      <c r="AF390" s="44">
        <v>2</v>
      </c>
      <c r="AG390" s="44">
        <v>2</v>
      </c>
      <c r="AH390" s="44">
        <v>2</v>
      </c>
      <c r="AI390" s="44">
        <v>3</v>
      </c>
      <c r="AJ390" s="44">
        <v>2</v>
      </c>
      <c r="AK390" s="44">
        <v>2</v>
      </c>
      <c r="AL390" s="44">
        <v>2</v>
      </c>
      <c r="AM390" s="44">
        <v>2</v>
      </c>
      <c r="AN390" s="44">
        <v>2</v>
      </c>
      <c r="AO390" s="44">
        <v>2</v>
      </c>
      <c r="AP390" s="44">
        <v>2</v>
      </c>
      <c r="AQ390" s="44">
        <v>2</v>
      </c>
      <c r="AR390" s="44">
        <v>2</v>
      </c>
      <c r="AS390" s="44">
        <v>2</v>
      </c>
      <c r="AT390" s="44">
        <v>2</v>
      </c>
      <c r="AU390" s="44">
        <v>2</v>
      </c>
      <c r="AV390" s="87">
        <v>4</v>
      </c>
      <c r="AW390" s="39"/>
      <c r="AX390" s="39"/>
      <c r="AY390" s="39"/>
      <c r="AZ390" s="39"/>
      <c r="BA390" s="39"/>
      <c r="BB390" s="39"/>
      <c r="BC390" s="39"/>
      <c r="BD390" s="39"/>
      <c r="BE390" s="39"/>
      <c r="BF390" s="39"/>
      <c r="BG390" s="39"/>
      <c r="BH390" s="39"/>
      <c r="BI390" s="39"/>
      <c r="BJ390" s="39"/>
      <c r="BK390" s="39"/>
      <c r="BL390" s="39"/>
      <c r="BM390" s="39"/>
      <c r="BN390" s="44">
        <v>1</v>
      </c>
      <c r="BO390" s="44">
        <v>1</v>
      </c>
      <c r="BP390" s="44">
        <v>1</v>
      </c>
      <c r="BQ390" s="44">
        <v>1</v>
      </c>
      <c r="BR390" s="44">
        <v>1</v>
      </c>
      <c r="BS390" s="44">
        <v>1</v>
      </c>
      <c r="BT390" s="44">
        <v>1</v>
      </c>
      <c r="BU390" s="44">
        <v>1</v>
      </c>
      <c r="BV390" s="45">
        <v>-1</v>
      </c>
      <c r="BW390" s="39"/>
      <c r="BX390" s="39"/>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48"/>
      <c r="DA390" s="48"/>
      <c r="DB390" s="48"/>
      <c r="DC390" s="48"/>
      <c r="DD390" s="48"/>
      <c r="DE390" s="48"/>
      <c r="DF390" s="48"/>
      <c r="DG390" s="48"/>
      <c r="DH390" s="48"/>
      <c r="DI390" s="48"/>
      <c r="DJ390" s="48"/>
      <c r="DK390" s="48"/>
      <c r="DL390" s="48"/>
      <c r="DM390" s="48"/>
      <c r="DN390" s="48"/>
      <c r="DO390" s="48"/>
      <c r="DP390" s="48"/>
      <c r="DQ390" s="48"/>
      <c r="DR390" s="48"/>
      <c r="DS390" s="48"/>
      <c r="DT390" s="48"/>
      <c r="DU390" s="48"/>
      <c r="DV390" s="48"/>
      <c r="DW390" s="48"/>
      <c r="DX390" s="48"/>
      <c r="DY390" s="48"/>
      <c r="DZ390" s="48"/>
      <c r="EA390" s="48"/>
      <c r="EB390" s="48"/>
      <c r="EC390" s="48"/>
      <c r="ED390" s="48"/>
    </row>
    <row r="391" spans="1:134" ht="11.25" customHeight="1" x14ac:dyDescent="0.3">
      <c r="A391" s="28" t="e">
        <f t="array" aca="1" ref="A391" ca="1">_xludf.XLOOKUP(S391,Master_Registrations!P:P,Master_Registrations!A:A,"")</f>
        <v>#NAME?</v>
      </c>
      <c r="B391" s="39" t="s">
        <v>7084</v>
      </c>
      <c r="C391" s="39">
        <v>2026</v>
      </c>
      <c r="D391" s="39" t="s">
        <v>4886</v>
      </c>
      <c r="E391" s="39">
        <v>1</v>
      </c>
      <c r="F391" s="40" t="str">
        <f t="shared" si="6"/>
        <v>VED-06-2026-GR-1</v>
      </c>
      <c r="G391" s="39" t="s">
        <v>7073</v>
      </c>
      <c r="H391" s="39" t="s">
        <v>7076</v>
      </c>
      <c r="I391" s="39" t="s">
        <v>7085</v>
      </c>
      <c r="J391" s="39" t="s">
        <v>198</v>
      </c>
      <c r="K391" s="60"/>
      <c r="L391" s="60"/>
      <c r="M391" s="60"/>
      <c r="N391" s="39" t="s">
        <v>525</v>
      </c>
      <c r="O391" s="39" t="s">
        <v>1747</v>
      </c>
      <c r="P391" s="39" t="s">
        <v>1142</v>
      </c>
      <c r="Q391" s="39" t="e">
        <f t="shared" ca="1" si="7"/>
        <v>#NAME?</v>
      </c>
      <c r="R391" s="39" t="s">
        <v>112</v>
      </c>
      <c r="S391" s="50">
        <v>9949048452</v>
      </c>
      <c r="T391" s="40" t="s">
        <v>111</v>
      </c>
      <c r="U391" s="39">
        <v>1956</v>
      </c>
      <c r="V391" s="44">
        <v>2</v>
      </c>
      <c r="W391" s="44">
        <v>2</v>
      </c>
      <c r="X391" s="44">
        <v>2</v>
      </c>
      <c r="Y391" s="44">
        <v>2</v>
      </c>
      <c r="Z391" s="44">
        <v>2</v>
      </c>
      <c r="AA391" s="44">
        <v>2</v>
      </c>
      <c r="AB391" s="44">
        <v>2</v>
      </c>
      <c r="AC391" s="44">
        <v>2</v>
      </c>
      <c r="AD391" s="44">
        <v>2</v>
      </c>
      <c r="AE391" s="44">
        <v>2</v>
      </c>
      <c r="AF391" s="44">
        <v>2</v>
      </c>
      <c r="AG391" s="44">
        <v>2</v>
      </c>
      <c r="AH391" s="44">
        <v>2</v>
      </c>
      <c r="AI391" s="45">
        <v>-1</v>
      </c>
      <c r="AJ391" s="44">
        <v>2</v>
      </c>
      <c r="AK391" s="44">
        <v>2</v>
      </c>
      <c r="AL391" s="44">
        <v>2</v>
      </c>
      <c r="AM391" s="44">
        <v>2</v>
      </c>
      <c r="AN391" s="44">
        <v>2</v>
      </c>
      <c r="AO391" s="44">
        <v>2</v>
      </c>
      <c r="AP391" s="46">
        <v>-1</v>
      </c>
      <c r="AQ391" s="46">
        <v>-1</v>
      </c>
      <c r="AR391" s="44">
        <v>2</v>
      </c>
      <c r="AS391" s="46">
        <v>-1</v>
      </c>
      <c r="AT391" s="46">
        <v>1</v>
      </c>
      <c r="AU391" s="44">
        <v>2</v>
      </c>
      <c r="AV391" s="45">
        <v>-1</v>
      </c>
      <c r="AW391" s="44">
        <v>1</v>
      </c>
      <c r="AX391" s="62">
        <v>1</v>
      </c>
      <c r="AY391" s="47">
        <v>1</v>
      </c>
      <c r="AZ391" s="44">
        <v>-1</v>
      </c>
      <c r="BA391" s="46">
        <v>1</v>
      </c>
      <c r="BB391" s="46">
        <v>-1</v>
      </c>
      <c r="BC391" s="44">
        <v>1</v>
      </c>
      <c r="BD391" s="44">
        <v>1</v>
      </c>
      <c r="BE391" s="44">
        <v>1</v>
      </c>
      <c r="BF391" s="45">
        <v>-1</v>
      </c>
      <c r="BG391" s="44">
        <v>1</v>
      </c>
      <c r="BH391" s="44">
        <v>1</v>
      </c>
      <c r="BI391" s="44">
        <v>1</v>
      </c>
      <c r="BJ391" s="44">
        <v>1</v>
      </c>
      <c r="BK391" s="44">
        <v>1</v>
      </c>
      <c r="BL391" s="44">
        <v>1</v>
      </c>
      <c r="BM391" s="45">
        <v>-1</v>
      </c>
      <c r="BN391" s="44">
        <v>1</v>
      </c>
      <c r="BO391" s="44">
        <v>1</v>
      </c>
      <c r="BP391" s="44">
        <v>1</v>
      </c>
      <c r="BQ391" s="44">
        <v>1</v>
      </c>
      <c r="BR391" s="44">
        <v>1</v>
      </c>
      <c r="BS391" s="44">
        <v>1</v>
      </c>
      <c r="BT391" s="44">
        <v>1</v>
      </c>
      <c r="BU391" s="44">
        <v>1</v>
      </c>
      <c r="BV391" s="45">
        <v>-1</v>
      </c>
      <c r="BW391" s="61">
        <v>-1</v>
      </c>
      <c r="BX391" s="61">
        <v>-1</v>
      </c>
      <c r="BY391" s="61">
        <v>-1</v>
      </c>
      <c r="BZ391" s="61">
        <v>-1</v>
      </c>
      <c r="CA391" s="61">
        <v>-1</v>
      </c>
      <c r="CB391" s="61">
        <v>-1</v>
      </c>
      <c r="CC391" s="61"/>
      <c r="CD391" s="61"/>
      <c r="CE391" s="61"/>
      <c r="CF391" s="61"/>
      <c r="CG391" s="61"/>
      <c r="CH391" s="61"/>
      <c r="CI391" s="61"/>
      <c r="CJ391" s="61"/>
      <c r="CK391" s="61"/>
      <c r="CL391" s="61"/>
      <c r="CM391" s="61"/>
      <c r="CN391" s="44">
        <v>1</v>
      </c>
      <c r="CO391" s="44">
        <v>1</v>
      </c>
      <c r="CP391" s="44">
        <v>1</v>
      </c>
      <c r="CQ391" s="45">
        <v>-1</v>
      </c>
      <c r="CR391" s="45">
        <v>-1</v>
      </c>
      <c r="CS391" s="45">
        <v>-1</v>
      </c>
      <c r="CT391" s="44">
        <v>1</v>
      </c>
      <c r="CU391" s="44">
        <v>1</v>
      </c>
      <c r="CV391" s="45">
        <v>-1</v>
      </c>
      <c r="CW391" s="45">
        <v>-1</v>
      </c>
      <c r="CX391" s="45">
        <v>-1</v>
      </c>
      <c r="CY391" s="45">
        <v>-1</v>
      </c>
      <c r="CZ391" s="48"/>
      <c r="DA391" s="48"/>
      <c r="DB391" s="48"/>
      <c r="DC391" s="48"/>
      <c r="DD391" s="48"/>
      <c r="DE391" s="48"/>
      <c r="DF391" s="48"/>
      <c r="DG391" s="48"/>
      <c r="DH391" s="48"/>
      <c r="DI391" s="48"/>
      <c r="DJ391" s="48"/>
      <c r="DK391" s="48"/>
      <c r="DL391" s="48"/>
      <c r="DM391" s="48"/>
      <c r="DN391" s="48"/>
      <c r="DO391" s="48"/>
      <c r="DP391" s="48"/>
      <c r="DQ391" s="48"/>
      <c r="DR391" s="48"/>
      <c r="DS391" s="48"/>
      <c r="DT391" s="48"/>
      <c r="DU391" s="48"/>
      <c r="DV391" s="48"/>
      <c r="DW391" s="48"/>
      <c r="DX391" s="48"/>
      <c r="DY391" s="48"/>
      <c r="DZ391" s="48"/>
      <c r="EA391" s="48"/>
      <c r="EB391" s="48"/>
      <c r="EC391" s="48"/>
      <c r="ED391" s="48"/>
    </row>
    <row r="392" spans="1:134" ht="11.25" customHeight="1" x14ac:dyDescent="0.3">
      <c r="A392" s="28" t="e">
        <f t="array" aca="1" ref="A392" ca="1">_xludf.XLOOKUP(S392,Master_Registrations!P:P,Master_Registrations!A:A,"")</f>
        <v>#NAME?</v>
      </c>
      <c r="B392" s="39" t="s">
        <v>7084</v>
      </c>
      <c r="C392" s="39">
        <v>2026</v>
      </c>
      <c r="D392" s="39" t="s">
        <v>4886</v>
      </c>
      <c r="E392" s="39">
        <v>1</v>
      </c>
      <c r="F392" s="40" t="str">
        <f t="shared" si="6"/>
        <v>VED-06-2026-GR-1</v>
      </c>
      <c r="G392" s="39" t="s">
        <v>7073</v>
      </c>
      <c r="H392" s="39" t="s">
        <v>7076</v>
      </c>
      <c r="I392" s="39" t="s">
        <v>7085</v>
      </c>
      <c r="J392" s="39" t="s">
        <v>198</v>
      </c>
      <c r="K392" s="60"/>
      <c r="L392" s="60"/>
      <c r="M392" s="60"/>
      <c r="N392" s="39" t="s">
        <v>621</v>
      </c>
      <c r="O392" s="39" t="s">
        <v>4332</v>
      </c>
      <c r="P392" s="39" t="s">
        <v>281</v>
      </c>
      <c r="Q392" s="39" t="e">
        <f t="shared" ca="1" si="7"/>
        <v>#NAME?</v>
      </c>
      <c r="R392" s="39" t="s">
        <v>112</v>
      </c>
      <c r="S392" s="50">
        <v>9000280703</v>
      </c>
      <c r="T392" s="40" t="s">
        <v>111</v>
      </c>
      <c r="U392" s="39">
        <v>1970</v>
      </c>
      <c r="V392" s="44">
        <v>2</v>
      </c>
      <c r="W392" s="44">
        <v>2</v>
      </c>
      <c r="X392" s="44">
        <v>2</v>
      </c>
      <c r="Y392" s="44">
        <v>2</v>
      </c>
      <c r="Z392" s="44">
        <v>2</v>
      </c>
      <c r="AA392" s="44">
        <v>2</v>
      </c>
      <c r="AB392" s="44">
        <v>2</v>
      </c>
      <c r="AC392" s="44">
        <v>2</v>
      </c>
      <c r="AD392" s="44">
        <v>2</v>
      </c>
      <c r="AE392" s="44">
        <v>2</v>
      </c>
      <c r="AF392" s="44">
        <v>2</v>
      </c>
      <c r="AG392" s="44">
        <v>2</v>
      </c>
      <c r="AH392" s="44">
        <v>2</v>
      </c>
      <c r="AI392" s="44">
        <v>3</v>
      </c>
      <c r="AJ392" s="44">
        <v>2</v>
      </c>
      <c r="AK392" s="44">
        <v>2</v>
      </c>
      <c r="AL392" s="44">
        <v>2</v>
      </c>
      <c r="AM392" s="44">
        <v>2</v>
      </c>
      <c r="AN392" s="44">
        <v>2</v>
      </c>
      <c r="AO392" s="44">
        <v>2</v>
      </c>
      <c r="AP392" s="44">
        <v>2</v>
      </c>
      <c r="AQ392" s="44">
        <v>2</v>
      </c>
      <c r="AR392" s="44">
        <v>2</v>
      </c>
      <c r="AS392" s="44">
        <v>2</v>
      </c>
      <c r="AT392" s="44">
        <v>2</v>
      </c>
      <c r="AU392" s="44">
        <v>2</v>
      </c>
      <c r="AV392" s="87">
        <v>4</v>
      </c>
      <c r="AW392" s="44">
        <v>2</v>
      </c>
      <c r="AX392" s="44">
        <v>2</v>
      </c>
      <c r="AY392" s="44">
        <v>2</v>
      </c>
      <c r="AZ392" s="44">
        <v>2</v>
      </c>
      <c r="BA392" s="44">
        <v>2</v>
      </c>
      <c r="BB392" s="44">
        <v>2</v>
      </c>
      <c r="BC392" s="44">
        <v>2</v>
      </c>
      <c r="BD392" s="44">
        <v>2</v>
      </c>
      <c r="BE392" s="44">
        <v>2</v>
      </c>
      <c r="BF392" s="44">
        <v>4</v>
      </c>
      <c r="BG392" s="44">
        <v>2</v>
      </c>
      <c r="BH392" s="44">
        <v>2</v>
      </c>
      <c r="BI392" s="44">
        <v>2</v>
      </c>
      <c r="BJ392" s="44">
        <v>2</v>
      </c>
      <c r="BK392" s="44">
        <v>2</v>
      </c>
      <c r="BL392" s="44">
        <v>2</v>
      </c>
      <c r="BM392" s="44">
        <v>4</v>
      </c>
      <c r="BN392" s="44">
        <v>1</v>
      </c>
      <c r="BO392" s="44">
        <v>1</v>
      </c>
      <c r="BP392" s="44">
        <v>1</v>
      </c>
      <c r="BQ392" s="44">
        <v>1</v>
      </c>
      <c r="BR392" s="44">
        <v>1</v>
      </c>
      <c r="BS392" s="44">
        <v>1</v>
      </c>
      <c r="BT392" s="44">
        <v>1</v>
      </c>
      <c r="BU392" s="44">
        <v>1</v>
      </c>
      <c r="BV392" s="45">
        <v>-1</v>
      </c>
      <c r="BW392" s="62">
        <v>1</v>
      </c>
      <c r="BX392" s="62">
        <v>1</v>
      </c>
      <c r="BY392" s="61">
        <v>-1</v>
      </c>
      <c r="BZ392" s="61">
        <v>-1</v>
      </c>
      <c r="CA392" s="61">
        <v>-1</v>
      </c>
      <c r="CB392" s="61">
        <v>-1</v>
      </c>
      <c r="CC392" s="61"/>
      <c r="CD392" s="61"/>
      <c r="CE392" s="61"/>
      <c r="CF392" s="61"/>
      <c r="CG392" s="61"/>
      <c r="CH392" s="61"/>
      <c r="CI392" s="61"/>
      <c r="CJ392" s="61"/>
      <c r="CK392" s="61"/>
      <c r="CL392" s="61"/>
      <c r="CM392" s="61"/>
      <c r="CN392" s="44">
        <v>1</v>
      </c>
      <c r="CO392" s="44">
        <v>1</v>
      </c>
      <c r="CP392" s="44">
        <v>1</v>
      </c>
      <c r="CQ392" s="44">
        <v>1</v>
      </c>
      <c r="CR392" s="44">
        <v>1</v>
      </c>
      <c r="CS392" s="44">
        <v>1</v>
      </c>
      <c r="CT392" s="44">
        <v>1</v>
      </c>
      <c r="CU392" s="44">
        <v>1</v>
      </c>
      <c r="CV392" s="44">
        <v>1</v>
      </c>
      <c r="CW392" s="44">
        <v>1</v>
      </c>
      <c r="CX392" s="44">
        <v>1</v>
      </c>
      <c r="CY392" s="45">
        <v>-1</v>
      </c>
      <c r="CZ392" s="48"/>
      <c r="DA392" s="48"/>
      <c r="DB392" s="48"/>
      <c r="DC392" s="48"/>
      <c r="DD392" s="48"/>
      <c r="DE392" s="48"/>
      <c r="DF392" s="48"/>
      <c r="DG392" s="48"/>
      <c r="DH392" s="48"/>
      <c r="DI392" s="48"/>
      <c r="DJ392" s="48"/>
      <c r="DK392" s="48"/>
      <c r="DL392" s="48"/>
      <c r="DM392" s="48"/>
      <c r="DN392" s="48"/>
      <c r="DO392" s="48"/>
      <c r="DP392" s="48"/>
      <c r="DQ392" s="48"/>
      <c r="DR392" s="48"/>
      <c r="DS392" s="48"/>
      <c r="DT392" s="48"/>
      <c r="DU392" s="48"/>
      <c r="DV392" s="48"/>
      <c r="DW392" s="48"/>
      <c r="DX392" s="48"/>
      <c r="DY392" s="48"/>
      <c r="DZ392" s="48"/>
      <c r="EA392" s="48"/>
      <c r="EB392" s="48"/>
      <c r="EC392" s="48"/>
      <c r="ED392" s="48"/>
    </row>
    <row r="393" spans="1:134" ht="11.25" customHeight="1" x14ac:dyDescent="0.3">
      <c r="A393" s="28" t="e">
        <f t="array" aca="1" ref="A393" ca="1">_xludf.XLOOKUP(S393,Master_Registrations!P:P,Master_Registrations!A:A,"")</f>
        <v>#NAME?</v>
      </c>
      <c r="B393" s="28" t="s">
        <v>7084</v>
      </c>
      <c r="C393" s="28">
        <v>2026</v>
      </c>
      <c r="D393" s="28" t="s">
        <v>4886</v>
      </c>
      <c r="E393" s="28">
        <v>2</v>
      </c>
      <c r="F393" s="29" t="str">
        <f t="shared" si="6"/>
        <v>VED-06-2026-GR-2</v>
      </c>
      <c r="G393" s="28" t="s">
        <v>7073</v>
      </c>
      <c r="H393" s="28" t="s">
        <v>7086</v>
      </c>
      <c r="I393" s="28" t="s">
        <v>7087</v>
      </c>
      <c r="J393" s="28" t="s">
        <v>198</v>
      </c>
      <c r="K393" s="38"/>
      <c r="L393" s="38"/>
      <c r="M393" s="38"/>
      <c r="N393" s="28" t="s">
        <v>200</v>
      </c>
      <c r="O393" s="28" t="s">
        <v>6152</v>
      </c>
      <c r="P393" s="28" t="s">
        <v>3967</v>
      </c>
      <c r="Q393" s="28" t="e">
        <f t="shared" ca="1" si="7"/>
        <v>#NAME?</v>
      </c>
      <c r="R393" s="28" t="s">
        <v>316</v>
      </c>
      <c r="S393" s="32">
        <v>3467441489</v>
      </c>
      <c r="T393" s="29" t="s">
        <v>315</v>
      </c>
      <c r="U393" s="29">
        <v>1972</v>
      </c>
      <c r="V393" s="58">
        <v>2</v>
      </c>
      <c r="W393" s="58">
        <v>2</v>
      </c>
      <c r="X393" s="58">
        <v>2</v>
      </c>
      <c r="Y393" s="58">
        <v>2</v>
      </c>
      <c r="Z393" s="58">
        <v>2</v>
      </c>
      <c r="AA393" s="58">
        <v>2</v>
      </c>
      <c r="AB393" s="58">
        <v>2</v>
      </c>
      <c r="AC393" s="58">
        <v>2</v>
      </c>
      <c r="AD393" s="58">
        <v>2</v>
      </c>
      <c r="AE393" s="58">
        <v>2</v>
      </c>
      <c r="AF393" s="58">
        <v>2</v>
      </c>
      <c r="AG393" s="58">
        <v>2</v>
      </c>
      <c r="AH393" s="58">
        <v>2</v>
      </c>
      <c r="AI393" s="58">
        <v>3</v>
      </c>
      <c r="AJ393" s="35">
        <v>2</v>
      </c>
      <c r="AK393" s="35">
        <v>2</v>
      </c>
      <c r="AL393" s="35">
        <v>2</v>
      </c>
      <c r="AM393" s="35">
        <v>2</v>
      </c>
      <c r="AN393" s="35">
        <v>2</v>
      </c>
      <c r="AO393" s="35">
        <v>2</v>
      </c>
      <c r="AP393" s="35">
        <v>2</v>
      </c>
      <c r="AQ393" s="35">
        <v>2</v>
      </c>
      <c r="AR393" s="35">
        <v>2</v>
      </c>
      <c r="AS393" s="35">
        <v>2</v>
      </c>
      <c r="AT393" s="35">
        <v>2</v>
      </c>
      <c r="AU393" s="35">
        <v>2</v>
      </c>
      <c r="AV393" s="58">
        <v>3</v>
      </c>
      <c r="AW393" s="35">
        <v>1</v>
      </c>
      <c r="AX393" s="84">
        <v>1</v>
      </c>
      <c r="AY393" s="59">
        <v>1</v>
      </c>
      <c r="AZ393" s="35">
        <v>-1</v>
      </c>
      <c r="BA393" s="58">
        <v>1</v>
      </c>
      <c r="BB393" s="58">
        <v>1</v>
      </c>
      <c r="BC393" s="35">
        <v>1</v>
      </c>
      <c r="BD393" s="35">
        <v>1</v>
      </c>
      <c r="BE393" s="35">
        <v>1</v>
      </c>
      <c r="BF393" s="33">
        <v>-1</v>
      </c>
      <c r="BG393" s="35">
        <v>2</v>
      </c>
      <c r="BH393" s="35">
        <v>2</v>
      </c>
      <c r="BI393" s="35">
        <v>1</v>
      </c>
      <c r="BJ393" s="35">
        <v>1</v>
      </c>
      <c r="BK393" s="35">
        <v>1</v>
      </c>
      <c r="BL393" s="35">
        <v>1</v>
      </c>
      <c r="BM393" s="33">
        <v>-1</v>
      </c>
      <c r="BN393" s="35">
        <v>1</v>
      </c>
      <c r="BO393" s="35">
        <v>-1</v>
      </c>
      <c r="BP393" s="35">
        <v>-1</v>
      </c>
      <c r="BQ393" s="35">
        <v>1</v>
      </c>
      <c r="BR393" s="35">
        <v>1</v>
      </c>
      <c r="BS393" s="35">
        <v>1</v>
      </c>
      <c r="BT393" s="35">
        <v>1</v>
      </c>
      <c r="BU393" s="35">
        <v>1</v>
      </c>
      <c r="BV393" s="33">
        <v>-1</v>
      </c>
      <c r="BW393" s="85">
        <v>-1</v>
      </c>
      <c r="BX393" s="85">
        <v>-1</v>
      </c>
      <c r="BY393" s="85">
        <v>-1</v>
      </c>
      <c r="BZ393" s="85">
        <v>-1</v>
      </c>
      <c r="CA393" s="85">
        <v>-1</v>
      </c>
      <c r="CB393" s="85">
        <v>-1</v>
      </c>
      <c r="CC393" s="85"/>
      <c r="CD393" s="85"/>
      <c r="CE393" s="85"/>
      <c r="CF393" s="85"/>
      <c r="CG393" s="85"/>
      <c r="CH393" s="85"/>
      <c r="CI393" s="85"/>
      <c r="CJ393" s="85"/>
      <c r="CK393" s="85"/>
      <c r="CL393" s="85"/>
      <c r="CM393" s="85"/>
      <c r="CN393" s="35">
        <v>1</v>
      </c>
      <c r="CO393" s="35">
        <v>1</v>
      </c>
      <c r="CP393" s="35">
        <v>1</v>
      </c>
      <c r="CQ393" s="33">
        <v>-1</v>
      </c>
      <c r="CR393" s="33">
        <v>-1</v>
      </c>
      <c r="CS393" s="33">
        <v>-1</v>
      </c>
      <c r="CT393" s="33">
        <v>-1</v>
      </c>
      <c r="CU393" s="33">
        <v>-1</v>
      </c>
      <c r="CV393" s="33">
        <v>-1</v>
      </c>
      <c r="CW393" s="33">
        <v>-1</v>
      </c>
      <c r="CX393" s="33">
        <v>-1</v>
      </c>
      <c r="CY393" s="33">
        <v>-1</v>
      </c>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c r="DZ393" s="34"/>
      <c r="EA393" s="34"/>
      <c r="EB393" s="34"/>
      <c r="EC393" s="34"/>
      <c r="ED393" s="34"/>
    </row>
    <row r="394" spans="1:134" ht="11.25" customHeight="1" x14ac:dyDescent="0.3">
      <c r="A394" s="28" t="e">
        <f t="array" aca="1" ref="A394" ca="1">_xludf.XLOOKUP(S394,Master_Registrations!P:P,Master_Registrations!A:A,"")</f>
        <v>#NAME?</v>
      </c>
      <c r="B394" s="28" t="s">
        <v>7084</v>
      </c>
      <c r="C394" s="28">
        <v>2026</v>
      </c>
      <c r="D394" s="28" t="s">
        <v>4886</v>
      </c>
      <c r="E394" s="28">
        <v>2</v>
      </c>
      <c r="F394" s="29" t="str">
        <f t="shared" si="6"/>
        <v>VED-06-2026-GR-2</v>
      </c>
      <c r="G394" s="28" t="s">
        <v>7073</v>
      </c>
      <c r="H394" s="28" t="s">
        <v>7086</v>
      </c>
      <c r="I394" s="28" t="s">
        <v>7087</v>
      </c>
      <c r="J394" s="28" t="s">
        <v>198</v>
      </c>
      <c r="K394" s="38"/>
      <c r="L394" s="38"/>
      <c r="M394" s="38"/>
      <c r="N394" s="28" t="s">
        <v>299</v>
      </c>
      <c r="O394" s="28" t="s">
        <v>6178</v>
      </c>
      <c r="P394" s="28" t="s">
        <v>1443</v>
      </c>
      <c r="Q394" s="28" t="e">
        <f t="shared" ca="1" si="7"/>
        <v>#NAME?</v>
      </c>
      <c r="R394" s="28" t="s">
        <v>316</v>
      </c>
      <c r="S394" s="32">
        <v>8322511326</v>
      </c>
      <c r="T394" s="29" t="s">
        <v>315</v>
      </c>
      <c r="U394" s="29">
        <v>1976</v>
      </c>
      <c r="V394" s="58">
        <v>2</v>
      </c>
      <c r="W394" s="58">
        <v>2</v>
      </c>
      <c r="X394" s="58">
        <v>2</v>
      </c>
      <c r="Y394" s="58">
        <v>2</v>
      </c>
      <c r="Z394" s="58">
        <v>2</v>
      </c>
      <c r="AA394" s="58">
        <v>2</v>
      </c>
      <c r="AB394" s="58">
        <v>2</v>
      </c>
      <c r="AC394" s="58">
        <v>2</v>
      </c>
      <c r="AD394" s="58">
        <v>2</v>
      </c>
      <c r="AE394" s="58">
        <v>2</v>
      </c>
      <c r="AF394" s="58">
        <v>2</v>
      </c>
      <c r="AG394" s="58">
        <v>2</v>
      </c>
      <c r="AH394" s="58">
        <v>2</v>
      </c>
      <c r="AI394" s="58">
        <v>3</v>
      </c>
      <c r="AJ394" s="35">
        <v>2</v>
      </c>
      <c r="AK394" s="35">
        <v>2</v>
      </c>
      <c r="AL394" s="35">
        <v>2</v>
      </c>
      <c r="AM394" s="35">
        <v>2</v>
      </c>
      <c r="AN394" s="35">
        <v>2</v>
      </c>
      <c r="AO394" s="35">
        <v>2</v>
      </c>
      <c r="AP394" s="35">
        <v>2</v>
      </c>
      <c r="AQ394" s="35">
        <v>2</v>
      </c>
      <c r="AR394" s="35">
        <v>2</v>
      </c>
      <c r="AS394" s="35">
        <v>2</v>
      </c>
      <c r="AT394" s="35">
        <v>2</v>
      </c>
      <c r="AU394" s="35">
        <v>2</v>
      </c>
      <c r="AV394" s="33">
        <v>-1</v>
      </c>
      <c r="AW394" s="35">
        <v>1</v>
      </c>
      <c r="AX394" s="84">
        <v>1</v>
      </c>
      <c r="AY394" s="58">
        <v>2</v>
      </c>
      <c r="AZ394" s="35">
        <v>-1</v>
      </c>
      <c r="BA394" s="58">
        <v>2</v>
      </c>
      <c r="BB394" s="58">
        <v>2</v>
      </c>
      <c r="BC394" s="35">
        <v>1</v>
      </c>
      <c r="BD394" s="35">
        <v>1</v>
      </c>
      <c r="BE394" s="35">
        <v>-1</v>
      </c>
      <c r="BF394" s="33">
        <v>-1</v>
      </c>
      <c r="BG394" s="35">
        <v>2</v>
      </c>
      <c r="BH394" s="35">
        <v>2</v>
      </c>
      <c r="BI394" s="35">
        <v>2</v>
      </c>
      <c r="BJ394" s="35">
        <v>2</v>
      </c>
      <c r="BK394" s="35">
        <v>2</v>
      </c>
      <c r="BL394" s="35">
        <v>-1</v>
      </c>
      <c r="BM394" s="33">
        <v>-1</v>
      </c>
      <c r="BN394" s="35">
        <v>-1</v>
      </c>
      <c r="BO394" s="35">
        <v>-1</v>
      </c>
      <c r="BP394" s="35">
        <v>1</v>
      </c>
      <c r="BQ394" s="35">
        <v>-1</v>
      </c>
      <c r="BR394" s="35">
        <v>-1</v>
      </c>
      <c r="BS394" s="35">
        <v>-1</v>
      </c>
      <c r="BT394" s="35">
        <v>-1</v>
      </c>
      <c r="BU394" s="35">
        <v>-1</v>
      </c>
      <c r="BV394" s="33">
        <v>-1</v>
      </c>
      <c r="BW394" s="85">
        <v>-1</v>
      </c>
      <c r="BX394" s="85">
        <v>-1</v>
      </c>
      <c r="BY394" s="85">
        <v>-1</v>
      </c>
      <c r="BZ394" s="85">
        <v>-1</v>
      </c>
      <c r="CA394" s="85">
        <v>-1</v>
      </c>
      <c r="CB394" s="85">
        <v>-1</v>
      </c>
      <c r="CC394" s="85"/>
      <c r="CD394" s="85"/>
      <c r="CE394" s="85"/>
      <c r="CF394" s="85"/>
      <c r="CG394" s="85"/>
      <c r="CH394" s="85"/>
      <c r="CI394" s="85"/>
      <c r="CJ394" s="85"/>
      <c r="CK394" s="85"/>
      <c r="CL394" s="85"/>
      <c r="CM394" s="85"/>
      <c r="CN394" s="35">
        <v>1</v>
      </c>
      <c r="CO394" s="35">
        <v>1</v>
      </c>
      <c r="CP394" s="33">
        <v>-1</v>
      </c>
      <c r="CQ394" s="33">
        <v>-1</v>
      </c>
      <c r="CR394" s="33">
        <v>-1</v>
      </c>
      <c r="CS394" s="33">
        <v>-1</v>
      </c>
      <c r="CT394" s="33">
        <v>-1</v>
      </c>
      <c r="CU394" s="33">
        <v>-1</v>
      </c>
      <c r="CV394" s="33">
        <v>-1</v>
      </c>
      <c r="CW394" s="33">
        <v>-1</v>
      </c>
      <c r="CX394" s="33">
        <v>-1</v>
      </c>
      <c r="CY394" s="33">
        <v>-1</v>
      </c>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c r="DW394" s="34"/>
      <c r="DX394" s="34"/>
      <c r="DY394" s="34"/>
      <c r="DZ394" s="34"/>
      <c r="EA394" s="34"/>
      <c r="EB394" s="34"/>
      <c r="EC394" s="34"/>
      <c r="ED394" s="34"/>
    </row>
    <row r="395" spans="1:134" ht="11.25" customHeight="1" x14ac:dyDescent="0.3">
      <c r="A395" s="28" t="e">
        <f t="array" aca="1" ref="A395" ca="1">_xludf.XLOOKUP(S395,Master_Registrations!P:P,Master_Registrations!A:A,"")</f>
        <v>#NAME?</v>
      </c>
      <c r="B395" s="28" t="s">
        <v>7084</v>
      </c>
      <c r="C395" s="28">
        <v>2026</v>
      </c>
      <c r="D395" s="28" t="s">
        <v>4886</v>
      </c>
      <c r="E395" s="28">
        <v>2</v>
      </c>
      <c r="F395" s="29" t="str">
        <f t="shared" si="6"/>
        <v>VED-06-2026-GR-2</v>
      </c>
      <c r="G395" s="28" t="s">
        <v>7073</v>
      </c>
      <c r="H395" s="28" t="s">
        <v>7086</v>
      </c>
      <c r="I395" s="28" t="s">
        <v>7087</v>
      </c>
      <c r="J395" s="28" t="s">
        <v>198</v>
      </c>
      <c r="K395" s="57"/>
      <c r="L395" s="57"/>
      <c r="M395" s="57"/>
      <c r="N395" s="28" t="s">
        <v>369</v>
      </c>
      <c r="O395" s="28" t="s">
        <v>6266</v>
      </c>
      <c r="P395" s="28" t="s">
        <v>6267</v>
      </c>
      <c r="Q395" s="28" t="e">
        <f t="shared" ca="1" si="7"/>
        <v>#NAME?</v>
      </c>
      <c r="R395" s="28" t="s">
        <v>316</v>
      </c>
      <c r="S395" s="32">
        <v>2489155089</v>
      </c>
      <c r="T395" s="29" t="s">
        <v>402</v>
      </c>
      <c r="U395" s="29">
        <v>1976</v>
      </c>
      <c r="V395" s="35">
        <v>2</v>
      </c>
      <c r="W395" s="35">
        <v>2</v>
      </c>
      <c r="X395" s="35">
        <v>2</v>
      </c>
      <c r="Y395" s="35">
        <v>2</v>
      </c>
      <c r="Z395" s="35">
        <v>2</v>
      </c>
      <c r="AA395" s="35">
        <v>2</v>
      </c>
      <c r="AB395" s="35">
        <v>2</v>
      </c>
      <c r="AC395" s="35">
        <v>2</v>
      </c>
      <c r="AD395" s="35">
        <v>2</v>
      </c>
      <c r="AE395" s="35">
        <v>2</v>
      </c>
      <c r="AF395" s="35">
        <v>2</v>
      </c>
      <c r="AG395" s="35">
        <v>2</v>
      </c>
      <c r="AH395" s="35">
        <v>2</v>
      </c>
      <c r="AI395" s="35">
        <v>3</v>
      </c>
      <c r="AJ395" s="35">
        <v>2</v>
      </c>
      <c r="AK395" s="35">
        <v>2</v>
      </c>
      <c r="AL395" s="35">
        <v>2</v>
      </c>
      <c r="AM395" s="35">
        <v>2</v>
      </c>
      <c r="AN395" s="35">
        <v>2</v>
      </c>
      <c r="AO395" s="35">
        <v>2</v>
      </c>
      <c r="AP395" s="35">
        <v>2</v>
      </c>
      <c r="AQ395" s="35">
        <v>2</v>
      </c>
      <c r="AR395" s="35">
        <v>2</v>
      </c>
      <c r="AS395" s="35">
        <v>2</v>
      </c>
      <c r="AT395" s="35">
        <v>2</v>
      </c>
      <c r="AU395" s="35">
        <v>2</v>
      </c>
      <c r="AV395" s="58">
        <v>3</v>
      </c>
      <c r="AW395" s="35">
        <v>1</v>
      </c>
      <c r="AX395" s="84">
        <v>1</v>
      </c>
      <c r="AY395" s="35">
        <v>1</v>
      </c>
      <c r="AZ395" s="35">
        <v>-1</v>
      </c>
      <c r="BA395" s="33">
        <v>2</v>
      </c>
      <c r="BB395" s="35">
        <v>2</v>
      </c>
      <c r="BC395" s="35">
        <v>1</v>
      </c>
      <c r="BD395" s="35">
        <v>1</v>
      </c>
      <c r="BE395" s="35">
        <v>1</v>
      </c>
      <c r="BF395" s="33">
        <v>-1</v>
      </c>
      <c r="BG395" s="35">
        <v>1</v>
      </c>
      <c r="BH395" s="35">
        <v>1</v>
      </c>
      <c r="BI395" s="35">
        <v>1</v>
      </c>
      <c r="BJ395" s="35">
        <v>1</v>
      </c>
      <c r="BK395" s="35">
        <v>2</v>
      </c>
      <c r="BL395" s="35">
        <v>1</v>
      </c>
      <c r="BM395" s="33">
        <v>-1</v>
      </c>
      <c r="BN395" s="35">
        <v>2</v>
      </c>
      <c r="BO395" s="35">
        <v>2</v>
      </c>
      <c r="BP395" s="35">
        <v>-1</v>
      </c>
      <c r="BQ395" s="35">
        <v>1</v>
      </c>
      <c r="BR395" s="35">
        <v>1</v>
      </c>
      <c r="BS395" s="35">
        <v>1</v>
      </c>
      <c r="BT395" s="35">
        <v>1</v>
      </c>
      <c r="BU395" s="35">
        <v>1</v>
      </c>
      <c r="BV395" s="33">
        <v>-1</v>
      </c>
      <c r="BW395" s="85">
        <v>1</v>
      </c>
      <c r="BX395" s="85">
        <v>1</v>
      </c>
      <c r="BY395" s="85">
        <v>-1</v>
      </c>
      <c r="BZ395" s="85">
        <v>-1</v>
      </c>
      <c r="CA395" s="85">
        <v>-1</v>
      </c>
      <c r="CB395" s="85">
        <v>-1</v>
      </c>
      <c r="CC395" s="85"/>
      <c r="CD395" s="85"/>
      <c r="CE395" s="85"/>
      <c r="CF395" s="85"/>
      <c r="CG395" s="85"/>
      <c r="CH395" s="85"/>
      <c r="CI395" s="85"/>
      <c r="CJ395" s="85"/>
      <c r="CK395" s="85"/>
      <c r="CL395" s="85"/>
      <c r="CM395" s="85"/>
      <c r="CN395" s="33">
        <v>1</v>
      </c>
      <c r="CO395" s="33">
        <v>1</v>
      </c>
      <c r="CP395" s="33">
        <v>1</v>
      </c>
      <c r="CQ395" s="33">
        <v>1</v>
      </c>
      <c r="CR395" s="33">
        <v>1</v>
      </c>
      <c r="CS395" s="33">
        <v>1</v>
      </c>
      <c r="CT395" s="33">
        <v>-1</v>
      </c>
      <c r="CU395" s="33">
        <v>-1</v>
      </c>
      <c r="CV395" s="33">
        <v>-1</v>
      </c>
      <c r="CW395" s="33">
        <v>-1</v>
      </c>
      <c r="CX395" s="33">
        <v>-1</v>
      </c>
      <c r="CY395" s="33">
        <v>-1</v>
      </c>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c r="DZ395" s="34"/>
      <c r="EA395" s="34"/>
      <c r="EB395" s="34"/>
      <c r="EC395" s="34"/>
      <c r="ED395" s="34"/>
    </row>
    <row r="396" spans="1:134" ht="11.25" customHeight="1" x14ac:dyDescent="0.3">
      <c r="A396" s="28" t="e">
        <f t="array" aca="1" ref="A396" ca="1">_xludf.XLOOKUP(S396,Master_Registrations!P:P,Master_Registrations!A:A,"")</f>
        <v>#NAME?</v>
      </c>
      <c r="B396" s="28" t="s">
        <v>7084</v>
      </c>
      <c r="C396" s="28">
        <v>2026</v>
      </c>
      <c r="D396" s="28" t="s">
        <v>4886</v>
      </c>
      <c r="E396" s="28">
        <v>2</v>
      </c>
      <c r="F396" s="29" t="str">
        <f t="shared" si="6"/>
        <v>VED-06-2026-GR-2</v>
      </c>
      <c r="G396" s="28" t="s">
        <v>7073</v>
      </c>
      <c r="H396" s="28" t="s">
        <v>7086</v>
      </c>
      <c r="I396" s="28" t="s">
        <v>7087</v>
      </c>
      <c r="J396" s="28" t="s">
        <v>198</v>
      </c>
      <c r="K396" s="57"/>
      <c r="L396" s="57"/>
      <c r="M396" s="57"/>
      <c r="N396" s="28" t="s">
        <v>434</v>
      </c>
      <c r="O396" s="28" t="s">
        <v>6205</v>
      </c>
      <c r="P396" s="28" t="s">
        <v>6206</v>
      </c>
      <c r="Q396" s="28" t="e">
        <f t="shared" ca="1" si="7"/>
        <v>#NAME?</v>
      </c>
      <c r="R396" s="28" t="s">
        <v>316</v>
      </c>
      <c r="S396" s="32">
        <v>2488902874</v>
      </c>
      <c r="T396" s="29" t="s">
        <v>315</v>
      </c>
      <c r="U396" s="29">
        <v>1960</v>
      </c>
      <c r="V396" s="35">
        <v>2</v>
      </c>
      <c r="W396" s="35">
        <v>2</v>
      </c>
      <c r="X396" s="35">
        <v>2</v>
      </c>
      <c r="Y396" s="35">
        <v>2</v>
      </c>
      <c r="Z396" s="35">
        <v>2</v>
      </c>
      <c r="AA396" s="35">
        <v>2</v>
      </c>
      <c r="AB396" s="35">
        <v>2</v>
      </c>
      <c r="AC396" s="35">
        <v>2</v>
      </c>
      <c r="AD396" s="35">
        <v>2</v>
      </c>
      <c r="AE396" s="35">
        <v>2</v>
      </c>
      <c r="AF396" s="35">
        <v>2</v>
      </c>
      <c r="AG396" s="35">
        <v>2</v>
      </c>
      <c r="AH396" s="35">
        <v>2</v>
      </c>
      <c r="AI396" s="35">
        <v>3</v>
      </c>
      <c r="AJ396" s="35">
        <v>2</v>
      </c>
      <c r="AK396" s="35">
        <v>2</v>
      </c>
      <c r="AL396" s="35">
        <v>2</v>
      </c>
      <c r="AM396" s="35">
        <v>2</v>
      </c>
      <c r="AN396" s="35">
        <v>2</v>
      </c>
      <c r="AO396" s="35">
        <v>2</v>
      </c>
      <c r="AP396" s="35">
        <v>2</v>
      </c>
      <c r="AQ396" s="35">
        <v>2</v>
      </c>
      <c r="AR396" s="35">
        <v>2</v>
      </c>
      <c r="AS396" s="35">
        <v>2</v>
      </c>
      <c r="AT396" s="35">
        <v>2</v>
      </c>
      <c r="AU396" s="35">
        <v>2</v>
      </c>
      <c r="AV396" s="58">
        <v>3</v>
      </c>
      <c r="AW396" s="58">
        <v>2</v>
      </c>
      <c r="AX396" s="58">
        <v>2</v>
      </c>
      <c r="AY396" s="58">
        <v>2</v>
      </c>
      <c r="AZ396" s="58">
        <v>2</v>
      </c>
      <c r="BA396" s="58">
        <v>2</v>
      </c>
      <c r="BB396" s="58">
        <v>2</v>
      </c>
      <c r="BC396" s="58">
        <v>2</v>
      </c>
      <c r="BD396" s="58">
        <v>2</v>
      </c>
      <c r="BE396" s="58">
        <v>2</v>
      </c>
      <c r="BF396" s="35">
        <v>3</v>
      </c>
      <c r="BG396" s="35">
        <v>2</v>
      </c>
      <c r="BH396" s="35">
        <v>2</v>
      </c>
      <c r="BI396" s="35">
        <v>2</v>
      </c>
      <c r="BJ396" s="35">
        <v>2</v>
      </c>
      <c r="BK396" s="35">
        <v>2</v>
      </c>
      <c r="BL396" s="35">
        <v>2</v>
      </c>
      <c r="BM396" s="35">
        <v>4</v>
      </c>
      <c r="BN396" s="35">
        <v>1</v>
      </c>
      <c r="BO396" s="35">
        <v>1</v>
      </c>
      <c r="BP396" s="35">
        <v>-1</v>
      </c>
      <c r="BQ396" s="35">
        <v>1</v>
      </c>
      <c r="BR396" s="35">
        <v>1</v>
      </c>
      <c r="BS396" s="35">
        <v>1</v>
      </c>
      <c r="BT396" s="35">
        <v>1</v>
      </c>
      <c r="BU396" s="35">
        <v>1</v>
      </c>
      <c r="BV396" s="33">
        <v>-1</v>
      </c>
      <c r="BW396" s="85">
        <v>1</v>
      </c>
      <c r="BX396" s="85">
        <v>1</v>
      </c>
      <c r="BY396" s="85">
        <v>-1</v>
      </c>
      <c r="BZ396" s="85">
        <v>-1</v>
      </c>
      <c r="CA396" s="85">
        <v>-1</v>
      </c>
      <c r="CB396" s="85">
        <v>-1</v>
      </c>
      <c r="CC396" s="85"/>
      <c r="CD396" s="85"/>
      <c r="CE396" s="85"/>
      <c r="CF396" s="85"/>
      <c r="CG396" s="85"/>
      <c r="CH396" s="85"/>
      <c r="CI396" s="85"/>
      <c r="CJ396" s="85"/>
      <c r="CK396" s="85"/>
      <c r="CL396" s="85"/>
      <c r="CM396" s="85"/>
      <c r="CN396" s="33">
        <v>1</v>
      </c>
      <c r="CO396" s="33">
        <v>1</v>
      </c>
      <c r="CP396" s="33">
        <v>1</v>
      </c>
      <c r="CQ396" s="33">
        <v>1</v>
      </c>
      <c r="CR396" s="33">
        <v>1</v>
      </c>
      <c r="CS396" s="33">
        <v>1</v>
      </c>
      <c r="CT396" s="33">
        <v>-1</v>
      </c>
      <c r="CU396" s="33">
        <v>-1</v>
      </c>
      <c r="CV396" s="33">
        <v>-1</v>
      </c>
      <c r="CW396" s="33">
        <v>-1</v>
      </c>
      <c r="CX396" s="33">
        <v>1</v>
      </c>
      <c r="CY396" s="33">
        <v>-1</v>
      </c>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c r="DW396" s="34"/>
      <c r="DX396" s="34"/>
      <c r="DY396" s="34"/>
      <c r="DZ396" s="34"/>
      <c r="EA396" s="34"/>
      <c r="EB396" s="34"/>
      <c r="EC396" s="34"/>
      <c r="ED396" s="34"/>
    </row>
    <row r="397" spans="1:134" ht="11.25" customHeight="1" x14ac:dyDescent="0.3">
      <c r="A397" s="28" t="e">
        <f t="array" aca="1" ref="A397" ca="1">_xludf.XLOOKUP(S397,Master_Registrations!P:P,Master_Registrations!A:A,"")</f>
        <v>#NAME?</v>
      </c>
      <c r="B397" s="28" t="s">
        <v>7084</v>
      </c>
      <c r="C397" s="28">
        <v>2026</v>
      </c>
      <c r="D397" s="28" t="s">
        <v>4886</v>
      </c>
      <c r="E397" s="28">
        <v>2</v>
      </c>
      <c r="F397" s="29" t="str">
        <f t="shared" si="6"/>
        <v>VED-06-2026-GR-2</v>
      </c>
      <c r="G397" s="28" t="s">
        <v>7073</v>
      </c>
      <c r="H397" s="28" t="s">
        <v>7086</v>
      </c>
      <c r="I397" s="28" t="s">
        <v>7087</v>
      </c>
      <c r="J397" s="28" t="s">
        <v>198</v>
      </c>
      <c r="K397" s="38"/>
      <c r="L397" s="38"/>
      <c r="M397" s="38"/>
      <c r="N397" s="28" t="s">
        <v>525</v>
      </c>
      <c r="O397" s="28" t="s">
        <v>367</v>
      </c>
      <c r="P397" s="28" t="s">
        <v>6280</v>
      </c>
      <c r="Q397" s="28" t="e">
        <f t="shared" ca="1" si="7"/>
        <v>#NAME?</v>
      </c>
      <c r="R397" s="28" t="s">
        <v>316</v>
      </c>
      <c r="S397" s="32">
        <v>9083076976</v>
      </c>
      <c r="T397" s="29" t="s">
        <v>402</v>
      </c>
      <c r="U397" s="29">
        <v>1967</v>
      </c>
      <c r="V397" s="58">
        <v>2</v>
      </c>
      <c r="W397" s="58">
        <v>2</v>
      </c>
      <c r="X397" s="58">
        <v>2</v>
      </c>
      <c r="Y397" s="58">
        <v>2</v>
      </c>
      <c r="Z397" s="58">
        <v>2</v>
      </c>
      <c r="AA397" s="58">
        <v>2</v>
      </c>
      <c r="AB397" s="58">
        <v>2</v>
      </c>
      <c r="AC397" s="58">
        <v>2</v>
      </c>
      <c r="AD397" s="58">
        <v>2</v>
      </c>
      <c r="AE397" s="58">
        <v>2</v>
      </c>
      <c r="AF397" s="58">
        <v>2</v>
      </c>
      <c r="AG397" s="58">
        <v>2</v>
      </c>
      <c r="AH397" s="58">
        <v>2</v>
      </c>
      <c r="AI397" s="58">
        <v>3</v>
      </c>
      <c r="AJ397" s="35">
        <v>2</v>
      </c>
      <c r="AK397" s="35">
        <v>2</v>
      </c>
      <c r="AL397" s="35">
        <v>2</v>
      </c>
      <c r="AM397" s="35">
        <v>2</v>
      </c>
      <c r="AN397" s="35">
        <v>2</v>
      </c>
      <c r="AO397" s="35">
        <v>2</v>
      </c>
      <c r="AP397" s="35">
        <v>2</v>
      </c>
      <c r="AQ397" s="35">
        <v>2</v>
      </c>
      <c r="AR397" s="35">
        <v>2</v>
      </c>
      <c r="AS397" s="35">
        <v>2</v>
      </c>
      <c r="AT397" s="35">
        <v>2</v>
      </c>
      <c r="AU397" s="35">
        <v>2</v>
      </c>
      <c r="AV397" s="35">
        <v>4</v>
      </c>
      <c r="AW397" s="35">
        <v>2</v>
      </c>
      <c r="AX397" s="35">
        <v>2</v>
      </c>
      <c r="AY397" s="58">
        <v>2</v>
      </c>
      <c r="AZ397" s="35">
        <v>-1</v>
      </c>
      <c r="BA397" s="58">
        <v>2</v>
      </c>
      <c r="BB397" s="58">
        <v>2</v>
      </c>
      <c r="BC397" s="35">
        <v>1</v>
      </c>
      <c r="BD397" s="35">
        <v>1</v>
      </c>
      <c r="BE397" s="35">
        <v>-1</v>
      </c>
      <c r="BF397" s="33">
        <v>-1</v>
      </c>
      <c r="BG397" s="35">
        <v>2</v>
      </c>
      <c r="BH397" s="35">
        <v>2</v>
      </c>
      <c r="BI397" s="35">
        <v>2</v>
      </c>
      <c r="BJ397" s="35">
        <v>2</v>
      </c>
      <c r="BK397" s="35">
        <v>2</v>
      </c>
      <c r="BL397" s="35">
        <v>2</v>
      </c>
      <c r="BM397" s="33">
        <v>-1</v>
      </c>
      <c r="BN397" s="35">
        <v>2</v>
      </c>
      <c r="BO397" s="35">
        <v>2</v>
      </c>
      <c r="BP397" s="35">
        <v>2</v>
      </c>
      <c r="BQ397" s="35">
        <v>-1</v>
      </c>
      <c r="BR397" s="35">
        <v>-1</v>
      </c>
      <c r="BS397" s="33">
        <v>-1</v>
      </c>
      <c r="BT397" s="33">
        <v>-1</v>
      </c>
      <c r="BU397" s="33">
        <v>-1</v>
      </c>
      <c r="BV397" s="33">
        <v>-1</v>
      </c>
      <c r="BW397" s="85">
        <v>1</v>
      </c>
      <c r="BX397" s="85">
        <v>1</v>
      </c>
      <c r="BY397" s="85">
        <v>-1</v>
      </c>
      <c r="BZ397" s="85">
        <v>-1</v>
      </c>
      <c r="CA397" s="85">
        <v>-1</v>
      </c>
      <c r="CB397" s="85">
        <v>-1</v>
      </c>
      <c r="CC397" s="85"/>
      <c r="CD397" s="85"/>
      <c r="CE397" s="85"/>
      <c r="CF397" s="85"/>
      <c r="CG397" s="85"/>
      <c r="CH397" s="85"/>
      <c r="CI397" s="85"/>
      <c r="CJ397" s="85"/>
      <c r="CK397" s="85"/>
      <c r="CL397" s="85"/>
      <c r="CM397" s="85"/>
      <c r="CN397" s="33">
        <v>1</v>
      </c>
      <c r="CO397" s="33">
        <v>1</v>
      </c>
      <c r="CP397" s="33">
        <v>1</v>
      </c>
      <c r="CQ397" s="33">
        <v>1</v>
      </c>
      <c r="CR397" s="33">
        <v>-1</v>
      </c>
      <c r="CS397" s="33">
        <v>-1</v>
      </c>
      <c r="CT397" s="33">
        <v>-1</v>
      </c>
      <c r="CU397" s="33">
        <v>-1</v>
      </c>
      <c r="CV397" s="33">
        <v>-1</v>
      </c>
      <c r="CW397" s="33">
        <v>-1</v>
      </c>
      <c r="CX397" s="33">
        <v>1</v>
      </c>
      <c r="CY397" s="33">
        <v>-1</v>
      </c>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c r="DZ397" s="34"/>
      <c r="EA397" s="34"/>
      <c r="EB397" s="34"/>
      <c r="EC397" s="34"/>
      <c r="ED397" s="34"/>
    </row>
    <row r="398" spans="1:134" ht="11.25" customHeight="1" x14ac:dyDescent="0.3">
      <c r="A398" s="28" t="e">
        <f t="array" aca="1" ref="A398" ca="1">_xludf.XLOOKUP(S398,Master_Registrations!P:P,Master_Registrations!A:A,"")</f>
        <v>#NAME?</v>
      </c>
      <c r="B398" s="28" t="s">
        <v>7084</v>
      </c>
      <c r="C398" s="28">
        <v>2026</v>
      </c>
      <c r="D398" s="28" t="s">
        <v>4886</v>
      </c>
      <c r="E398" s="28">
        <v>2</v>
      </c>
      <c r="F398" s="29" t="str">
        <f t="shared" si="6"/>
        <v>VED-06-2026-GR-2</v>
      </c>
      <c r="G398" s="28" t="s">
        <v>7073</v>
      </c>
      <c r="H398" s="28" t="s">
        <v>7086</v>
      </c>
      <c r="I398" s="28" t="s">
        <v>7087</v>
      </c>
      <c r="J398" s="28" t="s">
        <v>198</v>
      </c>
      <c r="K398" s="38"/>
      <c r="L398" s="38"/>
      <c r="M398" s="38"/>
      <c r="N398" s="28" t="s">
        <v>621</v>
      </c>
      <c r="O398" s="28" t="s">
        <v>1287</v>
      </c>
      <c r="P398" s="28" t="s">
        <v>1288</v>
      </c>
      <c r="Q398" s="28" t="e">
        <f t="shared" ca="1" si="7"/>
        <v>#NAME?</v>
      </c>
      <c r="R398" s="28" t="s">
        <v>316</v>
      </c>
      <c r="S398" s="32">
        <v>6308491111</v>
      </c>
      <c r="T398" s="29" t="s">
        <v>315</v>
      </c>
      <c r="U398" s="29">
        <v>1975</v>
      </c>
      <c r="V398" s="58">
        <v>2</v>
      </c>
      <c r="W398" s="58">
        <v>2</v>
      </c>
      <c r="X398" s="58">
        <v>2</v>
      </c>
      <c r="Y398" s="58">
        <v>2</v>
      </c>
      <c r="Z398" s="58">
        <v>2</v>
      </c>
      <c r="AA398" s="58">
        <v>2</v>
      </c>
      <c r="AB398" s="58">
        <v>2</v>
      </c>
      <c r="AC398" s="58">
        <v>2</v>
      </c>
      <c r="AD398" s="58">
        <v>2</v>
      </c>
      <c r="AE398" s="58">
        <v>2</v>
      </c>
      <c r="AF398" s="58">
        <v>2</v>
      </c>
      <c r="AG398" s="58">
        <v>2</v>
      </c>
      <c r="AH398" s="58">
        <v>2</v>
      </c>
      <c r="AI398" s="58">
        <v>3</v>
      </c>
      <c r="AJ398" s="35">
        <v>2</v>
      </c>
      <c r="AK398" s="35">
        <v>2</v>
      </c>
      <c r="AL398" s="35">
        <v>2</v>
      </c>
      <c r="AM398" s="35">
        <v>2</v>
      </c>
      <c r="AN398" s="35">
        <v>2</v>
      </c>
      <c r="AO398" s="35">
        <v>2</v>
      </c>
      <c r="AP398" s="35">
        <v>2</v>
      </c>
      <c r="AQ398" s="35">
        <v>2</v>
      </c>
      <c r="AR398" s="35">
        <v>2</v>
      </c>
      <c r="AS398" s="35">
        <v>2</v>
      </c>
      <c r="AT398" s="35">
        <v>2</v>
      </c>
      <c r="AU398" s="35">
        <v>2</v>
      </c>
      <c r="AV398" s="35">
        <v>4</v>
      </c>
      <c r="AW398" s="35">
        <v>2</v>
      </c>
      <c r="AX398" s="35">
        <v>2</v>
      </c>
      <c r="AY398" s="35">
        <v>2</v>
      </c>
      <c r="AZ398" s="35">
        <v>2</v>
      </c>
      <c r="BA398" s="35">
        <v>2</v>
      </c>
      <c r="BB398" s="35">
        <v>2</v>
      </c>
      <c r="BC398" s="35">
        <v>2</v>
      </c>
      <c r="BD398" s="35">
        <v>2</v>
      </c>
      <c r="BE398" s="35">
        <v>2</v>
      </c>
      <c r="BF398" s="35">
        <v>4</v>
      </c>
      <c r="BG398" s="35">
        <v>2</v>
      </c>
      <c r="BH398" s="35">
        <v>2</v>
      </c>
      <c r="BI398" s="35">
        <v>2</v>
      </c>
      <c r="BJ398" s="35">
        <v>2</v>
      </c>
      <c r="BK398" s="35">
        <v>2</v>
      </c>
      <c r="BL398" s="35">
        <v>2</v>
      </c>
      <c r="BM398" s="35">
        <v>4</v>
      </c>
      <c r="BN398" s="35">
        <v>2</v>
      </c>
      <c r="BO398" s="35">
        <v>2</v>
      </c>
      <c r="BP398" s="35">
        <v>2</v>
      </c>
      <c r="BQ398" s="35">
        <v>1</v>
      </c>
      <c r="BR398" s="35">
        <v>1</v>
      </c>
      <c r="BS398" s="35">
        <v>1</v>
      </c>
      <c r="BT398" s="35">
        <v>1</v>
      </c>
      <c r="BU398" s="35">
        <v>1</v>
      </c>
      <c r="BV398" s="33">
        <v>-1</v>
      </c>
      <c r="BW398" s="85">
        <v>-1</v>
      </c>
      <c r="BX398" s="85">
        <v>-1</v>
      </c>
      <c r="BY398" s="85">
        <v>-1</v>
      </c>
      <c r="BZ398" s="85">
        <v>-1</v>
      </c>
      <c r="CA398" s="85">
        <v>-1</v>
      </c>
      <c r="CB398" s="85">
        <v>-1</v>
      </c>
      <c r="CC398" s="85"/>
      <c r="CD398" s="85"/>
      <c r="CE398" s="85"/>
      <c r="CF398" s="85"/>
      <c r="CG398" s="85"/>
      <c r="CH398" s="85"/>
      <c r="CI398" s="85"/>
      <c r="CJ398" s="85"/>
      <c r="CK398" s="85"/>
      <c r="CL398" s="85"/>
      <c r="CM398" s="85"/>
      <c r="CN398" s="35">
        <v>1</v>
      </c>
      <c r="CO398" s="35">
        <v>1</v>
      </c>
      <c r="CP398" s="33">
        <v>-1</v>
      </c>
      <c r="CQ398" s="33">
        <v>-1</v>
      </c>
      <c r="CR398" s="33">
        <v>-1</v>
      </c>
      <c r="CS398" s="33">
        <v>-1</v>
      </c>
      <c r="CT398" s="33">
        <v>-1</v>
      </c>
      <c r="CU398" s="33">
        <v>-1</v>
      </c>
      <c r="CV398" s="33">
        <v>-1</v>
      </c>
      <c r="CW398" s="33">
        <v>-1</v>
      </c>
      <c r="CX398" s="33">
        <v>-1</v>
      </c>
      <c r="CY398" s="33">
        <v>-1</v>
      </c>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c r="DW398" s="34"/>
      <c r="DX398" s="34"/>
      <c r="DY398" s="34"/>
      <c r="DZ398" s="34"/>
      <c r="EA398" s="34"/>
      <c r="EB398" s="34"/>
      <c r="EC398" s="34"/>
      <c r="ED398" s="34"/>
    </row>
    <row r="399" spans="1:134" ht="11.25" customHeight="1" x14ac:dyDescent="0.3">
      <c r="A399" s="28" t="e">
        <f t="array" aca="1" ref="A399" ca="1">_xludf.XLOOKUP(S399,Master_Registrations!P:P,Master_Registrations!A:A,"")</f>
        <v>#NAME?</v>
      </c>
      <c r="B399" s="28" t="s">
        <v>7084</v>
      </c>
      <c r="C399" s="28">
        <v>2026</v>
      </c>
      <c r="D399" s="28" t="s">
        <v>4886</v>
      </c>
      <c r="E399" s="28">
        <v>2</v>
      </c>
      <c r="F399" s="29" t="str">
        <f t="shared" si="6"/>
        <v>VED-06-2026-GR-2</v>
      </c>
      <c r="G399" s="28" t="s">
        <v>7073</v>
      </c>
      <c r="H399" s="28" t="s">
        <v>7086</v>
      </c>
      <c r="I399" s="28" t="s">
        <v>7087</v>
      </c>
      <c r="J399" s="28" t="s">
        <v>198</v>
      </c>
      <c r="K399" s="57"/>
      <c r="L399" s="57"/>
      <c r="M399" s="57"/>
      <c r="N399" s="28" t="s">
        <v>714</v>
      </c>
      <c r="O399" s="28" t="s">
        <v>4733</v>
      </c>
      <c r="P399" s="28" t="s">
        <v>6288</v>
      </c>
      <c r="Q399" s="28" t="e">
        <f t="shared" ca="1" si="7"/>
        <v>#NAME?</v>
      </c>
      <c r="R399" s="28" t="s">
        <v>316</v>
      </c>
      <c r="S399" s="32">
        <v>7042943580</v>
      </c>
      <c r="T399" s="29" t="s">
        <v>402</v>
      </c>
      <c r="U399" s="29">
        <v>1973</v>
      </c>
      <c r="V399" s="35">
        <v>2</v>
      </c>
      <c r="W399" s="35">
        <v>2</v>
      </c>
      <c r="X399" s="35">
        <v>2</v>
      </c>
      <c r="Y399" s="35">
        <v>2</v>
      </c>
      <c r="Z399" s="35">
        <v>2</v>
      </c>
      <c r="AA399" s="35">
        <v>2</v>
      </c>
      <c r="AB399" s="35">
        <v>2</v>
      </c>
      <c r="AC399" s="35">
        <v>2</v>
      </c>
      <c r="AD399" s="35">
        <v>2</v>
      </c>
      <c r="AE399" s="35">
        <v>2</v>
      </c>
      <c r="AF399" s="35">
        <v>2</v>
      </c>
      <c r="AG399" s="35">
        <v>2</v>
      </c>
      <c r="AH399" s="35">
        <v>2</v>
      </c>
      <c r="AI399" s="33">
        <v>-1</v>
      </c>
      <c r="AJ399" s="35">
        <v>2</v>
      </c>
      <c r="AK399" s="35">
        <v>2</v>
      </c>
      <c r="AL399" s="35">
        <v>2</v>
      </c>
      <c r="AM399" s="35">
        <v>2</v>
      </c>
      <c r="AN399" s="35">
        <v>2</v>
      </c>
      <c r="AO399" s="35">
        <v>2</v>
      </c>
      <c r="AP399" s="58">
        <v>-1</v>
      </c>
      <c r="AQ399" s="58">
        <v>-1</v>
      </c>
      <c r="AR399" s="35">
        <v>2</v>
      </c>
      <c r="AS399" s="58">
        <v>-1</v>
      </c>
      <c r="AT399" s="58">
        <v>1</v>
      </c>
      <c r="AU399" s="35">
        <v>2</v>
      </c>
      <c r="AV399" s="33">
        <v>-1</v>
      </c>
      <c r="AW399" s="35">
        <v>1</v>
      </c>
      <c r="AX399" s="84">
        <v>1</v>
      </c>
      <c r="AY399" s="59">
        <v>1</v>
      </c>
      <c r="AZ399" s="35">
        <v>-1</v>
      </c>
      <c r="BA399" s="58">
        <v>1</v>
      </c>
      <c r="BB399" s="58">
        <v>1</v>
      </c>
      <c r="BC399" s="35">
        <v>1</v>
      </c>
      <c r="BD399" s="35">
        <v>1</v>
      </c>
      <c r="BE399" s="35">
        <v>1</v>
      </c>
      <c r="BF399" s="33">
        <v>-1</v>
      </c>
      <c r="BG399" s="35">
        <v>1</v>
      </c>
      <c r="BH399" s="35">
        <v>1</v>
      </c>
      <c r="BI399" s="35">
        <v>1</v>
      </c>
      <c r="BJ399" s="35">
        <v>1</v>
      </c>
      <c r="BK399" s="35">
        <v>-1</v>
      </c>
      <c r="BL399" s="35">
        <v>-1</v>
      </c>
      <c r="BM399" s="33">
        <v>-1</v>
      </c>
      <c r="BN399" s="35">
        <v>-1</v>
      </c>
      <c r="BO399" s="35">
        <v>1</v>
      </c>
      <c r="BP399" s="35">
        <v>1</v>
      </c>
      <c r="BQ399" s="35">
        <v>-1</v>
      </c>
      <c r="BR399" s="35">
        <v>-1</v>
      </c>
      <c r="BS399" s="35">
        <v>-1</v>
      </c>
      <c r="BT399" s="35">
        <v>-1</v>
      </c>
      <c r="BU399" s="35">
        <v>-1</v>
      </c>
      <c r="BV399" s="33">
        <v>-1</v>
      </c>
      <c r="BW399" s="85">
        <v>-1</v>
      </c>
      <c r="BX399" s="85">
        <v>-1</v>
      </c>
      <c r="BY399" s="85">
        <v>-1</v>
      </c>
      <c r="BZ399" s="85">
        <v>-1</v>
      </c>
      <c r="CA399" s="85">
        <v>-1</v>
      </c>
      <c r="CB399" s="85">
        <v>-1</v>
      </c>
      <c r="CC399" s="85"/>
      <c r="CD399" s="85"/>
      <c r="CE399" s="85"/>
      <c r="CF399" s="85"/>
      <c r="CG399" s="85"/>
      <c r="CH399" s="85"/>
      <c r="CI399" s="85"/>
      <c r="CJ399" s="85"/>
      <c r="CK399" s="85"/>
      <c r="CL399" s="85"/>
      <c r="CM399" s="85"/>
      <c r="CN399" s="33">
        <v>-1</v>
      </c>
      <c r="CO399" s="33">
        <v>-1</v>
      </c>
      <c r="CP399" s="33">
        <v>1</v>
      </c>
      <c r="CQ399" s="33">
        <v>-1</v>
      </c>
      <c r="CR399" s="33">
        <v>-1</v>
      </c>
      <c r="CS399" s="33">
        <v>-1</v>
      </c>
      <c r="CT399" s="33">
        <v>-1</v>
      </c>
      <c r="CU399" s="33">
        <v>-1</v>
      </c>
      <c r="CV399" s="33">
        <v>-1</v>
      </c>
      <c r="CW399" s="33">
        <v>-1</v>
      </c>
      <c r="CX399" s="33">
        <v>-1</v>
      </c>
      <c r="CY399" s="33">
        <v>-1</v>
      </c>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c r="DZ399" s="34"/>
      <c r="EA399" s="34"/>
      <c r="EB399" s="34"/>
      <c r="EC399" s="34"/>
      <c r="ED399" s="34"/>
    </row>
    <row r="400" spans="1:134" ht="11.25" customHeight="1" x14ac:dyDescent="0.3">
      <c r="A400" s="28" t="e">
        <f t="array" aca="1" ref="A400" ca="1">_xludf.XLOOKUP(S400,Master_Registrations!P:P,Master_Registrations!A:A,"")</f>
        <v>#NAME?</v>
      </c>
      <c r="B400" s="28" t="s">
        <v>7084</v>
      </c>
      <c r="C400" s="28">
        <v>2026</v>
      </c>
      <c r="D400" s="28" t="s">
        <v>4886</v>
      </c>
      <c r="E400" s="28">
        <v>2</v>
      </c>
      <c r="F400" s="29" t="str">
        <f t="shared" si="6"/>
        <v>VED-06-2026-GR-2</v>
      </c>
      <c r="G400" s="28" t="s">
        <v>7073</v>
      </c>
      <c r="H400" s="28" t="s">
        <v>7086</v>
      </c>
      <c r="I400" s="28" t="s">
        <v>7087</v>
      </c>
      <c r="J400" s="28" t="s">
        <v>198</v>
      </c>
      <c r="K400" s="57"/>
      <c r="L400" s="57"/>
      <c r="M400" s="57"/>
      <c r="N400" s="28" t="s">
        <v>786</v>
      </c>
      <c r="O400" s="28" t="s">
        <v>6040</v>
      </c>
      <c r="P400" s="28" t="s">
        <v>281</v>
      </c>
      <c r="Q400" s="28" t="e">
        <f t="shared" ca="1" si="7"/>
        <v>#NAME?</v>
      </c>
      <c r="R400" s="28" t="s">
        <v>112</v>
      </c>
      <c r="S400" s="32">
        <v>7680070549</v>
      </c>
      <c r="T400" s="29" t="s">
        <v>111</v>
      </c>
      <c r="U400" s="29">
        <v>1967</v>
      </c>
      <c r="V400" s="35">
        <v>2</v>
      </c>
      <c r="W400" s="35">
        <v>2</v>
      </c>
      <c r="X400" s="35">
        <v>2</v>
      </c>
      <c r="Y400" s="35">
        <v>2</v>
      </c>
      <c r="Z400" s="35">
        <v>2</v>
      </c>
      <c r="AA400" s="35">
        <v>2</v>
      </c>
      <c r="AB400" s="35">
        <v>2</v>
      </c>
      <c r="AC400" s="35">
        <v>2</v>
      </c>
      <c r="AD400" s="35">
        <v>2</v>
      </c>
      <c r="AE400" s="35">
        <v>2</v>
      </c>
      <c r="AF400" s="35">
        <v>2</v>
      </c>
      <c r="AG400" s="35">
        <v>2</v>
      </c>
      <c r="AH400" s="35">
        <v>2</v>
      </c>
      <c r="AI400" s="35">
        <v>3</v>
      </c>
      <c r="AJ400" s="58">
        <v>-1</v>
      </c>
      <c r="AK400" s="58">
        <v>-1</v>
      </c>
      <c r="AL400" s="58">
        <v>1</v>
      </c>
      <c r="AM400" s="58">
        <v>-1</v>
      </c>
      <c r="AN400" s="58">
        <v>1</v>
      </c>
      <c r="AO400" s="58">
        <v>1</v>
      </c>
      <c r="AP400" s="58">
        <v>-1</v>
      </c>
      <c r="AQ400" s="58">
        <v>-1</v>
      </c>
      <c r="AR400" s="58">
        <v>1</v>
      </c>
      <c r="AS400" s="58">
        <v>-1</v>
      </c>
      <c r="AT400" s="58">
        <v>1</v>
      </c>
      <c r="AU400" s="58">
        <v>-1</v>
      </c>
      <c r="AV400" s="33">
        <v>-1</v>
      </c>
      <c r="AW400" s="35">
        <v>1</v>
      </c>
      <c r="AX400" s="84">
        <v>1</v>
      </c>
      <c r="AY400" s="58">
        <v>1</v>
      </c>
      <c r="AZ400" s="35">
        <v>-1</v>
      </c>
      <c r="BA400" s="58">
        <v>1</v>
      </c>
      <c r="BB400" s="58">
        <v>1</v>
      </c>
      <c r="BC400" s="35">
        <v>1</v>
      </c>
      <c r="BD400" s="35">
        <v>1</v>
      </c>
      <c r="BE400" s="35">
        <v>1</v>
      </c>
      <c r="BF400" s="33">
        <v>-1</v>
      </c>
      <c r="BG400" s="35">
        <v>1</v>
      </c>
      <c r="BH400" s="35">
        <v>1</v>
      </c>
      <c r="BI400" s="35">
        <v>1</v>
      </c>
      <c r="BJ400" s="35">
        <v>1</v>
      </c>
      <c r="BK400" s="35">
        <v>-1</v>
      </c>
      <c r="BL400" s="35">
        <v>-1</v>
      </c>
      <c r="BM400" s="33">
        <v>-1</v>
      </c>
      <c r="BN400" s="35">
        <v>1</v>
      </c>
      <c r="BO400" s="35">
        <v>1</v>
      </c>
      <c r="BP400" s="35">
        <v>1</v>
      </c>
      <c r="BQ400" s="35">
        <v>1</v>
      </c>
      <c r="BR400" s="35">
        <v>1</v>
      </c>
      <c r="BS400" s="35">
        <v>1</v>
      </c>
      <c r="BT400" s="35">
        <v>1</v>
      </c>
      <c r="BU400" s="35">
        <v>1</v>
      </c>
      <c r="BV400" s="33">
        <v>-1</v>
      </c>
      <c r="BW400" s="85">
        <v>1</v>
      </c>
      <c r="BX400" s="85">
        <v>1</v>
      </c>
      <c r="BY400" s="85">
        <v>-1</v>
      </c>
      <c r="BZ400" s="85">
        <v>-1</v>
      </c>
      <c r="CA400" s="85">
        <v>-1</v>
      </c>
      <c r="CB400" s="85">
        <v>-1</v>
      </c>
      <c r="CC400" s="85"/>
      <c r="CD400" s="85"/>
      <c r="CE400" s="85"/>
      <c r="CF400" s="85"/>
      <c r="CG400" s="85"/>
      <c r="CH400" s="85"/>
      <c r="CI400" s="85"/>
      <c r="CJ400" s="85"/>
      <c r="CK400" s="85"/>
      <c r="CL400" s="85"/>
      <c r="CM400" s="85"/>
      <c r="CN400" s="33">
        <v>1</v>
      </c>
      <c r="CO400" s="33">
        <v>1</v>
      </c>
      <c r="CP400" s="33">
        <v>1</v>
      </c>
      <c r="CQ400" s="33">
        <v>1</v>
      </c>
      <c r="CR400" s="33">
        <v>1</v>
      </c>
      <c r="CS400" s="33">
        <v>1</v>
      </c>
      <c r="CT400" s="33">
        <v>-1</v>
      </c>
      <c r="CU400" s="33">
        <v>-1</v>
      </c>
      <c r="CV400" s="33">
        <v>-1</v>
      </c>
      <c r="CW400" s="33">
        <v>-1</v>
      </c>
      <c r="CX400" s="33">
        <v>-1</v>
      </c>
      <c r="CY400" s="33">
        <v>-1</v>
      </c>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c r="DW400" s="34"/>
      <c r="DX400" s="34"/>
      <c r="DY400" s="34"/>
      <c r="DZ400" s="34"/>
      <c r="EA400" s="34"/>
      <c r="EB400" s="34"/>
      <c r="EC400" s="34"/>
      <c r="ED400" s="34"/>
    </row>
    <row r="401" spans="1:134" ht="11.25" customHeight="1" x14ac:dyDescent="0.3">
      <c r="A401" s="28" t="e">
        <f t="array" aca="1" ref="A401" ca="1">_xludf.XLOOKUP(S401,Master_Registrations!P:P,Master_Registrations!A:A,"")</f>
        <v>#NAME?</v>
      </c>
      <c r="B401" s="28" t="s">
        <v>7084</v>
      </c>
      <c r="C401" s="28">
        <v>2026</v>
      </c>
      <c r="D401" s="28" t="s">
        <v>4886</v>
      </c>
      <c r="E401" s="28">
        <v>2</v>
      </c>
      <c r="F401" s="29" t="str">
        <f t="shared" si="6"/>
        <v>VED-06-2026-GR-2</v>
      </c>
      <c r="G401" s="28" t="s">
        <v>7073</v>
      </c>
      <c r="H401" s="28" t="s">
        <v>7086</v>
      </c>
      <c r="I401" s="28" t="s">
        <v>7087</v>
      </c>
      <c r="J401" s="28" t="s">
        <v>198</v>
      </c>
      <c r="K401" s="57"/>
      <c r="L401" s="57"/>
      <c r="M401" s="57"/>
      <c r="N401" s="28" t="s">
        <v>856</v>
      </c>
      <c r="O401" s="28" t="s">
        <v>1053</v>
      </c>
      <c r="P401" s="28" t="s">
        <v>6083</v>
      </c>
      <c r="Q401" s="28" t="e">
        <f t="shared" ca="1" si="7"/>
        <v>#NAME?</v>
      </c>
      <c r="R401" s="28" t="s">
        <v>112</v>
      </c>
      <c r="S401" s="32">
        <v>9886759258</v>
      </c>
      <c r="T401" s="29" t="s">
        <v>111</v>
      </c>
      <c r="U401" s="29">
        <v>1981</v>
      </c>
      <c r="V401" s="35">
        <v>2</v>
      </c>
      <c r="W401" s="35">
        <v>2</v>
      </c>
      <c r="X401" s="35">
        <v>2</v>
      </c>
      <c r="Y401" s="35">
        <v>2</v>
      </c>
      <c r="Z401" s="35">
        <v>2</v>
      </c>
      <c r="AA401" s="35">
        <v>2</v>
      </c>
      <c r="AB401" s="35">
        <v>2</v>
      </c>
      <c r="AC401" s="35">
        <v>2</v>
      </c>
      <c r="AD401" s="35">
        <v>2</v>
      </c>
      <c r="AE401" s="35">
        <v>2</v>
      </c>
      <c r="AF401" s="35">
        <v>2</v>
      </c>
      <c r="AG401" s="35">
        <v>2</v>
      </c>
      <c r="AH401" s="35">
        <v>2</v>
      </c>
      <c r="AI401" s="35">
        <v>3</v>
      </c>
      <c r="AJ401" s="35">
        <v>2</v>
      </c>
      <c r="AK401" s="35">
        <v>2</v>
      </c>
      <c r="AL401" s="35">
        <v>2</v>
      </c>
      <c r="AM401" s="35">
        <v>2</v>
      </c>
      <c r="AN401" s="35">
        <v>2</v>
      </c>
      <c r="AO401" s="35">
        <v>2</v>
      </c>
      <c r="AP401" s="58">
        <v>-1</v>
      </c>
      <c r="AQ401" s="58">
        <v>-1</v>
      </c>
      <c r="AR401" s="35">
        <v>2</v>
      </c>
      <c r="AS401" s="58">
        <v>-1</v>
      </c>
      <c r="AT401" s="58">
        <v>1</v>
      </c>
      <c r="AU401" s="35">
        <v>2</v>
      </c>
      <c r="AV401" s="33">
        <v>-1</v>
      </c>
      <c r="AW401" s="35">
        <v>1</v>
      </c>
      <c r="AX401" s="84">
        <v>1</v>
      </c>
      <c r="AY401" s="33">
        <v>1</v>
      </c>
      <c r="AZ401" s="35">
        <v>-1</v>
      </c>
      <c r="BA401" s="35">
        <v>1</v>
      </c>
      <c r="BB401" s="58">
        <v>1</v>
      </c>
      <c r="BC401" s="35">
        <v>1</v>
      </c>
      <c r="BD401" s="35">
        <v>1</v>
      </c>
      <c r="BE401" s="35">
        <v>1</v>
      </c>
      <c r="BF401" s="33">
        <v>-1</v>
      </c>
      <c r="BG401" s="35">
        <v>1</v>
      </c>
      <c r="BH401" s="35">
        <v>1</v>
      </c>
      <c r="BI401" s="35">
        <v>1</v>
      </c>
      <c r="BJ401" s="35">
        <v>1</v>
      </c>
      <c r="BK401" s="35">
        <v>1</v>
      </c>
      <c r="BL401" s="35">
        <v>2</v>
      </c>
      <c r="BM401" s="33">
        <v>-1</v>
      </c>
      <c r="BN401" s="35">
        <v>1</v>
      </c>
      <c r="BO401" s="35">
        <v>2</v>
      </c>
      <c r="BP401" s="35">
        <v>2</v>
      </c>
      <c r="BQ401" s="35">
        <v>1</v>
      </c>
      <c r="BR401" s="35">
        <v>1</v>
      </c>
      <c r="BS401" s="35">
        <v>1</v>
      </c>
      <c r="BT401" s="35">
        <v>1</v>
      </c>
      <c r="BU401" s="33">
        <v>-1</v>
      </c>
      <c r="BV401" s="33">
        <v>-1</v>
      </c>
      <c r="BW401" s="85">
        <v>1</v>
      </c>
      <c r="BX401" s="85">
        <v>1</v>
      </c>
      <c r="BY401" s="85">
        <v>-1</v>
      </c>
      <c r="BZ401" s="85">
        <v>-1</v>
      </c>
      <c r="CA401" s="85">
        <v>-1</v>
      </c>
      <c r="CB401" s="85">
        <v>-1</v>
      </c>
      <c r="CC401" s="85"/>
      <c r="CD401" s="85"/>
      <c r="CE401" s="85"/>
      <c r="CF401" s="85"/>
      <c r="CG401" s="85"/>
      <c r="CH401" s="85"/>
      <c r="CI401" s="85"/>
      <c r="CJ401" s="85"/>
      <c r="CK401" s="85"/>
      <c r="CL401" s="85"/>
      <c r="CM401" s="85"/>
      <c r="CN401" s="33">
        <v>1</v>
      </c>
      <c r="CO401" s="33">
        <v>1</v>
      </c>
      <c r="CP401" s="33">
        <v>-1</v>
      </c>
      <c r="CQ401" s="33">
        <v>-1</v>
      </c>
      <c r="CR401" s="33">
        <v>-1</v>
      </c>
      <c r="CS401" s="33">
        <v>-1</v>
      </c>
      <c r="CT401" s="33">
        <v>-1</v>
      </c>
      <c r="CU401" s="33">
        <v>-1</v>
      </c>
      <c r="CV401" s="33">
        <v>-1</v>
      </c>
      <c r="CW401" s="33">
        <v>-1</v>
      </c>
      <c r="CX401" s="33">
        <v>-1</v>
      </c>
      <c r="CY401" s="33">
        <v>-1</v>
      </c>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c r="DZ401" s="34"/>
      <c r="EA401" s="34"/>
      <c r="EB401" s="34"/>
      <c r="EC401" s="34"/>
      <c r="ED401" s="34"/>
    </row>
    <row r="402" spans="1:134" ht="11.25" customHeight="1" x14ac:dyDescent="0.3">
      <c r="A402" s="28" t="e">
        <f t="array" aca="1" ref="A402" ca="1">_xludf.XLOOKUP(S402,Master_Registrations!P:P,Master_Registrations!A:A,"")</f>
        <v>#NAME?</v>
      </c>
      <c r="B402" s="39" t="s">
        <v>4565</v>
      </c>
      <c r="C402" s="39">
        <v>2026</v>
      </c>
      <c r="D402" s="39" t="s">
        <v>4886</v>
      </c>
      <c r="E402" s="39">
        <v>1</v>
      </c>
      <c r="F402" s="40" t="str">
        <f t="shared" si="6"/>
        <v>VED-07-2026-GR-1</v>
      </c>
      <c r="G402" s="39" t="s">
        <v>7073</v>
      </c>
      <c r="H402" s="39" t="s">
        <v>7070</v>
      </c>
      <c r="I402" s="39" t="s">
        <v>7088</v>
      </c>
      <c r="J402" s="39" t="s">
        <v>198</v>
      </c>
      <c r="K402" s="60"/>
      <c r="L402" s="60"/>
      <c r="M402" s="60"/>
      <c r="N402" s="39" t="s">
        <v>200</v>
      </c>
      <c r="O402" s="39" t="s">
        <v>4876</v>
      </c>
      <c r="P402" s="39" t="s">
        <v>4877</v>
      </c>
      <c r="Q402" s="39" t="e">
        <f t="shared" ca="1" si="7"/>
        <v>#NAME?</v>
      </c>
      <c r="R402" s="39" t="s">
        <v>112</v>
      </c>
      <c r="S402" s="50">
        <v>9494858601</v>
      </c>
      <c r="T402" s="40" t="s">
        <v>111</v>
      </c>
      <c r="U402" s="39">
        <v>1985</v>
      </c>
      <c r="V402" s="44">
        <v>2</v>
      </c>
      <c r="W402" s="44">
        <v>2</v>
      </c>
      <c r="X402" s="44">
        <v>2</v>
      </c>
      <c r="Y402" s="44">
        <v>2</v>
      </c>
      <c r="Z402" s="44">
        <v>2</v>
      </c>
      <c r="AA402" s="44">
        <v>2</v>
      </c>
      <c r="AB402" s="44">
        <v>2</v>
      </c>
      <c r="AC402" s="44">
        <v>2</v>
      </c>
      <c r="AD402" s="44">
        <v>2</v>
      </c>
      <c r="AE402" s="44">
        <v>2</v>
      </c>
      <c r="AF402" s="44">
        <v>2</v>
      </c>
      <c r="AG402" s="44">
        <v>2</v>
      </c>
      <c r="AH402" s="44">
        <v>2</v>
      </c>
      <c r="AI402" s="87">
        <v>3</v>
      </c>
      <c r="AJ402" s="46">
        <v>2</v>
      </c>
      <c r="AK402" s="46">
        <v>2</v>
      </c>
      <c r="AL402" s="46">
        <v>2</v>
      </c>
      <c r="AM402" s="46">
        <v>2</v>
      </c>
      <c r="AN402" s="46">
        <v>2</v>
      </c>
      <c r="AO402" s="46">
        <v>2</v>
      </c>
      <c r="AP402" s="46">
        <v>-1</v>
      </c>
      <c r="AQ402" s="46">
        <v>-1</v>
      </c>
      <c r="AR402" s="46">
        <v>2</v>
      </c>
      <c r="AS402" s="46">
        <v>-1</v>
      </c>
      <c r="AT402" s="46">
        <v>1</v>
      </c>
      <c r="AU402" s="46">
        <v>2</v>
      </c>
      <c r="AV402" s="45">
        <v>-1</v>
      </c>
      <c r="AW402" s="46">
        <v>2</v>
      </c>
      <c r="AX402" s="46">
        <v>2</v>
      </c>
      <c r="AY402" s="46">
        <v>2</v>
      </c>
      <c r="AZ402" s="44">
        <v>-1</v>
      </c>
      <c r="BA402" s="46">
        <v>2</v>
      </c>
      <c r="BB402" s="46">
        <v>2</v>
      </c>
      <c r="BC402" s="46">
        <v>2</v>
      </c>
      <c r="BD402" s="46">
        <v>2</v>
      </c>
      <c r="BE402" s="46">
        <v>2</v>
      </c>
      <c r="BF402" s="47">
        <v>-1</v>
      </c>
      <c r="BG402" s="46">
        <v>2</v>
      </c>
      <c r="BH402" s="46">
        <v>2</v>
      </c>
      <c r="BI402" s="46">
        <v>2</v>
      </c>
      <c r="BJ402" s="46">
        <v>2</v>
      </c>
      <c r="BK402" s="46">
        <v>2</v>
      </c>
      <c r="BL402" s="46">
        <v>2</v>
      </c>
      <c r="BM402" s="47">
        <v>-1</v>
      </c>
      <c r="BN402" s="46">
        <v>1</v>
      </c>
      <c r="BO402" s="46">
        <v>1</v>
      </c>
      <c r="BP402" s="46">
        <v>1</v>
      </c>
      <c r="BQ402" s="62">
        <v>1</v>
      </c>
      <c r="BR402" s="62">
        <v>1</v>
      </c>
      <c r="BS402" s="62">
        <v>1</v>
      </c>
      <c r="BT402" s="62">
        <v>1</v>
      </c>
      <c r="BU402" s="62">
        <v>-1</v>
      </c>
      <c r="BV402" s="61">
        <v>-1</v>
      </c>
      <c r="BW402" s="62">
        <v>1</v>
      </c>
      <c r="BX402" s="62">
        <v>1</v>
      </c>
      <c r="BY402" s="62">
        <v>1</v>
      </c>
      <c r="BZ402" s="62">
        <v>1</v>
      </c>
      <c r="CA402" s="62">
        <v>1</v>
      </c>
      <c r="CB402" s="62">
        <v>1</v>
      </c>
      <c r="CC402" s="62">
        <v>1</v>
      </c>
      <c r="CD402" s="62">
        <v>1</v>
      </c>
      <c r="CE402" s="61">
        <v>-1</v>
      </c>
      <c r="CF402" s="61"/>
      <c r="CG402" s="61"/>
      <c r="CH402" s="61"/>
      <c r="CI402" s="61"/>
      <c r="CJ402" s="61"/>
      <c r="CK402" s="61"/>
      <c r="CL402" s="61"/>
      <c r="CM402" s="61"/>
      <c r="CN402" s="62">
        <v>1</v>
      </c>
      <c r="CO402" s="62">
        <v>1</v>
      </c>
      <c r="CP402" s="62">
        <v>1</v>
      </c>
      <c r="CQ402" s="62">
        <v>1</v>
      </c>
      <c r="CR402" s="62">
        <v>1</v>
      </c>
      <c r="CS402" s="62">
        <v>1</v>
      </c>
      <c r="CT402" s="62">
        <v>1</v>
      </c>
      <c r="CU402" s="62">
        <v>1</v>
      </c>
      <c r="CV402" s="62">
        <v>1</v>
      </c>
      <c r="CW402" s="62">
        <v>1</v>
      </c>
      <c r="CX402" s="62">
        <v>1</v>
      </c>
      <c r="CY402" s="61">
        <v>-1</v>
      </c>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c r="DW402" s="34"/>
      <c r="DX402" s="34"/>
      <c r="DY402" s="34"/>
      <c r="DZ402" s="34"/>
      <c r="EA402" s="34"/>
      <c r="EB402" s="34"/>
      <c r="EC402" s="34"/>
      <c r="ED402" s="34"/>
    </row>
    <row r="403" spans="1:134" ht="11.25" customHeight="1" x14ac:dyDescent="0.3">
      <c r="A403" s="28" t="e">
        <f t="array" aca="1" ref="A403" ca="1">_xludf.XLOOKUP(S403,Master_Registrations!P:P,Master_Registrations!A:A,"")</f>
        <v>#NAME?</v>
      </c>
      <c r="B403" s="39" t="s">
        <v>4565</v>
      </c>
      <c r="C403" s="39">
        <v>2026</v>
      </c>
      <c r="D403" s="39" t="s">
        <v>4886</v>
      </c>
      <c r="E403" s="39">
        <v>1</v>
      </c>
      <c r="F403" s="40" t="str">
        <f t="shared" si="6"/>
        <v>VED-07-2026-GR-1</v>
      </c>
      <c r="G403" s="39" t="s">
        <v>7073</v>
      </c>
      <c r="H403" s="39" t="s">
        <v>7070</v>
      </c>
      <c r="I403" s="39" t="s">
        <v>7088</v>
      </c>
      <c r="J403" s="39" t="s">
        <v>198</v>
      </c>
      <c r="K403" s="60"/>
      <c r="L403" s="60"/>
      <c r="M403" s="60"/>
      <c r="N403" s="39" t="s">
        <v>299</v>
      </c>
      <c r="O403" s="39" t="s">
        <v>5150</v>
      </c>
      <c r="P403" s="39" t="s">
        <v>577</v>
      </c>
      <c r="Q403" s="39" t="e">
        <f t="shared" ca="1" si="7"/>
        <v>#NAME?</v>
      </c>
      <c r="R403" s="39" t="s">
        <v>316</v>
      </c>
      <c r="S403" s="50">
        <v>2514550794</v>
      </c>
      <c r="T403" s="40" t="s">
        <v>402</v>
      </c>
      <c r="U403" s="39">
        <v>1990</v>
      </c>
      <c r="V403" s="46">
        <v>2</v>
      </c>
      <c r="W403" s="46">
        <v>2</v>
      </c>
      <c r="X403" s="46">
        <v>2</v>
      </c>
      <c r="Y403" s="46">
        <v>2</v>
      </c>
      <c r="Z403" s="46">
        <v>2</v>
      </c>
      <c r="AA403" s="46">
        <v>2</v>
      </c>
      <c r="AB403" s="44">
        <v>2</v>
      </c>
      <c r="AC403" s="44">
        <v>2</v>
      </c>
      <c r="AD403" s="44">
        <v>2</v>
      </c>
      <c r="AE403" s="46">
        <v>2</v>
      </c>
      <c r="AF403" s="46">
        <v>2</v>
      </c>
      <c r="AG403" s="46">
        <v>2</v>
      </c>
      <c r="AH403" s="46">
        <v>2</v>
      </c>
      <c r="AI403" s="45">
        <v>-1</v>
      </c>
      <c r="AJ403" s="44">
        <v>2</v>
      </c>
      <c r="AK403" s="44">
        <v>2</v>
      </c>
      <c r="AL403" s="44">
        <v>2</v>
      </c>
      <c r="AM403" s="44">
        <v>2</v>
      </c>
      <c r="AN403" s="44">
        <v>2</v>
      </c>
      <c r="AO403" s="44">
        <v>2</v>
      </c>
      <c r="AP403" s="46">
        <v>-1</v>
      </c>
      <c r="AQ403" s="46">
        <v>-1</v>
      </c>
      <c r="AR403" s="44">
        <v>2</v>
      </c>
      <c r="AS403" s="46">
        <v>-1</v>
      </c>
      <c r="AT403" s="46">
        <v>1</v>
      </c>
      <c r="AU403" s="44">
        <v>2</v>
      </c>
      <c r="AV403" s="45">
        <v>-1</v>
      </c>
      <c r="AW403" s="46">
        <v>1</v>
      </c>
      <c r="AX403" s="62">
        <v>1</v>
      </c>
      <c r="AY403" s="46">
        <v>2</v>
      </c>
      <c r="AZ403" s="44">
        <v>-1</v>
      </c>
      <c r="BA403" s="44">
        <v>2</v>
      </c>
      <c r="BB403" s="44">
        <v>2</v>
      </c>
      <c r="BC403" s="46">
        <v>1</v>
      </c>
      <c r="BD403" s="46">
        <v>1</v>
      </c>
      <c r="BE403" s="46">
        <v>1</v>
      </c>
      <c r="BF403" s="47">
        <v>-1</v>
      </c>
      <c r="BG403" s="46">
        <v>2</v>
      </c>
      <c r="BH403" s="46">
        <v>2</v>
      </c>
      <c r="BI403" s="46">
        <v>2</v>
      </c>
      <c r="BJ403" s="46">
        <v>2</v>
      </c>
      <c r="BK403" s="46">
        <v>1</v>
      </c>
      <c r="BL403" s="46">
        <v>1</v>
      </c>
      <c r="BM403" s="47">
        <v>-1</v>
      </c>
      <c r="BN403" s="46">
        <v>2</v>
      </c>
      <c r="BO403" s="46">
        <v>2</v>
      </c>
      <c r="BP403" s="46">
        <v>2</v>
      </c>
      <c r="BQ403" s="62">
        <v>1</v>
      </c>
      <c r="BR403" s="62">
        <v>1</v>
      </c>
      <c r="BS403" s="62">
        <v>1</v>
      </c>
      <c r="BT403" s="62">
        <v>1</v>
      </c>
      <c r="BU403" s="62">
        <v>1</v>
      </c>
      <c r="BV403" s="61">
        <v>-1</v>
      </c>
      <c r="BW403" s="62">
        <v>1</v>
      </c>
      <c r="BX403" s="62">
        <v>1</v>
      </c>
      <c r="BY403" s="62">
        <v>1</v>
      </c>
      <c r="BZ403" s="62">
        <v>1</v>
      </c>
      <c r="CA403" s="61">
        <v>-1</v>
      </c>
      <c r="CB403" s="61">
        <v>-1</v>
      </c>
      <c r="CC403" s="61">
        <v>-1</v>
      </c>
      <c r="CD403" s="61">
        <v>-1</v>
      </c>
      <c r="CE403" s="61">
        <v>-1</v>
      </c>
      <c r="CF403" s="61"/>
      <c r="CG403" s="61"/>
      <c r="CH403" s="61"/>
      <c r="CI403" s="61"/>
      <c r="CJ403" s="61"/>
      <c r="CK403" s="61"/>
      <c r="CL403" s="61"/>
      <c r="CM403" s="61"/>
      <c r="CN403" s="61">
        <v>-1</v>
      </c>
      <c r="CO403" s="61">
        <v>-1</v>
      </c>
      <c r="CP403" s="61">
        <v>-1</v>
      </c>
      <c r="CQ403" s="61">
        <v>-1</v>
      </c>
      <c r="CR403" s="62">
        <v>-1</v>
      </c>
      <c r="CS403" s="62">
        <v>-1</v>
      </c>
      <c r="CT403" s="62">
        <v>1</v>
      </c>
      <c r="CU403" s="62">
        <v>1</v>
      </c>
      <c r="CV403" s="61">
        <v>-1</v>
      </c>
      <c r="CW403" s="62">
        <v>1</v>
      </c>
      <c r="CX403" s="62">
        <v>1</v>
      </c>
      <c r="CY403" s="61">
        <v>-1</v>
      </c>
      <c r="CZ403" s="48"/>
      <c r="DA403" s="48"/>
      <c r="DB403" s="48"/>
      <c r="DC403" s="48"/>
      <c r="DD403" s="48"/>
      <c r="DE403" s="48"/>
      <c r="DF403" s="48"/>
      <c r="DG403" s="48"/>
      <c r="DH403" s="48"/>
      <c r="DI403" s="48"/>
      <c r="DJ403" s="48"/>
      <c r="DK403" s="48"/>
      <c r="DL403" s="48"/>
      <c r="DM403" s="48"/>
      <c r="DN403" s="48"/>
      <c r="DO403" s="48"/>
      <c r="DP403" s="48"/>
      <c r="DQ403" s="48"/>
      <c r="DR403" s="48"/>
      <c r="DS403" s="48"/>
      <c r="DT403" s="48"/>
      <c r="DU403" s="48"/>
      <c r="DV403" s="48"/>
      <c r="DW403" s="48"/>
      <c r="DX403" s="48"/>
      <c r="DY403" s="48"/>
      <c r="DZ403" s="48"/>
      <c r="EA403" s="48"/>
      <c r="EB403" s="48"/>
      <c r="EC403" s="48"/>
      <c r="ED403" s="48"/>
    </row>
    <row r="404" spans="1:134" ht="11.25" customHeight="1" x14ac:dyDescent="0.3">
      <c r="A404" s="28" t="e">
        <f t="array" aca="1" ref="A404" ca="1">_xludf.XLOOKUP(S404,Master_Registrations!P:P,Master_Registrations!A:A,"")</f>
        <v>#NAME?</v>
      </c>
      <c r="B404" s="39" t="s">
        <v>4565</v>
      </c>
      <c r="C404" s="39">
        <v>2026</v>
      </c>
      <c r="D404" s="39" t="s">
        <v>4886</v>
      </c>
      <c r="E404" s="39">
        <v>1</v>
      </c>
      <c r="F404" s="40" t="str">
        <f t="shared" si="6"/>
        <v>VED-07-2026-GR-1</v>
      </c>
      <c r="G404" s="39" t="s">
        <v>7073</v>
      </c>
      <c r="H404" s="39" t="s">
        <v>7070</v>
      </c>
      <c r="I404" s="39" t="s">
        <v>7088</v>
      </c>
      <c r="J404" s="39" t="s">
        <v>198</v>
      </c>
      <c r="K404" s="60"/>
      <c r="L404" s="60"/>
      <c r="M404" s="60"/>
      <c r="N404" s="39" t="s">
        <v>369</v>
      </c>
      <c r="O404" s="39" t="s">
        <v>4902</v>
      </c>
      <c r="P404" s="39" t="s">
        <v>1944</v>
      </c>
      <c r="Q404" s="39" t="e">
        <f t="shared" ca="1" si="7"/>
        <v>#NAME?</v>
      </c>
      <c r="R404" s="39" t="s">
        <v>112</v>
      </c>
      <c r="S404" s="50">
        <v>9295042504</v>
      </c>
      <c r="T404" s="40" t="s">
        <v>111</v>
      </c>
      <c r="U404" s="39">
        <v>1970</v>
      </c>
      <c r="V404" s="44">
        <v>2</v>
      </c>
      <c r="W404" s="44">
        <v>2</v>
      </c>
      <c r="X404" s="44">
        <v>2</v>
      </c>
      <c r="Y404" s="44">
        <v>2</v>
      </c>
      <c r="Z404" s="44">
        <v>2</v>
      </c>
      <c r="AA404" s="44">
        <v>2</v>
      </c>
      <c r="AB404" s="44">
        <v>2</v>
      </c>
      <c r="AC404" s="44">
        <v>2</v>
      </c>
      <c r="AD404" s="44">
        <v>2</v>
      </c>
      <c r="AE404" s="44">
        <v>2</v>
      </c>
      <c r="AF404" s="44">
        <v>2</v>
      </c>
      <c r="AG404" s="44">
        <v>2</v>
      </c>
      <c r="AH404" s="44">
        <v>2</v>
      </c>
      <c r="AI404" s="87">
        <v>3</v>
      </c>
      <c r="AJ404" s="44">
        <v>2</v>
      </c>
      <c r="AK404" s="44">
        <v>2</v>
      </c>
      <c r="AL404" s="44">
        <v>2</v>
      </c>
      <c r="AM404" s="44">
        <v>2</v>
      </c>
      <c r="AN404" s="44">
        <v>2</v>
      </c>
      <c r="AO404" s="44">
        <v>2</v>
      </c>
      <c r="AP404" s="44">
        <v>2</v>
      </c>
      <c r="AQ404" s="44">
        <v>2</v>
      </c>
      <c r="AR404" s="44">
        <v>2</v>
      </c>
      <c r="AS404" s="44">
        <v>2</v>
      </c>
      <c r="AT404" s="44">
        <v>2</v>
      </c>
      <c r="AU404" s="44">
        <v>2</v>
      </c>
      <c r="AV404" s="87">
        <v>4</v>
      </c>
      <c r="AW404" s="46">
        <v>2</v>
      </c>
      <c r="AX404" s="46">
        <v>2</v>
      </c>
      <c r="AY404" s="46">
        <v>2</v>
      </c>
      <c r="AZ404" s="46">
        <v>2</v>
      </c>
      <c r="BA404" s="46">
        <v>2</v>
      </c>
      <c r="BB404" s="46">
        <v>2</v>
      </c>
      <c r="BC404" s="46">
        <v>2</v>
      </c>
      <c r="BD404" s="46">
        <v>2</v>
      </c>
      <c r="BE404" s="46">
        <v>2</v>
      </c>
      <c r="BF404" s="46">
        <v>4</v>
      </c>
      <c r="BG404" s="46">
        <v>2</v>
      </c>
      <c r="BH404" s="46">
        <v>2</v>
      </c>
      <c r="BI404" s="46">
        <v>2</v>
      </c>
      <c r="BJ404" s="46">
        <v>2</v>
      </c>
      <c r="BK404" s="46">
        <v>2</v>
      </c>
      <c r="BL404" s="46">
        <v>2</v>
      </c>
      <c r="BM404" s="46">
        <v>4</v>
      </c>
      <c r="BN404" s="46">
        <v>2</v>
      </c>
      <c r="BO404" s="46">
        <v>2</v>
      </c>
      <c r="BP404" s="46">
        <v>2</v>
      </c>
      <c r="BQ404" s="46">
        <v>2</v>
      </c>
      <c r="BR404" s="46">
        <v>2</v>
      </c>
      <c r="BS404" s="46">
        <v>2</v>
      </c>
      <c r="BT404" s="46">
        <v>2</v>
      </c>
      <c r="BU404" s="46">
        <v>2</v>
      </c>
      <c r="BV404" s="46">
        <v>4</v>
      </c>
      <c r="BW404" s="62">
        <v>1</v>
      </c>
      <c r="BX404" s="62">
        <v>1</v>
      </c>
      <c r="BY404" s="62">
        <v>1</v>
      </c>
      <c r="BZ404" s="62">
        <v>1</v>
      </c>
      <c r="CA404" s="62">
        <v>1</v>
      </c>
      <c r="CB404" s="62">
        <v>1</v>
      </c>
      <c r="CC404" s="62">
        <v>1</v>
      </c>
      <c r="CD404" s="62">
        <v>1</v>
      </c>
      <c r="CE404" s="61">
        <v>-1</v>
      </c>
      <c r="CF404" s="61"/>
      <c r="CG404" s="61"/>
      <c r="CH404" s="61"/>
      <c r="CI404" s="61"/>
      <c r="CJ404" s="61"/>
      <c r="CK404" s="61"/>
      <c r="CL404" s="61"/>
      <c r="CM404" s="61"/>
      <c r="CN404" s="62">
        <v>2</v>
      </c>
      <c r="CO404" s="62">
        <v>2</v>
      </c>
      <c r="CP404" s="62">
        <v>2</v>
      </c>
      <c r="CQ404" s="62">
        <v>2</v>
      </c>
      <c r="CR404" s="62">
        <v>2</v>
      </c>
      <c r="CS404" s="62">
        <v>2</v>
      </c>
      <c r="CT404" s="62">
        <v>2</v>
      </c>
      <c r="CU404" s="62">
        <v>2</v>
      </c>
      <c r="CV404" s="62">
        <v>2</v>
      </c>
      <c r="CW404" s="62">
        <v>2</v>
      </c>
      <c r="CX404" s="62">
        <v>2</v>
      </c>
      <c r="CY404" s="61">
        <v>-1</v>
      </c>
      <c r="CZ404" s="48"/>
      <c r="DA404" s="48"/>
      <c r="DB404" s="48"/>
      <c r="DC404" s="48"/>
      <c r="DD404" s="48"/>
      <c r="DE404" s="48"/>
      <c r="DF404" s="48"/>
      <c r="DG404" s="48"/>
      <c r="DH404" s="48"/>
      <c r="DI404" s="48"/>
      <c r="DJ404" s="48"/>
      <c r="DK404" s="48"/>
      <c r="DL404" s="48"/>
      <c r="DM404" s="48"/>
      <c r="DN404" s="48"/>
      <c r="DO404" s="48"/>
      <c r="DP404" s="48"/>
      <c r="DQ404" s="48"/>
      <c r="DR404" s="48"/>
      <c r="DS404" s="48"/>
      <c r="DT404" s="48"/>
      <c r="DU404" s="48"/>
      <c r="DV404" s="48"/>
      <c r="DW404" s="48"/>
      <c r="DX404" s="48"/>
      <c r="DY404" s="48"/>
      <c r="DZ404" s="48"/>
      <c r="EA404" s="48"/>
      <c r="EB404" s="48"/>
      <c r="EC404" s="48"/>
      <c r="ED404" s="48"/>
    </row>
    <row r="405" spans="1:134" ht="11.25" customHeight="1" x14ac:dyDescent="0.3">
      <c r="A405" s="28" t="e">
        <f t="array" aca="1" ref="A405" ca="1">_xludf.XLOOKUP(S405,Master_Registrations!P:P,Master_Registrations!A:A,"")</f>
        <v>#NAME?</v>
      </c>
      <c r="B405" s="39" t="s">
        <v>4565</v>
      </c>
      <c r="C405" s="39">
        <v>2026</v>
      </c>
      <c r="D405" s="39" t="s">
        <v>4886</v>
      </c>
      <c r="E405" s="39">
        <v>1</v>
      </c>
      <c r="F405" s="40" t="str">
        <f t="shared" si="6"/>
        <v>VED-07-2026-GR-1</v>
      </c>
      <c r="G405" s="39" t="s">
        <v>7073</v>
      </c>
      <c r="H405" s="39" t="s">
        <v>7070</v>
      </c>
      <c r="I405" s="39" t="s">
        <v>7088</v>
      </c>
      <c r="J405" s="39" t="s">
        <v>198</v>
      </c>
      <c r="K405" s="60"/>
      <c r="L405" s="60"/>
      <c r="M405" s="60"/>
      <c r="N405" s="39" t="s">
        <v>434</v>
      </c>
      <c r="O405" s="39" t="s">
        <v>4514</v>
      </c>
      <c r="P405" s="39" t="s">
        <v>5223</v>
      </c>
      <c r="Q405" s="39" t="e">
        <f t="shared" ca="1" si="7"/>
        <v>#NAME?</v>
      </c>
      <c r="R405" s="39" t="s">
        <v>112</v>
      </c>
      <c r="S405" s="50">
        <v>9848132151</v>
      </c>
      <c r="T405" s="40" t="s">
        <v>111</v>
      </c>
      <c r="U405" s="39">
        <v>1946</v>
      </c>
      <c r="V405" s="44">
        <v>2</v>
      </c>
      <c r="W405" s="44">
        <v>2</v>
      </c>
      <c r="X405" s="44">
        <v>2</v>
      </c>
      <c r="Y405" s="44">
        <v>2</v>
      </c>
      <c r="Z405" s="44">
        <v>2</v>
      </c>
      <c r="AA405" s="44">
        <v>2</v>
      </c>
      <c r="AB405" s="44">
        <v>2</v>
      </c>
      <c r="AC405" s="44">
        <v>2</v>
      </c>
      <c r="AD405" s="44">
        <v>2</v>
      </c>
      <c r="AE405" s="44">
        <v>2</v>
      </c>
      <c r="AF405" s="44">
        <v>2</v>
      </c>
      <c r="AG405" s="44">
        <v>2</v>
      </c>
      <c r="AH405" s="44">
        <v>2</v>
      </c>
      <c r="AI405" s="87">
        <v>3</v>
      </c>
      <c r="AJ405" s="44">
        <v>2</v>
      </c>
      <c r="AK405" s="44">
        <v>2</v>
      </c>
      <c r="AL405" s="44">
        <v>2</v>
      </c>
      <c r="AM405" s="44">
        <v>2</v>
      </c>
      <c r="AN405" s="44">
        <v>2</v>
      </c>
      <c r="AO405" s="44">
        <v>2</v>
      </c>
      <c r="AP405" s="44">
        <v>2</v>
      </c>
      <c r="AQ405" s="44">
        <v>2</v>
      </c>
      <c r="AR405" s="44">
        <v>2</v>
      </c>
      <c r="AS405" s="44">
        <v>2</v>
      </c>
      <c r="AT405" s="44">
        <v>2</v>
      </c>
      <c r="AU405" s="44">
        <v>2</v>
      </c>
      <c r="AV405" s="87">
        <v>3</v>
      </c>
      <c r="AW405" s="46">
        <v>2</v>
      </c>
      <c r="AX405" s="46">
        <v>2</v>
      </c>
      <c r="AY405" s="46">
        <v>2</v>
      </c>
      <c r="AZ405" s="46">
        <v>2</v>
      </c>
      <c r="BA405" s="46">
        <v>2</v>
      </c>
      <c r="BB405" s="46">
        <v>2</v>
      </c>
      <c r="BC405" s="46">
        <v>2</v>
      </c>
      <c r="BD405" s="46">
        <v>2</v>
      </c>
      <c r="BE405" s="46">
        <v>2</v>
      </c>
      <c r="BF405" s="47">
        <v>3</v>
      </c>
      <c r="BG405" s="46">
        <v>2</v>
      </c>
      <c r="BH405" s="46">
        <v>2</v>
      </c>
      <c r="BI405" s="46">
        <v>2</v>
      </c>
      <c r="BJ405" s="46">
        <v>2</v>
      </c>
      <c r="BK405" s="46">
        <v>2</v>
      </c>
      <c r="BL405" s="46">
        <v>2</v>
      </c>
      <c r="BM405" s="46">
        <v>3</v>
      </c>
      <c r="BN405" s="46">
        <v>2</v>
      </c>
      <c r="BO405" s="46">
        <v>2</v>
      </c>
      <c r="BP405" s="46">
        <v>2</v>
      </c>
      <c r="BQ405" s="46">
        <v>2</v>
      </c>
      <c r="BR405" s="46">
        <v>2</v>
      </c>
      <c r="BS405" s="46">
        <v>2</v>
      </c>
      <c r="BT405" s="46">
        <v>2</v>
      </c>
      <c r="BU405" s="46">
        <v>2</v>
      </c>
      <c r="BV405" s="46">
        <v>4</v>
      </c>
      <c r="BW405" s="62">
        <v>1</v>
      </c>
      <c r="BX405" s="62">
        <v>1</v>
      </c>
      <c r="BY405" s="62">
        <v>1</v>
      </c>
      <c r="BZ405" s="62">
        <v>1</v>
      </c>
      <c r="CA405" s="62">
        <v>1</v>
      </c>
      <c r="CB405" s="62">
        <v>1</v>
      </c>
      <c r="CC405" s="62">
        <v>1</v>
      </c>
      <c r="CD405" s="62">
        <v>1</v>
      </c>
      <c r="CE405" s="61">
        <v>-1</v>
      </c>
      <c r="CF405" s="61"/>
      <c r="CG405" s="61"/>
      <c r="CH405" s="61"/>
      <c r="CI405" s="61"/>
      <c r="CJ405" s="61"/>
      <c r="CK405" s="61"/>
      <c r="CL405" s="61"/>
      <c r="CM405" s="61"/>
      <c r="CN405" s="62">
        <v>1</v>
      </c>
      <c r="CO405" s="62">
        <v>1</v>
      </c>
      <c r="CP405" s="62">
        <v>1</v>
      </c>
      <c r="CQ405" s="62">
        <v>1</v>
      </c>
      <c r="CR405" s="62">
        <v>1</v>
      </c>
      <c r="CS405" s="62">
        <v>1</v>
      </c>
      <c r="CT405" s="62">
        <v>1</v>
      </c>
      <c r="CU405" s="62">
        <v>1</v>
      </c>
      <c r="CV405" s="62">
        <v>1</v>
      </c>
      <c r="CW405" s="62">
        <v>1</v>
      </c>
      <c r="CX405" s="62">
        <v>1</v>
      </c>
      <c r="CY405" s="61">
        <v>-1</v>
      </c>
      <c r="CZ405" s="48"/>
      <c r="DA405" s="48"/>
      <c r="DB405" s="48"/>
      <c r="DC405" s="48"/>
      <c r="DD405" s="48"/>
      <c r="DE405" s="48"/>
      <c r="DF405" s="48"/>
      <c r="DG405" s="48"/>
      <c r="DH405" s="48"/>
      <c r="DI405" s="48"/>
      <c r="DJ405" s="48"/>
      <c r="DK405" s="48"/>
      <c r="DL405" s="48"/>
      <c r="DM405" s="48"/>
      <c r="DN405" s="48"/>
      <c r="DO405" s="48"/>
      <c r="DP405" s="48"/>
      <c r="DQ405" s="48"/>
      <c r="DR405" s="48"/>
      <c r="DS405" s="48"/>
      <c r="DT405" s="48"/>
      <c r="DU405" s="48"/>
      <c r="DV405" s="48"/>
      <c r="DW405" s="48"/>
      <c r="DX405" s="48"/>
      <c r="DY405" s="48"/>
      <c r="DZ405" s="48"/>
      <c r="EA405" s="48"/>
      <c r="EB405" s="48"/>
      <c r="EC405" s="48"/>
      <c r="ED405" s="48"/>
    </row>
    <row r="406" spans="1:134" ht="11.25" customHeight="1" x14ac:dyDescent="0.3">
      <c r="A406" s="28" t="e">
        <f t="array" aca="1" ref="A406" ca="1">_xludf.XLOOKUP(S406,Master_Registrations!P:P,Master_Registrations!A:A,"")</f>
        <v>#NAME?</v>
      </c>
      <c r="B406" s="39" t="s">
        <v>4565</v>
      </c>
      <c r="C406" s="39">
        <v>2026</v>
      </c>
      <c r="D406" s="39" t="s">
        <v>4886</v>
      </c>
      <c r="E406" s="39">
        <v>1</v>
      </c>
      <c r="F406" s="40" t="str">
        <f t="shared" si="6"/>
        <v>VED-07-2026-GR-1</v>
      </c>
      <c r="G406" s="39" t="s">
        <v>7073</v>
      </c>
      <c r="H406" s="39" t="s">
        <v>7070</v>
      </c>
      <c r="I406" s="39" t="s">
        <v>7088</v>
      </c>
      <c r="J406" s="39" t="s">
        <v>198</v>
      </c>
      <c r="K406" s="60"/>
      <c r="L406" s="60"/>
      <c r="M406" s="60"/>
      <c r="N406" s="39" t="s">
        <v>525</v>
      </c>
      <c r="O406" s="39" t="s">
        <v>1747</v>
      </c>
      <c r="P406" s="39" t="s">
        <v>4029</v>
      </c>
      <c r="Q406" s="39" t="e">
        <f t="shared" ca="1" si="7"/>
        <v>#NAME?</v>
      </c>
      <c r="R406" s="39" t="s">
        <v>112</v>
      </c>
      <c r="S406" s="50">
        <v>9848369594</v>
      </c>
      <c r="T406" s="40" t="s">
        <v>111</v>
      </c>
      <c r="U406" s="39">
        <v>1960</v>
      </c>
      <c r="V406" s="44">
        <v>2</v>
      </c>
      <c r="W406" s="44">
        <v>2</v>
      </c>
      <c r="X406" s="44">
        <v>2</v>
      </c>
      <c r="Y406" s="44">
        <v>2</v>
      </c>
      <c r="Z406" s="44">
        <v>2</v>
      </c>
      <c r="AA406" s="44">
        <v>2</v>
      </c>
      <c r="AB406" s="44">
        <v>2</v>
      </c>
      <c r="AC406" s="44">
        <v>2</v>
      </c>
      <c r="AD406" s="44">
        <v>2</v>
      </c>
      <c r="AE406" s="44">
        <v>2</v>
      </c>
      <c r="AF406" s="44">
        <v>2</v>
      </c>
      <c r="AG406" s="44">
        <v>2</v>
      </c>
      <c r="AH406" s="44">
        <v>2</v>
      </c>
      <c r="AI406" s="87">
        <v>3</v>
      </c>
      <c r="AJ406" s="44">
        <v>2</v>
      </c>
      <c r="AK406" s="44">
        <v>2</v>
      </c>
      <c r="AL406" s="44">
        <v>2</v>
      </c>
      <c r="AM406" s="44">
        <v>2</v>
      </c>
      <c r="AN406" s="44">
        <v>2</v>
      </c>
      <c r="AO406" s="44">
        <v>2</v>
      </c>
      <c r="AP406" s="44">
        <v>2</v>
      </c>
      <c r="AQ406" s="44">
        <v>2</v>
      </c>
      <c r="AR406" s="44">
        <v>2</v>
      </c>
      <c r="AS406" s="44">
        <v>2</v>
      </c>
      <c r="AT406" s="44">
        <v>2</v>
      </c>
      <c r="AU406" s="44">
        <v>2</v>
      </c>
      <c r="AV406" s="46">
        <v>3</v>
      </c>
      <c r="AW406" s="46">
        <v>2</v>
      </c>
      <c r="AX406" s="46">
        <v>2</v>
      </c>
      <c r="AY406" s="46">
        <v>2</v>
      </c>
      <c r="AZ406" s="46">
        <v>2</v>
      </c>
      <c r="BA406" s="46">
        <v>2</v>
      </c>
      <c r="BB406" s="46">
        <v>2</v>
      </c>
      <c r="BC406" s="46">
        <v>2</v>
      </c>
      <c r="BD406" s="46">
        <v>2</v>
      </c>
      <c r="BE406" s="46">
        <v>2</v>
      </c>
      <c r="BF406" s="46">
        <v>3</v>
      </c>
      <c r="BG406" s="46">
        <v>2</v>
      </c>
      <c r="BH406" s="46">
        <v>2</v>
      </c>
      <c r="BI406" s="46">
        <v>2</v>
      </c>
      <c r="BJ406" s="46">
        <v>2</v>
      </c>
      <c r="BK406" s="46">
        <v>2</v>
      </c>
      <c r="BL406" s="46">
        <v>2</v>
      </c>
      <c r="BM406" s="46">
        <v>3</v>
      </c>
      <c r="BN406" s="46">
        <v>2</v>
      </c>
      <c r="BO406" s="46">
        <v>2</v>
      </c>
      <c r="BP406" s="46">
        <v>2</v>
      </c>
      <c r="BQ406" s="46">
        <v>2</v>
      </c>
      <c r="BR406" s="46">
        <v>2</v>
      </c>
      <c r="BS406" s="46">
        <v>2</v>
      </c>
      <c r="BT406" s="46">
        <v>2</v>
      </c>
      <c r="BU406" s="46">
        <v>2</v>
      </c>
      <c r="BV406" s="46">
        <v>4</v>
      </c>
      <c r="BW406" s="62">
        <v>1</v>
      </c>
      <c r="BX406" s="62">
        <v>1</v>
      </c>
      <c r="BY406" s="62">
        <v>1</v>
      </c>
      <c r="BZ406" s="62">
        <v>1</v>
      </c>
      <c r="CA406" s="62">
        <v>1</v>
      </c>
      <c r="CB406" s="62">
        <v>1</v>
      </c>
      <c r="CC406" s="62">
        <v>1</v>
      </c>
      <c r="CD406" s="62">
        <v>1</v>
      </c>
      <c r="CE406" s="61">
        <v>-1</v>
      </c>
      <c r="CF406" s="61"/>
      <c r="CG406" s="61"/>
      <c r="CH406" s="61"/>
      <c r="CI406" s="61"/>
      <c r="CJ406" s="61"/>
      <c r="CK406" s="61"/>
      <c r="CL406" s="61"/>
      <c r="CM406" s="61"/>
      <c r="CN406" s="62">
        <v>2</v>
      </c>
      <c r="CO406" s="62">
        <v>2</v>
      </c>
      <c r="CP406" s="62">
        <v>2</v>
      </c>
      <c r="CQ406" s="62">
        <v>2</v>
      </c>
      <c r="CR406" s="62">
        <v>2</v>
      </c>
      <c r="CS406" s="62">
        <v>2</v>
      </c>
      <c r="CT406" s="62">
        <v>2</v>
      </c>
      <c r="CU406" s="62">
        <v>2</v>
      </c>
      <c r="CV406" s="62">
        <v>2</v>
      </c>
      <c r="CW406" s="62">
        <v>2</v>
      </c>
      <c r="CX406" s="62">
        <v>2</v>
      </c>
      <c r="CY406" s="62">
        <v>4</v>
      </c>
      <c r="CZ406" s="48"/>
      <c r="DA406" s="48"/>
      <c r="DB406" s="48"/>
      <c r="DC406" s="48"/>
      <c r="DD406" s="48"/>
      <c r="DE406" s="48"/>
      <c r="DF406" s="48"/>
      <c r="DG406" s="48"/>
      <c r="DH406" s="48"/>
      <c r="DI406" s="48"/>
      <c r="DJ406" s="48"/>
      <c r="DK406" s="48"/>
      <c r="DL406" s="48"/>
      <c r="DM406" s="48"/>
      <c r="DN406" s="48"/>
      <c r="DO406" s="48"/>
      <c r="DP406" s="48"/>
      <c r="DQ406" s="48"/>
      <c r="DR406" s="48"/>
      <c r="DS406" s="48"/>
      <c r="DT406" s="48"/>
      <c r="DU406" s="48"/>
      <c r="DV406" s="48"/>
      <c r="DW406" s="48"/>
      <c r="DX406" s="48"/>
      <c r="DY406" s="48"/>
      <c r="DZ406" s="48"/>
      <c r="EA406" s="48"/>
      <c r="EB406" s="48"/>
      <c r="EC406" s="48"/>
      <c r="ED406" s="48"/>
    </row>
    <row r="407" spans="1:134" ht="11.25" customHeight="1" x14ac:dyDescent="0.3">
      <c r="A407" s="28" t="e">
        <f t="array" aca="1" ref="A407" ca="1">_xludf.XLOOKUP(S407,Master_Registrations!P:P,Master_Registrations!A:A,"")</f>
        <v>#NAME?</v>
      </c>
      <c r="B407" s="39" t="s">
        <v>4565</v>
      </c>
      <c r="C407" s="39">
        <v>2026</v>
      </c>
      <c r="D407" s="39" t="s">
        <v>4886</v>
      </c>
      <c r="E407" s="39">
        <v>1</v>
      </c>
      <c r="F407" s="40" t="str">
        <f t="shared" si="6"/>
        <v>VED-07-2026-GR-1</v>
      </c>
      <c r="G407" s="39" t="s">
        <v>7073</v>
      </c>
      <c r="H407" s="39" t="s">
        <v>7070</v>
      </c>
      <c r="I407" s="39" t="s">
        <v>7088</v>
      </c>
      <c r="J407" s="39" t="s">
        <v>198</v>
      </c>
      <c r="K407" s="60"/>
      <c r="L407" s="60"/>
      <c r="M407" s="60"/>
      <c r="N407" s="39" t="s">
        <v>621</v>
      </c>
      <c r="O407" s="39" t="s">
        <v>5301</v>
      </c>
      <c r="P407" s="39" t="s">
        <v>5302</v>
      </c>
      <c r="Q407" s="39" t="e">
        <f t="shared" ca="1" si="7"/>
        <v>#NAME?</v>
      </c>
      <c r="R407" s="39" t="s">
        <v>112</v>
      </c>
      <c r="S407" s="50">
        <v>9640380005</v>
      </c>
      <c r="T407" s="40" t="s">
        <v>111</v>
      </c>
      <c r="U407" s="39">
        <v>1981</v>
      </c>
      <c r="V407" s="44">
        <v>2</v>
      </c>
      <c r="W407" s="44">
        <v>2</v>
      </c>
      <c r="X407" s="44">
        <v>2</v>
      </c>
      <c r="Y407" s="44">
        <v>2</v>
      </c>
      <c r="Z407" s="44">
        <v>2</v>
      </c>
      <c r="AA407" s="44">
        <v>2</v>
      </c>
      <c r="AB407" s="44">
        <v>2</v>
      </c>
      <c r="AC407" s="44">
        <v>2</v>
      </c>
      <c r="AD407" s="44">
        <v>2</v>
      </c>
      <c r="AE407" s="44">
        <v>2</v>
      </c>
      <c r="AF407" s="44">
        <v>2</v>
      </c>
      <c r="AG407" s="44">
        <v>2</v>
      </c>
      <c r="AH407" s="44">
        <v>2</v>
      </c>
      <c r="AI407" s="87">
        <v>3</v>
      </c>
      <c r="AJ407" s="44">
        <v>2</v>
      </c>
      <c r="AK407" s="44">
        <v>2</v>
      </c>
      <c r="AL407" s="44">
        <v>2</v>
      </c>
      <c r="AM407" s="44">
        <v>2</v>
      </c>
      <c r="AN407" s="44">
        <v>2</v>
      </c>
      <c r="AO407" s="44">
        <v>2</v>
      </c>
      <c r="AP407" s="44">
        <v>2</v>
      </c>
      <c r="AQ407" s="44">
        <v>2</v>
      </c>
      <c r="AR407" s="44">
        <v>2</v>
      </c>
      <c r="AS407" s="44">
        <v>2</v>
      </c>
      <c r="AT407" s="44">
        <v>2</v>
      </c>
      <c r="AU407" s="44">
        <v>2</v>
      </c>
      <c r="AV407" s="87">
        <v>4</v>
      </c>
      <c r="AW407" s="46">
        <v>2</v>
      </c>
      <c r="AX407" s="46">
        <v>2</v>
      </c>
      <c r="AY407" s="46">
        <v>2</v>
      </c>
      <c r="AZ407" s="46">
        <v>2</v>
      </c>
      <c r="BA407" s="46">
        <v>2</v>
      </c>
      <c r="BB407" s="46">
        <v>2</v>
      </c>
      <c r="BC407" s="46">
        <v>2</v>
      </c>
      <c r="BD407" s="46">
        <v>2</v>
      </c>
      <c r="BE407" s="46">
        <v>2</v>
      </c>
      <c r="BF407" s="46">
        <v>4</v>
      </c>
      <c r="BG407" s="46">
        <v>2</v>
      </c>
      <c r="BH407" s="46">
        <v>2</v>
      </c>
      <c r="BI407" s="46">
        <v>2</v>
      </c>
      <c r="BJ407" s="46">
        <v>2</v>
      </c>
      <c r="BK407" s="46">
        <v>2</v>
      </c>
      <c r="BL407" s="46">
        <v>2</v>
      </c>
      <c r="BM407" s="46">
        <v>4</v>
      </c>
      <c r="BN407" s="46">
        <v>2</v>
      </c>
      <c r="BO407" s="46">
        <v>2</v>
      </c>
      <c r="BP407" s="46">
        <v>2</v>
      </c>
      <c r="BQ407" s="46">
        <v>2</v>
      </c>
      <c r="BR407" s="46">
        <v>2</v>
      </c>
      <c r="BS407" s="46">
        <v>2</v>
      </c>
      <c r="BT407" s="46">
        <v>2</v>
      </c>
      <c r="BU407" s="46">
        <v>2</v>
      </c>
      <c r="BV407" s="61">
        <v>-1</v>
      </c>
      <c r="BW407" s="62">
        <v>1</v>
      </c>
      <c r="BX407" s="62">
        <v>1</v>
      </c>
      <c r="BY407" s="61">
        <v>-1</v>
      </c>
      <c r="BZ407" s="61">
        <v>-1</v>
      </c>
      <c r="CA407" s="61">
        <v>-1</v>
      </c>
      <c r="CB407" s="61">
        <v>-1</v>
      </c>
      <c r="CC407" s="61">
        <v>-1</v>
      </c>
      <c r="CD407" s="61">
        <v>-1</v>
      </c>
      <c r="CE407" s="61">
        <v>-1</v>
      </c>
      <c r="CF407" s="61"/>
      <c r="CG407" s="61"/>
      <c r="CH407" s="61"/>
      <c r="CI407" s="61"/>
      <c r="CJ407" s="61"/>
      <c r="CK407" s="61"/>
      <c r="CL407" s="61"/>
      <c r="CM407" s="61"/>
      <c r="CN407" s="62">
        <v>1</v>
      </c>
      <c r="CO407" s="61">
        <v>-1</v>
      </c>
      <c r="CP407" s="61">
        <v>-1</v>
      </c>
      <c r="CQ407" s="62">
        <v>1</v>
      </c>
      <c r="CR407" s="62">
        <v>1</v>
      </c>
      <c r="CS407" s="62">
        <v>1</v>
      </c>
      <c r="CT407" s="62">
        <v>1</v>
      </c>
      <c r="CU407" s="62">
        <v>1</v>
      </c>
      <c r="CV407" s="62">
        <v>1</v>
      </c>
      <c r="CW407" s="62">
        <v>1</v>
      </c>
      <c r="CX407" s="62">
        <v>1</v>
      </c>
      <c r="CY407" s="61">
        <v>-1</v>
      </c>
      <c r="CZ407" s="48"/>
      <c r="DA407" s="48"/>
      <c r="DB407" s="48"/>
      <c r="DC407" s="48"/>
      <c r="DD407" s="48"/>
      <c r="DE407" s="48"/>
      <c r="DF407" s="48"/>
      <c r="DG407" s="48"/>
      <c r="DH407" s="48"/>
      <c r="DI407" s="48"/>
      <c r="DJ407" s="48"/>
      <c r="DK407" s="48"/>
      <c r="DL407" s="48"/>
      <c r="DM407" s="48"/>
      <c r="DN407" s="48"/>
      <c r="DO407" s="48"/>
      <c r="DP407" s="48"/>
      <c r="DQ407" s="48"/>
      <c r="DR407" s="48"/>
      <c r="DS407" s="48"/>
      <c r="DT407" s="48"/>
      <c r="DU407" s="48"/>
      <c r="DV407" s="48"/>
      <c r="DW407" s="48"/>
      <c r="DX407" s="48"/>
      <c r="DY407" s="48"/>
      <c r="DZ407" s="48"/>
      <c r="EA407" s="48"/>
      <c r="EB407" s="48"/>
      <c r="EC407" s="48"/>
      <c r="ED407" s="48"/>
    </row>
    <row r="408" spans="1:134" ht="11.25" customHeight="1" x14ac:dyDescent="0.3">
      <c r="A408" s="28" t="e">
        <f t="array" aca="1" ref="A408" ca="1">_xludf.XLOOKUP(S408,Master_Registrations!P:P,Master_Registrations!A:A,"")</f>
        <v>#NAME?</v>
      </c>
      <c r="B408" s="39" t="s">
        <v>4565</v>
      </c>
      <c r="C408" s="39">
        <v>2026</v>
      </c>
      <c r="D408" s="39" t="s">
        <v>4886</v>
      </c>
      <c r="E408" s="39">
        <v>1</v>
      </c>
      <c r="F408" s="40" t="str">
        <f t="shared" si="6"/>
        <v>VED-07-2026-GR-1</v>
      </c>
      <c r="G408" s="39" t="s">
        <v>7073</v>
      </c>
      <c r="H408" s="39" t="s">
        <v>7070</v>
      </c>
      <c r="I408" s="39" t="s">
        <v>7088</v>
      </c>
      <c r="J408" s="39" t="s">
        <v>198</v>
      </c>
      <c r="K408" s="60"/>
      <c r="L408" s="60"/>
      <c r="M408" s="60"/>
      <c r="N408" s="39" t="s">
        <v>714</v>
      </c>
      <c r="O408" s="39" t="s">
        <v>5317</v>
      </c>
      <c r="P408" s="39" t="s">
        <v>5323</v>
      </c>
      <c r="Q408" s="39" t="e">
        <f t="shared" ca="1" si="7"/>
        <v>#NAME?</v>
      </c>
      <c r="R408" s="39" t="s">
        <v>112</v>
      </c>
      <c r="S408" s="50">
        <v>8142558444</v>
      </c>
      <c r="T408" s="40" t="s">
        <v>111</v>
      </c>
      <c r="U408" s="39">
        <v>1987</v>
      </c>
      <c r="V408" s="44">
        <v>2</v>
      </c>
      <c r="W408" s="44">
        <v>2</v>
      </c>
      <c r="X408" s="44">
        <v>2</v>
      </c>
      <c r="Y408" s="44">
        <v>2</v>
      </c>
      <c r="Z408" s="44">
        <v>2</v>
      </c>
      <c r="AA408" s="44">
        <v>2</v>
      </c>
      <c r="AB408" s="44">
        <v>2</v>
      </c>
      <c r="AC408" s="44">
        <v>2</v>
      </c>
      <c r="AD408" s="44">
        <v>2</v>
      </c>
      <c r="AE408" s="44">
        <v>2</v>
      </c>
      <c r="AF408" s="44">
        <v>2</v>
      </c>
      <c r="AG408" s="44">
        <v>2</v>
      </c>
      <c r="AH408" s="44">
        <v>2</v>
      </c>
      <c r="AI408" s="87">
        <v>3</v>
      </c>
      <c r="AJ408" s="44">
        <v>2</v>
      </c>
      <c r="AK408" s="44">
        <v>2</v>
      </c>
      <c r="AL408" s="44">
        <v>2</v>
      </c>
      <c r="AM408" s="44">
        <v>2</v>
      </c>
      <c r="AN408" s="44">
        <v>2</v>
      </c>
      <c r="AO408" s="44">
        <v>2</v>
      </c>
      <c r="AP408" s="44">
        <v>2</v>
      </c>
      <c r="AQ408" s="44">
        <v>2</v>
      </c>
      <c r="AR408" s="44">
        <v>2</v>
      </c>
      <c r="AS408" s="44">
        <v>2</v>
      </c>
      <c r="AT408" s="44">
        <v>2</v>
      </c>
      <c r="AU408" s="44">
        <v>2</v>
      </c>
      <c r="AV408" s="44">
        <v>4</v>
      </c>
      <c r="AW408" s="46">
        <v>2</v>
      </c>
      <c r="AX408" s="46">
        <v>2</v>
      </c>
      <c r="AY408" s="46">
        <v>2</v>
      </c>
      <c r="AZ408" s="46">
        <v>2</v>
      </c>
      <c r="BA408" s="46">
        <v>2</v>
      </c>
      <c r="BB408" s="46">
        <v>2</v>
      </c>
      <c r="BC408" s="46">
        <v>2</v>
      </c>
      <c r="BD408" s="46">
        <v>2</v>
      </c>
      <c r="BE408" s="46">
        <v>2</v>
      </c>
      <c r="BF408" s="46">
        <v>4</v>
      </c>
      <c r="BG408" s="46">
        <v>2</v>
      </c>
      <c r="BH408" s="46">
        <v>2</v>
      </c>
      <c r="BI408" s="46">
        <v>2</v>
      </c>
      <c r="BJ408" s="46">
        <v>2</v>
      </c>
      <c r="BK408" s="46">
        <v>2</v>
      </c>
      <c r="BL408" s="46">
        <v>2</v>
      </c>
      <c r="BM408" s="46">
        <v>4</v>
      </c>
      <c r="BN408" s="46">
        <v>2</v>
      </c>
      <c r="BO408" s="46">
        <v>2</v>
      </c>
      <c r="BP408" s="46">
        <v>2</v>
      </c>
      <c r="BQ408" s="46">
        <v>2</v>
      </c>
      <c r="BR408" s="46">
        <v>2</v>
      </c>
      <c r="BS408" s="46">
        <v>2</v>
      </c>
      <c r="BT408" s="46">
        <v>2</v>
      </c>
      <c r="BU408" s="46">
        <v>2</v>
      </c>
      <c r="BV408" s="44">
        <v>4</v>
      </c>
      <c r="BW408" s="62">
        <v>1</v>
      </c>
      <c r="BX408" s="62">
        <v>1</v>
      </c>
      <c r="BY408" s="61">
        <v>-1</v>
      </c>
      <c r="BZ408" s="61">
        <v>-1</v>
      </c>
      <c r="CA408" s="61">
        <v>-1</v>
      </c>
      <c r="CB408" s="61">
        <v>-1</v>
      </c>
      <c r="CC408" s="61">
        <v>-1</v>
      </c>
      <c r="CD408" s="61">
        <v>-1</v>
      </c>
      <c r="CE408" s="61">
        <v>-1</v>
      </c>
      <c r="CF408" s="61"/>
      <c r="CG408" s="61"/>
      <c r="CH408" s="61"/>
      <c r="CI408" s="61"/>
      <c r="CJ408" s="61"/>
      <c r="CK408" s="61"/>
      <c r="CL408" s="61"/>
      <c r="CM408" s="61"/>
      <c r="CN408" s="62">
        <v>2</v>
      </c>
      <c r="CO408" s="62">
        <v>2</v>
      </c>
      <c r="CP408" s="62">
        <v>2</v>
      </c>
      <c r="CQ408" s="62">
        <v>2</v>
      </c>
      <c r="CR408" s="62">
        <v>2</v>
      </c>
      <c r="CS408" s="62">
        <v>2</v>
      </c>
      <c r="CT408" s="62">
        <v>2</v>
      </c>
      <c r="CU408" s="62">
        <v>2</v>
      </c>
      <c r="CV408" s="62">
        <v>2</v>
      </c>
      <c r="CW408" s="62">
        <v>2</v>
      </c>
      <c r="CX408" s="62">
        <v>2</v>
      </c>
      <c r="CY408" s="62">
        <v>4</v>
      </c>
      <c r="CZ408" s="48"/>
      <c r="DA408" s="48"/>
      <c r="DB408" s="48"/>
      <c r="DC408" s="48"/>
      <c r="DD408" s="48"/>
      <c r="DE408" s="48"/>
      <c r="DF408" s="48"/>
      <c r="DG408" s="48"/>
      <c r="DH408" s="48"/>
      <c r="DI408" s="48"/>
      <c r="DJ408" s="48"/>
      <c r="DK408" s="48"/>
      <c r="DL408" s="48"/>
      <c r="DM408" s="48"/>
      <c r="DN408" s="48"/>
      <c r="DO408" s="48"/>
      <c r="DP408" s="48"/>
      <c r="DQ408" s="48"/>
      <c r="DR408" s="48"/>
      <c r="DS408" s="48"/>
      <c r="DT408" s="48"/>
      <c r="DU408" s="48"/>
      <c r="DV408" s="48"/>
      <c r="DW408" s="48"/>
      <c r="DX408" s="48"/>
      <c r="DY408" s="48"/>
      <c r="DZ408" s="48"/>
      <c r="EA408" s="48"/>
      <c r="EB408" s="48"/>
      <c r="EC408" s="48"/>
      <c r="ED408" s="48"/>
    </row>
    <row r="409" spans="1:134" ht="11.25" customHeight="1" x14ac:dyDescent="0.3">
      <c r="A409" s="28" t="e">
        <f t="array" aca="1" ref="A409" ca="1">_xludf.XLOOKUP(S409,Master_Registrations!P:P,Master_Registrations!A:A,"")</f>
        <v>#NAME?</v>
      </c>
      <c r="B409" s="39" t="s">
        <v>4565</v>
      </c>
      <c r="C409" s="39">
        <v>2026</v>
      </c>
      <c r="D409" s="39" t="s">
        <v>4886</v>
      </c>
      <c r="E409" s="39">
        <v>1</v>
      </c>
      <c r="F409" s="40" t="str">
        <f t="shared" si="6"/>
        <v>VED-07-2026-GR-1</v>
      </c>
      <c r="G409" s="39" t="s">
        <v>7073</v>
      </c>
      <c r="H409" s="39" t="s">
        <v>7070</v>
      </c>
      <c r="I409" s="39" t="s">
        <v>7088</v>
      </c>
      <c r="J409" s="39" t="s">
        <v>198</v>
      </c>
      <c r="K409" s="60"/>
      <c r="L409" s="60"/>
      <c r="M409" s="60"/>
      <c r="N409" s="39" t="s">
        <v>786</v>
      </c>
      <c r="O409" s="39" t="s">
        <v>567</v>
      </c>
      <c r="P409" s="39" t="s">
        <v>520</v>
      </c>
      <c r="Q409" s="39" t="e">
        <f t="shared" ca="1" si="7"/>
        <v>#NAME?</v>
      </c>
      <c r="R409" s="39" t="s">
        <v>316</v>
      </c>
      <c r="S409" s="50">
        <v>6464363710</v>
      </c>
      <c r="T409" s="40" t="s">
        <v>315</v>
      </c>
      <c r="U409" s="39">
        <v>1983</v>
      </c>
      <c r="V409" s="46">
        <v>2</v>
      </c>
      <c r="W409" s="46">
        <v>2</v>
      </c>
      <c r="X409" s="46">
        <v>2</v>
      </c>
      <c r="Y409" s="46">
        <v>2</v>
      </c>
      <c r="Z409" s="46">
        <v>2</v>
      </c>
      <c r="AA409" s="46">
        <v>2</v>
      </c>
      <c r="AB409" s="46">
        <v>2</v>
      </c>
      <c r="AC409" s="46">
        <v>2</v>
      </c>
      <c r="AD409" s="46">
        <v>2</v>
      </c>
      <c r="AE409" s="46">
        <v>2</v>
      </c>
      <c r="AF409" s="46">
        <v>2</v>
      </c>
      <c r="AG409" s="46">
        <v>2</v>
      </c>
      <c r="AH409" s="46">
        <v>2</v>
      </c>
      <c r="AI409" s="45">
        <v>-1</v>
      </c>
      <c r="AJ409" s="46">
        <v>2</v>
      </c>
      <c r="AK409" s="46">
        <v>2</v>
      </c>
      <c r="AL409" s="46">
        <v>2</v>
      </c>
      <c r="AM409" s="46">
        <v>2</v>
      </c>
      <c r="AN409" s="46">
        <v>2</v>
      </c>
      <c r="AO409" s="46">
        <v>2</v>
      </c>
      <c r="AP409" s="46">
        <v>-1</v>
      </c>
      <c r="AQ409" s="46">
        <v>-1</v>
      </c>
      <c r="AR409" s="46">
        <v>2</v>
      </c>
      <c r="AS409" s="46">
        <v>-1</v>
      </c>
      <c r="AT409" s="46">
        <v>1</v>
      </c>
      <c r="AU409" s="46">
        <v>2</v>
      </c>
      <c r="AV409" s="45">
        <v>-1</v>
      </c>
      <c r="AW409" s="46">
        <v>1</v>
      </c>
      <c r="AX409" s="62">
        <v>1</v>
      </c>
      <c r="AY409" s="46">
        <v>2</v>
      </c>
      <c r="AZ409" s="44">
        <v>-1</v>
      </c>
      <c r="BA409" s="46">
        <v>2</v>
      </c>
      <c r="BB409" s="46">
        <v>2</v>
      </c>
      <c r="BC409" s="46">
        <v>1</v>
      </c>
      <c r="BD409" s="46">
        <v>1</v>
      </c>
      <c r="BE409" s="46">
        <v>1</v>
      </c>
      <c r="BF409" s="47">
        <v>-1</v>
      </c>
      <c r="BG409" s="46">
        <v>1</v>
      </c>
      <c r="BH409" s="46">
        <v>1</v>
      </c>
      <c r="BI409" s="46">
        <v>1</v>
      </c>
      <c r="BJ409" s="46">
        <v>1</v>
      </c>
      <c r="BK409" s="46">
        <v>1</v>
      </c>
      <c r="BL409" s="46">
        <v>1</v>
      </c>
      <c r="BM409" s="47">
        <v>-1</v>
      </c>
      <c r="BN409" s="46">
        <v>2</v>
      </c>
      <c r="BO409" s="46">
        <v>2</v>
      </c>
      <c r="BP409" s="46">
        <v>2</v>
      </c>
      <c r="BQ409" s="62">
        <v>1</v>
      </c>
      <c r="BR409" s="62">
        <v>-1</v>
      </c>
      <c r="BS409" s="62">
        <v>-1</v>
      </c>
      <c r="BT409" s="62">
        <v>-1</v>
      </c>
      <c r="BU409" s="62">
        <v>-1</v>
      </c>
      <c r="BV409" s="61">
        <v>-1</v>
      </c>
      <c r="BW409" s="62">
        <v>1</v>
      </c>
      <c r="BX409" s="62">
        <v>1</v>
      </c>
      <c r="BY409" s="61">
        <v>-1</v>
      </c>
      <c r="BZ409" s="61">
        <v>-1</v>
      </c>
      <c r="CA409" s="61">
        <v>-1</v>
      </c>
      <c r="CB409" s="61">
        <v>-1</v>
      </c>
      <c r="CC409" s="61">
        <v>-1</v>
      </c>
      <c r="CD409" s="61">
        <v>-1</v>
      </c>
      <c r="CE409" s="61">
        <v>-1</v>
      </c>
      <c r="CF409" s="61"/>
      <c r="CG409" s="61"/>
      <c r="CH409" s="61"/>
      <c r="CI409" s="61"/>
      <c r="CJ409" s="61"/>
      <c r="CK409" s="61"/>
      <c r="CL409" s="61"/>
      <c r="CM409" s="61"/>
      <c r="CN409" s="62">
        <v>1</v>
      </c>
      <c r="CO409" s="62">
        <v>1</v>
      </c>
      <c r="CP409" s="62">
        <v>1</v>
      </c>
      <c r="CQ409" s="62">
        <v>1</v>
      </c>
      <c r="CR409" s="62">
        <v>1</v>
      </c>
      <c r="CS409" s="62">
        <v>1</v>
      </c>
      <c r="CT409" s="62">
        <v>1</v>
      </c>
      <c r="CU409" s="62">
        <v>1</v>
      </c>
      <c r="CV409" s="62">
        <v>1</v>
      </c>
      <c r="CW409" s="62">
        <v>1</v>
      </c>
      <c r="CX409" s="62">
        <v>1</v>
      </c>
      <c r="CY409" s="61">
        <v>-1</v>
      </c>
      <c r="CZ409" s="48"/>
      <c r="DA409" s="48"/>
      <c r="DB409" s="48"/>
      <c r="DC409" s="48"/>
      <c r="DD409" s="48"/>
      <c r="DE409" s="48"/>
      <c r="DF409" s="48"/>
      <c r="DG409" s="48"/>
      <c r="DH409" s="48"/>
      <c r="DI409" s="48"/>
      <c r="DJ409" s="48"/>
      <c r="DK409" s="48"/>
      <c r="DL409" s="48"/>
      <c r="DM409" s="48"/>
      <c r="DN409" s="48"/>
      <c r="DO409" s="48"/>
      <c r="DP409" s="48"/>
      <c r="DQ409" s="48"/>
      <c r="DR409" s="48"/>
      <c r="DS409" s="48"/>
      <c r="DT409" s="48"/>
      <c r="DU409" s="48"/>
      <c r="DV409" s="48"/>
      <c r="DW409" s="48"/>
      <c r="DX409" s="48"/>
      <c r="DY409" s="48"/>
      <c r="DZ409" s="48"/>
      <c r="EA409" s="48"/>
      <c r="EB409" s="48"/>
      <c r="EC409" s="48"/>
      <c r="ED409" s="48"/>
    </row>
    <row r="410" spans="1:134" ht="11.25" customHeight="1" x14ac:dyDescent="0.3">
      <c r="A410" s="28" t="e">
        <f t="array" aca="1" ref="A410" ca="1">_xludf.XLOOKUP(S410,Master_Registrations!P:P,Master_Registrations!A:A,"")</f>
        <v>#NAME?</v>
      </c>
      <c r="B410" s="39" t="s">
        <v>4565</v>
      </c>
      <c r="C410" s="39">
        <v>2026</v>
      </c>
      <c r="D410" s="39" t="s">
        <v>4886</v>
      </c>
      <c r="E410" s="39">
        <v>1</v>
      </c>
      <c r="F410" s="40" t="str">
        <f t="shared" si="6"/>
        <v>VED-07-2026-GR-1</v>
      </c>
      <c r="G410" s="39" t="s">
        <v>7073</v>
      </c>
      <c r="H410" s="39" t="s">
        <v>7070</v>
      </c>
      <c r="I410" s="39" t="s">
        <v>7088</v>
      </c>
      <c r="J410" s="39" t="s">
        <v>198</v>
      </c>
      <c r="K410" s="60"/>
      <c r="L410" s="60"/>
      <c r="M410" s="60"/>
      <c r="N410" s="39" t="s">
        <v>856</v>
      </c>
      <c r="O410" s="39" t="s">
        <v>5408</v>
      </c>
      <c r="P410" s="39" t="s">
        <v>5409</v>
      </c>
      <c r="Q410" s="39" t="e">
        <f t="shared" ca="1" si="7"/>
        <v>#NAME?</v>
      </c>
      <c r="R410" s="39" t="s">
        <v>112</v>
      </c>
      <c r="S410" s="50">
        <v>8688603168</v>
      </c>
      <c r="T410" s="40" t="s">
        <v>111</v>
      </c>
      <c r="U410" s="39">
        <v>1993</v>
      </c>
      <c r="V410" s="44">
        <v>2</v>
      </c>
      <c r="W410" s="44">
        <v>2</v>
      </c>
      <c r="X410" s="44">
        <v>2</v>
      </c>
      <c r="Y410" s="44">
        <v>2</v>
      </c>
      <c r="Z410" s="44">
        <v>2</v>
      </c>
      <c r="AA410" s="44">
        <v>2</v>
      </c>
      <c r="AB410" s="44">
        <v>2</v>
      </c>
      <c r="AC410" s="44">
        <v>2</v>
      </c>
      <c r="AD410" s="44">
        <v>2</v>
      </c>
      <c r="AE410" s="44">
        <v>2</v>
      </c>
      <c r="AF410" s="44">
        <v>2</v>
      </c>
      <c r="AG410" s="44">
        <v>2</v>
      </c>
      <c r="AH410" s="44">
        <v>2</v>
      </c>
      <c r="AI410" s="87">
        <v>3</v>
      </c>
      <c r="AJ410" s="44">
        <v>2</v>
      </c>
      <c r="AK410" s="44">
        <v>2</v>
      </c>
      <c r="AL410" s="44">
        <v>2</v>
      </c>
      <c r="AM410" s="44">
        <v>2</v>
      </c>
      <c r="AN410" s="44">
        <v>2</v>
      </c>
      <c r="AO410" s="44">
        <v>2</v>
      </c>
      <c r="AP410" s="44">
        <v>2</v>
      </c>
      <c r="AQ410" s="44">
        <v>2</v>
      </c>
      <c r="AR410" s="44">
        <v>2</v>
      </c>
      <c r="AS410" s="44">
        <v>2</v>
      </c>
      <c r="AT410" s="44">
        <v>2</v>
      </c>
      <c r="AU410" s="44">
        <v>2</v>
      </c>
      <c r="AV410" s="46">
        <v>4</v>
      </c>
      <c r="AW410" s="46">
        <v>1</v>
      </c>
      <c r="AX410" s="62">
        <v>1</v>
      </c>
      <c r="AY410" s="46">
        <v>2</v>
      </c>
      <c r="AZ410" s="44">
        <v>-1</v>
      </c>
      <c r="BA410" s="46">
        <v>1</v>
      </c>
      <c r="BB410" s="46">
        <v>1</v>
      </c>
      <c r="BC410" s="46">
        <v>1</v>
      </c>
      <c r="BD410" s="46">
        <v>1</v>
      </c>
      <c r="BE410" s="46">
        <v>1</v>
      </c>
      <c r="BF410" s="47">
        <v>-1</v>
      </c>
      <c r="BG410" s="46">
        <v>1</v>
      </c>
      <c r="BH410" s="46">
        <v>1</v>
      </c>
      <c r="BI410" s="46">
        <v>1</v>
      </c>
      <c r="BJ410" s="46">
        <v>1</v>
      </c>
      <c r="BK410" s="46">
        <v>1</v>
      </c>
      <c r="BL410" s="46">
        <v>1</v>
      </c>
      <c r="BM410" s="47">
        <v>-1</v>
      </c>
      <c r="BN410" s="46">
        <v>1</v>
      </c>
      <c r="BO410" s="46">
        <v>1</v>
      </c>
      <c r="BP410" s="46">
        <v>1</v>
      </c>
      <c r="BQ410" s="62">
        <v>1</v>
      </c>
      <c r="BR410" s="62">
        <v>1</v>
      </c>
      <c r="BS410" s="62">
        <v>-1</v>
      </c>
      <c r="BT410" s="62">
        <v>-1</v>
      </c>
      <c r="BU410" s="62">
        <v>-1</v>
      </c>
      <c r="BV410" s="61">
        <v>-1</v>
      </c>
      <c r="BW410" s="62">
        <v>1</v>
      </c>
      <c r="BX410" s="62">
        <v>1</v>
      </c>
      <c r="BY410" s="61">
        <v>-1</v>
      </c>
      <c r="BZ410" s="61">
        <v>-1</v>
      </c>
      <c r="CA410" s="61">
        <v>-1</v>
      </c>
      <c r="CB410" s="61">
        <v>-1</v>
      </c>
      <c r="CC410" s="61">
        <v>-1</v>
      </c>
      <c r="CD410" s="61">
        <v>-1</v>
      </c>
      <c r="CE410" s="61">
        <v>-1</v>
      </c>
      <c r="CF410" s="61"/>
      <c r="CG410" s="61"/>
      <c r="CH410" s="61"/>
      <c r="CI410" s="61"/>
      <c r="CJ410" s="61"/>
      <c r="CK410" s="61"/>
      <c r="CL410" s="61"/>
      <c r="CM410" s="61"/>
      <c r="CN410" s="62">
        <v>1</v>
      </c>
      <c r="CO410" s="61">
        <v>-1</v>
      </c>
      <c r="CP410" s="62">
        <v>1</v>
      </c>
      <c r="CQ410" s="62">
        <v>1</v>
      </c>
      <c r="CR410" s="62">
        <v>1</v>
      </c>
      <c r="CS410" s="62">
        <v>1</v>
      </c>
      <c r="CT410" s="62">
        <v>1</v>
      </c>
      <c r="CU410" s="62">
        <v>1</v>
      </c>
      <c r="CV410" s="62">
        <v>1</v>
      </c>
      <c r="CW410" s="62">
        <v>1</v>
      </c>
      <c r="CX410" s="61">
        <v>-1</v>
      </c>
      <c r="CY410" s="61">
        <v>-1</v>
      </c>
      <c r="CZ410" s="48"/>
      <c r="DA410" s="48"/>
      <c r="DB410" s="48"/>
      <c r="DC410" s="48"/>
      <c r="DD410" s="48"/>
      <c r="DE410" s="48"/>
      <c r="DF410" s="48"/>
      <c r="DG410" s="48"/>
      <c r="DH410" s="48"/>
      <c r="DI410" s="48"/>
      <c r="DJ410" s="48"/>
      <c r="DK410" s="48"/>
      <c r="DL410" s="48"/>
      <c r="DM410" s="48"/>
      <c r="DN410" s="48"/>
      <c r="DO410" s="48"/>
      <c r="DP410" s="48"/>
      <c r="DQ410" s="48"/>
      <c r="DR410" s="48"/>
      <c r="DS410" s="48"/>
      <c r="DT410" s="48"/>
      <c r="DU410" s="48"/>
      <c r="DV410" s="48"/>
      <c r="DW410" s="48"/>
      <c r="DX410" s="48"/>
      <c r="DY410" s="48"/>
      <c r="DZ410" s="48"/>
      <c r="EA410" s="48"/>
      <c r="EB410" s="48"/>
      <c r="EC410" s="48"/>
      <c r="ED410" s="48"/>
    </row>
    <row r="411" spans="1:134" ht="11.25" customHeight="1" x14ac:dyDescent="0.3">
      <c r="A411" s="28" t="e">
        <f t="array" aca="1" ref="A411" ca="1">_xludf.XLOOKUP(S411,Master_Registrations!P:P,Master_Registrations!A:A,"")</f>
        <v>#NAME?</v>
      </c>
      <c r="B411" s="39" t="s">
        <v>4565</v>
      </c>
      <c r="C411" s="39">
        <v>2026</v>
      </c>
      <c r="D411" s="39" t="s">
        <v>4886</v>
      </c>
      <c r="E411" s="39">
        <v>1</v>
      </c>
      <c r="F411" s="40" t="str">
        <f t="shared" si="6"/>
        <v>VED-07-2026-GR-1</v>
      </c>
      <c r="G411" s="39" t="s">
        <v>7073</v>
      </c>
      <c r="H411" s="39" t="s">
        <v>7070</v>
      </c>
      <c r="I411" s="39" t="s">
        <v>7088</v>
      </c>
      <c r="J411" s="39" t="s">
        <v>198</v>
      </c>
      <c r="K411" s="60"/>
      <c r="L411" s="60"/>
      <c r="M411" s="60"/>
      <c r="N411" s="39" t="s">
        <v>915</v>
      </c>
      <c r="O411" s="39" t="s">
        <v>5440</v>
      </c>
      <c r="P411" s="39" t="s">
        <v>920</v>
      </c>
      <c r="Q411" s="39" t="e">
        <f t="shared" ca="1" si="7"/>
        <v>#NAME?</v>
      </c>
      <c r="R411" s="39" t="s">
        <v>112</v>
      </c>
      <c r="S411" s="50">
        <v>8985970832</v>
      </c>
      <c r="T411" s="40" t="s">
        <v>111</v>
      </c>
      <c r="U411" s="39">
        <v>1969</v>
      </c>
      <c r="V411" s="44">
        <v>2</v>
      </c>
      <c r="W411" s="44">
        <v>2</v>
      </c>
      <c r="X411" s="44">
        <v>2</v>
      </c>
      <c r="Y411" s="44">
        <v>2</v>
      </c>
      <c r="Z411" s="44">
        <v>2</v>
      </c>
      <c r="AA411" s="44">
        <v>2</v>
      </c>
      <c r="AB411" s="44">
        <v>2</v>
      </c>
      <c r="AC411" s="44">
        <v>2</v>
      </c>
      <c r="AD411" s="44">
        <v>2</v>
      </c>
      <c r="AE411" s="44">
        <v>2</v>
      </c>
      <c r="AF411" s="44">
        <v>2</v>
      </c>
      <c r="AG411" s="44">
        <v>2</v>
      </c>
      <c r="AH411" s="44">
        <v>2</v>
      </c>
      <c r="AI411" s="87">
        <v>3</v>
      </c>
      <c r="AJ411" s="44">
        <v>2</v>
      </c>
      <c r="AK411" s="44">
        <v>2</v>
      </c>
      <c r="AL411" s="44">
        <v>2</v>
      </c>
      <c r="AM411" s="44">
        <v>2</v>
      </c>
      <c r="AN411" s="44">
        <v>2</v>
      </c>
      <c r="AO411" s="44">
        <v>2</v>
      </c>
      <c r="AP411" s="44">
        <v>2</v>
      </c>
      <c r="AQ411" s="44">
        <v>2</v>
      </c>
      <c r="AR411" s="44">
        <v>2</v>
      </c>
      <c r="AS411" s="44">
        <v>2</v>
      </c>
      <c r="AT411" s="44">
        <v>2</v>
      </c>
      <c r="AU411" s="44">
        <v>2</v>
      </c>
      <c r="AV411" s="46">
        <v>3</v>
      </c>
      <c r="AW411" s="46">
        <v>2</v>
      </c>
      <c r="AX411" s="46">
        <v>2</v>
      </c>
      <c r="AY411" s="46">
        <v>2</v>
      </c>
      <c r="AZ411" s="46">
        <v>2</v>
      </c>
      <c r="BA411" s="46">
        <v>2</v>
      </c>
      <c r="BB411" s="46">
        <v>2</v>
      </c>
      <c r="BC411" s="46">
        <v>2</v>
      </c>
      <c r="BD411" s="46">
        <v>2</v>
      </c>
      <c r="BE411" s="46">
        <v>2</v>
      </c>
      <c r="BF411" s="46">
        <v>3</v>
      </c>
      <c r="BG411" s="46">
        <v>2</v>
      </c>
      <c r="BH411" s="46">
        <v>2</v>
      </c>
      <c r="BI411" s="46">
        <v>2</v>
      </c>
      <c r="BJ411" s="46">
        <v>2</v>
      </c>
      <c r="BK411" s="46">
        <v>2</v>
      </c>
      <c r="BL411" s="46">
        <v>2</v>
      </c>
      <c r="BM411" s="46">
        <v>3</v>
      </c>
      <c r="BN411" s="46">
        <v>2</v>
      </c>
      <c r="BO411" s="46">
        <v>2</v>
      </c>
      <c r="BP411" s="46">
        <v>2</v>
      </c>
      <c r="BQ411" s="62">
        <v>2</v>
      </c>
      <c r="BR411" s="62">
        <v>2</v>
      </c>
      <c r="BS411" s="62">
        <v>2</v>
      </c>
      <c r="BT411" s="62">
        <v>2</v>
      </c>
      <c r="BU411" s="62">
        <v>2</v>
      </c>
      <c r="BV411" s="61">
        <v>-1</v>
      </c>
      <c r="BW411" s="62">
        <v>1</v>
      </c>
      <c r="BX411" s="62">
        <v>1</v>
      </c>
      <c r="BY411" s="62">
        <v>1</v>
      </c>
      <c r="BZ411" s="62">
        <v>1</v>
      </c>
      <c r="CA411" s="61">
        <v>-1</v>
      </c>
      <c r="CB411" s="61">
        <v>-1</v>
      </c>
      <c r="CC411" s="61">
        <v>-1</v>
      </c>
      <c r="CD411" s="61">
        <v>-1</v>
      </c>
      <c r="CE411" s="61">
        <v>-1</v>
      </c>
      <c r="CF411" s="61"/>
      <c r="CG411" s="61"/>
      <c r="CH411" s="61"/>
      <c r="CI411" s="61"/>
      <c r="CJ411" s="61"/>
      <c r="CK411" s="61"/>
      <c r="CL411" s="61"/>
      <c r="CM411" s="61"/>
      <c r="CN411" s="62">
        <v>1</v>
      </c>
      <c r="CO411" s="62">
        <v>1</v>
      </c>
      <c r="CP411" s="62">
        <v>1</v>
      </c>
      <c r="CQ411" s="62">
        <v>1</v>
      </c>
      <c r="CR411" s="62">
        <v>1</v>
      </c>
      <c r="CS411" s="62">
        <v>1</v>
      </c>
      <c r="CT411" s="62">
        <v>1</v>
      </c>
      <c r="CU411" s="62">
        <v>1</v>
      </c>
      <c r="CV411" s="62">
        <v>1</v>
      </c>
      <c r="CW411" s="62">
        <v>1</v>
      </c>
      <c r="CX411" s="62">
        <v>1</v>
      </c>
      <c r="CY411" s="61">
        <v>-1</v>
      </c>
      <c r="CZ411" s="48"/>
      <c r="DA411" s="48"/>
      <c r="DB411" s="48"/>
      <c r="DC411" s="48"/>
      <c r="DD411" s="48"/>
      <c r="DE411" s="48"/>
      <c r="DF411" s="48"/>
      <c r="DG411" s="48"/>
      <c r="DH411" s="48"/>
      <c r="DI411" s="48"/>
      <c r="DJ411" s="48"/>
      <c r="DK411" s="48"/>
      <c r="DL411" s="48"/>
      <c r="DM411" s="48"/>
      <c r="DN411" s="48"/>
      <c r="DO411" s="48"/>
      <c r="DP411" s="48"/>
      <c r="DQ411" s="48"/>
      <c r="DR411" s="48"/>
      <c r="DS411" s="48"/>
      <c r="DT411" s="48"/>
      <c r="DU411" s="48"/>
      <c r="DV411" s="48"/>
      <c r="DW411" s="48"/>
      <c r="DX411" s="48"/>
      <c r="DY411" s="48"/>
      <c r="DZ411" s="48"/>
      <c r="EA411" s="48"/>
      <c r="EB411" s="48"/>
      <c r="EC411" s="48"/>
      <c r="ED411" s="48"/>
    </row>
    <row r="412" spans="1:134" ht="11.25" customHeight="1" x14ac:dyDescent="0.3">
      <c r="A412" s="28" t="e">
        <f t="array" aca="1" ref="A412" ca="1">_xludf.XLOOKUP(S412,Master_Registrations!P:P,Master_Registrations!A:A,"")</f>
        <v>#NAME?</v>
      </c>
      <c r="B412" s="39" t="s">
        <v>4565</v>
      </c>
      <c r="C412" s="39">
        <v>2026</v>
      </c>
      <c r="D412" s="39" t="s">
        <v>4886</v>
      </c>
      <c r="E412" s="39">
        <v>1</v>
      </c>
      <c r="F412" s="40" t="str">
        <f t="shared" si="6"/>
        <v>VED-07-2026-GR-1</v>
      </c>
      <c r="G412" s="39" t="s">
        <v>7073</v>
      </c>
      <c r="H412" s="39" t="s">
        <v>7070</v>
      </c>
      <c r="I412" s="39" t="s">
        <v>7088</v>
      </c>
      <c r="J412" s="39" t="s">
        <v>198</v>
      </c>
      <c r="K412" s="60"/>
      <c r="L412" s="60"/>
      <c r="M412" s="60"/>
      <c r="N412" s="39" t="s">
        <v>973</v>
      </c>
      <c r="O412" s="39" t="s">
        <v>5491</v>
      </c>
      <c r="P412" s="39" t="s">
        <v>3967</v>
      </c>
      <c r="Q412" s="39" t="e">
        <f t="shared" ca="1" si="7"/>
        <v>#NAME?</v>
      </c>
      <c r="R412" s="39" t="s">
        <v>112</v>
      </c>
      <c r="S412" s="50">
        <v>9886670347</v>
      </c>
      <c r="T412" s="40" t="s">
        <v>111</v>
      </c>
      <c r="U412" s="40">
        <v>1980</v>
      </c>
      <c r="V412" s="44">
        <v>2</v>
      </c>
      <c r="W412" s="44">
        <v>2</v>
      </c>
      <c r="X412" s="44">
        <v>2</v>
      </c>
      <c r="Y412" s="44">
        <v>2</v>
      </c>
      <c r="Z412" s="44">
        <v>2</v>
      </c>
      <c r="AA412" s="44">
        <v>2</v>
      </c>
      <c r="AB412" s="44">
        <v>2</v>
      </c>
      <c r="AC412" s="44">
        <v>2</v>
      </c>
      <c r="AD412" s="44">
        <v>2</v>
      </c>
      <c r="AE412" s="44">
        <v>2</v>
      </c>
      <c r="AF412" s="44">
        <v>2</v>
      </c>
      <c r="AG412" s="44">
        <v>2</v>
      </c>
      <c r="AH412" s="44">
        <v>2</v>
      </c>
      <c r="AI412" s="45">
        <v>-1</v>
      </c>
      <c r="AJ412" s="46">
        <v>2</v>
      </c>
      <c r="AK412" s="46">
        <v>2</v>
      </c>
      <c r="AL412" s="46">
        <v>2</v>
      </c>
      <c r="AM412" s="46">
        <v>2</v>
      </c>
      <c r="AN412" s="46">
        <v>2</v>
      </c>
      <c r="AO412" s="46">
        <v>2</v>
      </c>
      <c r="AP412" s="46">
        <v>-1</v>
      </c>
      <c r="AQ412" s="46">
        <v>-1</v>
      </c>
      <c r="AR412" s="46">
        <v>2</v>
      </c>
      <c r="AS412" s="46">
        <v>-1</v>
      </c>
      <c r="AT412" s="46">
        <v>2</v>
      </c>
      <c r="AU412" s="46">
        <v>2</v>
      </c>
      <c r="AV412" s="45">
        <v>-1</v>
      </c>
      <c r="AW412" s="46">
        <v>2</v>
      </c>
      <c r="AX412" s="46">
        <v>2</v>
      </c>
      <c r="AY412" s="46">
        <v>2</v>
      </c>
      <c r="AZ412" s="44">
        <v>-1</v>
      </c>
      <c r="BA412" s="46">
        <v>2</v>
      </c>
      <c r="BB412" s="46">
        <v>2</v>
      </c>
      <c r="BC412" s="46">
        <v>2</v>
      </c>
      <c r="BD412" s="46">
        <v>2</v>
      </c>
      <c r="BE412" s="46">
        <v>2</v>
      </c>
      <c r="BF412" s="47">
        <v>-1</v>
      </c>
      <c r="BG412" s="46">
        <v>2</v>
      </c>
      <c r="BH412" s="46">
        <v>2</v>
      </c>
      <c r="BI412" s="46">
        <v>2</v>
      </c>
      <c r="BJ412" s="46">
        <v>2</v>
      </c>
      <c r="BK412" s="46">
        <v>2</v>
      </c>
      <c r="BL412" s="46">
        <v>2</v>
      </c>
      <c r="BM412" s="47">
        <v>-1</v>
      </c>
      <c r="BN412" s="46">
        <v>2</v>
      </c>
      <c r="BO412" s="46">
        <v>2</v>
      </c>
      <c r="BP412" s="46">
        <v>2</v>
      </c>
      <c r="BQ412" s="62">
        <v>1</v>
      </c>
      <c r="BR412" s="62">
        <v>1</v>
      </c>
      <c r="BS412" s="62">
        <v>1</v>
      </c>
      <c r="BT412" s="62">
        <v>1</v>
      </c>
      <c r="BU412" s="62">
        <v>1</v>
      </c>
      <c r="BV412" s="61">
        <v>-1</v>
      </c>
      <c r="BW412" s="62">
        <v>1</v>
      </c>
      <c r="BX412" s="62">
        <v>1</v>
      </c>
      <c r="BY412" s="62">
        <v>1</v>
      </c>
      <c r="BZ412" s="62">
        <v>1</v>
      </c>
      <c r="CA412" s="61">
        <v>-1</v>
      </c>
      <c r="CB412" s="61">
        <v>-1</v>
      </c>
      <c r="CC412" s="61">
        <v>-1</v>
      </c>
      <c r="CD412" s="61">
        <v>-1</v>
      </c>
      <c r="CE412" s="61">
        <v>-1</v>
      </c>
      <c r="CF412" s="61"/>
      <c r="CG412" s="61"/>
      <c r="CH412" s="61"/>
      <c r="CI412" s="61"/>
      <c r="CJ412" s="61"/>
      <c r="CK412" s="61"/>
      <c r="CL412" s="61"/>
      <c r="CM412" s="61"/>
      <c r="CN412" s="62">
        <v>1</v>
      </c>
      <c r="CO412" s="62">
        <v>1</v>
      </c>
      <c r="CP412" s="62">
        <v>1</v>
      </c>
      <c r="CQ412" s="62">
        <v>1</v>
      </c>
      <c r="CR412" s="61">
        <v>-1</v>
      </c>
      <c r="CS412" s="61">
        <v>-1</v>
      </c>
      <c r="CT412" s="62">
        <v>1</v>
      </c>
      <c r="CU412" s="62">
        <v>1</v>
      </c>
      <c r="CV412" s="62">
        <v>1</v>
      </c>
      <c r="CW412" s="62">
        <v>1</v>
      </c>
      <c r="CX412" s="62">
        <v>1</v>
      </c>
      <c r="CY412" s="61">
        <v>-1</v>
      </c>
      <c r="CZ412" s="48"/>
      <c r="DA412" s="48"/>
      <c r="DB412" s="48"/>
      <c r="DC412" s="48"/>
      <c r="DD412" s="48"/>
      <c r="DE412" s="48"/>
      <c r="DF412" s="48"/>
      <c r="DG412" s="48"/>
      <c r="DH412" s="48"/>
      <c r="DI412" s="48"/>
      <c r="DJ412" s="48"/>
      <c r="DK412" s="48"/>
      <c r="DL412" s="48"/>
      <c r="DM412" s="48"/>
      <c r="DN412" s="48"/>
      <c r="DO412" s="48"/>
      <c r="DP412" s="48"/>
      <c r="DQ412" s="48"/>
      <c r="DR412" s="48"/>
      <c r="DS412" s="48"/>
      <c r="DT412" s="48"/>
      <c r="DU412" s="48"/>
      <c r="DV412" s="48"/>
      <c r="DW412" s="48"/>
      <c r="DX412" s="48"/>
      <c r="DY412" s="48"/>
      <c r="DZ412" s="48"/>
      <c r="EA412" s="48"/>
      <c r="EB412" s="48"/>
      <c r="EC412" s="48"/>
      <c r="ED412" s="48"/>
    </row>
    <row r="413" spans="1:134" ht="11.25" customHeight="1" x14ac:dyDescent="0.3">
      <c r="A413" s="28" t="e">
        <f t="array" aca="1" ref="A413" ca="1">_xludf.XLOOKUP(S413,Master_Registrations!P:P,Master_Registrations!A:A,"")</f>
        <v>#NAME?</v>
      </c>
      <c r="B413" s="28" t="s">
        <v>4565</v>
      </c>
      <c r="C413" s="28">
        <v>2026</v>
      </c>
      <c r="D413" s="28" t="s">
        <v>4886</v>
      </c>
      <c r="E413" s="28">
        <v>2</v>
      </c>
      <c r="F413" s="29" t="str">
        <f t="shared" si="6"/>
        <v>VED-07-2026-GR-2</v>
      </c>
      <c r="G413" s="28" t="s">
        <v>7073</v>
      </c>
      <c r="H413" s="28" t="s">
        <v>7089</v>
      </c>
      <c r="I413" s="28" t="s">
        <v>7090</v>
      </c>
      <c r="J413" s="28" t="s">
        <v>198</v>
      </c>
      <c r="K413" s="57"/>
      <c r="L413" s="57"/>
      <c r="M413" s="57"/>
      <c r="N413" s="28" t="s">
        <v>200</v>
      </c>
      <c r="O413" s="28" t="s">
        <v>5508</v>
      </c>
      <c r="P413" s="28" t="s">
        <v>5509</v>
      </c>
      <c r="Q413" s="28" t="e">
        <f t="shared" ca="1" si="7"/>
        <v>#NAME?</v>
      </c>
      <c r="R413" s="28" t="s">
        <v>316</v>
      </c>
      <c r="S413" s="55">
        <v>7046208527</v>
      </c>
      <c r="T413" s="29" t="s">
        <v>402</v>
      </c>
      <c r="U413" s="28">
        <v>1976</v>
      </c>
      <c r="V413" s="58">
        <v>2</v>
      </c>
      <c r="W413" s="58">
        <v>2</v>
      </c>
      <c r="X413" s="58">
        <v>2</v>
      </c>
      <c r="Y413" s="58">
        <v>2</v>
      </c>
      <c r="Z413" s="58">
        <v>2</v>
      </c>
      <c r="AA413" s="58">
        <v>2</v>
      </c>
      <c r="AB413" s="58">
        <v>2</v>
      </c>
      <c r="AC413" s="58">
        <v>2</v>
      </c>
      <c r="AD413" s="58">
        <v>2</v>
      </c>
      <c r="AE413" s="58">
        <v>2</v>
      </c>
      <c r="AF413" s="58">
        <v>2</v>
      </c>
      <c r="AG413" s="58">
        <v>2</v>
      </c>
      <c r="AH413" s="58">
        <v>2</v>
      </c>
      <c r="AI413" s="88">
        <v>3</v>
      </c>
      <c r="AJ413" s="58">
        <v>2</v>
      </c>
      <c r="AK413" s="58">
        <v>2</v>
      </c>
      <c r="AL413" s="58">
        <v>2</v>
      </c>
      <c r="AM413" s="58">
        <v>2</v>
      </c>
      <c r="AN413" s="58">
        <v>2</v>
      </c>
      <c r="AO413" s="58">
        <v>2</v>
      </c>
      <c r="AP413" s="58">
        <v>2</v>
      </c>
      <c r="AQ413" s="58">
        <v>2</v>
      </c>
      <c r="AR413" s="58">
        <v>2</v>
      </c>
      <c r="AS413" s="58">
        <v>2</v>
      </c>
      <c r="AT413" s="58">
        <v>2</v>
      </c>
      <c r="AU413" s="58">
        <v>2</v>
      </c>
      <c r="AV413" s="58">
        <v>4</v>
      </c>
      <c r="AW413" s="58">
        <v>2</v>
      </c>
      <c r="AX413" s="58">
        <v>2</v>
      </c>
      <c r="AY413" s="58">
        <v>2</v>
      </c>
      <c r="AZ413" s="58">
        <v>2</v>
      </c>
      <c r="BA413" s="58">
        <v>2</v>
      </c>
      <c r="BB413" s="58">
        <v>2</v>
      </c>
      <c r="BC413" s="58">
        <v>2</v>
      </c>
      <c r="BD413" s="58">
        <v>2</v>
      </c>
      <c r="BE413" s="58">
        <v>2</v>
      </c>
      <c r="BF413" s="58">
        <v>4</v>
      </c>
      <c r="BG413" s="58">
        <v>2</v>
      </c>
      <c r="BH413" s="58">
        <v>2</v>
      </c>
      <c r="BI413" s="58">
        <v>2</v>
      </c>
      <c r="BJ413" s="58">
        <v>2</v>
      </c>
      <c r="BK413" s="58">
        <v>2</v>
      </c>
      <c r="BL413" s="58">
        <v>2</v>
      </c>
      <c r="BM413" s="58">
        <v>4</v>
      </c>
      <c r="BN413" s="58">
        <v>2</v>
      </c>
      <c r="BO413" s="58">
        <v>2</v>
      </c>
      <c r="BP413" s="58">
        <v>2</v>
      </c>
      <c r="BQ413" s="84">
        <v>2</v>
      </c>
      <c r="BR413" s="84">
        <v>2</v>
      </c>
      <c r="BS413" s="84">
        <v>2</v>
      </c>
      <c r="BT413" s="84">
        <v>2</v>
      </c>
      <c r="BU413" s="84">
        <v>2</v>
      </c>
      <c r="BV413" s="85">
        <v>-1</v>
      </c>
      <c r="BW413" s="84">
        <v>2</v>
      </c>
      <c r="BX413" s="84">
        <v>2</v>
      </c>
      <c r="BY413" s="84">
        <v>1</v>
      </c>
      <c r="BZ413" s="84">
        <v>1</v>
      </c>
      <c r="CA413" s="85">
        <v>-1</v>
      </c>
      <c r="CB413" s="85">
        <v>-1</v>
      </c>
      <c r="CC413" s="85">
        <v>-1</v>
      </c>
      <c r="CD413" s="85">
        <v>-1</v>
      </c>
      <c r="CE413" s="85">
        <v>-1</v>
      </c>
      <c r="CF413" s="85">
        <v>-1</v>
      </c>
      <c r="CG413" s="85">
        <v>-1</v>
      </c>
      <c r="CH413" s="85"/>
      <c r="CI413" s="85"/>
      <c r="CJ413" s="85"/>
      <c r="CK413" s="85"/>
      <c r="CL413" s="85"/>
      <c r="CM413" s="85"/>
      <c r="CN413" s="84">
        <v>1</v>
      </c>
      <c r="CO413" s="84">
        <v>1</v>
      </c>
      <c r="CP413" s="84">
        <v>1</v>
      </c>
      <c r="CQ413" s="84">
        <v>1</v>
      </c>
      <c r="CR413" s="84">
        <v>1</v>
      </c>
      <c r="CS413" s="84">
        <v>1</v>
      </c>
      <c r="CT413" s="84">
        <v>1</v>
      </c>
      <c r="CU413" s="84">
        <v>1</v>
      </c>
      <c r="CV413" s="84">
        <v>1</v>
      </c>
      <c r="CW413" s="84">
        <v>1</v>
      </c>
      <c r="CX413" s="85">
        <v>-1</v>
      </c>
      <c r="CY413" s="85">
        <v>-1</v>
      </c>
      <c r="CZ413" s="48"/>
      <c r="DA413" s="48"/>
      <c r="DB413" s="48"/>
      <c r="DC413" s="48"/>
      <c r="DD413" s="48"/>
      <c r="DE413" s="48"/>
      <c r="DF413" s="48"/>
      <c r="DG413" s="48"/>
      <c r="DH413" s="48"/>
      <c r="DI413" s="48"/>
      <c r="DJ413" s="48"/>
      <c r="DK413" s="48"/>
      <c r="DL413" s="48"/>
      <c r="DM413" s="48"/>
      <c r="DN413" s="48"/>
      <c r="DO413" s="48"/>
      <c r="DP413" s="48"/>
      <c r="DQ413" s="48"/>
      <c r="DR413" s="48"/>
      <c r="DS413" s="48"/>
      <c r="DT413" s="48"/>
      <c r="DU413" s="48"/>
      <c r="DV413" s="48"/>
      <c r="DW413" s="48"/>
      <c r="DX413" s="48"/>
      <c r="DY413" s="48"/>
      <c r="DZ413" s="48"/>
      <c r="EA413" s="48"/>
      <c r="EB413" s="48"/>
      <c r="EC413" s="48"/>
      <c r="ED413" s="48"/>
    </row>
    <row r="414" spans="1:134" ht="11.25" customHeight="1" x14ac:dyDescent="0.3">
      <c r="A414" s="28" t="e">
        <f t="array" aca="1" ref="A414" ca="1">_xludf.XLOOKUP(S414,Master_Registrations!P:P,Master_Registrations!A:A,"")</f>
        <v>#NAME?</v>
      </c>
      <c r="B414" s="28" t="s">
        <v>4565</v>
      </c>
      <c r="C414" s="28">
        <v>2026</v>
      </c>
      <c r="D414" s="28" t="s">
        <v>4886</v>
      </c>
      <c r="E414" s="28">
        <v>2</v>
      </c>
      <c r="F414" s="29" t="str">
        <f t="shared" si="6"/>
        <v>VED-07-2026-GR-2</v>
      </c>
      <c r="G414" s="28" t="s">
        <v>7073</v>
      </c>
      <c r="H414" s="28" t="s">
        <v>7089</v>
      </c>
      <c r="I414" s="28" t="s">
        <v>7090</v>
      </c>
      <c r="J414" s="28" t="s">
        <v>198</v>
      </c>
      <c r="K414" s="57"/>
      <c r="L414" s="57"/>
      <c r="M414" s="57"/>
      <c r="N414" s="28" t="s">
        <v>299</v>
      </c>
      <c r="O414" s="28" t="s">
        <v>1380</v>
      </c>
      <c r="P414" s="28" t="s">
        <v>5091</v>
      </c>
      <c r="Q414" s="28" t="e">
        <f t="shared" ca="1" si="7"/>
        <v>#NAME?</v>
      </c>
      <c r="R414" s="28" t="s">
        <v>112</v>
      </c>
      <c r="S414" s="55">
        <v>9701015511</v>
      </c>
      <c r="T414" s="29" t="s">
        <v>111</v>
      </c>
      <c r="U414" s="28">
        <v>1984</v>
      </c>
      <c r="V414" s="58">
        <v>2</v>
      </c>
      <c r="W414" s="58">
        <v>2</v>
      </c>
      <c r="X414" s="58">
        <v>2</v>
      </c>
      <c r="Y414" s="58">
        <v>2</v>
      </c>
      <c r="Z414" s="58">
        <v>2</v>
      </c>
      <c r="AA414" s="58">
        <v>2</v>
      </c>
      <c r="AB414" s="58">
        <v>2</v>
      </c>
      <c r="AC414" s="58">
        <v>2</v>
      </c>
      <c r="AD414" s="58">
        <v>2</v>
      </c>
      <c r="AE414" s="58">
        <v>2</v>
      </c>
      <c r="AF414" s="58">
        <v>2</v>
      </c>
      <c r="AG414" s="58">
        <v>2</v>
      </c>
      <c r="AH414" s="58">
        <v>2</v>
      </c>
      <c r="AI414" s="88">
        <v>3</v>
      </c>
      <c r="AJ414" s="58">
        <v>2</v>
      </c>
      <c r="AK414" s="58">
        <v>2</v>
      </c>
      <c r="AL414" s="58">
        <v>2</v>
      </c>
      <c r="AM414" s="58">
        <v>2</v>
      </c>
      <c r="AN414" s="58">
        <v>2</v>
      </c>
      <c r="AO414" s="58">
        <v>2</v>
      </c>
      <c r="AP414" s="58">
        <v>2</v>
      </c>
      <c r="AQ414" s="58">
        <v>2</v>
      </c>
      <c r="AR414" s="58">
        <v>2</v>
      </c>
      <c r="AS414" s="58">
        <v>2</v>
      </c>
      <c r="AT414" s="58">
        <v>2</v>
      </c>
      <c r="AU414" s="58">
        <v>2</v>
      </c>
      <c r="AV414" s="88">
        <v>4</v>
      </c>
      <c r="AW414" s="58">
        <v>2</v>
      </c>
      <c r="AX414" s="58">
        <v>2</v>
      </c>
      <c r="AY414" s="58">
        <v>2</v>
      </c>
      <c r="AZ414" s="58">
        <v>2</v>
      </c>
      <c r="BA414" s="58">
        <v>2</v>
      </c>
      <c r="BB414" s="58">
        <v>2</v>
      </c>
      <c r="BC414" s="58">
        <v>2</v>
      </c>
      <c r="BD414" s="58">
        <v>2</v>
      </c>
      <c r="BE414" s="58">
        <v>2</v>
      </c>
      <c r="BF414" s="58">
        <v>4</v>
      </c>
      <c r="BG414" s="58">
        <v>2</v>
      </c>
      <c r="BH414" s="58">
        <v>2</v>
      </c>
      <c r="BI414" s="58">
        <v>2</v>
      </c>
      <c r="BJ414" s="58">
        <v>2</v>
      </c>
      <c r="BK414" s="58">
        <v>2</v>
      </c>
      <c r="BL414" s="58">
        <v>2</v>
      </c>
      <c r="BM414" s="59">
        <v>-1</v>
      </c>
      <c r="BN414" s="58">
        <v>2</v>
      </c>
      <c r="BO414" s="58">
        <v>2</v>
      </c>
      <c r="BP414" s="58">
        <v>2</v>
      </c>
      <c r="BQ414" s="84">
        <v>2</v>
      </c>
      <c r="BR414" s="84">
        <v>2</v>
      </c>
      <c r="BS414" s="84">
        <v>2</v>
      </c>
      <c r="BT414" s="84">
        <v>2</v>
      </c>
      <c r="BU414" s="84">
        <v>2</v>
      </c>
      <c r="BV414" s="85">
        <v>-1</v>
      </c>
      <c r="BW414" s="84">
        <v>2</v>
      </c>
      <c r="BX414" s="84">
        <v>2</v>
      </c>
      <c r="BY414" s="84">
        <v>1</v>
      </c>
      <c r="BZ414" s="85">
        <v>-1</v>
      </c>
      <c r="CA414" s="85">
        <v>-1</v>
      </c>
      <c r="CB414" s="85">
        <v>-1</v>
      </c>
      <c r="CC414" s="85">
        <v>-1</v>
      </c>
      <c r="CD414" s="85">
        <v>-1</v>
      </c>
      <c r="CE414" s="85">
        <v>-1</v>
      </c>
      <c r="CF414" s="85">
        <v>-1</v>
      </c>
      <c r="CG414" s="85">
        <v>-1</v>
      </c>
      <c r="CH414" s="85"/>
      <c r="CI414" s="85"/>
      <c r="CJ414" s="85"/>
      <c r="CK414" s="85"/>
      <c r="CL414" s="85"/>
      <c r="CM414" s="85"/>
      <c r="CN414" s="84">
        <v>1</v>
      </c>
      <c r="CO414" s="84">
        <v>1</v>
      </c>
      <c r="CP414" s="84">
        <v>1</v>
      </c>
      <c r="CQ414" s="84">
        <v>1</v>
      </c>
      <c r="CR414" s="84">
        <v>1</v>
      </c>
      <c r="CS414" s="84">
        <v>1</v>
      </c>
      <c r="CT414" s="84">
        <v>1</v>
      </c>
      <c r="CU414" s="84">
        <v>1</v>
      </c>
      <c r="CV414" s="84">
        <v>1</v>
      </c>
      <c r="CW414" s="84">
        <v>1</v>
      </c>
      <c r="CX414" s="84">
        <v>1</v>
      </c>
      <c r="CY414" s="85">
        <v>-1</v>
      </c>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c r="DZ414" s="34"/>
      <c r="EA414" s="34"/>
      <c r="EB414" s="34"/>
      <c r="EC414" s="34"/>
      <c r="ED414" s="34"/>
    </row>
    <row r="415" spans="1:134" ht="11.25" customHeight="1" x14ac:dyDescent="0.3">
      <c r="A415" s="28" t="e">
        <f t="array" aca="1" ref="A415" ca="1">_xludf.XLOOKUP(S415,Master_Registrations!P:P,Master_Registrations!A:A,"")</f>
        <v>#NAME?</v>
      </c>
      <c r="B415" s="28" t="s">
        <v>4565</v>
      </c>
      <c r="C415" s="28">
        <v>2026</v>
      </c>
      <c r="D415" s="28" t="s">
        <v>4886</v>
      </c>
      <c r="E415" s="28">
        <v>2</v>
      </c>
      <c r="F415" s="29" t="str">
        <f t="shared" si="6"/>
        <v>VED-07-2026-GR-2</v>
      </c>
      <c r="G415" s="28" t="s">
        <v>7073</v>
      </c>
      <c r="H415" s="28" t="s">
        <v>7089</v>
      </c>
      <c r="I415" s="28" t="s">
        <v>7090</v>
      </c>
      <c r="J415" s="28" t="s">
        <v>198</v>
      </c>
      <c r="K415" s="57"/>
      <c r="L415" s="57"/>
      <c r="M415" s="57"/>
      <c r="N415" s="28" t="s">
        <v>369</v>
      </c>
      <c r="O415" s="28" t="s">
        <v>2522</v>
      </c>
      <c r="P415" s="28" t="s">
        <v>5558</v>
      </c>
      <c r="Q415" s="28" t="e">
        <f t="shared" ca="1" si="7"/>
        <v>#NAME?</v>
      </c>
      <c r="R415" s="28" t="s">
        <v>316</v>
      </c>
      <c r="S415" s="55">
        <v>5126804268</v>
      </c>
      <c r="T415" s="29" t="s">
        <v>315</v>
      </c>
      <c r="U415" s="28">
        <v>1968</v>
      </c>
      <c r="V415" s="58">
        <v>2</v>
      </c>
      <c r="W415" s="58">
        <v>2</v>
      </c>
      <c r="X415" s="58">
        <v>2</v>
      </c>
      <c r="Y415" s="58">
        <v>2</v>
      </c>
      <c r="Z415" s="58">
        <v>2</v>
      </c>
      <c r="AA415" s="58">
        <v>2</v>
      </c>
      <c r="AB415" s="58">
        <v>2</v>
      </c>
      <c r="AC415" s="58">
        <v>2</v>
      </c>
      <c r="AD415" s="58">
        <v>2</v>
      </c>
      <c r="AE415" s="58">
        <v>2</v>
      </c>
      <c r="AF415" s="58">
        <v>2</v>
      </c>
      <c r="AG415" s="58">
        <v>2</v>
      </c>
      <c r="AH415" s="58">
        <v>2</v>
      </c>
      <c r="AI415" s="33">
        <v>-1</v>
      </c>
      <c r="AJ415" s="58">
        <v>2</v>
      </c>
      <c r="AK415" s="58">
        <v>2</v>
      </c>
      <c r="AL415" s="58">
        <v>2</v>
      </c>
      <c r="AM415" s="58">
        <v>2</v>
      </c>
      <c r="AN415" s="58">
        <v>2</v>
      </c>
      <c r="AO415" s="58">
        <v>2</v>
      </c>
      <c r="AP415" s="58">
        <v>-1</v>
      </c>
      <c r="AQ415" s="58">
        <v>2</v>
      </c>
      <c r="AR415" s="58">
        <v>2</v>
      </c>
      <c r="AS415" s="58">
        <v>2</v>
      </c>
      <c r="AT415" s="58">
        <v>2</v>
      </c>
      <c r="AU415" s="58">
        <v>2</v>
      </c>
      <c r="AV415" s="33">
        <v>-1</v>
      </c>
      <c r="AW415" s="58">
        <v>1</v>
      </c>
      <c r="AX415" s="84">
        <v>1</v>
      </c>
      <c r="AY415" s="58">
        <v>2</v>
      </c>
      <c r="AZ415" s="35">
        <v>-1</v>
      </c>
      <c r="BA415" s="58">
        <v>1</v>
      </c>
      <c r="BB415" s="58">
        <v>1</v>
      </c>
      <c r="BC415" s="58">
        <v>1</v>
      </c>
      <c r="BD415" s="58">
        <v>1</v>
      </c>
      <c r="BE415" s="58">
        <v>1</v>
      </c>
      <c r="BF415" s="59">
        <v>-1</v>
      </c>
      <c r="BG415" s="58">
        <v>1</v>
      </c>
      <c r="BH415" s="58">
        <v>1</v>
      </c>
      <c r="BI415" s="58">
        <v>1</v>
      </c>
      <c r="BJ415" s="58">
        <v>1</v>
      </c>
      <c r="BK415" s="58">
        <v>1</v>
      </c>
      <c r="BL415" s="58">
        <v>1</v>
      </c>
      <c r="BM415" s="59">
        <v>-1</v>
      </c>
      <c r="BN415" s="58">
        <v>2</v>
      </c>
      <c r="BO415" s="58">
        <v>2</v>
      </c>
      <c r="BP415" s="58">
        <v>2</v>
      </c>
      <c r="BQ415" s="84">
        <v>2</v>
      </c>
      <c r="BR415" s="84">
        <v>2</v>
      </c>
      <c r="BS415" s="84">
        <v>2</v>
      </c>
      <c r="BT415" s="84">
        <v>2</v>
      </c>
      <c r="BU415" s="84">
        <v>2</v>
      </c>
      <c r="BV415" s="85">
        <v>-1</v>
      </c>
      <c r="BW415" s="84">
        <v>2</v>
      </c>
      <c r="BX415" s="84">
        <v>2</v>
      </c>
      <c r="BY415" s="84">
        <v>1</v>
      </c>
      <c r="BZ415" s="84">
        <v>1</v>
      </c>
      <c r="CA415" s="85">
        <v>-1</v>
      </c>
      <c r="CB415" s="85">
        <v>-1</v>
      </c>
      <c r="CC415" s="85">
        <v>-1</v>
      </c>
      <c r="CD415" s="85">
        <v>-1</v>
      </c>
      <c r="CE415" s="85">
        <v>-1</v>
      </c>
      <c r="CF415" s="85">
        <v>-1</v>
      </c>
      <c r="CG415" s="85">
        <v>-1</v>
      </c>
      <c r="CH415" s="85"/>
      <c r="CI415" s="85"/>
      <c r="CJ415" s="85"/>
      <c r="CK415" s="85"/>
      <c r="CL415" s="85"/>
      <c r="CM415" s="85"/>
      <c r="CN415" s="84">
        <v>1</v>
      </c>
      <c r="CO415" s="84">
        <v>1</v>
      </c>
      <c r="CP415" s="84">
        <v>1</v>
      </c>
      <c r="CQ415" s="84">
        <v>-1</v>
      </c>
      <c r="CR415" s="85">
        <v>-1</v>
      </c>
      <c r="CS415" s="85">
        <v>-1</v>
      </c>
      <c r="CT415" s="85">
        <v>-1</v>
      </c>
      <c r="CU415" s="85">
        <v>-1</v>
      </c>
      <c r="CV415" s="84">
        <v>1</v>
      </c>
      <c r="CW415" s="84">
        <v>1</v>
      </c>
      <c r="CX415" s="84">
        <v>1</v>
      </c>
      <c r="CY415" s="85">
        <v>-1</v>
      </c>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c r="DZ415" s="34"/>
      <c r="EA415" s="34"/>
      <c r="EB415" s="34"/>
      <c r="EC415" s="34"/>
      <c r="ED415" s="34"/>
    </row>
    <row r="416" spans="1:134" ht="11.25" customHeight="1" x14ac:dyDescent="0.3">
      <c r="A416" s="28" t="e">
        <f t="array" aca="1" ref="A416" ca="1">_xludf.XLOOKUP(S416,Master_Registrations!P:P,Master_Registrations!A:A,"")</f>
        <v>#NAME?</v>
      </c>
      <c r="B416" s="28" t="s">
        <v>4565</v>
      </c>
      <c r="C416" s="28">
        <v>2026</v>
      </c>
      <c r="D416" s="28" t="s">
        <v>4886</v>
      </c>
      <c r="E416" s="28">
        <v>2</v>
      </c>
      <c r="F416" s="29" t="str">
        <f t="shared" si="6"/>
        <v>VED-07-2026-GR-2</v>
      </c>
      <c r="G416" s="28" t="s">
        <v>7073</v>
      </c>
      <c r="H416" s="28" t="s">
        <v>7089</v>
      </c>
      <c r="I416" s="28" t="s">
        <v>7090</v>
      </c>
      <c r="J416" s="28" t="s">
        <v>198</v>
      </c>
      <c r="K416" s="57"/>
      <c r="L416" s="57"/>
      <c r="M416" s="57"/>
      <c r="N416" s="28" t="s">
        <v>434</v>
      </c>
      <c r="O416" s="28" t="s">
        <v>3427</v>
      </c>
      <c r="P416" s="28" t="s">
        <v>5469</v>
      </c>
      <c r="Q416" s="28" t="e">
        <f t="shared" ca="1" si="7"/>
        <v>#NAME?</v>
      </c>
      <c r="R416" s="28" t="s">
        <v>316</v>
      </c>
      <c r="S416" s="55">
        <v>5125874280</v>
      </c>
      <c r="T416" s="29" t="s">
        <v>315</v>
      </c>
      <c r="U416" s="28">
        <v>1969</v>
      </c>
      <c r="V416" s="58">
        <v>2</v>
      </c>
      <c r="W416" s="58">
        <v>2</v>
      </c>
      <c r="X416" s="58">
        <v>2</v>
      </c>
      <c r="Y416" s="58">
        <v>2</v>
      </c>
      <c r="Z416" s="58">
        <v>2</v>
      </c>
      <c r="AA416" s="58">
        <v>2</v>
      </c>
      <c r="AB416" s="58">
        <v>2</v>
      </c>
      <c r="AC416" s="58">
        <v>2</v>
      </c>
      <c r="AD416" s="58">
        <v>2</v>
      </c>
      <c r="AE416" s="58">
        <v>2</v>
      </c>
      <c r="AF416" s="58">
        <v>2</v>
      </c>
      <c r="AG416" s="58">
        <v>2</v>
      </c>
      <c r="AH416" s="58">
        <v>2</v>
      </c>
      <c r="AI416" s="88">
        <v>3</v>
      </c>
      <c r="AJ416" s="58">
        <v>2</v>
      </c>
      <c r="AK416" s="58">
        <v>2</v>
      </c>
      <c r="AL416" s="58">
        <v>2</v>
      </c>
      <c r="AM416" s="58">
        <v>2</v>
      </c>
      <c r="AN416" s="58">
        <v>2</v>
      </c>
      <c r="AO416" s="58">
        <v>2</v>
      </c>
      <c r="AP416" s="58">
        <v>2</v>
      </c>
      <c r="AQ416" s="58">
        <v>2</v>
      </c>
      <c r="AR416" s="58">
        <v>2</v>
      </c>
      <c r="AS416" s="58">
        <v>2</v>
      </c>
      <c r="AT416" s="58">
        <v>2</v>
      </c>
      <c r="AU416" s="58">
        <v>2</v>
      </c>
      <c r="AV416" s="88">
        <v>4</v>
      </c>
      <c r="AW416" s="58">
        <v>2</v>
      </c>
      <c r="AX416" s="58">
        <v>2</v>
      </c>
      <c r="AY416" s="58">
        <v>2</v>
      </c>
      <c r="AZ416" s="58">
        <v>2</v>
      </c>
      <c r="BA416" s="58">
        <v>2</v>
      </c>
      <c r="BB416" s="58">
        <v>2</v>
      </c>
      <c r="BC416" s="58">
        <v>2</v>
      </c>
      <c r="BD416" s="58">
        <v>2</v>
      </c>
      <c r="BE416" s="58">
        <v>2</v>
      </c>
      <c r="BF416" s="58">
        <v>3</v>
      </c>
      <c r="BG416" s="58">
        <v>2</v>
      </c>
      <c r="BH416" s="58">
        <v>2</v>
      </c>
      <c r="BI416" s="58">
        <v>2</v>
      </c>
      <c r="BJ416" s="58">
        <v>2</v>
      </c>
      <c r="BK416" s="58">
        <v>2</v>
      </c>
      <c r="BL416" s="58">
        <v>2</v>
      </c>
      <c r="BM416" s="59">
        <v>-1</v>
      </c>
      <c r="BN416" s="58">
        <v>2</v>
      </c>
      <c r="BO416" s="58">
        <v>2</v>
      </c>
      <c r="BP416" s="58">
        <v>2</v>
      </c>
      <c r="BQ416" s="58">
        <v>2</v>
      </c>
      <c r="BR416" s="84">
        <v>2</v>
      </c>
      <c r="BS416" s="84">
        <v>2</v>
      </c>
      <c r="BT416" s="84">
        <v>2</v>
      </c>
      <c r="BU416" s="84">
        <v>2</v>
      </c>
      <c r="BV416" s="85">
        <v>-1</v>
      </c>
      <c r="BW416" s="84">
        <v>2</v>
      </c>
      <c r="BX416" s="84">
        <v>2</v>
      </c>
      <c r="BY416" s="84">
        <v>1</v>
      </c>
      <c r="BZ416" s="85">
        <v>-1</v>
      </c>
      <c r="CA416" s="85">
        <v>-1</v>
      </c>
      <c r="CB416" s="85">
        <v>-1</v>
      </c>
      <c r="CC416" s="85">
        <v>-1</v>
      </c>
      <c r="CD416" s="85">
        <v>-1</v>
      </c>
      <c r="CE416" s="85">
        <v>-1</v>
      </c>
      <c r="CF416" s="85">
        <v>-1</v>
      </c>
      <c r="CG416" s="85">
        <v>-1</v>
      </c>
      <c r="CH416" s="85"/>
      <c r="CI416" s="85"/>
      <c r="CJ416" s="85"/>
      <c r="CK416" s="85"/>
      <c r="CL416" s="85"/>
      <c r="CM416" s="85"/>
      <c r="CN416" s="84">
        <v>1</v>
      </c>
      <c r="CO416" s="84">
        <v>1</v>
      </c>
      <c r="CP416" s="85">
        <v>-1</v>
      </c>
      <c r="CQ416" s="85">
        <v>-1</v>
      </c>
      <c r="CR416" s="85">
        <v>-1</v>
      </c>
      <c r="CS416" s="85">
        <v>-1</v>
      </c>
      <c r="CT416" s="85">
        <v>-1</v>
      </c>
      <c r="CU416" s="85">
        <v>-1</v>
      </c>
      <c r="CV416" s="84">
        <v>1</v>
      </c>
      <c r="CW416" s="85">
        <v>-1</v>
      </c>
      <c r="CX416" s="85">
        <v>-1</v>
      </c>
      <c r="CY416" s="85">
        <v>-1</v>
      </c>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c r="DZ416" s="34"/>
      <c r="EA416" s="34"/>
      <c r="EB416" s="34"/>
      <c r="EC416" s="34"/>
      <c r="ED416" s="34"/>
    </row>
    <row r="417" spans="1:134" ht="11.25" customHeight="1" x14ac:dyDescent="0.3">
      <c r="A417" s="28" t="e">
        <f t="array" aca="1" ref="A417" ca="1">_xludf.XLOOKUP(S417,Master_Registrations!P:P,Master_Registrations!A:A,"")</f>
        <v>#NAME?</v>
      </c>
      <c r="B417" s="28" t="s">
        <v>4565</v>
      </c>
      <c r="C417" s="28">
        <v>2026</v>
      </c>
      <c r="D417" s="28" t="s">
        <v>4886</v>
      </c>
      <c r="E417" s="28">
        <v>2</v>
      </c>
      <c r="F417" s="29" t="str">
        <f t="shared" si="6"/>
        <v>VED-07-2026-GR-2</v>
      </c>
      <c r="G417" s="28" t="s">
        <v>7073</v>
      </c>
      <c r="H417" s="28" t="s">
        <v>7089</v>
      </c>
      <c r="I417" s="28" t="s">
        <v>7090</v>
      </c>
      <c r="J417" s="28" t="s">
        <v>198</v>
      </c>
      <c r="K417" s="53"/>
      <c r="L417" s="53"/>
      <c r="M417" s="53"/>
      <c r="N417" s="28" t="s">
        <v>525</v>
      </c>
      <c r="O417" s="28" t="s">
        <v>2537</v>
      </c>
      <c r="P417" s="28" t="s">
        <v>4345</v>
      </c>
      <c r="Q417" s="28" t="e">
        <f t="shared" ca="1" si="7"/>
        <v>#NAME?</v>
      </c>
      <c r="R417" s="28" t="s">
        <v>316</v>
      </c>
      <c r="S417" s="55">
        <v>4256988546</v>
      </c>
      <c r="T417" s="29" t="s">
        <v>474</v>
      </c>
      <c r="U417" s="28">
        <v>1972</v>
      </c>
      <c r="V417" s="58">
        <v>1</v>
      </c>
      <c r="W417" s="58">
        <v>1</v>
      </c>
      <c r="X417" s="58">
        <v>1</v>
      </c>
      <c r="Y417" s="58">
        <v>1</v>
      </c>
      <c r="Z417" s="58">
        <v>1</v>
      </c>
      <c r="AA417" s="58">
        <v>1</v>
      </c>
      <c r="AB417" s="58">
        <v>1</v>
      </c>
      <c r="AC417" s="58">
        <v>1</v>
      </c>
      <c r="AD417" s="58">
        <v>1</v>
      </c>
      <c r="AE417" s="58">
        <v>1</v>
      </c>
      <c r="AF417" s="58">
        <v>1</v>
      </c>
      <c r="AG417" s="58">
        <v>1</v>
      </c>
      <c r="AH417" s="58">
        <v>1</v>
      </c>
      <c r="AI417" s="33">
        <v>-1</v>
      </c>
      <c r="AJ417" s="58">
        <v>2</v>
      </c>
      <c r="AK417" s="58">
        <v>2</v>
      </c>
      <c r="AL417" s="58">
        <v>2</v>
      </c>
      <c r="AM417" s="58">
        <v>2</v>
      </c>
      <c r="AN417" s="58">
        <v>2</v>
      </c>
      <c r="AO417" s="58">
        <v>2</v>
      </c>
      <c r="AP417" s="58">
        <v>-1</v>
      </c>
      <c r="AQ417" s="58">
        <v>2</v>
      </c>
      <c r="AR417" s="58">
        <v>2</v>
      </c>
      <c r="AS417" s="58">
        <v>2</v>
      </c>
      <c r="AT417" s="58">
        <v>1</v>
      </c>
      <c r="AU417" s="58">
        <v>2</v>
      </c>
      <c r="AV417" s="33">
        <v>-1</v>
      </c>
      <c r="AW417" s="58">
        <v>-1</v>
      </c>
      <c r="AX417" s="58">
        <v>-1</v>
      </c>
      <c r="AY417" s="58">
        <v>2</v>
      </c>
      <c r="AZ417" s="35">
        <v>-1</v>
      </c>
      <c r="BA417" s="58">
        <v>1</v>
      </c>
      <c r="BB417" s="58">
        <v>1</v>
      </c>
      <c r="BC417" s="58">
        <v>-1</v>
      </c>
      <c r="BD417" s="58">
        <v>-1</v>
      </c>
      <c r="BE417" s="58">
        <v>1</v>
      </c>
      <c r="BF417" s="59">
        <v>-1</v>
      </c>
      <c r="BG417" s="58">
        <v>1</v>
      </c>
      <c r="BH417" s="58">
        <v>1</v>
      </c>
      <c r="BI417" s="58">
        <v>1</v>
      </c>
      <c r="BJ417" s="58">
        <v>1</v>
      </c>
      <c r="BK417" s="58">
        <v>1</v>
      </c>
      <c r="BL417" s="58">
        <v>1</v>
      </c>
      <c r="BM417" s="59">
        <v>-1</v>
      </c>
      <c r="BN417" s="58">
        <v>1</v>
      </c>
      <c r="BO417" s="58">
        <v>1</v>
      </c>
      <c r="BP417" s="58">
        <v>1</v>
      </c>
      <c r="BQ417" s="84">
        <v>-1</v>
      </c>
      <c r="BR417" s="84">
        <v>-1</v>
      </c>
      <c r="BS417" s="84">
        <v>-1</v>
      </c>
      <c r="BT417" s="84">
        <v>-1</v>
      </c>
      <c r="BU417" s="84">
        <v>-1</v>
      </c>
      <c r="BV417" s="85">
        <v>-1</v>
      </c>
      <c r="BW417" s="85">
        <v>-1</v>
      </c>
      <c r="BX417" s="85">
        <v>-1</v>
      </c>
      <c r="BY417" s="84">
        <v>1</v>
      </c>
      <c r="BZ417" s="85">
        <v>-1</v>
      </c>
      <c r="CA417" s="85">
        <v>-1</v>
      </c>
      <c r="CB417" s="85">
        <v>-1</v>
      </c>
      <c r="CC417" s="85">
        <v>-1</v>
      </c>
      <c r="CD417" s="85">
        <v>-1</v>
      </c>
      <c r="CE417" s="85">
        <v>-1</v>
      </c>
      <c r="CF417" s="85">
        <v>-1</v>
      </c>
      <c r="CG417" s="85">
        <v>-1</v>
      </c>
      <c r="CH417" s="85"/>
      <c r="CI417" s="85"/>
      <c r="CJ417" s="85"/>
      <c r="CK417" s="85"/>
      <c r="CL417" s="85"/>
      <c r="CM417" s="85"/>
      <c r="CN417" s="84">
        <v>1</v>
      </c>
      <c r="CO417" s="84">
        <v>1</v>
      </c>
      <c r="CP417" s="84">
        <v>1</v>
      </c>
      <c r="CQ417" s="84">
        <v>1</v>
      </c>
      <c r="CR417" s="85">
        <v>-1</v>
      </c>
      <c r="CS417" s="85">
        <v>-1</v>
      </c>
      <c r="CT417" s="85">
        <v>-1</v>
      </c>
      <c r="CU417" s="85">
        <v>-1</v>
      </c>
      <c r="CV417" s="84">
        <v>1</v>
      </c>
      <c r="CW417" s="84">
        <v>1</v>
      </c>
      <c r="CX417" s="84">
        <v>1</v>
      </c>
      <c r="CY417" s="85">
        <v>-1</v>
      </c>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row>
    <row r="418" spans="1:134" ht="11.25" customHeight="1" x14ac:dyDescent="0.3">
      <c r="A418" s="28" t="e">
        <f t="array" aca="1" ref="A418" ca="1">_xludf.XLOOKUP(S418,Master_Registrations!P:P,Master_Registrations!A:A,"")</f>
        <v>#NAME?</v>
      </c>
      <c r="B418" s="28" t="s">
        <v>4565</v>
      </c>
      <c r="C418" s="28">
        <v>2026</v>
      </c>
      <c r="D418" s="28" t="s">
        <v>4886</v>
      </c>
      <c r="E418" s="28">
        <v>2</v>
      </c>
      <c r="F418" s="29" t="str">
        <f t="shared" si="6"/>
        <v>VED-07-2026-GR-2</v>
      </c>
      <c r="G418" s="28" t="s">
        <v>7073</v>
      </c>
      <c r="H418" s="28" t="s">
        <v>7089</v>
      </c>
      <c r="I418" s="28" t="s">
        <v>7090</v>
      </c>
      <c r="J418" s="28" t="s">
        <v>198</v>
      </c>
      <c r="K418" s="57"/>
      <c r="L418" s="57"/>
      <c r="M418" s="57"/>
      <c r="N418" s="28" t="s">
        <v>621</v>
      </c>
      <c r="O418" s="28" t="s">
        <v>5615</v>
      </c>
      <c r="P418" s="28" t="s">
        <v>5616</v>
      </c>
      <c r="Q418" s="28" t="e">
        <f t="shared" ca="1" si="7"/>
        <v>#NAME?</v>
      </c>
      <c r="R418" s="28" t="s">
        <v>316</v>
      </c>
      <c r="S418" s="55">
        <v>4258898082</v>
      </c>
      <c r="T418" s="29" t="s">
        <v>474</v>
      </c>
      <c r="U418" s="28">
        <v>1963</v>
      </c>
      <c r="V418" s="58">
        <v>2</v>
      </c>
      <c r="W418" s="58">
        <v>2</v>
      </c>
      <c r="X418" s="58">
        <v>2</v>
      </c>
      <c r="Y418" s="58">
        <v>2</v>
      </c>
      <c r="Z418" s="58">
        <v>2</v>
      </c>
      <c r="AA418" s="58">
        <v>2</v>
      </c>
      <c r="AB418" s="58">
        <v>2</v>
      </c>
      <c r="AC418" s="58">
        <v>2</v>
      </c>
      <c r="AD418" s="58">
        <v>2</v>
      </c>
      <c r="AE418" s="58">
        <v>2</v>
      </c>
      <c r="AF418" s="58">
        <v>2</v>
      </c>
      <c r="AG418" s="58">
        <v>2</v>
      </c>
      <c r="AH418" s="58">
        <v>2</v>
      </c>
      <c r="AI418" s="33">
        <v>-1</v>
      </c>
      <c r="AJ418" s="58">
        <v>2</v>
      </c>
      <c r="AK418" s="58">
        <v>2</v>
      </c>
      <c r="AL418" s="58">
        <v>2</v>
      </c>
      <c r="AM418" s="58">
        <v>2</v>
      </c>
      <c r="AN418" s="58">
        <v>2</v>
      </c>
      <c r="AO418" s="58">
        <v>2</v>
      </c>
      <c r="AP418" s="58">
        <v>-1</v>
      </c>
      <c r="AQ418" s="58">
        <v>2</v>
      </c>
      <c r="AR418" s="58">
        <v>2</v>
      </c>
      <c r="AS418" s="58">
        <v>2</v>
      </c>
      <c r="AT418" s="58">
        <v>1</v>
      </c>
      <c r="AU418" s="58">
        <v>2</v>
      </c>
      <c r="AV418" s="33">
        <v>-1</v>
      </c>
      <c r="AW418" s="58">
        <v>1</v>
      </c>
      <c r="AX418" s="84">
        <v>1</v>
      </c>
      <c r="AY418" s="58">
        <v>2</v>
      </c>
      <c r="AZ418" s="35">
        <v>-1</v>
      </c>
      <c r="BA418" s="58">
        <v>2</v>
      </c>
      <c r="BB418" s="58">
        <v>2</v>
      </c>
      <c r="BC418" s="58">
        <v>1</v>
      </c>
      <c r="BD418" s="58">
        <v>1</v>
      </c>
      <c r="BE418" s="58">
        <v>1</v>
      </c>
      <c r="BF418" s="59">
        <v>-1</v>
      </c>
      <c r="BG418" s="58">
        <v>1</v>
      </c>
      <c r="BH418" s="58">
        <v>1</v>
      </c>
      <c r="BI418" s="58">
        <v>1</v>
      </c>
      <c r="BJ418" s="58">
        <v>1</v>
      </c>
      <c r="BK418" s="58">
        <v>1</v>
      </c>
      <c r="BL418" s="58">
        <v>1</v>
      </c>
      <c r="BM418" s="59">
        <v>-1</v>
      </c>
      <c r="BN418" s="58">
        <v>1</v>
      </c>
      <c r="BO418" s="58">
        <v>1</v>
      </c>
      <c r="BP418" s="58">
        <v>1</v>
      </c>
      <c r="BQ418" s="84">
        <v>-1</v>
      </c>
      <c r="BR418" s="84">
        <v>-1</v>
      </c>
      <c r="BS418" s="84">
        <v>1</v>
      </c>
      <c r="BT418" s="84">
        <v>1</v>
      </c>
      <c r="BU418" s="84">
        <v>-1</v>
      </c>
      <c r="BV418" s="85">
        <v>-1</v>
      </c>
      <c r="BW418" s="84">
        <v>2</v>
      </c>
      <c r="BX418" s="84">
        <v>2</v>
      </c>
      <c r="BY418" s="85">
        <v>-1</v>
      </c>
      <c r="BZ418" s="85">
        <v>-1</v>
      </c>
      <c r="CA418" s="85">
        <v>-1</v>
      </c>
      <c r="CB418" s="85">
        <v>-1</v>
      </c>
      <c r="CC418" s="85">
        <v>-1</v>
      </c>
      <c r="CD418" s="85">
        <v>-1</v>
      </c>
      <c r="CE418" s="85">
        <v>-1</v>
      </c>
      <c r="CF418" s="85">
        <v>-1</v>
      </c>
      <c r="CG418" s="85">
        <v>-1</v>
      </c>
      <c r="CH418" s="85"/>
      <c r="CI418" s="85"/>
      <c r="CJ418" s="85"/>
      <c r="CK418" s="85"/>
      <c r="CL418" s="85"/>
      <c r="CM418" s="85"/>
      <c r="CN418" s="84">
        <v>1</v>
      </c>
      <c r="CO418" s="84">
        <v>1</v>
      </c>
      <c r="CP418" s="84">
        <v>1</v>
      </c>
      <c r="CQ418" s="84">
        <v>1</v>
      </c>
      <c r="CR418" s="85">
        <v>-1</v>
      </c>
      <c r="CS418" s="85">
        <v>-1</v>
      </c>
      <c r="CT418" s="85">
        <v>-1</v>
      </c>
      <c r="CU418" s="85">
        <v>-1</v>
      </c>
      <c r="CV418" s="84">
        <v>1</v>
      </c>
      <c r="CW418" s="84">
        <v>1</v>
      </c>
      <c r="CX418" s="85">
        <v>-1</v>
      </c>
      <c r="CY418" s="85">
        <v>-1</v>
      </c>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c r="DZ418" s="34"/>
      <c r="EA418" s="34"/>
      <c r="EB418" s="34"/>
      <c r="EC418" s="34"/>
      <c r="ED418" s="34"/>
    </row>
    <row r="419" spans="1:134" ht="11.25" customHeight="1" x14ac:dyDescent="0.3">
      <c r="A419" s="28" t="e">
        <f t="array" aca="1" ref="A419" ca="1">_xludf.XLOOKUP(S419,Master_Registrations!P:P,Master_Registrations!A:A,"")</f>
        <v>#NAME?</v>
      </c>
      <c r="B419" s="28" t="s">
        <v>4565</v>
      </c>
      <c r="C419" s="28">
        <v>2026</v>
      </c>
      <c r="D419" s="28" t="s">
        <v>4886</v>
      </c>
      <c r="E419" s="28">
        <v>2</v>
      </c>
      <c r="F419" s="29" t="str">
        <f t="shared" si="6"/>
        <v>VED-07-2026-GR-2</v>
      </c>
      <c r="G419" s="28" t="s">
        <v>7073</v>
      </c>
      <c r="H419" s="28" t="s">
        <v>7089</v>
      </c>
      <c r="I419" s="28" t="s">
        <v>7090</v>
      </c>
      <c r="J419" s="28" t="s">
        <v>198</v>
      </c>
      <c r="K419" s="57"/>
      <c r="L419" s="57"/>
      <c r="M419" s="57"/>
      <c r="N419" s="28" t="s">
        <v>714</v>
      </c>
      <c r="O419" s="28" t="s">
        <v>5351</v>
      </c>
      <c r="P419" s="28" t="s">
        <v>731</v>
      </c>
      <c r="Q419" s="28" t="e">
        <f t="shared" ca="1" si="7"/>
        <v>#NAME?</v>
      </c>
      <c r="R419" s="28" t="s">
        <v>316</v>
      </c>
      <c r="S419" s="55">
        <v>6309456731</v>
      </c>
      <c r="T419" s="29" t="s">
        <v>315</v>
      </c>
      <c r="U419" s="28">
        <v>1972</v>
      </c>
      <c r="V419" s="58">
        <v>2</v>
      </c>
      <c r="W419" s="58">
        <v>2</v>
      </c>
      <c r="X419" s="58">
        <v>2</v>
      </c>
      <c r="Y419" s="58">
        <v>2</v>
      </c>
      <c r="Z419" s="58">
        <v>2</v>
      </c>
      <c r="AA419" s="58">
        <v>2</v>
      </c>
      <c r="AB419" s="58">
        <v>2</v>
      </c>
      <c r="AC419" s="58">
        <v>2</v>
      </c>
      <c r="AD419" s="58">
        <v>2</v>
      </c>
      <c r="AE419" s="58">
        <v>2</v>
      </c>
      <c r="AF419" s="58">
        <v>2</v>
      </c>
      <c r="AG419" s="58">
        <v>2</v>
      </c>
      <c r="AH419" s="58">
        <v>2</v>
      </c>
      <c r="AI419" s="88">
        <v>3</v>
      </c>
      <c r="AJ419" s="58">
        <v>2</v>
      </c>
      <c r="AK419" s="58">
        <v>2</v>
      </c>
      <c r="AL419" s="58">
        <v>2</v>
      </c>
      <c r="AM419" s="58">
        <v>2</v>
      </c>
      <c r="AN419" s="58">
        <v>2</v>
      </c>
      <c r="AO419" s="58">
        <v>2</v>
      </c>
      <c r="AP419" s="58">
        <v>2</v>
      </c>
      <c r="AQ419" s="58">
        <v>2</v>
      </c>
      <c r="AR419" s="58">
        <v>2</v>
      </c>
      <c r="AS419" s="58">
        <v>2</v>
      </c>
      <c r="AT419" s="58">
        <v>2</v>
      </c>
      <c r="AU419" s="58">
        <v>2</v>
      </c>
      <c r="AV419" s="58">
        <v>3</v>
      </c>
      <c r="AW419" s="58">
        <v>1</v>
      </c>
      <c r="AX419" s="84">
        <v>1</v>
      </c>
      <c r="AY419" s="58">
        <v>2</v>
      </c>
      <c r="AZ419" s="35">
        <v>-1</v>
      </c>
      <c r="BA419" s="58">
        <v>2</v>
      </c>
      <c r="BB419" s="58">
        <v>2</v>
      </c>
      <c r="BC419" s="58">
        <v>1</v>
      </c>
      <c r="BD419" s="58">
        <v>1</v>
      </c>
      <c r="BE419" s="58">
        <v>1</v>
      </c>
      <c r="BF419" s="59">
        <v>-1</v>
      </c>
      <c r="BG419" s="58">
        <v>1</v>
      </c>
      <c r="BH419" s="58">
        <v>1</v>
      </c>
      <c r="BI419" s="58">
        <v>1</v>
      </c>
      <c r="BJ419" s="58">
        <v>1</v>
      </c>
      <c r="BK419" s="58">
        <v>1</v>
      </c>
      <c r="BL419" s="58">
        <v>1</v>
      </c>
      <c r="BM419" s="59">
        <v>-1</v>
      </c>
      <c r="BN419" s="58">
        <v>1</v>
      </c>
      <c r="BO419" s="58">
        <v>1</v>
      </c>
      <c r="BP419" s="58">
        <v>1</v>
      </c>
      <c r="BQ419" s="84">
        <v>-1</v>
      </c>
      <c r="BR419" s="84">
        <v>-1</v>
      </c>
      <c r="BS419" s="84">
        <v>1</v>
      </c>
      <c r="BT419" s="84">
        <v>1</v>
      </c>
      <c r="BU419" s="84">
        <v>-1</v>
      </c>
      <c r="BV419" s="85">
        <v>-1</v>
      </c>
      <c r="BW419" s="85">
        <v>-1</v>
      </c>
      <c r="BX419" s="85">
        <v>-1</v>
      </c>
      <c r="BY419" s="84">
        <v>1</v>
      </c>
      <c r="BZ419" s="84">
        <v>1</v>
      </c>
      <c r="CA419" s="85">
        <v>-1</v>
      </c>
      <c r="CB419" s="85">
        <v>-1</v>
      </c>
      <c r="CC419" s="85">
        <v>-1</v>
      </c>
      <c r="CD419" s="85">
        <v>-1</v>
      </c>
      <c r="CE419" s="85">
        <v>-1</v>
      </c>
      <c r="CF419" s="85">
        <v>-1</v>
      </c>
      <c r="CG419" s="85">
        <v>-1</v>
      </c>
      <c r="CH419" s="85"/>
      <c r="CI419" s="85"/>
      <c r="CJ419" s="85"/>
      <c r="CK419" s="85"/>
      <c r="CL419" s="85"/>
      <c r="CM419" s="85"/>
      <c r="CN419" s="84">
        <v>1</v>
      </c>
      <c r="CO419" s="84">
        <v>1</v>
      </c>
      <c r="CP419" s="84">
        <v>1</v>
      </c>
      <c r="CQ419" s="84">
        <v>1</v>
      </c>
      <c r="CR419" s="85">
        <v>-1</v>
      </c>
      <c r="CS419" s="85">
        <v>-1</v>
      </c>
      <c r="CT419" s="85">
        <v>-1</v>
      </c>
      <c r="CU419" s="85">
        <v>-1</v>
      </c>
      <c r="CV419" s="84">
        <v>1</v>
      </c>
      <c r="CW419" s="84">
        <v>1</v>
      </c>
      <c r="CX419" s="85">
        <v>-1</v>
      </c>
      <c r="CY419" s="85">
        <v>-1</v>
      </c>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row>
    <row r="420" spans="1:134" ht="11.25" customHeight="1" x14ac:dyDescent="0.3">
      <c r="A420" s="28" t="e">
        <f t="array" aca="1" ref="A420" ca="1">_xludf.XLOOKUP(S420,Master_Registrations!P:P,Master_Registrations!A:A,"")</f>
        <v>#NAME?</v>
      </c>
      <c r="B420" s="28" t="s">
        <v>4565</v>
      </c>
      <c r="C420" s="28">
        <v>2026</v>
      </c>
      <c r="D420" s="28" t="s">
        <v>4886</v>
      </c>
      <c r="E420" s="28">
        <v>2</v>
      </c>
      <c r="F420" s="29" t="str">
        <f t="shared" si="6"/>
        <v>VED-07-2026-GR-2</v>
      </c>
      <c r="G420" s="28" t="s">
        <v>7073</v>
      </c>
      <c r="H420" s="28" t="s">
        <v>7089</v>
      </c>
      <c r="I420" s="28" t="s">
        <v>7090</v>
      </c>
      <c r="J420" s="28" t="s">
        <v>198</v>
      </c>
      <c r="K420" s="57"/>
      <c r="L420" s="57"/>
      <c r="M420" s="57"/>
      <c r="N420" s="28" t="s">
        <v>786</v>
      </c>
      <c r="O420" s="28" t="s">
        <v>4284</v>
      </c>
      <c r="P420" s="28" t="s">
        <v>5641</v>
      </c>
      <c r="Q420" s="28" t="e">
        <f t="shared" ca="1" si="7"/>
        <v>#NAME?</v>
      </c>
      <c r="R420" s="28" t="s">
        <v>316</v>
      </c>
      <c r="S420" s="55">
        <v>5126320192</v>
      </c>
      <c r="T420" s="29" t="s">
        <v>315</v>
      </c>
      <c r="U420" s="28">
        <v>1960</v>
      </c>
      <c r="V420" s="58">
        <v>2</v>
      </c>
      <c r="W420" s="58">
        <v>2</v>
      </c>
      <c r="X420" s="58">
        <v>2</v>
      </c>
      <c r="Y420" s="58">
        <v>2</v>
      </c>
      <c r="Z420" s="58">
        <v>2</v>
      </c>
      <c r="AA420" s="58">
        <v>2</v>
      </c>
      <c r="AB420" s="58">
        <v>2</v>
      </c>
      <c r="AC420" s="58">
        <v>2</v>
      </c>
      <c r="AD420" s="58">
        <v>2</v>
      </c>
      <c r="AE420" s="58">
        <v>2</v>
      </c>
      <c r="AF420" s="58">
        <v>2</v>
      </c>
      <c r="AG420" s="58">
        <v>2</v>
      </c>
      <c r="AH420" s="58">
        <v>2</v>
      </c>
      <c r="AI420" s="33">
        <v>-1</v>
      </c>
      <c r="AJ420" s="58">
        <v>2</v>
      </c>
      <c r="AK420" s="58">
        <v>2</v>
      </c>
      <c r="AL420" s="58">
        <v>2</v>
      </c>
      <c r="AM420" s="58">
        <v>2</v>
      </c>
      <c r="AN420" s="58">
        <v>2</v>
      </c>
      <c r="AO420" s="58">
        <v>2</v>
      </c>
      <c r="AP420" s="58">
        <v>-1</v>
      </c>
      <c r="AQ420" s="58">
        <v>2</v>
      </c>
      <c r="AR420" s="58">
        <v>2</v>
      </c>
      <c r="AS420" s="58">
        <v>2</v>
      </c>
      <c r="AT420" s="58">
        <v>1</v>
      </c>
      <c r="AU420" s="58">
        <v>2</v>
      </c>
      <c r="AV420" s="33">
        <v>-1</v>
      </c>
      <c r="AW420" s="58">
        <v>1</v>
      </c>
      <c r="AX420" s="84">
        <v>1</v>
      </c>
      <c r="AY420" s="58">
        <v>2</v>
      </c>
      <c r="AZ420" s="35">
        <v>-1</v>
      </c>
      <c r="BA420" s="58">
        <v>2</v>
      </c>
      <c r="BB420" s="58">
        <v>2</v>
      </c>
      <c r="BC420" s="58">
        <v>1</v>
      </c>
      <c r="BD420" s="58">
        <v>1</v>
      </c>
      <c r="BE420" s="58">
        <v>1</v>
      </c>
      <c r="BF420" s="59">
        <v>-1</v>
      </c>
      <c r="BG420" s="58">
        <v>2</v>
      </c>
      <c r="BH420" s="58">
        <v>2</v>
      </c>
      <c r="BI420" s="58">
        <v>2</v>
      </c>
      <c r="BJ420" s="58">
        <v>2</v>
      </c>
      <c r="BK420" s="58">
        <v>1</v>
      </c>
      <c r="BL420" s="58">
        <v>1</v>
      </c>
      <c r="BM420" s="59">
        <v>-1</v>
      </c>
      <c r="BN420" s="58">
        <v>1</v>
      </c>
      <c r="BO420" s="58">
        <v>1</v>
      </c>
      <c r="BP420" s="58">
        <v>1</v>
      </c>
      <c r="BQ420" s="84">
        <v>1</v>
      </c>
      <c r="BR420" s="84">
        <v>1</v>
      </c>
      <c r="BS420" s="84">
        <v>1</v>
      </c>
      <c r="BT420" s="84">
        <v>1</v>
      </c>
      <c r="BU420" s="84">
        <v>1</v>
      </c>
      <c r="BV420" s="85">
        <v>-1</v>
      </c>
      <c r="BW420" s="84">
        <v>2</v>
      </c>
      <c r="BX420" s="84">
        <v>2</v>
      </c>
      <c r="BY420" s="84">
        <v>1</v>
      </c>
      <c r="BZ420" s="84">
        <v>1</v>
      </c>
      <c r="CA420" s="85">
        <v>-1</v>
      </c>
      <c r="CB420" s="85">
        <v>-1</v>
      </c>
      <c r="CC420" s="85">
        <v>-1</v>
      </c>
      <c r="CD420" s="85">
        <v>-1</v>
      </c>
      <c r="CE420" s="85">
        <v>-1</v>
      </c>
      <c r="CF420" s="85">
        <v>-1</v>
      </c>
      <c r="CG420" s="85">
        <v>-1</v>
      </c>
      <c r="CH420" s="85"/>
      <c r="CI420" s="85"/>
      <c r="CJ420" s="85"/>
      <c r="CK420" s="85"/>
      <c r="CL420" s="85"/>
      <c r="CM420" s="85"/>
      <c r="CN420" s="84">
        <v>1</v>
      </c>
      <c r="CO420" s="84">
        <v>1</v>
      </c>
      <c r="CP420" s="84">
        <v>1</v>
      </c>
      <c r="CQ420" s="84">
        <v>1</v>
      </c>
      <c r="CR420" s="84">
        <v>1</v>
      </c>
      <c r="CS420" s="84">
        <v>1</v>
      </c>
      <c r="CT420" s="84">
        <v>1</v>
      </c>
      <c r="CU420" s="84">
        <v>1</v>
      </c>
      <c r="CV420" s="84">
        <v>1</v>
      </c>
      <c r="CW420" s="84">
        <v>1</v>
      </c>
      <c r="CX420" s="84">
        <v>1</v>
      </c>
      <c r="CY420" s="85">
        <v>-1</v>
      </c>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c r="DZ420" s="34"/>
      <c r="EA420" s="34"/>
      <c r="EB420" s="34"/>
      <c r="EC420" s="34"/>
      <c r="ED420" s="34"/>
    </row>
    <row r="421" spans="1:134" ht="11.25" customHeight="1" x14ac:dyDescent="0.3">
      <c r="A421" s="28" t="e">
        <f t="array" aca="1" ref="A421" ca="1">_xludf.XLOOKUP(S421,Master_Registrations!P:P,Master_Registrations!A:A,"")</f>
        <v>#NAME?</v>
      </c>
      <c r="B421" s="39" t="s">
        <v>7091</v>
      </c>
      <c r="C421" s="39">
        <v>2025</v>
      </c>
      <c r="D421" s="39" t="s">
        <v>4886</v>
      </c>
      <c r="E421" s="39">
        <v>1</v>
      </c>
      <c r="F421" s="40" t="str">
        <f t="shared" si="6"/>
        <v>VED-08-2025-GR-1</v>
      </c>
      <c r="G421" s="39" t="s">
        <v>7073</v>
      </c>
      <c r="H421" s="39" t="s">
        <v>7092</v>
      </c>
      <c r="I421" s="39" t="s">
        <v>5188</v>
      </c>
      <c r="J421" s="39" t="s">
        <v>198</v>
      </c>
      <c r="K421" s="60"/>
      <c r="L421" s="60"/>
      <c r="M421" s="60"/>
      <c r="N421" s="39" t="s">
        <v>200</v>
      </c>
      <c r="O421" s="39" t="s">
        <v>2987</v>
      </c>
      <c r="P421" s="39" t="s">
        <v>4840</v>
      </c>
      <c r="Q421" s="39" t="e">
        <f t="shared" ca="1" si="7"/>
        <v>#NAME?</v>
      </c>
      <c r="R421" s="39" t="s">
        <v>112</v>
      </c>
      <c r="S421" s="50">
        <v>8008302195</v>
      </c>
      <c r="T421" s="40" t="s">
        <v>111</v>
      </c>
      <c r="U421" s="39">
        <v>1973</v>
      </c>
      <c r="V421" s="44">
        <v>2</v>
      </c>
      <c r="W421" s="44">
        <v>2</v>
      </c>
      <c r="X421" s="44">
        <v>2</v>
      </c>
      <c r="Y421" s="44">
        <v>2</v>
      </c>
      <c r="Z421" s="44">
        <v>2</v>
      </c>
      <c r="AA421" s="44">
        <v>2</v>
      </c>
      <c r="AB421" s="44">
        <v>2</v>
      </c>
      <c r="AC421" s="44">
        <v>2</v>
      </c>
      <c r="AD421" s="44">
        <v>2</v>
      </c>
      <c r="AE421" s="44">
        <v>2</v>
      </c>
      <c r="AF421" s="44">
        <v>2</v>
      </c>
      <c r="AG421" s="44">
        <v>2</v>
      </c>
      <c r="AH421" s="44">
        <v>2</v>
      </c>
      <c r="AI421" s="44">
        <v>3</v>
      </c>
      <c r="AJ421" s="44">
        <v>2</v>
      </c>
      <c r="AK421" s="44">
        <v>2</v>
      </c>
      <c r="AL421" s="44">
        <v>2</v>
      </c>
      <c r="AM421" s="44">
        <v>2</v>
      </c>
      <c r="AN421" s="44">
        <v>2</v>
      </c>
      <c r="AO421" s="44">
        <v>2</v>
      </c>
      <c r="AP421" s="44">
        <v>2</v>
      </c>
      <c r="AQ421" s="44">
        <v>2</v>
      </c>
      <c r="AR421" s="44">
        <v>2</v>
      </c>
      <c r="AS421" s="44">
        <v>2</v>
      </c>
      <c r="AT421" s="44">
        <v>2</v>
      </c>
      <c r="AU421" s="44">
        <v>2</v>
      </c>
      <c r="AV421" s="46">
        <v>3</v>
      </c>
      <c r="AW421" s="46">
        <v>1</v>
      </c>
      <c r="AX421" s="62">
        <v>1</v>
      </c>
      <c r="AY421" s="45">
        <v>1</v>
      </c>
      <c r="AZ421" s="44">
        <v>-1</v>
      </c>
      <c r="BA421" s="44">
        <v>1</v>
      </c>
      <c r="BB421" s="44">
        <v>1</v>
      </c>
      <c r="BC421" s="46">
        <v>1</v>
      </c>
      <c r="BD421" s="46">
        <v>1</v>
      </c>
      <c r="BE421" s="46">
        <v>1</v>
      </c>
      <c r="BF421" s="47">
        <v>-1</v>
      </c>
      <c r="BG421" s="46">
        <v>1</v>
      </c>
      <c r="BH421" s="46">
        <v>1</v>
      </c>
      <c r="BI421" s="46">
        <v>1</v>
      </c>
      <c r="BJ421" s="46">
        <v>1</v>
      </c>
      <c r="BK421" s="46">
        <v>1</v>
      </c>
      <c r="BL421" s="46">
        <v>1</v>
      </c>
      <c r="BM421" s="47">
        <v>-1</v>
      </c>
      <c r="BN421" s="46">
        <v>1</v>
      </c>
      <c r="BO421" s="46">
        <v>1</v>
      </c>
      <c r="BP421" s="46">
        <v>1</v>
      </c>
      <c r="BQ421" s="46">
        <v>1</v>
      </c>
      <c r="BR421" s="46">
        <v>1</v>
      </c>
      <c r="BS421" s="62">
        <v>1</v>
      </c>
      <c r="BT421" s="62">
        <v>1</v>
      </c>
      <c r="BU421" s="62">
        <v>1</v>
      </c>
      <c r="BV421" s="61">
        <v>-1</v>
      </c>
      <c r="BW421" s="44">
        <v>1</v>
      </c>
      <c r="BX421" s="44">
        <v>1</v>
      </c>
      <c r="BY421" s="46">
        <v>-1</v>
      </c>
      <c r="BZ421" s="46">
        <v>-1</v>
      </c>
      <c r="CA421" s="46">
        <v>-1</v>
      </c>
      <c r="CB421" s="46">
        <v>-1</v>
      </c>
      <c r="CC421" s="46">
        <v>-1</v>
      </c>
      <c r="CD421" s="46">
        <v>-1</v>
      </c>
      <c r="CE421" s="61">
        <v>-1</v>
      </c>
      <c r="CF421" s="61">
        <v>-1</v>
      </c>
      <c r="CG421" s="61">
        <v>-1</v>
      </c>
      <c r="CH421" s="61"/>
      <c r="CI421" s="61"/>
      <c r="CJ421" s="61"/>
      <c r="CK421" s="61"/>
      <c r="CL421" s="61"/>
      <c r="CM421" s="61"/>
      <c r="CN421" s="44">
        <v>1</v>
      </c>
      <c r="CO421" s="44">
        <v>1</v>
      </c>
      <c r="CP421" s="44">
        <v>1</v>
      </c>
      <c r="CQ421" s="44">
        <v>1</v>
      </c>
      <c r="CR421" s="44">
        <v>1</v>
      </c>
      <c r="CS421" s="44">
        <v>1</v>
      </c>
      <c r="CT421" s="45">
        <v>-1</v>
      </c>
      <c r="CU421" s="45">
        <v>-1</v>
      </c>
      <c r="CV421" s="45">
        <v>-1</v>
      </c>
      <c r="CW421" s="45">
        <v>-1</v>
      </c>
      <c r="CX421" s="45">
        <v>-1</v>
      </c>
      <c r="CY421" s="61">
        <v>-1</v>
      </c>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row>
    <row r="422" spans="1:134" ht="11.25" customHeight="1" x14ac:dyDescent="0.3">
      <c r="A422" s="28" t="e">
        <f t="array" aca="1" ref="A422" ca="1">_xludf.XLOOKUP(S422,Master_Registrations!P:P,Master_Registrations!A:A,"")</f>
        <v>#NAME?</v>
      </c>
      <c r="B422" s="39" t="s">
        <v>7091</v>
      </c>
      <c r="C422" s="39">
        <v>2025</v>
      </c>
      <c r="D422" s="39" t="s">
        <v>4886</v>
      </c>
      <c r="E422" s="39">
        <v>1</v>
      </c>
      <c r="F422" s="40" t="str">
        <f t="shared" si="6"/>
        <v>VED-08-2025-GR-1</v>
      </c>
      <c r="G422" s="39" t="s">
        <v>7073</v>
      </c>
      <c r="H422" s="39" t="s">
        <v>7092</v>
      </c>
      <c r="I422" s="39" t="s">
        <v>5188</v>
      </c>
      <c r="J422" s="39" t="s">
        <v>198</v>
      </c>
      <c r="K422" s="60"/>
      <c r="L422" s="60"/>
      <c r="M422" s="60"/>
      <c r="N422" s="39" t="s">
        <v>299</v>
      </c>
      <c r="O422" s="39" t="s">
        <v>4811</v>
      </c>
      <c r="P422" s="39" t="s">
        <v>718</v>
      </c>
      <c r="Q422" s="39" t="e">
        <f t="shared" ca="1" si="7"/>
        <v>#NAME?</v>
      </c>
      <c r="R422" s="39" t="s">
        <v>112</v>
      </c>
      <c r="S422" s="50">
        <v>9969227612</v>
      </c>
      <c r="T422" s="40" t="s">
        <v>111</v>
      </c>
      <c r="U422" s="39">
        <v>1963</v>
      </c>
      <c r="V422" s="44">
        <v>2</v>
      </c>
      <c r="W422" s="44">
        <v>2</v>
      </c>
      <c r="X422" s="44">
        <v>2</v>
      </c>
      <c r="Y422" s="44">
        <v>2</v>
      </c>
      <c r="Z422" s="44">
        <v>2</v>
      </c>
      <c r="AA422" s="44">
        <v>2</v>
      </c>
      <c r="AB422" s="44">
        <v>2</v>
      </c>
      <c r="AC422" s="44">
        <v>2</v>
      </c>
      <c r="AD422" s="44">
        <v>2</v>
      </c>
      <c r="AE422" s="44">
        <v>2</v>
      </c>
      <c r="AF422" s="44">
        <v>2</v>
      </c>
      <c r="AG422" s="44">
        <v>2</v>
      </c>
      <c r="AH422" s="44">
        <v>2</v>
      </c>
      <c r="AI422" s="44">
        <v>3</v>
      </c>
      <c r="AJ422" s="44">
        <v>2</v>
      </c>
      <c r="AK422" s="44">
        <v>2</v>
      </c>
      <c r="AL422" s="44">
        <v>2</v>
      </c>
      <c r="AM422" s="44">
        <v>2</v>
      </c>
      <c r="AN422" s="44">
        <v>2</v>
      </c>
      <c r="AO422" s="44">
        <v>2</v>
      </c>
      <c r="AP422" s="44">
        <v>2</v>
      </c>
      <c r="AQ422" s="44">
        <v>2</v>
      </c>
      <c r="AR422" s="44">
        <v>2</v>
      </c>
      <c r="AS422" s="44">
        <v>2</v>
      </c>
      <c r="AT422" s="44">
        <v>2</v>
      </c>
      <c r="AU422" s="44">
        <v>2</v>
      </c>
      <c r="AV422" s="44">
        <v>4</v>
      </c>
      <c r="AW422" s="44">
        <v>2</v>
      </c>
      <c r="AX422" s="44">
        <v>2</v>
      </c>
      <c r="AY422" s="44">
        <v>2</v>
      </c>
      <c r="AZ422" s="44">
        <v>2</v>
      </c>
      <c r="BA422" s="44">
        <v>2</v>
      </c>
      <c r="BB422" s="44">
        <v>2</v>
      </c>
      <c r="BC422" s="44">
        <v>2</v>
      </c>
      <c r="BD422" s="44">
        <v>2</v>
      </c>
      <c r="BE422" s="44">
        <v>2</v>
      </c>
      <c r="BF422" s="44">
        <v>4</v>
      </c>
      <c r="BG422" s="46">
        <v>2</v>
      </c>
      <c r="BH422" s="46">
        <v>2</v>
      </c>
      <c r="BI422" s="46">
        <v>2</v>
      </c>
      <c r="BJ422" s="46">
        <v>2</v>
      </c>
      <c r="BK422" s="46">
        <v>2</v>
      </c>
      <c r="BL422" s="46">
        <v>2</v>
      </c>
      <c r="BM422" s="46">
        <v>4</v>
      </c>
      <c r="BN422" s="46">
        <v>2</v>
      </c>
      <c r="BO422" s="46">
        <v>2</v>
      </c>
      <c r="BP422" s="46">
        <v>2</v>
      </c>
      <c r="BQ422" s="46">
        <v>2</v>
      </c>
      <c r="BR422" s="46">
        <v>2</v>
      </c>
      <c r="BS422" s="46">
        <v>2</v>
      </c>
      <c r="BT422" s="46">
        <v>2</v>
      </c>
      <c r="BU422" s="46">
        <v>2</v>
      </c>
      <c r="BV422" s="46">
        <v>4</v>
      </c>
      <c r="BW422" s="44">
        <v>1</v>
      </c>
      <c r="BX422" s="44">
        <v>1</v>
      </c>
      <c r="BY422" s="46">
        <v>-1</v>
      </c>
      <c r="BZ422" s="46">
        <v>-1</v>
      </c>
      <c r="CA422" s="46">
        <v>-1</v>
      </c>
      <c r="CB422" s="46">
        <v>-1</v>
      </c>
      <c r="CC422" s="46">
        <v>-1</v>
      </c>
      <c r="CD422" s="46">
        <v>-1</v>
      </c>
      <c r="CE422" s="61">
        <v>-1</v>
      </c>
      <c r="CF422" s="62">
        <v>1</v>
      </c>
      <c r="CG422" s="62">
        <v>1</v>
      </c>
      <c r="CH422" s="62">
        <v>1</v>
      </c>
      <c r="CI422" s="62">
        <v>1</v>
      </c>
      <c r="CJ422" s="61">
        <v>-1</v>
      </c>
      <c r="CK422" s="61">
        <v>-1</v>
      </c>
      <c r="CL422" s="61">
        <v>-1</v>
      </c>
      <c r="CM422" s="61">
        <v>-1</v>
      </c>
      <c r="CN422" s="44">
        <v>1</v>
      </c>
      <c r="CO422" s="44">
        <v>1</v>
      </c>
      <c r="CP422" s="44">
        <v>1</v>
      </c>
      <c r="CQ422" s="44">
        <v>1</v>
      </c>
      <c r="CR422" s="44">
        <v>1</v>
      </c>
      <c r="CS422" s="44">
        <v>1</v>
      </c>
      <c r="CT422" s="45">
        <v>-1</v>
      </c>
      <c r="CU422" s="45">
        <v>-1</v>
      </c>
      <c r="CV422" s="45">
        <v>-1</v>
      </c>
      <c r="CW422" s="45">
        <v>-1</v>
      </c>
      <c r="CX422" s="45">
        <v>-1</v>
      </c>
      <c r="CY422" s="61">
        <v>-1</v>
      </c>
      <c r="CZ422" s="48"/>
      <c r="DA422" s="48"/>
      <c r="DB422" s="48"/>
      <c r="DC422" s="48"/>
      <c r="DD422" s="48"/>
      <c r="DE422" s="48"/>
      <c r="DF422" s="48"/>
      <c r="DG422" s="48"/>
      <c r="DH422" s="48"/>
      <c r="DI422" s="48"/>
      <c r="DJ422" s="48"/>
      <c r="DK422" s="48"/>
      <c r="DL422" s="48"/>
      <c r="DM422" s="48"/>
      <c r="DN422" s="48"/>
      <c r="DO422" s="48"/>
      <c r="DP422" s="48"/>
      <c r="DQ422" s="48"/>
      <c r="DR422" s="48"/>
      <c r="DS422" s="48"/>
      <c r="DT422" s="48"/>
      <c r="DU422" s="48"/>
      <c r="DV422" s="48"/>
      <c r="DW422" s="48"/>
      <c r="DX422" s="48"/>
      <c r="DY422" s="48"/>
      <c r="DZ422" s="48"/>
      <c r="EA422" s="48"/>
      <c r="EB422" s="48"/>
      <c r="EC422" s="48"/>
      <c r="ED422" s="48"/>
    </row>
    <row r="423" spans="1:134" ht="11.25" customHeight="1" x14ac:dyDescent="0.3">
      <c r="A423" s="28" t="e">
        <f t="array" aca="1" ref="A423" ca="1">_xludf.XLOOKUP(S423,Master_Registrations!P:P,Master_Registrations!A:A,"")</f>
        <v>#NAME?</v>
      </c>
      <c r="B423" s="39" t="s">
        <v>7091</v>
      </c>
      <c r="C423" s="39">
        <v>2025</v>
      </c>
      <c r="D423" s="39" t="s">
        <v>4886</v>
      </c>
      <c r="E423" s="39">
        <v>1</v>
      </c>
      <c r="F423" s="40" t="str">
        <f t="shared" si="6"/>
        <v>VED-08-2025-GR-1</v>
      </c>
      <c r="G423" s="39" t="s">
        <v>7073</v>
      </c>
      <c r="H423" s="39" t="s">
        <v>7092</v>
      </c>
      <c r="I423" s="39" t="s">
        <v>5188</v>
      </c>
      <c r="J423" s="39" t="s">
        <v>198</v>
      </c>
      <c r="K423" s="60"/>
      <c r="L423" s="60"/>
      <c r="M423" s="60"/>
      <c r="N423" s="39" t="s">
        <v>369</v>
      </c>
      <c r="O423" s="39" t="s">
        <v>4627</v>
      </c>
      <c r="P423" s="39" t="s">
        <v>5069</v>
      </c>
      <c r="Q423" s="39" t="e">
        <f t="shared" ca="1" si="7"/>
        <v>#NAME?</v>
      </c>
      <c r="R423" s="39" t="s">
        <v>316</v>
      </c>
      <c r="S423" s="50">
        <v>8458915357</v>
      </c>
      <c r="T423" s="40" t="s">
        <v>315</v>
      </c>
      <c r="U423" s="39">
        <v>1981</v>
      </c>
      <c r="V423" s="46">
        <v>2</v>
      </c>
      <c r="W423" s="46">
        <v>2</v>
      </c>
      <c r="X423" s="46">
        <v>2</v>
      </c>
      <c r="Y423" s="46">
        <v>2</v>
      </c>
      <c r="Z423" s="46">
        <v>2</v>
      </c>
      <c r="AA423" s="46">
        <v>2</v>
      </c>
      <c r="AB423" s="46">
        <v>2</v>
      </c>
      <c r="AC423" s="46">
        <v>2</v>
      </c>
      <c r="AD423" s="46">
        <v>2</v>
      </c>
      <c r="AE423" s="46">
        <v>2</v>
      </c>
      <c r="AF423" s="46">
        <v>2</v>
      </c>
      <c r="AG423" s="46">
        <v>2</v>
      </c>
      <c r="AH423" s="46">
        <v>2</v>
      </c>
      <c r="AI423" s="46">
        <v>4</v>
      </c>
      <c r="AJ423" s="46">
        <v>2</v>
      </c>
      <c r="AK423" s="46">
        <v>2</v>
      </c>
      <c r="AL423" s="46">
        <v>2</v>
      </c>
      <c r="AM423" s="46">
        <v>2</v>
      </c>
      <c r="AN423" s="46">
        <v>2</v>
      </c>
      <c r="AO423" s="46">
        <v>2</v>
      </c>
      <c r="AP423" s="46">
        <v>2</v>
      </c>
      <c r="AQ423" s="46">
        <v>2</v>
      </c>
      <c r="AR423" s="46">
        <v>2</v>
      </c>
      <c r="AS423" s="46">
        <v>2</v>
      </c>
      <c r="AT423" s="46">
        <v>2</v>
      </c>
      <c r="AU423" s="46">
        <v>2</v>
      </c>
      <c r="AV423" s="46">
        <v>4</v>
      </c>
      <c r="AW423" s="46">
        <v>2</v>
      </c>
      <c r="AX423" s="46">
        <v>2</v>
      </c>
      <c r="AY423" s="46">
        <v>2</v>
      </c>
      <c r="AZ423" s="46">
        <v>2</v>
      </c>
      <c r="BA423" s="46">
        <v>2</v>
      </c>
      <c r="BB423" s="46">
        <v>2</v>
      </c>
      <c r="BC423" s="46">
        <v>2</v>
      </c>
      <c r="BD423" s="46">
        <v>2</v>
      </c>
      <c r="BE423" s="46">
        <v>2</v>
      </c>
      <c r="BF423" s="46">
        <v>4</v>
      </c>
      <c r="BG423" s="46">
        <v>2</v>
      </c>
      <c r="BH423" s="46">
        <v>2</v>
      </c>
      <c r="BI423" s="46">
        <v>2</v>
      </c>
      <c r="BJ423" s="46">
        <v>2</v>
      </c>
      <c r="BK423" s="46">
        <v>2</v>
      </c>
      <c r="BL423" s="46">
        <v>2</v>
      </c>
      <c r="BM423" s="46">
        <v>4</v>
      </c>
      <c r="BN423" s="44">
        <v>2</v>
      </c>
      <c r="BO423" s="44">
        <v>2</v>
      </c>
      <c r="BP423" s="44">
        <v>2</v>
      </c>
      <c r="BQ423" s="44">
        <v>2</v>
      </c>
      <c r="BR423" s="44">
        <v>2</v>
      </c>
      <c r="BS423" s="44">
        <v>2</v>
      </c>
      <c r="BT423" s="44">
        <v>2</v>
      </c>
      <c r="BU423" s="44">
        <v>2</v>
      </c>
      <c r="BV423" s="62">
        <v>4</v>
      </c>
      <c r="BW423" s="44">
        <v>2</v>
      </c>
      <c r="BX423" s="44">
        <v>2</v>
      </c>
      <c r="BY423" s="44">
        <v>2</v>
      </c>
      <c r="BZ423" s="44">
        <v>2</v>
      </c>
      <c r="CA423" s="44">
        <v>2</v>
      </c>
      <c r="CB423" s="44">
        <v>2</v>
      </c>
      <c r="CC423" s="44">
        <v>2</v>
      </c>
      <c r="CD423" s="44">
        <v>2</v>
      </c>
      <c r="CE423" s="46">
        <v>4</v>
      </c>
      <c r="CF423" s="62">
        <v>2</v>
      </c>
      <c r="CG423" s="62">
        <v>2</v>
      </c>
      <c r="CH423" s="62">
        <v>2</v>
      </c>
      <c r="CI423" s="62">
        <v>2</v>
      </c>
      <c r="CJ423" s="62">
        <v>2</v>
      </c>
      <c r="CK423" s="62">
        <v>2</v>
      </c>
      <c r="CL423" s="62">
        <v>2</v>
      </c>
      <c r="CM423" s="62">
        <v>4</v>
      </c>
      <c r="CN423" s="47">
        <v>-1</v>
      </c>
      <c r="CO423" s="47">
        <v>-1</v>
      </c>
      <c r="CP423" s="47">
        <v>-1</v>
      </c>
      <c r="CQ423" s="46">
        <v>2</v>
      </c>
      <c r="CR423" s="44">
        <v>2</v>
      </c>
      <c r="CS423" s="44">
        <v>2</v>
      </c>
      <c r="CT423" s="47">
        <v>-1</v>
      </c>
      <c r="CU423" s="47">
        <v>-1</v>
      </c>
      <c r="CV423" s="47">
        <v>-1</v>
      </c>
      <c r="CW423" s="47">
        <v>-1</v>
      </c>
      <c r="CX423" s="47">
        <v>-1</v>
      </c>
      <c r="CY423" s="61">
        <v>-1</v>
      </c>
      <c r="CZ423" s="48"/>
      <c r="DA423" s="48"/>
      <c r="DB423" s="48"/>
      <c r="DC423" s="48"/>
      <c r="DD423" s="48"/>
      <c r="DE423" s="48"/>
      <c r="DF423" s="48"/>
      <c r="DG423" s="48"/>
      <c r="DH423" s="48"/>
      <c r="DI423" s="48"/>
      <c r="DJ423" s="48"/>
      <c r="DK423" s="48"/>
      <c r="DL423" s="48"/>
      <c r="DM423" s="48"/>
      <c r="DN423" s="48"/>
      <c r="DO423" s="48"/>
      <c r="DP423" s="48"/>
      <c r="DQ423" s="48"/>
      <c r="DR423" s="48"/>
      <c r="DS423" s="48"/>
      <c r="DT423" s="48"/>
      <c r="DU423" s="48"/>
      <c r="DV423" s="48"/>
      <c r="DW423" s="48"/>
      <c r="DX423" s="48"/>
      <c r="DY423" s="48"/>
      <c r="DZ423" s="48"/>
      <c r="EA423" s="48"/>
      <c r="EB423" s="48"/>
      <c r="EC423" s="48"/>
      <c r="ED423" s="48"/>
    </row>
    <row r="424" spans="1:134" ht="11.25" customHeight="1" x14ac:dyDescent="0.3">
      <c r="A424" s="28" t="e">
        <f t="array" aca="1" ref="A424" ca="1">_xludf.XLOOKUP(S424,Master_Registrations!P:P,Master_Registrations!A:A,"")</f>
        <v>#NAME?</v>
      </c>
      <c r="B424" s="39" t="s">
        <v>7091</v>
      </c>
      <c r="C424" s="39">
        <v>2025</v>
      </c>
      <c r="D424" s="39" t="s">
        <v>4886</v>
      </c>
      <c r="E424" s="39">
        <v>1</v>
      </c>
      <c r="F424" s="40" t="str">
        <f t="shared" si="6"/>
        <v>VED-08-2025-GR-1</v>
      </c>
      <c r="G424" s="39" t="s">
        <v>7073</v>
      </c>
      <c r="H424" s="39" t="s">
        <v>7092</v>
      </c>
      <c r="I424" s="39" t="s">
        <v>5188</v>
      </c>
      <c r="J424" s="39" t="s">
        <v>198</v>
      </c>
      <c r="K424" s="60"/>
      <c r="L424" s="60"/>
      <c r="M424" s="60"/>
      <c r="N424" s="39" t="s">
        <v>434</v>
      </c>
      <c r="O424" s="39" t="s">
        <v>4578</v>
      </c>
      <c r="P424" s="39" t="s">
        <v>1563</v>
      </c>
      <c r="Q424" s="39" t="e">
        <f t="shared" ca="1" si="7"/>
        <v>#NAME?</v>
      </c>
      <c r="R424" s="39" t="s">
        <v>316</v>
      </c>
      <c r="S424" s="50">
        <v>4083293168</v>
      </c>
      <c r="T424" s="40" t="s">
        <v>315</v>
      </c>
      <c r="U424" s="39">
        <v>1981</v>
      </c>
      <c r="V424" s="46">
        <v>2</v>
      </c>
      <c r="W424" s="46">
        <v>2</v>
      </c>
      <c r="X424" s="46">
        <v>2</v>
      </c>
      <c r="Y424" s="46">
        <v>2</v>
      </c>
      <c r="Z424" s="46">
        <v>2</v>
      </c>
      <c r="AA424" s="46">
        <v>2</v>
      </c>
      <c r="AB424" s="46">
        <v>2</v>
      </c>
      <c r="AC424" s="46">
        <v>2</v>
      </c>
      <c r="AD424" s="46">
        <v>2</v>
      </c>
      <c r="AE424" s="46">
        <v>2</v>
      </c>
      <c r="AF424" s="46">
        <v>2</v>
      </c>
      <c r="AG424" s="46">
        <v>2</v>
      </c>
      <c r="AH424" s="46">
        <v>2</v>
      </c>
      <c r="AI424" s="46">
        <v>4</v>
      </c>
      <c r="AJ424" s="46">
        <v>2</v>
      </c>
      <c r="AK424" s="46">
        <v>2</v>
      </c>
      <c r="AL424" s="46">
        <v>2</v>
      </c>
      <c r="AM424" s="46">
        <v>2</v>
      </c>
      <c r="AN424" s="46">
        <v>2</v>
      </c>
      <c r="AO424" s="46">
        <v>2</v>
      </c>
      <c r="AP424" s="46">
        <v>2</v>
      </c>
      <c r="AQ424" s="46">
        <v>2</v>
      </c>
      <c r="AR424" s="46">
        <v>2</v>
      </c>
      <c r="AS424" s="46">
        <v>2</v>
      </c>
      <c r="AT424" s="46">
        <v>2</v>
      </c>
      <c r="AU424" s="46">
        <v>2</v>
      </c>
      <c r="AV424" s="46">
        <v>4</v>
      </c>
      <c r="AW424" s="46">
        <v>2</v>
      </c>
      <c r="AX424" s="46">
        <v>2</v>
      </c>
      <c r="AY424" s="46">
        <v>2</v>
      </c>
      <c r="AZ424" s="46">
        <v>2</v>
      </c>
      <c r="BA424" s="46">
        <v>2</v>
      </c>
      <c r="BB424" s="46">
        <v>2</v>
      </c>
      <c r="BC424" s="46">
        <v>2</v>
      </c>
      <c r="BD424" s="46">
        <v>2</v>
      </c>
      <c r="BE424" s="46">
        <v>2</v>
      </c>
      <c r="BF424" s="46">
        <v>4</v>
      </c>
      <c r="BG424" s="46">
        <v>2</v>
      </c>
      <c r="BH424" s="46">
        <v>2</v>
      </c>
      <c r="BI424" s="46">
        <v>2</v>
      </c>
      <c r="BJ424" s="46">
        <v>2</v>
      </c>
      <c r="BK424" s="46">
        <v>2</v>
      </c>
      <c r="BL424" s="46">
        <v>2</v>
      </c>
      <c r="BM424" s="46">
        <v>4</v>
      </c>
      <c r="BN424" s="44">
        <v>2</v>
      </c>
      <c r="BO424" s="44">
        <v>2</v>
      </c>
      <c r="BP424" s="44">
        <v>2</v>
      </c>
      <c r="BQ424" s="44">
        <v>2</v>
      </c>
      <c r="BR424" s="44">
        <v>2</v>
      </c>
      <c r="BS424" s="44">
        <v>2</v>
      </c>
      <c r="BT424" s="44">
        <v>2</v>
      </c>
      <c r="BU424" s="44">
        <v>2</v>
      </c>
      <c r="BV424" s="62">
        <v>4</v>
      </c>
      <c r="BW424" s="44">
        <v>2</v>
      </c>
      <c r="BX424" s="44">
        <v>2</v>
      </c>
      <c r="BY424" s="46">
        <v>1</v>
      </c>
      <c r="BZ424" s="46">
        <v>1</v>
      </c>
      <c r="CA424" s="46">
        <v>1</v>
      </c>
      <c r="CB424" s="46">
        <v>1</v>
      </c>
      <c r="CC424" s="62">
        <v>-1</v>
      </c>
      <c r="CD424" s="62">
        <v>-1</v>
      </c>
      <c r="CE424" s="61">
        <v>-1</v>
      </c>
      <c r="CF424" s="44">
        <v>2</v>
      </c>
      <c r="CG424" s="44">
        <v>2</v>
      </c>
      <c r="CH424" s="44">
        <v>2</v>
      </c>
      <c r="CI424" s="44">
        <v>2</v>
      </c>
      <c r="CJ424" s="44">
        <v>2</v>
      </c>
      <c r="CK424" s="44">
        <v>2</v>
      </c>
      <c r="CL424" s="44">
        <v>2</v>
      </c>
      <c r="CM424" s="61">
        <v>-1</v>
      </c>
      <c r="CN424" s="47">
        <v>-1</v>
      </c>
      <c r="CO424" s="47">
        <v>-1</v>
      </c>
      <c r="CP424" s="47">
        <v>-1</v>
      </c>
      <c r="CQ424" s="46">
        <v>1</v>
      </c>
      <c r="CR424" s="44">
        <v>-1</v>
      </c>
      <c r="CS424" s="44">
        <v>-1</v>
      </c>
      <c r="CT424" s="47">
        <v>-1</v>
      </c>
      <c r="CU424" s="47">
        <v>-1</v>
      </c>
      <c r="CV424" s="47">
        <v>-1</v>
      </c>
      <c r="CW424" s="47">
        <v>-1</v>
      </c>
      <c r="CX424" s="47">
        <v>-1</v>
      </c>
      <c r="CY424" s="61">
        <v>-1</v>
      </c>
      <c r="CZ424" s="48"/>
      <c r="DA424" s="48"/>
      <c r="DB424" s="48"/>
      <c r="DC424" s="48"/>
      <c r="DD424" s="48"/>
      <c r="DE424" s="48"/>
      <c r="DF424" s="48"/>
      <c r="DG424" s="48"/>
      <c r="DH424" s="48"/>
      <c r="DI424" s="48"/>
      <c r="DJ424" s="48"/>
      <c r="DK424" s="48"/>
      <c r="DL424" s="48"/>
      <c r="DM424" s="48"/>
      <c r="DN424" s="48"/>
      <c r="DO424" s="48"/>
      <c r="DP424" s="48"/>
      <c r="DQ424" s="48"/>
      <c r="DR424" s="48"/>
      <c r="DS424" s="48"/>
      <c r="DT424" s="48"/>
      <c r="DU424" s="48"/>
      <c r="DV424" s="48"/>
      <c r="DW424" s="48"/>
      <c r="DX424" s="48"/>
      <c r="DY424" s="48"/>
      <c r="DZ424" s="48"/>
      <c r="EA424" s="48"/>
      <c r="EB424" s="48"/>
      <c r="EC424" s="48"/>
      <c r="ED424" s="48"/>
    </row>
    <row r="425" spans="1:134" ht="11.25" customHeight="1" x14ac:dyDescent="0.3">
      <c r="A425" s="28" t="e">
        <f t="array" aca="1" ref="A425" ca="1">_xludf.XLOOKUP(S425,Master_Registrations!P:P,Master_Registrations!A:A,"")</f>
        <v>#NAME?</v>
      </c>
      <c r="B425" s="39" t="s">
        <v>7091</v>
      </c>
      <c r="C425" s="39">
        <v>2025</v>
      </c>
      <c r="D425" s="39" t="s">
        <v>4886</v>
      </c>
      <c r="E425" s="39">
        <v>1</v>
      </c>
      <c r="F425" s="40" t="str">
        <f t="shared" si="6"/>
        <v>VED-08-2025-GR-1</v>
      </c>
      <c r="G425" s="39" t="s">
        <v>7073</v>
      </c>
      <c r="H425" s="39" t="s">
        <v>7092</v>
      </c>
      <c r="I425" s="39" t="s">
        <v>5188</v>
      </c>
      <c r="J425" s="39" t="s">
        <v>198</v>
      </c>
      <c r="K425" s="60"/>
      <c r="L425" s="60"/>
      <c r="M425" s="60"/>
      <c r="N425" s="39" t="s">
        <v>525</v>
      </c>
      <c r="O425" s="39" t="s">
        <v>5072</v>
      </c>
      <c r="P425" s="39" t="s">
        <v>4345</v>
      </c>
      <c r="Q425" s="39" t="e">
        <f t="shared" ca="1" si="7"/>
        <v>#NAME?</v>
      </c>
      <c r="R425" s="39" t="s">
        <v>316</v>
      </c>
      <c r="S425" s="50">
        <v>2486319180</v>
      </c>
      <c r="T425" s="40" t="s">
        <v>402</v>
      </c>
      <c r="U425" s="39">
        <v>1971</v>
      </c>
      <c r="V425" s="44">
        <v>2</v>
      </c>
      <c r="W425" s="44">
        <v>2</v>
      </c>
      <c r="X425" s="44">
        <v>2</v>
      </c>
      <c r="Y425" s="44">
        <v>2</v>
      </c>
      <c r="Z425" s="44">
        <v>2</v>
      </c>
      <c r="AA425" s="44">
        <v>2</v>
      </c>
      <c r="AB425" s="44">
        <v>2</v>
      </c>
      <c r="AC425" s="44">
        <v>2</v>
      </c>
      <c r="AD425" s="44">
        <v>2</v>
      </c>
      <c r="AE425" s="44">
        <v>2</v>
      </c>
      <c r="AF425" s="44">
        <v>2</v>
      </c>
      <c r="AG425" s="44">
        <v>2</v>
      </c>
      <c r="AH425" s="44">
        <v>2</v>
      </c>
      <c r="AI425" s="46">
        <v>3</v>
      </c>
      <c r="AJ425" s="44">
        <v>2</v>
      </c>
      <c r="AK425" s="44">
        <v>2</v>
      </c>
      <c r="AL425" s="44">
        <v>2</v>
      </c>
      <c r="AM425" s="44">
        <v>2</v>
      </c>
      <c r="AN425" s="44">
        <v>2</v>
      </c>
      <c r="AO425" s="44">
        <v>2</v>
      </c>
      <c r="AP425" s="44">
        <v>2</v>
      </c>
      <c r="AQ425" s="44">
        <v>2</v>
      </c>
      <c r="AR425" s="44">
        <v>2</v>
      </c>
      <c r="AS425" s="44">
        <v>2</v>
      </c>
      <c r="AT425" s="44">
        <v>2</v>
      </c>
      <c r="AU425" s="44">
        <v>2</v>
      </c>
      <c r="AV425" s="44">
        <v>4</v>
      </c>
      <c r="AW425" s="46">
        <v>2</v>
      </c>
      <c r="AX425" s="46">
        <v>2</v>
      </c>
      <c r="AY425" s="46">
        <v>2</v>
      </c>
      <c r="AZ425" s="46">
        <v>2</v>
      </c>
      <c r="BA425" s="46">
        <v>2</v>
      </c>
      <c r="BB425" s="46">
        <v>2</v>
      </c>
      <c r="BC425" s="46">
        <v>2</v>
      </c>
      <c r="BD425" s="46">
        <v>2</v>
      </c>
      <c r="BE425" s="46">
        <v>2</v>
      </c>
      <c r="BF425" s="44">
        <v>3</v>
      </c>
      <c r="BG425" s="46">
        <v>2</v>
      </c>
      <c r="BH425" s="46">
        <v>2</v>
      </c>
      <c r="BI425" s="46">
        <v>2</v>
      </c>
      <c r="BJ425" s="46">
        <v>2</v>
      </c>
      <c r="BK425" s="46">
        <v>2</v>
      </c>
      <c r="BL425" s="46">
        <v>2</v>
      </c>
      <c r="BM425" s="46">
        <v>3</v>
      </c>
      <c r="BN425" s="46">
        <v>2</v>
      </c>
      <c r="BO425" s="46">
        <v>2</v>
      </c>
      <c r="BP425" s="46">
        <v>2</v>
      </c>
      <c r="BQ425" s="46">
        <v>2</v>
      </c>
      <c r="BR425" s="44">
        <v>2</v>
      </c>
      <c r="BS425" s="44">
        <v>2</v>
      </c>
      <c r="BT425" s="44">
        <v>2</v>
      </c>
      <c r="BU425" s="44">
        <v>2</v>
      </c>
      <c r="BV425" s="61">
        <v>-1</v>
      </c>
      <c r="BW425" s="44">
        <v>-1</v>
      </c>
      <c r="BX425" s="44">
        <v>-1</v>
      </c>
      <c r="BY425" s="46">
        <v>1</v>
      </c>
      <c r="BZ425" s="46">
        <v>1</v>
      </c>
      <c r="CA425" s="46">
        <v>1</v>
      </c>
      <c r="CB425" s="46">
        <v>1</v>
      </c>
      <c r="CC425" s="62">
        <v>-1</v>
      </c>
      <c r="CD425" s="62">
        <v>-1</v>
      </c>
      <c r="CE425" s="61">
        <v>-1</v>
      </c>
      <c r="CF425" s="61">
        <v>-1</v>
      </c>
      <c r="CG425" s="61">
        <v>-1</v>
      </c>
      <c r="CH425" s="61">
        <v>-1</v>
      </c>
      <c r="CI425" s="61">
        <v>-1</v>
      </c>
      <c r="CJ425" s="61">
        <v>-1</v>
      </c>
      <c r="CK425" s="61">
        <v>-1</v>
      </c>
      <c r="CL425" s="61">
        <v>-1</v>
      </c>
      <c r="CM425" s="61">
        <v>-1</v>
      </c>
      <c r="CN425" s="47">
        <v>-1</v>
      </c>
      <c r="CO425" s="47">
        <v>-1</v>
      </c>
      <c r="CP425" s="47">
        <v>-1</v>
      </c>
      <c r="CQ425" s="46">
        <v>1</v>
      </c>
      <c r="CR425" s="44">
        <v>1</v>
      </c>
      <c r="CS425" s="44">
        <v>1</v>
      </c>
      <c r="CT425" s="47">
        <v>-1</v>
      </c>
      <c r="CU425" s="47">
        <v>-1</v>
      </c>
      <c r="CV425" s="47">
        <v>-1</v>
      </c>
      <c r="CW425" s="47">
        <v>-1</v>
      </c>
      <c r="CX425" s="47">
        <v>-1</v>
      </c>
      <c r="CY425" s="61">
        <v>-1</v>
      </c>
      <c r="CZ425" s="48"/>
      <c r="DA425" s="48"/>
      <c r="DB425" s="48"/>
      <c r="DC425" s="48"/>
      <c r="DD425" s="48"/>
      <c r="DE425" s="48"/>
      <c r="DF425" s="48"/>
      <c r="DG425" s="48"/>
      <c r="DH425" s="48"/>
      <c r="DI425" s="48"/>
      <c r="DJ425" s="48"/>
      <c r="DK425" s="48"/>
      <c r="DL425" s="48"/>
      <c r="DM425" s="48"/>
      <c r="DN425" s="48"/>
      <c r="DO425" s="48"/>
      <c r="DP425" s="48"/>
      <c r="DQ425" s="48"/>
      <c r="DR425" s="48"/>
      <c r="DS425" s="48"/>
      <c r="DT425" s="48"/>
      <c r="DU425" s="48"/>
      <c r="DV425" s="48"/>
      <c r="DW425" s="48"/>
      <c r="DX425" s="48"/>
      <c r="DY425" s="48"/>
      <c r="DZ425" s="48"/>
      <c r="EA425" s="48"/>
      <c r="EB425" s="48"/>
      <c r="EC425" s="48"/>
      <c r="ED425" s="48"/>
    </row>
    <row r="426" spans="1:134" ht="11.25" customHeight="1" x14ac:dyDescent="0.3">
      <c r="A426" s="28" t="e">
        <f t="array" aca="1" ref="A426" ca="1">_xludf.XLOOKUP(S426,Master_Registrations!P:P,Master_Registrations!A:A,"")</f>
        <v>#NAME?</v>
      </c>
      <c r="B426" s="39" t="s">
        <v>7091</v>
      </c>
      <c r="C426" s="39">
        <v>2025</v>
      </c>
      <c r="D426" s="39" t="s">
        <v>4886</v>
      </c>
      <c r="E426" s="39">
        <v>1</v>
      </c>
      <c r="F426" s="40" t="str">
        <f t="shared" si="6"/>
        <v>VED-08-2025-GR-1</v>
      </c>
      <c r="G426" s="39" t="s">
        <v>7073</v>
      </c>
      <c r="H426" s="39" t="s">
        <v>7092</v>
      </c>
      <c r="I426" s="39" t="s">
        <v>5188</v>
      </c>
      <c r="J426" s="39" t="s">
        <v>198</v>
      </c>
      <c r="K426" s="60"/>
      <c r="L426" s="60"/>
      <c r="M426" s="60"/>
      <c r="N426" s="39" t="s">
        <v>621</v>
      </c>
      <c r="O426" s="39" t="s">
        <v>5040</v>
      </c>
      <c r="P426" s="39" t="s">
        <v>5041</v>
      </c>
      <c r="Q426" s="39" t="e">
        <f t="shared" ca="1" si="7"/>
        <v>#NAME?</v>
      </c>
      <c r="R426" s="39" t="s">
        <v>316</v>
      </c>
      <c r="S426" s="50">
        <v>2674957677</v>
      </c>
      <c r="T426" s="40" t="s">
        <v>315</v>
      </c>
      <c r="U426" s="39">
        <v>1946</v>
      </c>
      <c r="V426" s="44">
        <v>2</v>
      </c>
      <c r="W426" s="44">
        <v>2</v>
      </c>
      <c r="X426" s="44">
        <v>2</v>
      </c>
      <c r="Y426" s="44">
        <v>2</v>
      </c>
      <c r="Z426" s="44">
        <v>2</v>
      </c>
      <c r="AA426" s="44">
        <v>2</v>
      </c>
      <c r="AB426" s="44">
        <v>2</v>
      </c>
      <c r="AC426" s="44">
        <v>2</v>
      </c>
      <c r="AD426" s="44">
        <v>2</v>
      </c>
      <c r="AE426" s="44">
        <v>2</v>
      </c>
      <c r="AF426" s="44">
        <v>2</v>
      </c>
      <c r="AG426" s="44">
        <v>2</v>
      </c>
      <c r="AH426" s="44">
        <v>2</v>
      </c>
      <c r="AI426" s="46">
        <v>3</v>
      </c>
      <c r="AJ426" s="44">
        <v>2</v>
      </c>
      <c r="AK426" s="44">
        <v>2</v>
      </c>
      <c r="AL426" s="44">
        <v>2</v>
      </c>
      <c r="AM426" s="44">
        <v>2</v>
      </c>
      <c r="AN426" s="44">
        <v>2</v>
      </c>
      <c r="AO426" s="44">
        <v>2</v>
      </c>
      <c r="AP426" s="44">
        <v>2</v>
      </c>
      <c r="AQ426" s="44">
        <v>2</v>
      </c>
      <c r="AR426" s="44">
        <v>2</v>
      </c>
      <c r="AS426" s="44">
        <v>2</v>
      </c>
      <c r="AT426" s="44">
        <v>2</v>
      </c>
      <c r="AU426" s="44">
        <v>2</v>
      </c>
      <c r="AV426" s="46">
        <v>3</v>
      </c>
      <c r="AW426" s="46">
        <v>1</v>
      </c>
      <c r="AX426" s="62">
        <v>1</v>
      </c>
      <c r="AY426" s="45">
        <v>1</v>
      </c>
      <c r="AZ426" s="44">
        <v>-1</v>
      </c>
      <c r="BA426" s="44">
        <v>2</v>
      </c>
      <c r="BB426" s="44">
        <v>2</v>
      </c>
      <c r="BC426" s="46">
        <v>1</v>
      </c>
      <c r="BD426" s="46">
        <v>1</v>
      </c>
      <c r="BE426" s="46">
        <v>1</v>
      </c>
      <c r="BF426" s="47">
        <v>-1</v>
      </c>
      <c r="BG426" s="46">
        <v>1</v>
      </c>
      <c r="BH426" s="46">
        <v>1</v>
      </c>
      <c r="BI426" s="46">
        <v>1</v>
      </c>
      <c r="BJ426" s="46">
        <v>1</v>
      </c>
      <c r="BK426" s="46">
        <v>1</v>
      </c>
      <c r="BL426" s="46">
        <v>1</v>
      </c>
      <c r="BM426" s="47">
        <v>-1</v>
      </c>
      <c r="BN426" s="46">
        <v>1</v>
      </c>
      <c r="BO426" s="46">
        <v>1</v>
      </c>
      <c r="BP426" s="46">
        <v>1</v>
      </c>
      <c r="BQ426" s="46">
        <v>1</v>
      </c>
      <c r="BR426" s="44">
        <v>1</v>
      </c>
      <c r="BS426" s="44">
        <v>1</v>
      </c>
      <c r="BT426" s="44">
        <v>-1</v>
      </c>
      <c r="BU426" s="44">
        <v>-1</v>
      </c>
      <c r="BV426" s="61">
        <v>-1</v>
      </c>
      <c r="BW426" s="44">
        <v>1</v>
      </c>
      <c r="BX426" s="44">
        <v>1</v>
      </c>
      <c r="BY426" s="46">
        <v>1</v>
      </c>
      <c r="BZ426" s="46">
        <v>1</v>
      </c>
      <c r="CA426" s="46">
        <v>1</v>
      </c>
      <c r="CB426" s="46">
        <v>1</v>
      </c>
      <c r="CC426" s="62">
        <v>-1</v>
      </c>
      <c r="CD426" s="62">
        <v>-1</v>
      </c>
      <c r="CE426" s="61">
        <v>-1</v>
      </c>
      <c r="CF426" s="61">
        <v>-1</v>
      </c>
      <c r="CG426" s="61">
        <v>-1</v>
      </c>
      <c r="CH426" s="61">
        <v>-1</v>
      </c>
      <c r="CI426" s="61">
        <v>-1</v>
      </c>
      <c r="CJ426" s="61">
        <v>-1</v>
      </c>
      <c r="CK426" s="61">
        <v>-1</v>
      </c>
      <c r="CL426" s="61">
        <v>-1</v>
      </c>
      <c r="CM426" s="61">
        <v>-1</v>
      </c>
      <c r="CN426" s="47">
        <v>-1</v>
      </c>
      <c r="CO426" s="47">
        <v>-1</v>
      </c>
      <c r="CP426" s="47">
        <v>-1</v>
      </c>
      <c r="CQ426" s="46">
        <v>-1</v>
      </c>
      <c r="CR426" s="44">
        <v>1</v>
      </c>
      <c r="CS426" s="44">
        <v>1</v>
      </c>
      <c r="CT426" s="47">
        <v>-1</v>
      </c>
      <c r="CU426" s="47">
        <v>-1</v>
      </c>
      <c r="CV426" s="47">
        <v>-1</v>
      </c>
      <c r="CW426" s="47">
        <v>-1</v>
      </c>
      <c r="CX426" s="47">
        <v>-1</v>
      </c>
      <c r="CY426" s="61">
        <v>-1</v>
      </c>
      <c r="CZ426" s="48"/>
      <c r="DA426" s="48"/>
      <c r="DB426" s="48"/>
      <c r="DC426" s="48"/>
      <c r="DD426" s="48"/>
      <c r="DE426" s="48"/>
      <c r="DF426" s="48"/>
      <c r="DG426" s="48"/>
      <c r="DH426" s="48"/>
      <c r="DI426" s="48"/>
      <c r="DJ426" s="48"/>
      <c r="DK426" s="48"/>
      <c r="DL426" s="48"/>
      <c r="DM426" s="48"/>
      <c r="DN426" s="48"/>
      <c r="DO426" s="48"/>
      <c r="DP426" s="48"/>
      <c r="DQ426" s="48"/>
      <c r="DR426" s="48"/>
      <c r="DS426" s="48"/>
      <c r="DT426" s="48"/>
      <c r="DU426" s="48"/>
      <c r="DV426" s="48"/>
      <c r="DW426" s="48"/>
      <c r="DX426" s="48"/>
      <c r="DY426" s="48"/>
      <c r="DZ426" s="48"/>
      <c r="EA426" s="48"/>
      <c r="EB426" s="48"/>
      <c r="EC426" s="48"/>
      <c r="ED426" s="48"/>
    </row>
    <row r="427" spans="1:134" ht="11.25" customHeight="1" x14ac:dyDescent="0.3">
      <c r="A427" s="28" t="e">
        <f t="array" aca="1" ref="A427" ca="1">_xludf.XLOOKUP(S427,Master_Registrations!P:P,Master_Registrations!A:A,"")</f>
        <v>#NAME?</v>
      </c>
      <c r="B427" s="39" t="s">
        <v>7091</v>
      </c>
      <c r="C427" s="39">
        <v>2025</v>
      </c>
      <c r="D427" s="39" t="s">
        <v>4886</v>
      </c>
      <c r="E427" s="39">
        <v>1</v>
      </c>
      <c r="F427" s="40" t="str">
        <f t="shared" si="6"/>
        <v>VED-08-2025-GR-1</v>
      </c>
      <c r="G427" s="39" t="s">
        <v>7073</v>
      </c>
      <c r="H427" s="39" t="s">
        <v>7092</v>
      </c>
      <c r="I427" s="39" t="s">
        <v>5188</v>
      </c>
      <c r="J427" s="39" t="s">
        <v>198</v>
      </c>
      <c r="K427" s="60"/>
      <c r="L427" s="60"/>
      <c r="M427" s="60"/>
      <c r="N427" s="39" t="s">
        <v>714</v>
      </c>
      <c r="O427" s="39" t="s">
        <v>4733</v>
      </c>
      <c r="P427" s="39" t="s">
        <v>4827</v>
      </c>
      <c r="Q427" s="39" t="e">
        <f t="shared" ca="1" si="7"/>
        <v>#NAME?</v>
      </c>
      <c r="R427" s="39" t="s">
        <v>112</v>
      </c>
      <c r="S427" s="50">
        <v>9441723716</v>
      </c>
      <c r="T427" s="40" t="s">
        <v>111</v>
      </c>
      <c r="U427" s="39">
        <v>1946</v>
      </c>
      <c r="V427" s="44">
        <v>2</v>
      </c>
      <c r="W427" s="44">
        <v>2</v>
      </c>
      <c r="X427" s="44">
        <v>2</v>
      </c>
      <c r="Y427" s="44">
        <v>2</v>
      </c>
      <c r="Z427" s="44">
        <v>2</v>
      </c>
      <c r="AA427" s="44">
        <v>2</v>
      </c>
      <c r="AB427" s="44">
        <v>2</v>
      </c>
      <c r="AC427" s="44">
        <v>2</v>
      </c>
      <c r="AD427" s="44">
        <v>2</v>
      </c>
      <c r="AE427" s="44">
        <v>2</v>
      </c>
      <c r="AF427" s="44">
        <v>2</v>
      </c>
      <c r="AG427" s="44">
        <v>2</v>
      </c>
      <c r="AH427" s="44">
        <v>2</v>
      </c>
      <c r="AI427" s="46">
        <v>3</v>
      </c>
      <c r="AJ427" s="44">
        <v>2</v>
      </c>
      <c r="AK427" s="44">
        <v>2</v>
      </c>
      <c r="AL427" s="44">
        <v>2</v>
      </c>
      <c r="AM427" s="44">
        <v>2</v>
      </c>
      <c r="AN427" s="44">
        <v>2</v>
      </c>
      <c r="AO427" s="44">
        <v>2</v>
      </c>
      <c r="AP427" s="44">
        <v>2</v>
      </c>
      <c r="AQ427" s="44">
        <v>2</v>
      </c>
      <c r="AR427" s="44">
        <v>2</v>
      </c>
      <c r="AS427" s="44">
        <v>2</v>
      </c>
      <c r="AT427" s="44">
        <v>2</v>
      </c>
      <c r="AU427" s="44">
        <v>2</v>
      </c>
      <c r="AV427" s="46">
        <v>3</v>
      </c>
      <c r="AW427" s="46">
        <v>1</v>
      </c>
      <c r="AX427" s="62">
        <v>1</v>
      </c>
      <c r="AY427" s="45">
        <v>1</v>
      </c>
      <c r="AZ427" s="44">
        <v>-1</v>
      </c>
      <c r="BA427" s="44">
        <v>1</v>
      </c>
      <c r="BB427" s="44">
        <v>1</v>
      </c>
      <c r="BC427" s="46">
        <v>1</v>
      </c>
      <c r="BD427" s="46">
        <v>1</v>
      </c>
      <c r="BE427" s="46">
        <v>1</v>
      </c>
      <c r="BF427" s="47">
        <v>-1</v>
      </c>
      <c r="BG427" s="46">
        <v>-1</v>
      </c>
      <c r="BH427" s="46">
        <v>-1</v>
      </c>
      <c r="BI427" s="46">
        <v>-1</v>
      </c>
      <c r="BJ427" s="46">
        <v>-1</v>
      </c>
      <c r="BK427" s="46">
        <v>1</v>
      </c>
      <c r="BL427" s="46">
        <v>1</v>
      </c>
      <c r="BM427" s="47">
        <v>-1</v>
      </c>
      <c r="BN427" s="46">
        <v>-1</v>
      </c>
      <c r="BO427" s="46">
        <v>1</v>
      </c>
      <c r="BP427" s="46">
        <v>1</v>
      </c>
      <c r="BQ427" s="44">
        <v>1</v>
      </c>
      <c r="BR427" s="44">
        <v>1</v>
      </c>
      <c r="BS427" s="44">
        <v>1</v>
      </c>
      <c r="BT427" s="44">
        <v>1</v>
      </c>
      <c r="BU427" s="44">
        <v>1</v>
      </c>
      <c r="BV427" s="61">
        <v>-1</v>
      </c>
      <c r="BW427" s="44">
        <v>1</v>
      </c>
      <c r="BX427" s="44">
        <v>1</v>
      </c>
      <c r="BY427" s="46">
        <v>1</v>
      </c>
      <c r="BZ427" s="46">
        <v>1</v>
      </c>
      <c r="CA427" s="46">
        <v>1</v>
      </c>
      <c r="CB427" s="46">
        <v>1</v>
      </c>
      <c r="CC427" s="62">
        <v>-1</v>
      </c>
      <c r="CD427" s="62">
        <v>-1</v>
      </c>
      <c r="CE427" s="61">
        <v>-1</v>
      </c>
      <c r="CF427" s="61">
        <v>-1</v>
      </c>
      <c r="CG427" s="61">
        <v>-1</v>
      </c>
      <c r="CH427" s="61">
        <v>-1</v>
      </c>
      <c r="CI427" s="61">
        <v>-1</v>
      </c>
      <c r="CJ427" s="61">
        <v>-1</v>
      </c>
      <c r="CK427" s="61">
        <v>-1</v>
      </c>
      <c r="CL427" s="61">
        <v>-1</v>
      </c>
      <c r="CM427" s="61">
        <v>-1</v>
      </c>
      <c r="CN427" s="47">
        <v>-1</v>
      </c>
      <c r="CO427" s="47">
        <v>-1</v>
      </c>
      <c r="CP427" s="47">
        <v>-1</v>
      </c>
      <c r="CQ427" s="46">
        <v>1</v>
      </c>
      <c r="CR427" s="44">
        <v>1</v>
      </c>
      <c r="CS427" s="44">
        <v>1</v>
      </c>
      <c r="CT427" s="47">
        <v>-1</v>
      </c>
      <c r="CU427" s="47">
        <v>-1</v>
      </c>
      <c r="CV427" s="47">
        <v>-1</v>
      </c>
      <c r="CW427" s="47">
        <v>-1</v>
      </c>
      <c r="CX427" s="47">
        <v>-1</v>
      </c>
      <c r="CY427" s="61">
        <v>-1</v>
      </c>
      <c r="CZ427" s="48"/>
      <c r="DA427" s="48"/>
      <c r="DB427" s="48"/>
      <c r="DC427" s="48"/>
      <c r="DD427" s="48"/>
      <c r="DE427" s="48"/>
      <c r="DF427" s="48"/>
      <c r="DG427" s="48"/>
      <c r="DH427" s="48"/>
      <c r="DI427" s="48"/>
      <c r="DJ427" s="48"/>
      <c r="DK427" s="48"/>
      <c r="DL427" s="48"/>
      <c r="DM427" s="48"/>
      <c r="DN427" s="48"/>
      <c r="DO427" s="48"/>
      <c r="DP427" s="48"/>
      <c r="DQ427" s="48"/>
      <c r="DR427" s="48"/>
      <c r="DS427" s="48"/>
      <c r="DT427" s="48"/>
      <c r="DU427" s="48"/>
      <c r="DV427" s="48"/>
      <c r="DW427" s="48"/>
      <c r="DX427" s="48"/>
      <c r="DY427" s="48"/>
      <c r="DZ427" s="48"/>
      <c r="EA427" s="48"/>
      <c r="EB427" s="48"/>
      <c r="EC427" s="48"/>
      <c r="ED427" s="48"/>
    </row>
    <row r="428" spans="1:134" ht="11.25" customHeight="1" x14ac:dyDescent="0.3">
      <c r="A428" s="28" t="e">
        <f t="array" aca="1" ref="A428" ca="1">_xludf.XLOOKUP(S428,Master_Registrations!P:P,Master_Registrations!A:A,"")</f>
        <v>#NAME?</v>
      </c>
      <c r="B428" s="28" t="s">
        <v>7093</v>
      </c>
      <c r="C428" s="28">
        <v>2025</v>
      </c>
      <c r="D428" s="28" t="s">
        <v>4886</v>
      </c>
      <c r="E428" s="28">
        <v>1</v>
      </c>
      <c r="F428" s="29" t="str">
        <f t="shared" si="6"/>
        <v>VED-Rem-2025-GR-1</v>
      </c>
      <c r="G428" s="29" t="s">
        <v>7073</v>
      </c>
      <c r="H428" s="28" t="s">
        <v>7073</v>
      </c>
      <c r="I428" s="28"/>
      <c r="J428" s="28" t="s">
        <v>198</v>
      </c>
      <c r="K428" s="57"/>
      <c r="L428" s="57"/>
      <c r="M428" s="57"/>
      <c r="N428" s="28" t="s">
        <v>200</v>
      </c>
      <c r="O428" s="28" t="s">
        <v>4730</v>
      </c>
      <c r="P428" s="28" t="s">
        <v>4731</v>
      </c>
      <c r="Q428" s="28" t="e">
        <f t="shared" ca="1" si="7"/>
        <v>#NAME?</v>
      </c>
      <c r="R428" s="28" t="s">
        <v>316</v>
      </c>
      <c r="S428" s="55">
        <v>9727959925</v>
      </c>
      <c r="T428" s="29" t="s">
        <v>315</v>
      </c>
      <c r="U428" s="28">
        <v>1972</v>
      </c>
      <c r="V428" s="35">
        <v>2</v>
      </c>
      <c r="W428" s="35">
        <v>2</v>
      </c>
      <c r="X428" s="35">
        <v>2</v>
      </c>
      <c r="Y428" s="35">
        <v>2</v>
      </c>
      <c r="Z428" s="35">
        <v>2</v>
      </c>
      <c r="AA428" s="35">
        <v>2</v>
      </c>
      <c r="AB428" s="35">
        <v>2</v>
      </c>
      <c r="AC428" s="35">
        <v>2</v>
      </c>
      <c r="AD428" s="35">
        <v>2</v>
      </c>
      <c r="AE428" s="35">
        <v>2</v>
      </c>
      <c r="AF428" s="35">
        <v>2</v>
      </c>
      <c r="AG428" s="35">
        <v>2</v>
      </c>
      <c r="AH428" s="35">
        <v>2</v>
      </c>
      <c r="AI428" s="58">
        <v>3</v>
      </c>
      <c r="AJ428" s="35">
        <v>2</v>
      </c>
      <c r="AK428" s="35">
        <v>2</v>
      </c>
      <c r="AL428" s="35">
        <v>2</v>
      </c>
      <c r="AM428" s="35">
        <v>2</v>
      </c>
      <c r="AN428" s="35">
        <v>2</v>
      </c>
      <c r="AO428" s="35">
        <v>2</v>
      </c>
      <c r="AP428" s="35">
        <v>2</v>
      </c>
      <c r="AQ428" s="35">
        <v>2</v>
      </c>
      <c r="AR428" s="35">
        <v>2</v>
      </c>
      <c r="AS428" s="35">
        <v>2</v>
      </c>
      <c r="AT428" s="35">
        <v>2</v>
      </c>
      <c r="AU428" s="35">
        <v>2</v>
      </c>
      <c r="AV428" s="58">
        <v>4</v>
      </c>
      <c r="AW428" s="58">
        <v>2</v>
      </c>
      <c r="AX428" s="58">
        <v>2</v>
      </c>
      <c r="AY428" s="58">
        <v>2</v>
      </c>
      <c r="AZ428" s="58">
        <v>2</v>
      </c>
      <c r="BA428" s="58">
        <v>2</v>
      </c>
      <c r="BB428" s="58">
        <v>2</v>
      </c>
      <c r="BC428" s="58">
        <v>2</v>
      </c>
      <c r="BD428" s="58">
        <v>2</v>
      </c>
      <c r="BE428" s="58">
        <v>2</v>
      </c>
      <c r="BF428" s="58">
        <v>4</v>
      </c>
      <c r="BG428" s="58">
        <v>2</v>
      </c>
      <c r="BH428" s="58">
        <v>2</v>
      </c>
      <c r="BI428" s="58">
        <v>2</v>
      </c>
      <c r="BJ428" s="58">
        <v>2</v>
      </c>
      <c r="BK428" s="58">
        <v>2</v>
      </c>
      <c r="BL428" s="58">
        <v>2</v>
      </c>
      <c r="BM428" s="58">
        <v>4</v>
      </c>
      <c r="BN428" s="58">
        <v>2</v>
      </c>
      <c r="BO428" s="58">
        <v>2</v>
      </c>
      <c r="BP428" s="58">
        <v>2</v>
      </c>
      <c r="BQ428" s="58">
        <v>2</v>
      </c>
      <c r="BR428" s="58">
        <v>2</v>
      </c>
      <c r="BS428" s="58">
        <v>2</v>
      </c>
      <c r="BT428" s="58">
        <v>2</v>
      </c>
      <c r="BU428" s="58">
        <v>2</v>
      </c>
      <c r="BV428" s="84">
        <v>4</v>
      </c>
      <c r="BW428" s="35">
        <v>2</v>
      </c>
      <c r="BX428" s="35">
        <v>2</v>
      </c>
      <c r="BY428" s="35">
        <v>2</v>
      </c>
      <c r="BZ428" s="35">
        <v>2</v>
      </c>
      <c r="CA428" s="35">
        <v>2</v>
      </c>
      <c r="CB428" s="35">
        <v>2</v>
      </c>
      <c r="CC428" s="35">
        <v>2</v>
      </c>
      <c r="CD428" s="35">
        <v>2</v>
      </c>
      <c r="CE428" s="84">
        <v>4</v>
      </c>
      <c r="CF428" s="35">
        <v>2</v>
      </c>
      <c r="CG428" s="35">
        <v>2</v>
      </c>
      <c r="CH428" s="35">
        <v>2</v>
      </c>
      <c r="CI428" s="35">
        <v>2</v>
      </c>
      <c r="CJ428" s="35">
        <v>2</v>
      </c>
      <c r="CK428" s="35">
        <v>2</v>
      </c>
      <c r="CL428" s="35">
        <v>2</v>
      </c>
      <c r="CM428" s="84">
        <v>4</v>
      </c>
      <c r="CN428" s="35">
        <v>2</v>
      </c>
      <c r="CO428" s="35">
        <v>2</v>
      </c>
      <c r="CP428" s="35">
        <v>2</v>
      </c>
      <c r="CQ428" s="35">
        <v>2</v>
      </c>
      <c r="CR428" s="35">
        <v>2</v>
      </c>
      <c r="CS428" s="35">
        <v>2</v>
      </c>
      <c r="CT428" s="35">
        <v>2</v>
      </c>
      <c r="CU428" s="35">
        <v>2</v>
      </c>
      <c r="CV428" s="35">
        <v>2</v>
      </c>
      <c r="CW428" s="35">
        <v>2</v>
      </c>
      <c r="CX428" s="35">
        <v>2</v>
      </c>
      <c r="CY428" s="84">
        <v>4</v>
      </c>
      <c r="CZ428" s="48"/>
      <c r="DA428" s="48"/>
      <c r="DB428" s="48"/>
      <c r="DC428" s="48"/>
      <c r="DD428" s="48"/>
      <c r="DE428" s="48"/>
      <c r="DF428" s="48"/>
      <c r="DG428" s="48"/>
      <c r="DH428" s="48"/>
      <c r="DI428" s="48"/>
      <c r="DJ428" s="48"/>
      <c r="DK428" s="48"/>
      <c r="DL428" s="48"/>
      <c r="DM428" s="48"/>
      <c r="DN428" s="48"/>
      <c r="DO428" s="48"/>
      <c r="DP428" s="48"/>
      <c r="DQ428" s="48"/>
      <c r="DR428" s="48"/>
      <c r="DS428" s="48"/>
      <c r="DT428" s="48"/>
      <c r="DU428" s="48"/>
      <c r="DV428" s="48"/>
      <c r="DW428" s="48"/>
      <c r="DX428" s="48"/>
      <c r="DY428" s="48"/>
      <c r="DZ428" s="48"/>
      <c r="EA428" s="48"/>
      <c r="EB428" s="48"/>
      <c r="EC428" s="48"/>
      <c r="ED428" s="48"/>
    </row>
    <row r="429" spans="1:134" ht="11.25" customHeight="1" x14ac:dyDescent="0.3">
      <c r="A429" s="28" t="e">
        <f t="array" aca="1" ref="A429" ca="1">_xludf.XLOOKUP(S429,Master_Registrations!P:P,Master_Registrations!A:A,"")</f>
        <v>#NAME?</v>
      </c>
      <c r="B429" s="28" t="s">
        <v>7093</v>
      </c>
      <c r="C429" s="28">
        <v>2026</v>
      </c>
      <c r="D429" s="28" t="s">
        <v>4886</v>
      </c>
      <c r="E429" s="28">
        <v>1</v>
      </c>
      <c r="F429" s="29" t="str">
        <f t="shared" si="6"/>
        <v>VED-Rem-2026-GR-1</v>
      </c>
      <c r="G429" s="29" t="s">
        <v>7073</v>
      </c>
      <c r="H429" s="28" t="s">
        <v>7073</v>
      </c>
      <c r="I429" s="28"/>
      <c r="J429" s="28" t="s">
        <v>198</v>
      </c>
      <c r="K429" s="57"/>
      <c r="L429" s="57"/>
      <c r="M429" s="57"/>
      <c r="N429" s="28" t="s">
        <v>299</v>
      </c>
      <c r="O429" s="28" t="s">
        <v>4767</v>
      </c>
      <c r="P429" s="28" t="s">
        <v>4768</v>
      </c>
      <c r="Q429" s="28" t="e">
        <f t="shared" ca="1" si="7"/>
        <v>#NAME?</v>
      </c>
      <c r="R429" s="28" t="s">
        <v>316</v>
      </c>
      <c r="S429" s="32">
        <v>4259799136</v>
      </c>
      <c r="T429" s="29" t="s">
        <v>474</v>
      </c>
      <c r="U429" s="29">
        <v>1958</v>
      </c>
      <c r="V429" s="35">
        <v>2</v>
      </c>
      <c r="W429" s="35">
        <v>2</v>
      </c>
      <c r="X429" s="35">
        <v>2</v>
      </c>
      <c r="Y429" s="35">
        <v>2</v>
      </c>
      <c r="Z429" s="35">
        <v>2</v>
      </c>
      <c r="AA429" s="35">
        <v>2</v>
      </c>
      <c r="AB429" s="35">
        <v>2</v>
      </c>
      <c r="AC429" s="35">
        <v>2</v>
      </c>
      <c r="AD429" s="35">
        <v>2</v>
      </c>
      <c r="AE429" s="35">
        <v>2</v>
      </c>
      <c r="AF429" s="35">
        <v>2</v>
      </c>
      <c r="AG429" s="35">
        <v>2</v>
      </c>
      <c r="AH429" s="35">
        <v>2</v>
      </c>
      <c r="AI429" s="59">
        <v>-1</v>
      </c>
      <c r="AJ429" s="35">
        <v>2</v>
      </c>
      <c r="AK429" s="35">
        <v>2</v>
      </c>
      <c r="AL429" s="35">
        <v>2</v>
      </c>
      <c r="AM429" s="35">
        <v>2</v>
      </c>
      <c r="AN429" s="35">
        <v>2</v>
      </c>
      <c r="AO429" s="35">
        <v>2</v>
      </c>
      <c r="AP429" s="35">
        <v>2</v>
      </c>
      <c r="AQ429" s="35">
        <v>2</v>
      </c>
      <c r="AR429" s="35">
        <v>2</v>
      </c>
      <c r="AS429" s="35">
        <v>2</v>
      </c>
      <c r="AT429" s="35">
        <v>2</v>
      </c>
      <c r="AU429" s="35">
        <v>2</v>
      </c>
      <c r="AV429" s="59">
        <v>-1</v>
      </c>
      <c r="AW429" s="35">
        <v>1</v>
      </c>
      <c r="AX429" s="84">
        <v>1</v>
      </c>
      <c r="AY429" s="33">
        <v>2</v>
      </c>
      <c r="AZ429" s="35">
        <v>-1</v>
      </c>
      <c r="BA429" s="35">
        <v>2</v>
      </c>
      <c r="BB429" s="35">
        <v>2</v>
      </c>
      <c r="BC429" s="35">
        <v>1</v>
      </c>
      <c r="BD429" s="35">
        <v>1</v>
      </c>
      <c r="BE429" s="35">
        <v>1</v>
      </c>
      <c r="BF429" s="59">
        <v>-1</v>
      </c>
      <c r="BG429" s="35">
        <v>1</v>
      </c>
      <c r="BH429" s="35">
        <v>1</v>
      </c>
      <c r="BI429" s="35">
        <v>1</v>
      </c>
      <c r="BJ429" s="35">
        <v>1</v>
      </c>
      <c r="BK429" s="35">
        <v>1</v>
      </c>
      <c r="BL429" s="35">
        <v>1</v>
      </c>
      <c r="BM429" s="59">
        <v>-1</v>
      </c>
      <c r="BN429" s="35">
        <v>1</v>
      </c>
      <c r="BO429" s="35">
        <v>1</v>
      </c>
      <c r="BP429" s="35">
        <v>1</v>
      </c>
      <c r="BQ429" s="35">
        <v>1</v>
      </c>
      <c r="BR429" s="35">
        <v>1</v>
      </c>
      <c r="BS429" s="35">
        <v>1</v>
      </c>
      <c r="BT429" s="35">
        <v>1</v>
      </c>
      <c r="BU429" s="35">
        <v>1</v>
      </c>
      <c r="BV429" s="85">
        <v>-1</v>
      </c>
      <c r="BW429" s="35">
        <v>1</v>
      </c>
      <c r="BX429" s="35">
        <v>1</v>
      </c>
      <c r="BY429" s="35">
        <v>1</v>
      </c>
      <c r="BZ429" s="35">
        <v>1</v>
      </c>
      <c r="CA429" s="35">
        <v>1</v>
      </c>
      <c r="CB429" s="35">
        <v>1</v>
      </c>
      <c r="CC429" s="35">
        <v>1</v>
      </c>
      <c r="CD429" s="35">
        <v>1</v>
      </c>
      <c r="CE429" s="85">
        <v>-1</v>
      </c>
      <c r="CF429" s="85">
        <v>-1</v>
      </c>
      <c r="CG429" s="85">
        <v>-1</v>
      </c>
      <c r="CH429" s="85">
        <v>-1</v>
      </c>
      <c r="CI429" s="85">
        <v>-1</v>
      </c>
      <c r="CJ429" s="85">
        <v>-1</v>
      </c>
      <c r="CK429" s="85">
        <v>-1</v>
      </c>
      <c r="CL429" s="85">
        <v>-1</v>
      </c>
      <c r="CM429" s="85"/>
      <c r="CN429" s="35">
        <v>1</v>
      </c>
      <c r="CO429" s="33">
        <v>1</v>
      </c>
      <c r="CP429" s="35">
        <v>1</v>
      </c>
      <c r="CQ429" s="35">
        <v>1</v>
      </c>
      <c r="CR429" s="35">
        <v>1</v>
      </c>
      <c r="CS429" s="33">
        <v>1</v>
      </c>
      <c r="CT429" s="33">
        <v>1</v>
      </c>
      <c r="CU429" s="33">
        <v>1</v>
      </c>
      <c r="CV429" s="33">
        <v>1</v>
      </c>
      <c r="CW429" s="33">
        <v>1</v>
      </c>
      <c r="CX429" s="33">
        <v>1</v>
      </c>
      <c r="CY429" s="85">
        <v>-1</v>
      </c>
      <c r="CZ429" s="48"/>
      <c r="DA429" s="48"/>
      <c r="DB429" s="48"/>
      <c r="DC429" s="48"/>
      <c r="DD429" s="48"/>
      <c r="DE429" s="48"/>
      <c r="DF429" s="48"/>
      <c r="DG429" s="48"/>
      <c r="DH429" s="48"/>
      <c r="DI429" s="48"/>
      <c r="DJ429" s="48"/>
      <c r="DK429" s="48"/>
      <c r="DL429" s="48"/>
      <c r="DM429" s="48"/>
      <c r="DN429" s="48"/>
      <c r="DO429" s="48"/>
      <c r="DP429" s="48"/>
      <c r="DQ429" s="48"/>
      <c r="DR429" s="48"/>
      <c r="DS429" s="48"/>
      <c r="DT429" s="48"/>
      <c r="DU429" s="48"/>
      <c r="DV429" s="48"/>
      <c r="DW429" s="48"/>
      <c r="DX429" s="48"/>
      <c r="DY429" s="48"/>
      <c r="DZ429" s="48"/>
      <c r="EA429" s="48"/>
      <c r="EB429" s="48"/>
      <c r="EC429" s="48"/>
      <c r="ED429" s="48"/>
    </row>
    <row r="430" spans="1:134" ht="11.25" customHeight="1" x14ac:dyDescent="0.3">
      <c r="A430" s="28" t="e">
        <f t="array" aca="1" ref="A430" ca="1">_xludf.XLOOKUP(S430,Master_Registrations!P:P,Master_Registrations!A:A,"")</f>
        <v>#NAME?</v>
      </c>
      <c r="B430" s="28" t="s">
        <v>7093</v>
      </c>
      <c r="C430" s="28">
        <v>2026</v>
      </c>
      <c r="D430" s="28" t="s">
        <v>4886</v>
      </c>
      <c r="E430" s="28">
        <v>1</v>
      </c>
      <c r="F430" s="29" t="str">
        <f t="shared" si="6"/>
        <v>VED-Rem-2026-GR-1</v>
      </c>
      <c r="G430" s="29" t="s">
        <v>4750</v>
      </c>
      <c r="H430" s="29" t="s">
        <v>4750</v>
      </c>
      <c r="I430" s="29"/>
      <c r="J430" s="28" t="s">
        <v>198</v>
      </c>
      <c r="K430" s="57"/>
      <c r="L430" s="57"/>
      <c r="M430" s="57"/>
      <c r="N430" s="28" t="s">
        <v>369</v>
      </c>
      <c r="O430" s="28" t="s">
        <v>4730</v>
      </c>
      <c r="P430" s="28" t="s">
        <v>4736</v>
      </c>
      <c r="Q430" s="28" t="e">
        <f t="shared" ca="1" si="7"/>
        <v>#NAME?</v>
      </c>
      <c r="R430" s="28" t="s">
        <v>316</v>
      </c>
      <c r="S430" s="32">
        <v>5128036503</v>
      </c>
      <c r="T430" s="29" t="s">
        <v>315</v>
      </c>
      <c r="U430" s="32">
        <v>2003</v>
      </c>
      <c r="V430" s="58">
        <v>2</v>
      </c>
      <c r="W430" s="58">
        <v>2</v>
      </c>
      <c r="X430" s="58">
        <v>2</v>
      </c>
      <c r="Y430" s="58">
        <v>2</v>
      </c>
      <c r="Z430" s="58">
        <v>2</v>
      </c>
      <c r="AA430" s="58">
        <v>2</v>
      </c>
      <c r="AB430" s="58">
        <v>2</v>
      </c>
      <c r="AC430" s="58">
        <v>2</v>
      </c>
      <c r="AD430" s="58">
        <v>2</v>
      </c>
      <c r="AE430" s="58">
        <v>2</v>
      </c>
      <c r="AF430" s="58">
        <v>2</v>
      </c>
      <c r="AG430" s="58">
        <v>2</v>
      </c>
      <c r="AH430" s="58">
        <v>2</v>
      </c>
      <c r="AI430" s="58">
        <v>4</v>
      </c>
      <c r="AJ430" s="58">
        <v>2</v>
      </c>
      <c r="AK430" s="58">
        <v>2</v>
      </c>
      <c r="AL430" s="58">
        <v>2</v>
      </c>
      <c r="AM430" s="58">
        <v>2</v>
      </c>
      <c r="AN430" s="58">
        <v>2</v>
      </c>
      <c r="AO430" s="58">
        <v>2</v>
      </c>
      <c r="AP430" s="58">
        <v>2</v>
      </c>
      <c r="AQ430" s="58">
        <v>2</v>
      </c>
      <c r="AR430" s="58">
        <v>2</v>
      </c>
      <c r="AS430" s="58">
        <v>2</v>
      </c>
      <c r="AT430" s="58">
        <v>2</v>
      </c>
      <c r="AU430" s="58">
        <v>2</v>
      </c>
      <c r="AV430" s="58">
        <v>4</v>
      </c>
      <c r="AW430" s="58">
        <v>2</v>
      </c>
      <c r="AX430" s="58">
        <v>2</v>
      </c>
      <c r="AY430" s="58">
        <v>2</v>
      </c>
      <c r="AZ430" s="58">
        <v>2</v>
      </c>
      <c r="BA430" s="58">
        <v>2</v>
      </c>
      <c r="BB430" s="58">
        <v>2</v>
      </c>
      <c r="BC430" s="58">
        <v>2</v>
      </c>
      <c r="BD430" s="58">
        <v>2</v>
      </c>
      <c r="BE430" s="58">
        <v>2</v>
      </c>
      <c r="BF430" s="58">
        <v>3</v>
      </c>
      <c r="BG430" s="58">
        <v>1</v>
      </c>
      <c r="BH430" s="58">
        <v>1</v>
      </c>
      <c r="BI430" s="58">
        <v>1</v>
      </c>
      <c r="BJ430" s="58">
        <v>1</v>
      </c>
      <c r="BK430" s="58">
        <v>1</v>
      </c>
      <c r="BL430" s="58">
        <v>-1</v>
      </c>
      <c r="BM430" s="59">
        <v>-1</v>
      </c>
      <c r="BN430" s="35">
        <v>2</v>
      </c>
      <c r="BO430" s="35">
        <v>2</v>
      </c>
      <c r="BP430" s="35">
        <v>2</v>
      </c>
      <c r="BQ430" s="35">
        <v>-1</v>
      </c>
      <c r="BR430" s="35">
        <v>-1</v>
      </c>
      <c r="BS430" s="58">
        <v>1</v>
      </c>
      <c r="BT430" s="58">
        <v>1</v>
      </c>
      <c r="BU430" s="58">
        <v>-1</v>
      </c>
      <c r="BV430" s="85">
        <v>-1</v>
      </c>
      <c r="BW430" s="33">
        <v>-1</v>
      </c>
      <c r="BX430" s="33">
        <v>-1</v>
      </c>
      <c r="BY430" s="33">
        <v>-1</v>
      </c>
      <c r="BZ430" s="33">
        <v>-1</v>
      </c>
      <c r="CA430" s="59">
        <v>-1</v>
      </c>
      <c r="CB430" s="59">
        <v>-1</v>
      </c>
      <c r="CC430" s="59">
        <v>-1</v>
      </c>
      <c r="CD430" s="59">
        <v>-1</v>
      </c>
      <c r="CE430" s="85">
        <v>-1</v>
      </c>
      <c r="CF430" s="35">
        <v>-1</v>
      </c>
      <c r="CG430" s="35">
        <v>-1</v>
      </c>
      <c r="CH430" s="35">
        <v>-1</v>
      </c>
      <c r="CI430" s="35">
        <v>-1</v>
      </c>
      <c r="CJ430" s="59">
        <v>-1</v>
      </c>
      <c r="CK430" s="59">
        <v>-1</v>
      </c>
      <c r="CL430" s="85">
        <v>-1</v>
      </c>
      <c r="CM430" s="85">
        <v>-1</v>
      </c>
      <c r="CN430" s="85">
        <v>-1</v>
      </c>
      <c r="CO430" s="85">
        <v>-1</v>
      </c>
      <c r="CP430" s="85">
        <v>-1</v>
      </c>
      <c r="CQ430" s="85">
        <v>-1</v>
      </c>
      <c r="CR430" s="85">
        <v>-1</v>
      </c>
      <c r="CS430" s="85">
        <v>-1</v>
      </c>
      <c r="CT430" s="85">
        <v>-1</v>
      </c>
      <c r="CU430" s="85">
        <v>-1</v>
      </c>
      <c r="CV430" s="85">
        <v>-1</v>
      </c>
      <c r="CW430" s="59">
        <v>-1</v>
      </c>
      <c r="CX430" s="59">
        <v>-1</v>
      </c>
      <c r="CY430" s="85">
        <v>-1</v>
      </c>
      <c r="CZ430" s="48"/>
      <c r="DA430" s="48"/>
      <c r="DB430" s="48"/>
      <c r="DC430" s="48"/>
      <c r="DD430" s="48"/>
      <c r="DE430" s="48"/>
      <c r="DF430" s="48"/>
      <c r="DG430" s="48"/>
      <c r="DH430" s="48"/>
      <c r="DI430" s="48"/>
      <c r="DJ430" s="48"/>
      <c r="DK430" s="48"/>
      <c r="DL430" s="48"/>
      <c r="DM430" s="48"/>
      <c r="DN430" s="48"/>
      <c r="DO430" s="48"/>
      <c r="DP430" s="48"/>
      <c r="DQ430" s="48"/>
      <c r="DR430" s="48"/>
      <c r="DS430" s="48"/>
      <c r="DT430" s="48"/>
      <c r="DU430" s="48"/>
      <c r="DV430" s="48"/>
      <c r="DW430" s="48"/>
      <c r="DX430" s="48"/>
      <c r="DY430" s="48"/>
      <c r="DZ430" s="48"/>
      <c r="EA430" s="48"/>
      <c r="EB430" s="48"/>
      <c r="EC430" s="48"/>
      <c r="ED430" s="48"/>
    </row>
    <row r="431" spans="1:134" ht="11.25" customHeight="1" x14ac:dyDescent="0.3">
      <c r="A431" s="28" t="e">
        <f t="array" aca="1" ref="A431" ca="1">_xludf.XLOOKUP(S431,Master_Registrations!P:P,Master_Registrations!A:A,"")</f>
        <v>#NAME?</v>
      </c>
      <c r="B431" s="89" t="s">
        <v>182</v>
      </c>
      <c r="C431" s="89">
        <v>2017</v>
      </c>
      <c r="D431" s="89" t="s">
        <v>4886</v>
      </c>
      <c r="E431" s="89">
        <v>1</v>
      </c>
      <c r="F431" s="90" t="str">
        <f t="shared" si="6"/>
        <v>VED-01-2017-GR-1</v>
      </c>
      <c r="G431" s="89" t="s">
        <v>7073</v>
      </c>
      <c r="H431" s="89" t="s">
        <v>4750</v>
      </c>
      <c r="I431" s="89"/>
      <c r="J431" s="89" t="s">
        <v>7094</v>
      </c>
      <c r="K431" s="91"/>
      <c r="L431" s="92"/>
      <c r="M431" s="93"/>
      <c r="N431" s="90" t="s">
        <v>7095</v>
      </c>
      <c r="O431" s="89" t="s">
        <v>1758</v>
      </c>
      <c r="P431" s="89" t="s">
        <v>2485</v>
      </c>
      <c r="Q431" s="89" t="e">
        <f t="shared" ca="1" si="7"/>
        <v>#NAME?</v>
      </c>
      <c r="R431" s="39" t="s">
        <v>112</v>
      </c>
      <c r="S431" s="94">
        <v>9490792828</v>
      </c>
      <c r="T431" s="90" t="s">
        <v>111</v>
      </c>
      <c r="U431" s="90">
        <v>1953</v>
      </c>
      <c r="V431" s="95">
        <v>-1</v>
      </c>
      <c r="W431" s="95">
        <v>-1</v>
      </c>
      <c r="X431" s="95">
        <v>-1</v>
      </c>
      <c r="Y431" s="95">
        <v>-1</v>
      </c>
      <c r="Z431" s="95">
        <v>-1</v>
      </c>
      <c r="AA431" s="95">
        <v>-1</v>
      </c>
      <c r="AB431" s="95">
        <v>-1</v>
      </c>
      <c r="AC431" s="95">
        <v>-1</v>
      </c>
      <c r="AD431" s="95">
        <v>-1</v>
      </c>
      <c r="AE431" s="95">
        <v>-1</v>
      </c>
      <c r="AF431" s="95">
        <v>-1</v>
      </c>
      <c r="AG431" s="95">
        <v>-1</v>
      </c>
      <c r="AH431" s="95">
        <v>-1</v>
      </c>
      <c r="AI431" s="96">
        <v>-1</v>
      </c>
      <c r="AJ431" s="95">
        <v>-1</v>
      </c>
      <c r="AK431" s="95">
        <v>-1</v>
      </c>
      <c r="AL431" s="95">
        <v>-1</v>
      </c>
      <c r="AM431" s="95">
        <v>-1</v>
      </c>
      <c r="AN431" s="95">
        <v>-1</v>
      </c>
      <c r="AO431" s="95">
        <v>-1</v>
      </c>
      <c r="AP431" s="95">
        <v>-1</v>
      </c>
      <c r="AQ431" s="95">
        <v>-1</v>
      </c>
      <c r="AR431" s="95">
        <v>-1</v>
      </c>
      <c r="AS431" s="95">
        <v>-1</v>
      </c>
      <c r="AT431" s="95">
        <v>-1</v>
      </c>
      <c r="AU431" s="95">
        <v>-1</v>
      </c>
      <c r="AV431" s="96">
        <v>-1</v>
      </c>
      <c r="AW431" s="97">
        <v>-1</v>
      </c>
      <c r="AX431" s="96">
        <v>-1</v>
      </c>
      <c r="AY431" s="95">
        <v>-1</v>
      </c>
      <c r="AZ431" s="95">
        <v>-1</v>
      </c>
      <c r="BA431" s="95">
        <v>-1</v>
      </c>
      <c r="BB431" s="95">
        <v>-1</v>
      </c>
      <c r="BC431" s="97">
        <v>-1</v>
      </c>
      <c r="BD431" s="97">
        <v>-1</v>
      </c>
      <c r="BE431" s="97">
        <v>-1</v>
      </c>
      <c r="BF431" s="96">
        <v>-1</v>
      </c>
      <c r="BG431" s="97">
        <v>-1</v>
      </c>
      <c r="BH431" s="97">
        <v>-1</v>
      </c>
      <c r="BI431" s="97">
        <v>-1</v>
      </c>
      <c r="BJ431" s="97">
        <v>-1</v>
      </c>
      <c r="BK431" s="97">
        <v>-1</v>
      </c>
      <c r="BL431" s="97">
        <v>-1</v>
      </c>
      <c r="BM431" s="96">
        <v>-1</v>
      </c>
      <c r="BN431" s="96">
        <v>-1</v>
      </c>
      <c r="BO431" s="96">
        <v>-1</v>
      </c>
      <c r="BP431" s="96">
        <v>-1</v>
      </c>
      <c r="BQ431" s="96">
        <v>-1</v>
      </c>
      <c r="BR431" s="96">
        <v>-1</v>
      </c>
      <c r="BS431" s="96">
        <v>-1</v>
      </c>
      <c r="BT431" s="96">
        <v>-1</v>
      </c>
      <c r="BU431" s="96">
        <v>-1</v>
      </c>
      <c r="BV431" s="96">
        <v>-1</v>
      </c>
      <c r="BW431" s="89"/>
      <c r="BX431" s="89"/>
      <c r="BY431" s="89"/>
      <c r="BZ431" s="89"/>
      <c r="CA431" s="89"/>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98"/>
      <c r="DA431" s="98"/>
      <c r="DB431" s="98"/>
      <c r="DC431" s="98"/>
      <c r="DD431" s="98"/>
      <c r="DE431" s="98"/>
      <c r="DF431" s="98"/>
      <c r="DG431" s="98"/>
      <c r="DH431" s="98"/>
      <c r="DI431" s="98"/>
      <c r="DJ431" s="98"/>
      <c r="DK431" s="98"/>
      <c r="DL431" s="98"/>
      <c r="DM431" s="98"/>
      <c r="DN431" s="98"/>
      <c r="DO431" s="98"/>
      <c r="DP431" s="98"/>
      <c r="DQ431" s="98"/>
      <c r="DR431" s="98"/>
      <c r="DS431" s="98"/>
      <c r="DT431" s="98"/>
      <c r="DU431" s="98"/>
      <c r="DV431" s="98"/>
      <c r="DW431" s="98"/>
      <c r="DX431" s="98"/>
      <c r="DY431" s="98"/>
      <c r="DZ431" s="98"/>
      <c r="EA431" s="98"/>
      <c r="EB431" s="98"/>
      <c r="EC431" s="98"/>
      <c r="ED431" s="98"/>
    </row>
    <row r="432" spans="1:134" ht="11.25" customHeight="1" x14ac:dyDescent="0.3">
      <c r="A432" s="28" t="e">
        <f t="array" aca="1" ref="A432" ca="1">_xludf.XLOOKUP(S432,Master_Registrations!P:P,Master_Registrations!A:A,"")</f>
        <v>#NAME?</v>
      </c>
      <c r="B432" s="89" t="s">
        <v>182</v>
      </c>
      <c r="C432" s="89">
        <v>2017</v>
      </c>
      <c r="D432" s="89" t="s">
        <v>4886</v>
      </c>
      <c r="E432" s="89">
        <v>1</v>
      </c>
      <c r="F432" s="90" t="str">
        <f t="shared" si="6"/>
        <v>VED-01-2017-GR-1</v>
      </c>
      <c r="G432" s="89" t="s">
        <v>7073</v>
      </c>
      <c r="H432" s="89" t="s">
        <v>4750</v>
      </c>
      <c r="I432" s="89"/>
      <c r="J432" s="89" t="s">
        <v>7094</v>
      </c>
      <c r="K432" s="91"/>
      <c r="L432" s="92"/>
      <c r="M432" s="92"/>
      <c r="N432" s="90" t="s">
        <v>7095</v>
      </c>
      <c r="O432" s="89" t="s">
        <v>4796</v>
      </c>
      <c r="P432" s="89" t="s">
        <v>731</v>
      </c>
      <c r="Q432" s="89" t="e">
        <f t="shared" ca="1" si="7"/>
        <v>#NAME?</v>
      </c>
      <c r="R432" s="39" t="s">
        <v>112</v>
      </c>
      <c r="S432" s="94">
        <v>9441697852</v>
      </c>
      <c r="T432" s="90" t="s">
        <v>111</v>
      </c>
      <c r="U432" s="90">
        <v>1951</v>
      </c>
      <c r="V432" s="95">
        <v>-1</v>
      </c>
      <c r="W432" s="95">
        <v>-1</v>
      </c>
      <c r="X432" s="95">
        <v>-1</v>
      </c>
      <c r="Y432" s="95">
        <v>-1</v>
      </c>
      <c r="Z432" s="95">
        <v>-1</v>
      </c>
      <c r="AA432" s="95">
        <v>-1</v>
      </c>
      <c r="AB432" s="95">
        <v>-1</v>
      </c>
      <c r="AC432" s="95">
        <v>-1</v>
      </c>
      <c r="AD432" s="95">
        <v>-1</v>
      </c>
      <c r="AE432" s="95">
        <v>-1</v>
      </c>
      <c r="AF432" s="95">
        <v>-1</v>
      </c>
      <c r="AG432" s="95">
        <v>-1</v>
      </c>
      <c r="AH432" s="95">
        <v>-1</v>
      </c>
      <c r="AI432" s="96">
        <v>-1</v>
      </c>
      <c r="AJ432" s="95">
        <v>-1</v>
      </c>
      <c r="AK432" s="95">
        <v>-1</v>
      </c>
      <c r="AL432" s="95">
        <v>-1</v>
      </c>
      <c r="AM432" s="95">
        <v>-1</v>
      </c>
      <c r="AN432" s="95">
        <v>-1</v>
      </c>
      <c r="AO432" s="95">
        <v>-1</v>
      </c>
      <c r="AP432" s="95">
        <v>-1</v>
      </c>
      <c r="AQ432" s="95">
        <v>-1</v>
      </c>
      <c r="AR432" s="95">
        <v>-1</v>
      </c>
      <c r="AS432" s="95">
        <v>-1</v>
      </c>
      <c r="AT432" s="95">
        <v>-1</v>
      </c>
      <c r="AU432" s="95">
        <v>-1</v>
      </c>
      <c r="AV432" s="96">
        <v>-1</v>
      </c>
      <c r="AW432" s="97">
        <v>-1</v>
      </c>
      <c r="AX432" s="96">
        <v>-1</v>
      </c>
      <c r="AY432" s="96">
        <v>-1</v>
      </c>
      <c r="AZ432" s="96">
        <v>-1</v>
      </c>
      <c r="BA432" s="96">
        <v>-1</v>
      </c>
      <c r="BB432" s="96">
        <v>-1</v>
      </c>
      <c r="BC432" s="97">
        <v>-1</v>
      </c>
      <c r="BD432" s="97">
        <v>-1</v>
      </c>
      <c r="BE432" s="97">
        <v>-1</v>
      </c>
      <c r="BF432" s="96">
        <v>-1</v>
      </c>
      <c r="BG432" s="97">
        <v>-1</v>
      </c>
      <c r="BH432" s="97">
        <v>-1</v>
      </c>
      <c r="BI432" s="97">
        <v>-1</v>
      </c>
      <c r="BJ432" s="97">
        <v>-1</v>
      </c>
      <c r="BK432" s="97">
        <v>-1</v>
      </c>
      <c r="BL432" s="97">
        <v>-1</v>
      </c>
      <c r="BM432" s="96">
        <v>-1</v>
      </c>
      <c r="BN432" s="96">
        <v>-1</v>
      </c>
      <c r="BO432" s="96">
        <v>-1</v>
      </c>
      <c r="BP432" s="96">
        <v>-1</v>
      </c>
      <c r="BQ432" s="96">
        <v>-1</v>
      </c>
      <c r="BR432" s="96">
        <v>-1</v>
      </c>
      <c r="BS432" s="96">
        <v>-1</v>
      </c>
      <c r="BT432" s="96">
        <v>-1</v>
      </c>
      <c r="BU432" s="96">
        <v>-1</v>
      </c>
      <c r="BV432" s="96">
        <v>-1</v>
      </c>
      <c r="BW432" s="89"/>
      <c r="BX432" s="89"/>
      <c r="BY432" s="89"/>
      <c r="BZ432" s="89"/>
      <c r="CA432" s="89"/>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98"/>
      <c r="DA432" s="98"/>
      <c r="DB432" s="98"/>
      <c r="DC432" s="98"/>
      <c r="DD432" s="98"/>
      <c r="DE432" s="98"/>
      <c r="DF432" s="98"/>
      <c r="DG432" s="98"/>
      <c r="DH432" s="98"/>
      <c r="DI432" s="98"/>
      <c r="DJ432" s="98"/>
      <c r="DK432" s="98"/>
      <c r="DL432" s="98"/>
      <c r="DM432" s="98"/>
      <c r="DN432" s="98"/>
      <c r="DO432" s="98"/>
      <c r="DP432" s="98"/>
      <c r="DQ432" s="98"/>
      <c r="DR432" s="98"/>
      <c r="DS432" s="98"/>
      <c r="DT432" s="98"/>
      <c r="DU432" s="98"/>
      <c r="DV432" s="98"/>
      <c r="DW432" s="98"/>
      <c r="DX432" s="98"/>
      <c r="DY432" s="98"/>
      <c r="DZ432" s="98"/>
      <c r="EA432" s="98"/>
      <c r="EB432" s="98"/>
      <c r="EC432" s="98"/>
      <c r="ED432" s="98"/>
    </row>
    <row r="433" spans="1:134" ht="11.25" customHeight="1" x14ac:dyDescent="0.3">
      <c r="A433" s="28" t="e">
        <f t="array" aca="1" ref="A433" ca="1">_xludf.XLOOKUP(S433,Master_Registrations!P:P,Master_Registrations!A:A,"")</f>
        <v>#NAME?</v>
      </c>
      <c r="B433" s="89" t="s">
        <v>182</v>
      </c>
      <c r="C433" s="89">
        <v>2018</v>
      </c>
      <c r="D433" s="89" t="s">
        <v>4886</v>
      </c>
      <c r="E433" s="89">
        <v>1</v>
      </c>
      <c r="F433" s="90" t="str">
        <f t="shared" si="6"/>
        <v>VED-01-2018-GR-1</v>
      </c>
      <c r="G433" s="89" t="s">
        <v>7073</v>
      </c>
      <c r="H433" s="89" t="s">
        <v>4750</v>
      </c>
      <c r="I433" s="89"/>
      <c r="J433" s="89" t="s">
        <v>7094</v>
      </c>
      <c r="K433" s="91"/>
      <c r="L433" s="93"/>
      <c r="M433" s="93"/>
      <c r="N433" s="90" t="s">
        <v>7095</v>
      </c>
      <c r="O433" s="89" t="s">
        <v>4805</v>
      </c>
      <c r="P433" s="89" t="s">
        <v>3297</v>
      </c>
      <c r="Q433" s="89" t="e">
        <f t="shared" ca="1" si="7"/>
        <v>#NAME?</v>
      </c>
      <c r="R433" s="39" t="s">
        <v>112</v>
      </c>
      <c r="S433" s="94">
        <v>9491349149</v>
      </c>
      <c r="T433" s="90" t="s">
        <v>111</v>
      </c>
      <c r="U433" s="90">
        <v>1980</v>
      </c>
      <c r="V433" s="95">
        <v>-1</v>
      </c>
      <c r="W433" s="95">
        <v>-1</v>
      </c>
      <c r="X433" s="99">
        <v>1</v>
      </c>
      <c r="Y433" s="99">
        <v>1</v>
      </c>
      <c r="Z433" s="99">
        <v>1</v>
      </c>
      <c r="AA433" s="99">
        <v>1</v>
      </c>
      <c r="AB433" s="99">
        <v>1</v>
      </c>
      <c r="AC433" s="99">
        <v>1</v>
      </c>
      <c r="AD433" s="99">
        <v>1</v>
      </c>
      <c r="AE433" s="99">
        <v>1</v>
      </c>
      <c r="AF433" s="99">
        <v>1</v>
      </c>
      <c r="AG433" s="99">
        <v>1</v>
      </c>
      <c r="AH433" s="99">
        <v>1</v>
      </c>
      <c r="AI433" s="96">
        <v>-1</v>
      </c>
      <c r="AJ433" s="99">
        <v>1</v>
      </c>
      <c r="AK433" s="99">
        <v>1</v>
      </c>
      <c r="AL433" s="99">
        <v>1</v>
      </c>
      <c r="AM433" s="99">
        <v>1</v>
      </c>
      <c r="AN433" s="99">
        <v>1</v>
      </c>
      <c r="AO433" s="99">
        <v>1</v>
      </c>
      <c r="AP433" s="95">
        <v>1</v>
      </c>
      <c r="AQ433" s="99">
        <v>1</v>
      </c>
      <c r="AR433" s="99">
        <v>1</v>
      </c>
      <c r="AS433" s="99">
        <v>1</v>
      </c>
      <c r="AT433" s="99">
        <v>1</v>
      </c>
      <c r="AU433" s="99">
        <v>1</v>
      </c>
      <c r="AV433" s="95">
        <v>-1</v>
      </c>
      <c r="AW433" s="89"/>
      <c r="AX433" s="89"/>
      <c r="AY433" s="89"/>
      <c r="AZ433" s="89"/>
      <c r="BA433" s="89"/>
      <c r="BB433" s="89"/>
      <c r="BC433" s="89"/>
      <c r="BD433" s="89"/>
      <c r="BE433" s="89"/>
      <c r="BF433" s="89"/>
      <c r="BG433" s="97">
        <v>-1</v>
      </c>
      <c r="BH433" s="97">
        <v>-1</v>
      </c>
      <c r="BI433" s="97">
        <v>-1</v>
      </c>
      <c r="BJ433" s="97">
        <v>-1</v>
      </c>
      <c r="BK433" s="97">
        <v>-1</v>
      </c>
      <c r="BL433" s="97">
        <v>-1</v>
      </c>
      <c r="BM433" s="96">
        <v>-1</v>
      </c>
      <c r="BN433" s="96">
        <v>-1</v>
      </c>
      <c r="BO433" s="96">
        <v>-1</v>
      </c>
      <c r="BP433" s="96">
        <v>-1</v>
      </c>
      <c r="BQ433" s="96">
        <v>-1</v>
      </c>
      <c r="BR433" s="96">
        <v>-1</v>
      </c>
      <c r="BS433" s="96">
        <v>-1</v>
      </c>
      <c r="BT433" s="96">
        <v>-1</v>
      </c>
      <c r="BU433" s="96">
        <v>-1</v>
      </c>
      <c r="BV433" s="96">
        <v>-1</v>
      </c>
      <c r="BW433" s="89"/>
      <c r="BX433" s="89"/>
      <c r="BY433" s="89"/>
      <c r="BZ433" s="89"/>
      <c r="CA433" s="89"/>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98"/>
      <c r="DA433" s="98"/>
      <c r="DB433" s="98"/>
      <c r="DC433" s="98"/>
      <c r="DD433" s="98"/>
      <c r="DE433" s="98"/>
      <c r="DF433" s="98"/>
      <c r="DG433" s="98"/>
      <c r="DH433" s="98"/>
      <c r="DI433" s="98"/>
      <c r="DJ433" s="98"/>
      <c r="DK433" s="98"/>
      <c r="DL433" s="98"/>
      <c r="DM433" s="98"/>
      <c r="DN433" s="98"/>
      <c r="DO433" s="98"/>
      <c r="DP433" s="98"/>
      <c r="DQ433" s="98"/>
      <c r="DR433" s="98"/>
      <c r="DS433" s="98"/>
      <c r="DT433" s="98"/>
      <c r="DU433" s="98"/>
      <c r="DV433" s="98"/>
      <c r="DW433" s="98"/>
      <c r="DX433" s="98"/>
      <c r="DY433" s="98"/>
      <c r="DZ433" s="98"/>
      <c r="EA433" s="98"/>
      <c r="EB433" s="98"/>
      <c r="EC433" s="98"/>
      <c r="ED433" s="98"/>
    </row>
    <row r="434" spans="1:134" ht="11.25" customHeight="1" x14ac:dyDescent="0.3">
      <c r="A434" s="28" t="e">
        <f t="array" aca="1" ref="A434" ca="1">_xludf.XLOOKUP(S434,Master_Registrations!P:P,Master_Registrations!A:A,"")</f>
        <v>#NAME?</v>
      </c>
      <c r="B434" s="89" t="s">
        <v>182</v>
      </c>
      <c r="C434" s="89">
        <v>2018</v>
      </c>
      <c r="D434" s="89" t="s">
        <v>4886</v>
      </c>
      <c r="E434" s="89">
        <v>1</v>
      </c>
      <c r="F434" s="90" t="str">
        <f t="shared" si="6"/>
        <v>VED-01-2018-GR-1</v>
      </c>
      <c r="G434" s="89" t="s">
        <v>7073</v>
      </c>
      <c r="H434" s="90" t="s">
        <v>5183</v>
      </c>
      <c r="I434" s="90"/>
      <c r="J434" s="89" t="s">
        <v>7094</v>
      </c>
      <c r="K434" s="91"/>
      <c r="L434" s="92"/>
      <c r="M434" s="92"/>
      <c r="N434" s="90" t="s">
        <v>7095</v>
      </c>
      <c r="O434" s="89" t="s">
        <v>4808</v>
      </c>
      <c r="P434" s="89" t="s">
        <v>4809</v>
      </c>
      <c r="Q434" s="89" t="e">
        <f t="shared" ca="1" si="7"/>
        <v>#NAME?</v>
      </c>
      <c r="R434" s="39" t="s">
        <v>112</v>
      </c>
      <c r="S434" s="94">
        <v>9246556902</v>
      </c>
      <c r="T434" s="90" t="s">
        <v>111</v>
      </c>
      <c r="U434" s="90">
        <v>1972</v>
      </c>
      <c r="V434" s="95">
        <v>-1</v>
      </c>
      <c r="W434" s="95">
        <v>-1</v>
      </c>
      <c r="X434" s="99">
        <v>1</v>
      </c>
      <c r="Y434" s="99">
        <v>1</v>
      </c>
      <c r="Z434" s="99">
        <v>1</v>
      </c>
      <c r="AA434" s="99">
        <v>1</v>
      </c>
      <c r="AB434" s="99">
        <v>1</v>
      </c>
      <c r="AC434" s="99">
        <v>1</v>
      </c>
      <c r="AD434" s="99">
        <v>1</v>
      </c>
      <c r="AE434" s="99">
        <v>1</v>
      </c>
      <c r="AF434" s="99">
        <v>1</v>
      </c>
      <c r="AG434" s="99">
        <v>1</v>
      </c>
      <c r="AH434" s="99">
        <v>1</v>
      </c>
      <c r="AI434" s="96">
        <v>-1</v>
      </c>
      <c r="AJ434" s="99">
        <v>1</v>
      </c>
      <c r="AK434" s="99">
        <v>1</v>
      </c>
      <c r="AL434" s="99">
        <v>1</v>
      </c>
      <c r="AM434" s="99">
        <v>-1</v>
      </c>
      <c r="AN434" s="99">
        <v>1</v>
      </c>
      <c r="AO434" s="99">
        <v>1</v>
      </c>
      <c r="AP434" s="95">
        <v>-1</v>
      </c>
      <c r="AQ434" s="99">
        <v>-1</v>
      </c>
      <c r="AR434" s="99">
        <v>-1</v>
      </c>
      <c r="AS434" s="99">
        <v>-1</v>
      </c>
      <c r="AT434" s="99">
        <v>-1</v>
      </c>
      <c r="AU434" s="99">
        <v>-1</v>
      </c>
      <c r="AV434" s="95">
        <v>-1</v>
      </c>
      <c r="AW434" s="99">
        <v>1</v>
      </c>
      <c r="AX434" s="100">
        <v>1</v>
      </c>
      <c r="AY434" s="95">
        <v>-1</v>
      </c>
      <c r="AZ434" s="95">
        <v>-1</v>
      </c>
      <c r="BA434" s="99">
        <v>-1</v>
      </c>
      <c r="BB434" s="99">
        <v>-1</v>
      </c>
      <c r="BC434" s="99">
        <v>1</v>
      </c>
      <c r="BD434" s="99">
        <v>1</v>
      </c>
      <c r="BE434" s="99">
        <v>1</v>
      </c>
      <c r="BF434" s="96">
        <v>-1</v>
      </c>
      <c r="BG434" s="99">
        <v>1</v>
      </c>
      <c r="BH434" s="97">
        <v>1</v>
      </c>
      <c r="BI434" s="97">
        <v>-1</v>
      </c>
      <c r="BJ434" s="97">
        <v>-1</v>
      </c>
      <c r="BK434" s="97">
        <v>-1</v>
      </c>
      <c r="BL434" s="97">
        <v>-1</v>
      </c>
      <c r="BM434" s="96">
        <v>-1</v>
      </c>
      <c r="BN434" s="96">
        <v>-1</v>
      </c>
      <c r="BO434" s="96">
        <v>-1</v>
      </c>
      <c r="BP434" s="96">
        <v>-1</v>
      </c>
      <c r="BQ434" s="96">
        <v>-1</v>
      </c>
      <c r="BR434" s="96">
        <v>-1</v>
      </c>
      <c r="BS434" s="96">
        <v>-1</v>
      </c>
      <c r="BT434" s="96">
        <v>-1</v>
      </c>
      <c r="BU434" s="96">
        <v>-1</v>
      </c>
      <c r="BV434" s="96">
        <v>-1</v>
      </c>
      <c r="BW434" s="89"/>
      <c r="BX434" s="89"/>
      <c r="BY434" s="89"/>
      <c r="BZ434" s="89"/>
      <c r="CA434" s="89"/>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98"/>
      <c r="DA434" s="98"/>
      <c r="DB434" s="98"/>
      <c r="DC434" s="98"/>
      <c r="DD434" s="98"/>
      <c r="DE434" s="98"/>
      <c r="DF434" s="98"/>
      <c r="DG434" s="98"/>
      <c r="DH434" s="98"/>
      <c r="DI434" s="98"/>
      <c r="DJ434" s="98"/>
      <c r="DK434" s="98"/>
      <c r="DL434" s="98"/>
      <c r="DM434" s="98"/>
      <c r="DN434" s="98"/>
      <c r="DO434" s="98"/>
      <c r="DP434" s="98"/>
      <c r="DQ434" s="98"/>
      <c r="DR434" s="98"/>
      <c r="DS434" s="98"/>
      <c r="DT434" s="98"/>
      <c r="DU434" s="98"/>
      <c r="DV434" s="98"/>
      <c r="DW434" s="98"/>
      <c r="DX434" s="98"/>
      <c r="DY434" s="98"/>
      <c r="DZ434" s="98"/>
      <c r="EA434" s="98"/>
      <c r="EB434" s="98"/>
      <c r="EC434" s="98"/>
      <c r="ED434" s="98"/>
    </row>
    <row r="435" spans="1:134" ht="11.25" customHeight="1" x14ac:dyDescent="0.3">
      <c r="A435" s="28" t="e">
        <f t="array" aca="1" ref="A435" ca="1">_xludf.XLOOKUP(S435,Master_Registrations!P:P,Master_Registrations!A:A,"")</f>
        <v>#NAME?</v>
      </c>
      <c r="B435" s="89" t="s">
        <v>182</v>
      </c>
      <c r="C435" s="89">
        <v>2019</v>
      </c>
      <c r="D435" s="89" t="s">
        <v>4886</v>
      </c>
      <c r="E435" s="89">
        <v>1</v>
      </c>
      <c r="F435" s="90" t="str">
        <f t="shared" si="6"/>
        <v>VED-01-2019-GR-1</v>
      </c>
      <c r="G435" s="89" t="s">
        <v>7073</v>
      </c>
      <c r="H435" s="89" t="s">
        <v>4750</v>
      </c>
      <c r="I435" s="89"/>
      <c r="J435" s="89" t="s">
        <v>7094</v>
      </c>
      <c r="K435" s="91"/>
      <c r="L435" s="92"/>
      <c r="M435" s="101"/>
      <c r="N435" s="90" t="s">
        <v>7095</v>
      </c>
      <c r="O435" s="89" t="s">
        <v>3723</v>
      </c>
      <c r="P435" s="141" t="s">
        <v>4822</v>
      </c>
      <c r="Q435" s="89" t="e">
        <f t="shared" ca="1" si="7"/>
        <v>#NAME?</v>
      </c>
      <c r="R435" s="39" t="s">
        <v>112</v>
      </c>
      <c r="S435" s="94">
        <v>9849992608</v>
      </c>
      <c r="T435" s="90" t="s">
        <v>111</v>
      </c>
      <c r="U435" s="90">
        <v>1975</v>
      </c>
      <c r="V435" s="95">
        <v>-1</v>
      </c>
      <c r="W435" s="95">
        <v>-1</v>
      </c>
      <c r="X435" s="95">
        <v>-1</v>
      </c>
      <c r="Y435" s="95">
        <v>-1</v>
      </c>
      <c r="Z435" s="95">
        <v>-1</v>
      </c>
      <c r="AA435" s="95">
        <v>-1</v>
      </c>
      <c r="AB435" s="95">
        <v>-1</v>
      </c>
      <c r="AC435" s="95">
        <v>-1</v>
      </c>
      <c r="AD435" s="95">
        <v>-1</v>
      </c>
      <c r="AE435" s="95">
        <v>-1</v>
      </c>
      <c r="AF435" s="95">
        <v>-1</v>
      </c>
      <c r="AG435" s="95">
        <v>-1</v>
      </c>
      <c r="AH435" s="95">
        <v>-1</v>
      </c>
      <c r="AI435" s="96">
        <v>-1</v>
      </c>
      <c r="AJ435" s="95">
        <v>-1</v>
      </c>
      <c r="AK435" s="95">
        <v>-1</v>
      </c>
      <c r="AL435" s="95">
        <v>-1</v>
      </c>
      <c r="AM435" s="95">
        <v>-1</v>
      </c>
      <c r="AN435" s="95">
        <v>-1</v>
      </c>
      <c r="AO435" s="95">
        <v>-1</v>
      </c>
      <c r="AP435" s="95">
        <v>-1</v>
      </c>
      <c r="AQ435" s="95">
        <v>-1</v>
      </c>
      <c r="AR435" s="95">
        <v>-1</v>
      </c>
      <c r="AS435" s="95">
        <v>-1</v>
      </c>
      <c r="AT435" s="95">
        <v>-1</v>
      </c>
      <c r="AU435" s="95">
        <v>-1</v>
      </c>
      <c r="AV435" s="96">
        <v>-1</v>
      </c>
      <c r="AW435" s="99">
        <v>1</v>
      </c>
      <c r="AX435" s="100">
        <v>1</v>
      </c>
      <c r="AY435" s="95">
        <v>-1</v>
      </c>
      <c r="AZ435" s="95">
        <v>-1</v>
      </c>
      <c r="BA435" s="95">
        <v>-1</v>
      </c>
      <c r="BB435" s="95">
        <v>-1</v>
      </c>
      <c r="BC435" s="99">
        <v>1</v>
      </c>
      <c r="BD435" s="99">
        <v>1</v>
      </c>
      <c r="BE435" s="97">
        <v>-1</v>
      </c>
      <c r="BF435" s="96">
        <v>-1</v>
      </c>
      <c r="BG435" s="99">
        <v>-1</v>
      </c>
      <c r="BH435" s="97">
        <v>-1</v>
      </c>
      <c r="BI435" s="97">
        <v>-1</v>
      </c>
      <c r="BJ435" s="96">
        <v>-1</v>
      </c>
      <c r="BK435" s="96">
        <v>-1</v>
      </c>
      <c r="BL435" s="96">
        <v>-1</v>
      </c>
      <c r="BM435" s="96">
        <v>-1</v>
      </c>
      <c r="BN435" s="96">
        <v>-1</v>
      </c>
      <c r="BO435" s="96">
        <v>-1</v>
      </c>
      <c r="BP435" s="96">
        <v>-1</v>
      </c>
      <c r="BQ435" s="96">
        <v>-1</v>
      </c>
      <c r="BR435" s="96">
        <v>-1</v>
      </c>
      <c r="BS435" s="96">
        <v>-1</v>
      </c>
      <c r="BT435" s="96">
        <v>-1</v>
      </c>
      <c r="BU435" s="96">
        <v>-1</v>
      </c>
      <c r="BV435" s="96">
        <v>-1</v>
      </c>
      <c r="BW435" s="89"/>
      <c r="BX435" s="89"/>
      <c r="BY435" s="89"/>
      <c r="BZ435" s="89"/>
      <c r="CA435" s="89"/>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98"/>
      <c r="DA435" s="98"/>
      <c r="DB435" s="98"/>
      <c r="DC435" s="98"/>
      <c r="DD435" s="98"/>
      <c r="DE435" s="98"/>
      <c r="DF435" s="98"/>
      <c r="DG435" s="98"/>
      <c r="DH435" s="98"/>
      <c r="DI435" s="98"/>
      <c r="DJ435" s="98"/>
      <c r="DK435" s="98"/>
      <c r="DL435" s="98"/>
      <c r="DM435" s="98"/>
      <c r="DN435" s="98"/>
      <c r="DO435" s="98"/>
      <c r="DP435" s="98"/>
      <c r="DQ435" s="98"/>
      <c r="DR435" s="98"/>
      <c r="DS435" s="98"/>
      <c r="DT435" s="98"/>
      <c r="DU435" s="98"/>
      <c r="DV435" s="98"/>
      <c r="DW435" s="98"/>
      <c r="DX435" s="98"/>
      <c r="DY435" s="98"/>
      <c r="DZ435" s="98"/>
      <c r="EA435" s="98"/>
      <c r="EB435" s="98"/>
      <c r="EC435" s="98"/>
      <c r="ED435" s="98"/>
    </row>
    <row r="436" spans="1:134" ht="11.25" customHeight="1" x14ac:dyDescent="0.3">
      <c r="A436" s="28" t="e">
        <f t="array" aca="1" ref="A436" ca="1">_xludf.XLOOKUP(S436,Master_Registrations!P:P,Master_Registrations!A:A,"")</f>
        <v>#NAME?</v>
      </c>
      <c r="B436" s="89" t="s">
        <v>182</v>
      </c>
      <c r="C436" s="89">
        <v>2019</v>
      </c>
      <c r="D436" s="89" t="s">
        <v>4886</v>
      </c>
      <c r="E436" s="89">
        <v>1</v>
      </c>
      <c r="F436" s="90" t="str">
        <f t="shared" si="6"/>
        <v>VED-01-2019-GR-1</v>
      </c>
      <c r="G436" s="89" t="s">
        <v>7073</v>
      </c>
      <c r="H436" s="90" t="s">
        <v>5183</v>
      </c>
      <c r="I436" s="90"/>
      <c r="J436" s="89" t="s">
        <v>7094</v>
      </c>
      <c r="K436" s="91"/>
      <c r="L436" s="102"/>
      <c r="M436" s="92"/>
      <c r="N436" s="90" t="s">
        <v>7095</v>
      </c>
      <c r="O436" s="89" t="s">
        <v>1287</v>
      </c>
      <c r="P436" s="89" t="s">
        <v>4825</v>
      </c>
      <c r="Q436" s="89" t="e">
        <f t="shared" ca="1" si="7"/>
        <v>#NAME?</v>
      </c>
      <c r="R436" s="39" t="s">
        <v>112</v>
      </c>
      <c r="S436" s="94">
        <v>9985098395</v>
      </c>
      <c r="T436" s="90" t="s">
        <v>111</v>
      </c>
      <c r="U436" s="90">
        <v>1974</v>
      </c>
      <c r="V436" s="99">
        <v>1</v>
      </c>
      <c r="W436" s="99">
        <v>1</v>
      </c>
      <c r="X436" s="99">
        <v>2</v>
      </c>
      <c r="Y436" s="99">
        <v>2</v>
      </c>
      <c r="Z436" s="99">
        <v>2</v>
      </c>
      <c r="AA436" s="99">
        <v>2</v>
      </c>
      <c r="AB436" s="99">
        <v>2</v>
      </c>
      <c r="AC436" s="95">
        <v>2</v>
      </c>
      <c r="AD436" s="95">
        <v>2</v>
      </c>
      <c r="AE436" s="99">
        <v>2</v>
      </c>
      <c r="AF436" s="99">
        <v>2</v>
      </c>
      <c r="AG436" s="99">
        <v>2</v>
      </c>
      <c r="AH436" s="99">
        <v>2</v>
      </c>
      <c r="AI436" s="96">
        <v>-1</v>
      </c>
      <c r="AJ436" s="99">
        <v>2</v>
      </c>
      <c r="AK436" s="99">
        <v>2</v>
      </c>
      <c r="AL436" s="99">
        <v>2</v>
      </c>
      <c r="AM436" s="99">
        <v>2</v>
      </c>
      <c r="AN436" s="99">
        <v>2</v>
      </c>
      <c r="AO436" s="99">
        <v>2</v>
      </c>
      <c r="AP436" s="95">
        <v>-1</v>
      </c>
      <c r="AQ436" s="99">
        <v>2</v>
      </c>
      <c r="AR436" s="99">
        <v>2</v>
      </c>
      <c r="AS436" s="99">
        <v>2</v>
      </c>
      <c r="AT436" s="99">
        <v>2</v>
      </c>
      <c r="AU436" s="99">
        <v>2</v>
      </c>
      <c r="AV436" s="95">
        <v>-1</v>
      </c>
      <c r="AW436" s="97">
        <v>1</v>
      </c>
      <c r="AX436" s="100">
        <v>1</v>
      </c>
      <c r="AY436" s="95">
        <v>2</v>
      </c>
      <c r="AZ436" s="95">
        <v>2</v>
      </c>
      <c r="BA436" s="99">
        <v>2</v>
      </c>
      <c r="BB436" s="99">
        <v>2</v>
      </c>
      <c r="BC436" s="97">
        <v>1</v>
      </c>
      <c r="BD436" s="97">
        <v>1</v>
      </c>
      <c r="BE436" s="97">
        <v>-1</v>
      </c>
      <c r="BF436" s="96">
        <v>-1</v>
      </c>
      <c r="BG436" s="99">
        <v>1</v>
      </c>
      <c r="BH436" s="97">
        <v>1</v>
      </c>
      <c r="BI436" s="97">
        <v>1</v>
      </c>
      <c r="BJ436" s="97">
        <v>1</v>
      </c>
      <c r="BK436" s="97">
        <v>1</v>
      </c>
      <c r="BL436" s="97">
        <v>1</v>
      </c>
      <c r="BM436" s="96">
        <v>-1</v>
      </c>
      <c r="BN436" s="96">
        <v>-1</v>
      </c>
      <c r="BO436" s="96">
        <v>-1</v>
      </c>
      <c r="BP436" s="96">
        <v>-1</v>
      </c>
      <c r="BQ436" s="96">
        <v>-1</v>
      </c>
      <c r="BR436" s="96">
        <v>-1</v>
      </c>
      <c r="BS436" s="96">
        <v>-1</v>
      </c>
      <c r="BT436" s="96">
        <v>-1</v>
      </c>
      <c r="BU436" s="96">
        <v>-1</v>
      </c>
      <c r="BV436" s="96">
        <v>-1</v>
      </c>
      <c r="BW436" s="89"/>
      <c r="BX436" s="89"/>
      <c r="BY436" s="89"/>
      <c r="BZ436" s="89"/>
      <c r="CA436" s="89"/>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98"/>
      <c r="DA436" s="98"/>
      <c r="DB436" s="98"/>
      <c r="DC436" s="98"/>
      <c r="DD436" s="98"/>
      <c r="DE436" s="98"/>
      <c r="DF436" s="98"/>
      <c r="DG436" s="98"/>
      <c r="DH436" s="98"/>
      <c r="DI436" s="98"/>
      <c r="DJ436" s="98"/>
      <c r="DK436" s="98"/>
      <c r="DL436" s="98"/>
      <c r="DM436" s="98"/>
      <c r="DN436" s="98"/>
      <c r="DO436" s="98"/>
      <c r="DP436" s="98"/>
      <c r="DQ436" s="98"/>
      <c r="DR436" s="98"/>
      <c r="DS436" s="98"/>
      <c r="DT436" s="98"/>
      <c r="DU436" s="98"/>
      <c r="DV436" s="98"/>
      <c r="DW436" s="98"/>
      <c r="DX436" s="98"/>
      <c r="DY436" s="98"/>
      <c r="DZ436" s="98"/>
      <c r="EA436" s="98"/>
      <c r="EB436" s="98"/>
      <c r="EC436" s="98"/>
      <c r="ED436" s="98"/>
    </row>
    <row r="437" spans="1:134" ht="11.25" customHeight="1" x14ac:dyDescent="0.3">
      <c r="A437" s="28" t="e">
        <f t="array" aca="1" ref="A437" ca="1">_xludf.XLOOKUP(S437,Master_Registrations!P:P,Master_Registrations!A:A,"")</f>
        <v>#NAME?</v>
      </c>
      <c r="B437" s="89" t="s">
        <v>182</v>
      </c>
      <c r="C437" s="89">
        <v>2021</v>
      </c>
      <c r="D437" s="89" t="s">
        <v>4886</v>
      </c>
      <c r="E437" s="89">
        <v>1</v>
      </c>
      <c r="F437" s="90" t="str">
        <f t="shared" si="6"/>
        <v>VED-01-2021-GR-1</v>
      </c>
      <c r="G437" s="90" t="s">
        <v>7073</v>
      </c>
      <c r="H437" s="90" t="s">
        <v>4750</v>
      </c>
      <c r="I437" s="90"/>
      <c r="J437" s="89" t="s">
        <v>7094</v>
      </c>
      <c r="K437" s="103"/>
      <c r="L437" s="93"/>
      <c r="M437" s="92"/>
      <c r="N437" s="90" t="s">
        <v>7095</v>
      </c>
      <c r="O437" s="89" t="s">
        <v>5075</v>
      </c>
      <c r="P437" s="89" t="s">
        <v>5076</v>
      </c>
      <c r="Q437" s="89" t="e">
        <f t="shared" ca="1" si="7"/>
        <v>#NAME?</v>
      </c>
      <c r="R437" s="39" t="s">
        <v>316</v>
      </c>
      <c r="S437" s="94">
        <v>5124846766</v>
      </c>
      <c r="T437" s="90" t="s">
        <v>315</v>
      </c>
      <c r="U437" s="90">
        <v>1971</v>
      </c>
      <c r="V437" s="97">
        <v>1</v>
      </c>
      <c r="W437" s="97">
        <v>1</v>
      </c>
      <c r="X437" s="99">
        <v>1</v>
      </c>
      <c r="Y437" s="99">
        <v>1</v>
      </c>
      <c r="Z437" s="99">
        <v>1</v>
      </c>
      <c r="AA437" s="99">
        <v>1</v>
      </c>
      <c r="AB437" s="99">
        <v>1</v>
      </c>
      <c r="AC437" s="95">
        <v>-1</v>
      </c>
      <c r="AD437" s="95">
        <v>-1</v>
      </c>
      <c r="AE437" s="99">
        <v>1</v>
      </c>
      <c r="AF437" s="99">
        <v>1</v>
      </c>
      <c r="AG437" s="99">
        <v>1</v>
      </c>
      <c r="AH437" s="99">
        <v>-1</v>
      </c>
      <c r="AI437" s="95">
        <v>-1</v>
      </c>
      <c r="AJ437" s="99">
        <v>1</v>
      </c>
      <c r="AK437" s="99">
        <v>-1</v>
      </c>
      <c r="AL437" s="99">
        <v>1</v>
      </c>
      <c r="AM437" s="99">
        <v>-1</v>
      </c>
      <c r="AN437" s="99">
        <v>-1</v>
      </c>
      <c r="AO437" s="99">
        <v>-1</v>
      </c>
      <c r="AP437" s="95">
        <v>-1</v>
      </c>
      <c r="AQ437" s="95">
        <v>-1</v>
      </c>
      <c r="AR437" s="99">
        <v>-1</v>
      </c>
      <c r="AS437" s="95">
        <v>-1</v>
      </c>
      <c r="AT437" s="95">
        <v>-1</v>
      </c>
      <c r="AU437" s="99">
        <v>-1</v>
      </c>
      <c r="AV437" s="95">
        <v>-1</v>
      </c>
      <c r="AW437" s="97">
        <v>-1</v>
      </c>
      <c r="AX437" s="96">
        <v>-1</v>
      </c>
      <c r="AY437" s="95">
        <v>1</v>
      </c>
      <c r="AZ437" s="95">
        <v>1</v>
      </c>
      <c r="BA437" s="97">
        <v>1</v>
      </c>
      <c r="BB437" s="97">
        <v>1</v>
      </c>
      <c r="BC437" s="97">
        <v>-1</v>
      </c>
      <c r="BD437" s="97">
        <v>-1</v>
      </c>
      <c r="BE437" s="97">
        <v>-1</v>
      </c>
      <c r="BF437" s="96">
        <v>-1</v>
      </c>
      <c r="BG437" s="97">
        <v>1</v>
      </c>
      <c r="BH437" s="97">
        <v>1</v>
      </c>
      <c r="BI437" s="97">
        <v>-1</v>
      </c>
      <c r="BJ437" s="97">
        <v>1</v>
      </c>
      <c r="BK437" s="97">
        <v>-1</v>
      </c>
      <c r="BL437" s="97">
        <v>-1</v>
      </c>
      <c r="BM437" s="96">
        <v>-1</v>
      </c>
      <c r="BN437" s="96">
        <v>-1</v>
      </c>
      <c r="BO437" s="96">
        <v>-1</v>
      </c>
      <c r="BP437" s="96">
        <v>-1</v>
      </c>
      <c r="BQ437" s="96">
        <v>-1</v>
      </c>
      <c r="BR437" s="96">
        <v>-1</v>
      </c>
      <c r="BS437" s="96">
        <v>-1</v>
      </c>
      <c r="BT437" s="96">
        <v>-1</v>
      </c>
      <c r="BU437" s="96">
        <v>-1</v>
      </c>
      <c r="BV437" s="96">
        <v>-1</v>
      </c>
      <c r="BW437" s="89"/>
      <c r="BX437" s="89"/>
      <c r="BY437" s="89"/>
      <c r="BZ437" s="89"/>
      <c r="CA437" s="89"/>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98"/>
      <c r="DA437" s="98"/>
      <c r="DB437" s="98"/>
      <c r="DC437" s="98"/>
      <c r="DD437" s="98"/>
      <c r="DE437" s="98"/>
      <c r="DF437" s="98"/>
      <c r="DG437" s="98"/>
      <c r="DH437" s="98"/>
      <c r="DI437" s="98"/>
      <c r="DJ437" s="98"/>
      <c r="DK437" s="98"/>
      <c r="DL437" s="98"/>
      <c r="DM437" s="98"/>
      <c r="DN437" s="98"/>
      <c r="DO437" s="98"/>
      <c r="DP437" s="98"/>
      <c r="DQ437" s="98"/>
      <c r="DR437" s="98"/>
      <c r="DS437" s="98"/>
      <c r="DT437" s="98"/>
      <c r="DU437" s="98"/>
      <c r="DV437" s="98"/>
      <c r="DW437" s="98"/>
      <c r="DX437" s="98"/>
      <c r="DY437" s="98"/>
      <c r="DZ437" s="98"/>
      <c r="EA437" s="98"/>
      <c r="EB437" s="98"/>
      <c r="EC437" s="98"/>
      <c r="ED437" s="98"/>
    </row>
    <row r="438" spans="1:134" ht="11.25" customHeight="1" x14ac:dyDescent="0.3">
      <c r="A438" s="28" t="e">
        <f t="array" aca="1" ref="A438" ca="1">_xludf.XLOOKUP(S438,Master_Registrations!P:P,Master_Registrations!A:A,"")</f>
        <v>#NAME?</v>
      </c>
      <c r="B438" s="89" t="s">
        <v>182</v>
      </c>
      <c r="C438" s="89">
        <v>2021</v>
      </c>
      <c r="D438" s="89" t="s">
        <v>4886</v>
      </c>
      <c r="E438" s="89">
        <v>1</v>
      </c>
      <c r="F438" s="90" t="str">
        <f t="shared" si="6"/>
        <v>VED-01-2021-GR-1</v>
      </c>
      <c r="G438" s="89" t="s">
        <v>7073</v>
      </c>
      <c r="H438" s="89" t="s">
        <v>4750</v>
      </c>
      <c r="I438" s="89"/>
      <c r="J438" s="89" t="s">
        <v>7094</v>
      </c>
      <c r="K438" s="101"/>
      <c r="L438" s="101"/>
      <c r="M438" s="101"/>
      <c r="N438" s="90" t="s">
        <v>7095</v>
      </c>
      <c r="O438" s="89" t="s">
        <v>5014</v>
      </c>
      <c r="P438" s="89" t="s">
        <v>5015</v>
      </c>
      <c r="Q438" s="89" t="e">
        <f t="shared" ca="1" si="7"/>
        <v>#NAME?</v>
      </c>
      <c r="R438" s="39" t="s">
        <v>316</v>
      </c>
      <c r="S438" s="94">
        <v>7322134574</v>
      </c>
      <c r="T438" s="90" t="s">
        <v>315</v>
      </c>
      <c r="U438" s="90">
        <v>1975</v>
      </c>
      <c r="V438" s="96">
        <v>-1</v>
      </c>
      <c r="W438" s="96">
        <v>-1</v>
      </c>
      <c r="X438" s="97">
        <v>-1</v>
      </c>
      <c r="Y438" s="97">
        <v>-1</v>
      </c>
      <c r="Z438" s="97">
        <v>-1</v>
      </c>
      <c r="AA438" s="97">
        <v>-1</v>
      </c>
      <c r="AB438" s="97">
        <v>-1</v>
      </c>
      <c r="AC438" s="96">
        <v>-1</v>
      </c>
      <c r="AD438" s="96">
        <v>-1</v>
      </c>
      <c r="AE438" s="97">
        <v>-1</v>
      </c>
      <c r="AF438" s="97">
        <v>-1</v>
      </c>
      <c r="AG438" s="97">
        <v>-1</v>
      </c>
      <c r="AH438" s="97">
        <v>-1</v>
      </c>
      <c r="AI438" s="96">
        <v>-1</v>
      </c>
      <c r="AJ438" s="97">
        <v>-1</v>
      </c>
      <c r="AK438" s="97">
        <v>-1</v>
      </c>
      <c r="AL438" s="97">
        <v>-1</v>
      </c>
      <c r="AM438" s="97">
        <v>-1</v>
      </c>
      <c r="AN438" s="97">
        <v>-1</v>
      </c>
      <c r="AO438" s="97">
        <v>-1</v>
      </c>
      <c r="AP438" s="95">
        <v>-1</v>
      </c>
      <c r="AQ438" s="95">
        <v>-1</v>
      </c>
      <c r="AR438" s="97">
        <v>-1</v>
      </c>
      <c r="AS438" s="95">
        <v>-1</v>
      </c>
      <c r="AT438" s="95">
        <v>-1</v>
      </c>
      <c r="AU438" s="99">
        <v>-1</v>
      </c>
      <c r="AV438" s="95">
        <v>-1</v>
      </c>
      <c r="AW438" s="97">
        <v>-1</v>
      </c>
      <c r="AX438" s="95">
        <v>-1</v>
      </c>
      <c r="AY438" s="96">
        <v>-1</v>
      </c>
      <c r="AZ438" s="96">
        <v>-1</v>
      </c>
      <c r="BA438" s="96">
        <v>-1</v>
      </c>
      <c r="BB438" s="96">
        <v>-1</v>
      </c>
      <c r="BC438" s="97">
        <v>-1</v>
      </c>
      <c r="BD438" s="97">
        <v>-1</v>
      </c>
      <c r="BE438" s="96">
        <v>-1</v>
      </c>
      <c r="BF438" s="96">
        <v>-1</v>
      </c>
      <c r="BG438" s="96">
        <v>-1</v>
      </c>
      <c r="BH438" s="96">
        <v>-1</v>
      </c>
      <c r="BI438" s="96">
        <v>-1</v>
      </c>
      <c r="BJ438" s="96">
        <v>-1</v>
      </c>
      <c r="BK438" s="96">
        <v>-1</v>
      </c>
      <c r="BL438" s="96">
        <v>-1</v>
      </c>
      <c r="BM438" s="96">
        <v>-1</v>
      </c>
      <c r="BN438" s="96">
        <v>-1</v>
      </c>
      <c r="BO438" s="96">
        <v>-1</v>
      </c>
      <c r="BP438" s="96">
        <v>-1</v>
      </c>
      <c r="BQ438" s="96">
        <v>-1</v>
      </c>
      <c r="BR438" s="96">
        <v>-1</v>
      </c>
      <c r="BS438" s="96">
        <v>-1</v>
      </c>
      <c r="BT438" s="96">
        <v>-1</v>
      </c>
      <c r="BU438" s="96">
        <v>-1</v>
      </c>
      <c r="BV438" s="96">
        <v>-1</v>
      </c>
      <c r="BW438" s="89"/>
      <c r="BX438" s="89"/>
      <c r="BY438" s="89"/>
      <c r="BZ438" s="89"/>
      <c r="CA438" s="89"/>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98"/>
      <c r="DA438" s="98"/>
      <c r="DB438" s="98"/>
      <c r="DC438" s="98"/>
      <c r="DD438" s="98"/>
      <c r="DE438" s="98"/>
      <c r="DF438" s="98"/>
      <c r="DG438" s="98"/>
      <c r="DH438" s="98"/>
      <c r="DI438" s="98"/>
      <c r="DJ438" s="98"/>
      <c r="DK438" s="98"/>
      <c r="DL438" s="98"/>
      <c r="DM438" s="98"/>
      <c r="DN438" s="98"/>
      <c r="DO438" s="98"/>
      <c r="DP438" s="98"/>
      <c r="DQ438" s="98"/>
      <c r="DR438" s="98"/>
      <c r="DS438" s="98"/>
      <c r="DT438" s="98"/>
      <c r="DU438" s="98"/>
      <c r="DV438" s="98"/>
      <c r="DW438" s="98"/>
      <c r="DX438" s="98"/>
      <c r="DY438" s="98"/>
      <c r="DZ438" s="98"/>
      <c r="EA438" s="98"/>
      <c r="EB438" s="98"/>
      <c r="EC438" s="98"/>
      <c r="ED438" s="98"/>
    </row>
    <row r="439" spans="1:134" ht="11.25" customHeight="1" x14ac:dyDescent="0.3">
      <c r="A439" s="28" t="e">
        <f t="array" aca="1" ref="A439" ca="1">_xludf.XLOOKUP(S439,Master_Registrations!P:P,Master_Registrations!A:A,"")</f>
        <v>#NAME?</v>
      </c>
      <c r="B439" s="89" t="s">
        <v>182</v>
      </c>
      <c r="C439" s="89">
        <v>2021</v>
      </c>
      <c r="D439" s="89" t="s">
        <v>4886</v>
      </c>
      <c r="E439" s="89">
        <v>1</v>
      </c>
      <c r="F439" s="90" t="str">
        <f t="shared" si="6"/>
        <v>VED-01-2021-GR-1</v>
      </c>
      <c r="G439" s="89" t="s">
        <v>7073</v>
      </c>
      <c r="H439" s="89" t="s">
        <v>4750</v>
      </c>
      <c r="I439" s="89"/>
      <c r="J439" s="89" t="s">
        <v>7094</v>
      </c>
      <c r="K439" s="91"/>
      <c r="L439" s="92"/>
      <c r="M439" s="92"/>
      <c r="N439" s="90" t="s">
        <v>7095</v>
      </c>
      <c r="O439" s="89" t="s">
        <v>4811</v>
      </c>
      <c r="P439" s="141" t="s">
        <v>4932</v>
      </c>
      <c r="Q439" s="89" t="e">
        <f t="shared" ca="1" si="7"/>
        <v>#NAME?</v>
      </c>
      <c r="R439" s="39" t="s">
        <v>112</v>
      </c>
      <c r="S439" s="94">
        <v>9885339659</v>
      </c>
      <c r="T439" s="90" t="s">
        <v>111</v>
      </c>
      <c r="U439" s="90">
        <v>1962</v>
      </c>
      <c r="V439" s="95">
        <v>-1</v>
      </c>
      <c r="W439" s="95">
        <v>-1</v>
      </c>
      <c r="X439" s="95">
        <v>-1</v>
      </c>
      <c r="Y439" s="95">
        <v>-1</v>
      </c>
      <c r="Z439" s="95">
        <v>-1</v>
      </c>
      <c r="AA439" s="95">
        <v>-1</v>
      </c>
      <c r="AB439" s="95">
        <v>-1</v>
      </c>
      <c r="AC439" s="95">
        <v>-1</v>
      </c>
      <c r="AD439" s="95">
        <v>-1</v>
      </c>
      <c r="AE439" s="95">
        <v>-1</v>
      </c>
      <c r="AF439" s="95">
        <v>-1</v>
      </c>
      <c r="AG439" s="95">
        <v>-1</v>
      </c>
      <c r="AH439" s="95">
        <v>-1</v>
      </c>
      <c r="AI439" s="96">
        <v>-1</v>
      </c>
      <c r="AJ439" s="95">
        <v>-1</v>
      </c>
      <c r="AK439" s="95">
        <v>-1</v>
      </c>
      <c r="AL439" s="95">
        <v>-1</v>
      </c>
      <c r="AM439" s="95">
        <v>-1</v>
      </c>
      <c r="AN439" s="95">
        <v>-1</v>
      </c>
      <c r="AO439" s="95">
        <v>-1</v>
      </c>
      <c r="AP439" s="95">
        <v>-1</v>
      </c>
      <c r="AQ439" s="95">
        <v>-1</v>
      </c>
      <c r="AR439" s="95">
        <v>-1</v>
      </c>
      <c r="AS439" s="95">
        <v>-1</v>
      </c>
      <c r="AT439" s="95">
        <v>-1</v>
      </c>
      <c r="AU439" s="95">
        <v>-1</v>
      </c>
      <c r="AV439" s="96">
        <v>-1</v>
      </c>
      <c r="AW439" s="97">
        <v>1</v>
      </c>
      <c r="AX439" s="100">
        <v>1</v>
      </c>
      <c r="AY439" s="95">
        <v>-1</v>
      </c>
      <c r="AZ439" s="95">
        <v>-1</v>
      </c>
      <c r="BA439" s="95">
        <v>-1</v>
      </c>
      <c r="BB439" s="95">
        <v>-1</v>
      </c>
      <c r="BC439" s="97">
        <v>1</v>
      </c>
      <c r="BD439" s="97">
        <v>1</v>
      </c>
      <c r="BE439" s="97">
        <v>-1</v>
      </c>
      <c r="BF439" s="96">
        <v>-1</v>
      </c>
      <c r="BG439" s="96">
        <v>-1</v>
      </c>
      <c r="BH439" s="96">
        <v>-1</v>
      </c>
      <c r="BI439" s="96">
        <v>-1</v>
      </c>
      <c r="BJ439" s="96">
        <v>-1</v>
      </c>
      <c r="BK439" s="96">
        <v>-1</v>
      </c>
      <c r="BL439" s="96">
        <v>-1</v>
      </c>
      <c r="BM439" s="96">
        <v>-1</v>
      </c>
      <c r="BN439" s="96">
        <v>-1</v>
      </c>
      <c r="BO439" s="96">
        <v>-1</v>
      </c>
      <c r="BP439" s="96">
        <v>-1</v>
      </c>
      <c r="BQ439" s="96">
        <v>-1</v>
      </c>
      <c r="BR439" s="96">
        <v>-1</v>
      </c>
      <c r="BS439" s="96">
        <v>-1</v>
      </c>
      <c r="BT439" s="96">
        <v>-1</v>
      </c>
      <c r="BU439" s="96">
        <v>-1</v>
      </c>
      <c r="BV439" s="96">
        <v>-1</v>
      </c>
      <c r="BW439" s="89"/>
      <c r="BX439" s="89"/>
      <c r="BY439" s="89"/>
      <c r="BZ439" s="89"/>
      <c r="CA439" s="89"/>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98"/>
      <c r="DA439" s="98"/>
      <c r="DB439" s="98"/>
      <c r="DC439" s="98"/>
      <c r="DD439" s="98"/>
      <c r="DE439" s="98"/>
      <c r="DF439" s="98"/>
      <c r="DG439" s="98"/>
      <c r="DH439" s="98"/>
      <c r="DI439" s="98"/>
      <c r="DJ439" s="98"/>
      <c r="DK439" s="98"/>
      <c r="DL439" s="98"/>
      <c r="DM439" s="98"/>
      <c r="DN439" s="98"/>
      <c r="DO439" s="98"/>
      <c r="DP439" s="98"/>
      <c r="DQ439" s="98"/>
      <c r="DR439" s="98"/>
      <c r="DS439" s="98"/>
      <c r="DT439" s="98"/>
      <c r="DU439" s="98"/>
      <c r="DV439" s="98"/>
      <c r="DW439" s="98"/>
      <c r="DX439" s="98"/>
      <c r="DY439" s="98"/>
      <c r="DZ439" s="98"/>
      <c r="EA439" s="98"/>
      <c r="EB439" s="98"/>
      <c r="EC439" s="98"/>
      <c r="ED439" s="98"/>
    </row>
    <row r="440" spans="1:134" ht="11.25" customHeight="1" x14ac:dyDescent="0.3">
      <c r="A440" s="28" t="e">
        <f t="array" aca="1" ref="A440" ca="1">_xludf.XLOOKUP(S440,Master_Registrations!P:P,Master_Registrations!A:A,"")</f>
        <v>#NAME?</v>
      </c>
      <c r="B440" s="89" t="s">
        <v>182</v>
      </c>
      <c r="C440" s="89">
        <v>2021</v>
      </c>
      <c r="D440" s="89" t="s">
        <v>4886</v>
      </c>
      <c r="E440" s="89">
        <v>1</v>
      </c>
      <c r="F440" s="90" t="str">
        <f t="shared" si="6"/>
        <v>VED-01-2021-GR-1</v>
      </c>
      <c r="G440" s="89" t="s">
        <v>7073</v>
      </c>
      <c r="H440" s="89" t="s">
        <v>4750</v>
      </c>
      <c r="I440" s="89"/>
      <c r="J440" s="89" t="s">
        <v>7094</v>
      </c>
      <c r="K440" s="91"/>
      <c r="L440" s="92"/>
      <c r="M440" s="101"/>
      <c r="N440" s="90" t="s">
        <v>7095</v>
      </c>
      <c r="O440" s="89" t="s">
        <v>4811</v>
      </c>
      <c r="P440" s="89" t="s">
        <v>2659</v>
      </c>
      <c r="Q440" s="89" t="e">
        <f t="shared" ca="1" si="7"/>
        <v>#NAME?</v>
      </c>
      <c r="R440" s="39" t="s">
        <v>112</v>
      </c>
      <c r="S440" s="94">
        <v>9951531441</v>
      </c>
      <c r="T440" s="90" t="s">
        <v>111</v>
      </c>
      <c r="U440" s="90">
        <v>1954</v>
      </c>
      <c r="V440" s="95">
        <v>-1</v>
      </c>
      <c r="W440" s="95">
        <v>-1</v>
      </c>
      <c r="X440" s="95">
        <v>-1</v>
      </c>
      <c r="Y440" s="95">
        <v>-1</v>
      </c>
      <c r="Z440" s="95">
        <v>-1</v>
      </c>
      <c r="AA440" s="95">
        <v>-1</v>
      </c>
      <c r="AB440" s="95">
        <v>-1</v>
      </c>
      <c r="AC440" s="95">
        <v>-1</v>
      </c>
      <c r="AD440" s="95">
        <v>-1</v>
      </c>
      <c r="AE440" s="95">
        <v>-1</v>
      </c>
      <c r="AF440" s="95">
        <v>-1</v>
      </c>
      <c r="AG440" s="95">
        <v>-1</v>
      </c>
      <c r="AH440" s="95">
        <v>-1</v>
      </c>
      <c r="AI440" s="96">
        <v>-1</v>
      </c>
      <c r="AJ440" s="95">
        <v>-1</v>
      </c>
      <c r="AK440" s="95">
        <v>-1</v>
      </c>
      <c r="AL440" s="95">
        <v>-1</v>
      </c>
      <c r="AM440" s="95">
        <v>-1</v>
      </c>
      <c r="AN440" s="95">
        <v>-1</v>
      </c>
      <c r="AO440" s="95">
        <v>-1</v>
      </c>
      <c r="AP440" s="95">
        <v>-1</v>
      </c>
      <c r="AQ440" s="95">
        <v>-1</v>
      </c>
      <c r="AR440" s="95">
        <v>-1</v>
      </c>
      <c r="AS440" s="95">
        <v>-1</v>
      </c>
      <c r="AT440" s="95">
        <v>-1</v>
      </c>
      <c r="AU440" s="95">
        <v>-1</v>
      </c>
      <c r="AV440" s="96">
        <v>-1</v>
      </c>
      <c r="AW440" s="97">
        <v>1</v>
      </c>
      <c r="AX440" s="100">
        <v>1</v>
      </c>
      <c r="AY440" s="95">
        <v>-1</v>
      </c>
      <c r="AZ440" s="95">
        <v>-1</v>
      </c>
      <c r="BA440" s="95">
        <v>-1</v>
      </c>
      <c r="BB440" s="95">
        <v>-1</v>
      </c>
      <c r="BC440" s="97">
        <v>1</v>
      </c>
      <c r="BD440" s="97">
        <v>1</v>
      </c>
      <c r="BE440" s="97">
        <v>-1</v>
      </c>
      <c r="BF440" s="96">
        <v>-1</v>
      </c>
      <c r="BG440" s="97">
        <v>-1</v>
      </c>
      <c r="BH440" s="97">
        <v>-1</v>
      </c>
      <c r="BI440" s="97">
        <v>-1</v>
      </c>
      <c r="BJ440" s="97">
        <v>-1</v>
      </c>
      <c r="BK440" s="97">
        <v>-1</v>
      </c>
      <c r="BL440" s="96">
        <v>-1</v>
      </c>
      <c r="BM440" s="96">
        <v>-1</v>
      </c>
      <c r="BN440" s="96">
        <v>-1</v>
      </c>
      <c r="BO440" s="96">
        <v>-1</v>
      </c>
      <c r="BP440" s="96">
        <v>-1</v>
      </c>
      <c r="BQ440" s="96">
        <v>-1</v>
      </c>
      <c r="BR440" s="96">
        <v>-1</v>
      </c>
      <c r="BS440" s="96">
        <v>-1</v>
      </c>
      <c r="BT440" s="96">
        <v>-1</v>
      </c>
      <c r="BU440" s="96">
        <v>-1</v>
      </c>
      <c r="BV440" s="96">
        <v>-1</v>
      </c>
      <c r="BW440" s="89"/>
      <c r="BX440" s="89"/>
      <c r="BY440" s="89"/>
      <c r="BZ440" s="89"/>
      <c r="CA440" s="89"/>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98"/>
      <c r="DA440" s="98"/>
      <c r="DB440" s="98"/>
      <c r="DC440" s="98"/>
      <c r="DD440" s="98"/>
      <c r="DE440" s="98"/>
      <c r="DF440" s="98"/>
      <c r="DG440" s="98"/>
      <c r="DH440" s="98"/>
      <c r="DI440" s="98"/>
      <c r="DJ440" s="98"/>
      <c r="DK440" s="98"/>
      <c r="DL440" s="98"/>
      <c r="DM440" s="98"/>
      <c r="DN440" s="98"/>
      <c r="DO440" s="98"/>
      <c r="DP440" s="98"/>
      <c r="DQ440" s="98"/>
      <c r="DR440" s="98"/>
      <c r="DS440" s="98"/>
      <c r="DT440" s="98"/>
      <c r="DU440" s="98"/>
      <c r="DV440" s="98"/>
      <c r="DW440" s="98"/>
      <c r="DX440" s="98"/>
      <c r="DY440" s="98"/>
      <c r="DZ440" s="98"/>
      <c r="EA440" s="98"/>
      <c r="EB440" s="98"/>
      <c r="EC440" s="98"/>
      <c r="ED440" s="98"/>
    </row>
    <row r="441" spans="1:134" ht="11.25" customHeight="1" x14ac:dyDescent="0.3">
      <c r="A441" s="28" t="e">
        <f t="array" aca="1" ref="A441" ca="1">_xludf.XLOOKUP(S441,Master_Registrations!P:P,Master_Registrations!A:A,"")</f>
        <v>#NAME?</v>
      </c>
      <c r="B441" s="89" t="s">
        <v>182</v>
      </c>
      <c r="C441" s="89">
        <v>2021</v>
      </c>
      <c r="D441" s="89" t="s">
        <v>4886</v>
      </c>
      <c r="E441" s="89">
        <v>1</v>
      </c>
      <c r="F441" s="90" t="str">
        <f t="shared" si="6"/>
        <v>VED-01-2021-GR-1</v>
      </c>
      <c r="G441" s="89" t="s">
        <v>7073</v>
      </c>
      <c r="H441" s="89" t="s">
        <v>4750</v>
      </c>
      <c r="I441" s="89"/>
      <c r="J441" s="89" t="s">
        <v>7094</v>
      </c>
      <c r="K441" s="91"/>
      <c r="L441" s="92"/>
      <c r="M441" s="92"/>
      <c r="N441" s="90" t="s">
        <v>7095</v>
      </c>
      <c r="O441" s="89" t="s">
        <v>370</v>
      </c>
      <c r="P441" s="89" t="s">
        <v>224</v>
      </c>
      <c r="Q441" s="89" t="e">
        <f t="shared" ca="1" si="7"/>
        <v>#NAME?</v>
      </c>
      <c r="R441" s="39" t="s">
        <v>316</v>
      </c>
      <c r="S441" s="94">
        <v>5126998557</v>
      </c>
      <c r="T441" s="90" t="s">
        <v>315</v>
      </c>
      <c r="U441" s="90">
        <v>1972</v>
      </c>
      <c r="V441" s="95">
        <v>-1</v>
      </c>
      <c r="W441" s="95">
        <v>-1</v>
      </c>
      <c r="X441" s="95">
        <v>-1</v>
      </c>
      <c r="Y441" s="95">
        <v>-1</v>
      </c>
      <c r="Z441" s="95">
        <v>-1</v>
      </c>
      <c r="AA441" s="95">
        <v>-1</v>
      </c>
      <c r="AB441" s="95">
        <v>-1</v>
      </c>
      <c r="AC441" s="95">
        <v>-1</v>
      </c>
      <c r="AD441" s="95">
        <v>-1</v>
      </c>
      <c r="AE441" s="95">
        <v>-1</v>
      </c>
      <c r="AF441" s="95">
        <v>-1</v>
      </c>
      <c r="AG441" s="95">
        <v>-1</v>
      </c>
      <c r="AH441" s="95">
        <v>-1</v>
      </c>
      <c r="AI441" s="96">
        <v>-1</v>
      </c>
      <c r="AJ441" s="95">
        <v>-1</v>
      </c>
      <c r="AK441" s="95">
        <v>-1</v>
      </c>
      <c r="AL441" s="95">
        <v>-1</v>
      </c>
      <c r="AM441" s="95">
        <v>-1</v>
      </c>
      <c r="AN441" s="95">
        <v>-1</v>
      </c>
      <c r="AO441" s="95">
        <v>-1</v>
      </c>
      <c r="AP441" s="95">
        <v>-1</v>
      </c>
      <c r="AQ441" s="95">
        <v>-1</v>
      </c>
      <c r="AR441" s="95">
        <v>-1</v>
      </c>
      <c r="AS441" s="95">
        <v>-1</v>
      </c>
      <c r="AT441" s="95">
        <v>-1</v>
      </c>
      <c r="AU441" s="95">
        <v>-1</v>
      </c>
      <c r="AV441" s="96">
        <v>-1</v>
      </c>
      <c r="AW441" s="97">
        <v>-1</v>
      </c>
      <c r="AX441" s="96">
        <v>-1</v>
      </c>
      <c r="AY441" s="95">
        <v>-1</v>
      </c>
      <c r="AZ441" s="95">
        <v>-1</v>
      </c>
      <c r="BA441" s="95">
        <v>-1</v>
      </c>
      <c r="BB441" s="95">
        <v>-1</v>
      </c>
      <c r="BC441" s="97">
        <v>-1</v>
      </c>
      <c r="BD441" s="97">
        <v>-1</v>
      </c>
      <c r="BE441" s="97">
        <v>-1</v>
      </c>
      <c r="BF441" s="96">
        <v>-1</v>
      </c>
      <c r="BG441" s="97">
        <v>1</v>
      </c>
      <c r="BH441" s="97">
        <v>1</v>
      </c>
      <c r="BI441" s="97">
        <v>-1</v>
      </c>
      <c r="BJ441" s="97">
        <v>-1</v>
      </c>
      <c r="BK441" s="97">
        <v>-1</v>
      </c>
      <c r="BL441" s="96">
        <v>-1</v>
      </c>
      <c r="BM441" s="96">
        <v>-1</v>
      </c>
      <c r="BN441" s="96">
        <v>-1</v>
      </c>
      <c r="BO441" s="96">
        <v>-1</v>
      </c>
      <c r="BP441" s="96">
        <v>-1</v>
      </c>
      <c r="BQ441" s="96">
        <v>-1</v>
      </c>
      <c r="BR441" s="96">
        <v>-1</v>
      </c>
      <c r="BS441" s="96">
        <v>-1</v>
      </c>
      <c r="BT441" s="96">
        <v>-1</v>
      </c>
      <c r="BU441" s="96">
        <v>-1</v>
      </c>
      <c r="BV441" s="96">
        <v>-1</v>
      </c>
      <c r="BW441" s="89"/>
      <c r="BX441" s="89"/>
      <c r="BY441" s="89"/>
      <c r="BZ441" s="89"/>
      <c r="CA441" s="89"/>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98"/>
      <c r="DA441" s="98"/>
      <c r="DB441" s="98"/>
      <c r="DC441" s="98"/>
      <c r="DD441" s="98"/>
      <c r="DE441" s="98"/>
      <c r="DF441" s="98"/>
      <c r="DG441" s="98"/>
      <c r="DH441" s="98"/>
      <c r="DI441" s="98"/>
      <c r="DJ441" s="98"/>
      <c r="DK441" s="98"/>
      <c r="DL441" s="98"/>
      <c r="DM441" s="98"/>
      <c r="DN441" s="98"/>
      <c r="DO441" s="98"/>
      <c r="DP441" s="98"/>
      <c r="DQ441" s="98"/>
      <c r="DR441" s="98"/>
      <c r="DS441" s="98"/>
      <c r="DT441" s="98"/>
      <c r="DU441" s="98"/>
      <c r="DV441" s="98"/>
      <c r="DW441" s="98"/>
      <c r="DX441" s="98"/>
      <c r="DY441" s="98"/>
      <c r="DZ441" s="98"/>
      <c r="EA441" s="98"/>
      <c r="EB441" s="98"/>
      <c r="EC441" s="98"/>
      <c r="ED441" s="98"/>
    </row>
    <row r="442" spans="1:134" ht="11.25" customHeight="1" x14ac:dyDescent="0.3">
      <c r="A442" s="28" t="e">
        <f t="array" aca="1" ref="A442" ca="1">_xludf.XLOOKUP(S442,Master_Registrations!P:P,Master_Registrations!A:A,"")</f>
        <v>#NAME?</v>
      </c>
      <c r="B442" s="89" t="s">
        <v>182</v>
      </c>
      <c r="C442" s="89">
        <v>2021</v>
      </c>
      <c r="D442" s="89" t="s">
        <v>4886</v>
      </c>
      <c r="E442" s="89">
        <v>1</v>
      </c>
      <c r="F442" s="90" t="str">
        <f t="shared" si="6"/>
        <v>VED-01-2021-GR-1</v>
      </c>
      <c r="G442" s="89" t="s">
        <v>7073</v>
      </c>
      <c r="H442" s="89" t="s">
        <v>4750</v>
      </c>
      <c r="I442" s="89"/>
      <c r="J442" s="89" t="s">
        <v>7094</v>
      </c>
      <c r="K442" s="91"/>
      <c r="L442" s="93"/>
      <c r="M442" s="92"/>
      <c r="N442" s="90" t="s">
        <v>7095</v>
      </c>
      <c r="O442" s="89" t="s">
        <v>7040</v>
      </c>
      <c r="P442" s="89" t="s">
        <v>5611</v>
      </c>
      <c r="Q442" s="89" t="e">
        <f t="shared" ca="1" si="7"/>
        <v>#NAME?</v>
      </c>
      <c r="R442" s="39" t="s">
        <v>316</v>
      </c>
      <c r="S442" s="94">
        <v>3135881289</v>
      </c>
      <c r="T442" s="90" t="s">
        <v>402</v>
      </c>
      <c r="U442" s="90">
        <v>1967</v>
      </c>
      <c r="V442" s="99">
        <v>1</v>
      </c>
      <c r="W442" s="99">
        <v>1</v>
      </c>
      <c r="X442" s="99">
        <v>2</v>
      </c>
      <c r="Y442" s="99">
        <v>2</v>
      </c>
      <c r="Z442" s="99">
        <v>2</v>
      </c>
      <c r="AA442" s="99">
        <v>2</v>
      </c>
      <c r="AB442" s="99">
        <v>2</v>
      </c>
      <c r="AC442" s="95">
        <v>2</v>
      </c>
      <c r="AD442" s="95">
        <v>2</v>
      </c>
      <c r="AE442" s="99">
        <v>2</v>
      </c>
      <c r="AF442" s="99">
        <v>2</v>
      </c>
      <c r="AG442" s="99">
        <v>2</v>
      </c>
      <c r="AH442" s="99">
        <v>2</v>
      </c>
      <c r="AI442" s="96">
        <v>-1</v>
      </c>
      <c r="AJ442" s="99">
        <v>2</v>
      </c>
      <c r="AK442" s="99">
        <v>2</v>
      </c>
      <c r="AL442" s="99">
        <v>2</v>
      </c>
      <c r="AM442" s="99">
        <v>2</v>
      </c>
      <c r="AN442" s="99">
        <v>2</v>
      </c>
      <c r="AO442" s="99">
        <v>2</v>
      </c>
      <c r="AP442" s="95">
        <v>-1</v>
      </c>
      <c r="AQ442" s="99">
        <v>2</v>
      </c>
      <c r="AR442" s="99">
        <v>2</v>
      </c>
      <c r="AS442" s="99">
        <v>2</v>
      </c>
      <c r="AT442" s="99">
        <v>2</v>
      </c>
      <c r="AU442" s="99">
        <v>2</v>
      </c>
      <c r="AV442" s="95">
        <v>-1</v>
      </c>
      <c r="AW442" s="97">
        <v>1</v>
      </c>
      <c r="AX442" s="100">
        <v>1</v>
      </c>
      <c r="AY442" s="95">
        <v>-1</v>
      </c>
      <c r="AZ442" s="95">
        <v>-1</v>
      </c>
      <c r="BA442" s="95">
        <v>-1</v>
      </c>
      <c r="BB442" s="95">
        <v>-1</v>
      </c>
      <c r="BC442" s="97">
        <v>1</v>
      </c>
      <c r="BD442" s="97">
        <v>1</v>
      </c>
      <c r="BE442" s="97">
        <v>1</v>
      </c>
      <c r="BF442" s="96">
        <v>-1</v>
      </c>
      <c r="BG442" s="97">
        <v>1</v>
      </c>
      <c r="BH442" s="97">
        <v>1</v>
      </c>
      <c r="BI442" s="97">
        <v>1</v>
      </c>
      <c r="BJ442" s="97">
        <v>1</v>
      </c>
      <c r="BK442" s="97">
        <v>1</v>
      </c>
      <c r="BL442" s="97">
        <v>1</v>
      </c>
      <c r="BM442" s="96">
        <v>-1</v>
      </c>
      <c r="BN442" s="96">
        <v>-1</v>
      </c>
      <c r="BO442" s="96">
        <v>-1</v>
      </c>
      <c r="BP442" s="96">
        <v>-1</v>
      </c>
      <c r="BQ442" s="96">
        <v>-1</v>
      </c>
      <c r="BR442" s="96">
        <v>-1</v>
      </c>
      <c r="BS442" s="96">
        <v>-1</v>
      </c>
      <c r="BT442" s="96">
        <v>-1</v>
      </c>
      <c r="BU442" s="96">
        <v>-1</v>
      </c>
      <c r="BV442" s="96">
        <v>-1</v>
      </c>
      <c r="BW442" s="89"/>
      <c r="BX442" s="89"/>
      <c r="BY442" s="89"/>
      <c r="BZ442" s="89"/>
      <c r="CA442" s="89"/>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98"/>
      <c r="DA442" s="98"/>
      <c r="DB442" s="98"/>
      <c r="DC442" s="98"/>
      <c r="DD442" s="98"/>
      <c r="DE442" s="98"/>
      <c r="DF442" s="98"/>
      <c r="DG442" s="98"/>
      <c r="DH442" s="98"/>
      <c r="DI442" s="98"/>
      <c r="DJ442" s="98"/>
      <c r="DK442" s="98"/>
      <c r="DL442" s="98"/>
      <c r="DM442" s="98"/>
      <c r="DN442" s="98"/>
      <c r="DO442" s="98"/>
      <c r="DP442" s="98"/>
      <c r="DQ442" s="98"/>
      <c r="DR442" s="98"/>
      <c r="DS442" s="98"/>
      <c r="DT442" s="98"/>
      <c r="DU442" s="98"/>
      <c r="DV442" s="98"/>
      <c r="DW442" s="98"/>
      <c r="DX442" s="98"/>
      <c r="DY442" s="98"/>
      <c r="DZ442" s="98"/>
      <c r="EA442" s="98"/>
      <c r="EB442" s="98"/>
      <c r="EC442" s="98"/>
      <c r="ED442" s="98"/>
    </row>
    <row r="443" spans="1:134" ht="11.25" customHeight="1" x14ac:dyDescent="0.3">
      <c r="A443" s="28" t="e">
        <f t="array" aca="1" ref="A443" ca="1">_xludf.XLOOKUP(S443,Master_Registrations!P:P,Master_Registrations!A:A,"")</f>
        <v>#NAME?</v>
      </c>
      <c r="B443" s="89" t="s">
        <v>182</v>
      </c>
      <c r="C443" s="89">
        <v>2021</v>
      </c>
      <c r="D443" s="89" t="s">
        <v>4886</v>
      </c>
      <c r="E443" s="89">
        <v>1</v>
      </c>
      <c r="F443" s="90" t="str">
        <f t="shared" si="6"/>
        <v>VED-01-2021-GR-1</v>
      </c>
      <c r="G443" s="89" t="s">
        <v>7073</v>
      </c>
      <c r="H443" s="89" t="s">
        <v>4750</v>
      </c>
      <c r="I443" s="89"/>
      <c r="J443" s="89" t="s">
        <v>7094</v>
      </c>
      <c r="K443" s="91"/>
      <c r="L443" s="93"/>
      <c r="M443" s="93"/>
      <c r="N443" s="90" t="s">
        <v>7095</v>
      </c>
      <c r="O443" s="89" t="s">
        <v>5060</v>
      </c>
      <c r="P443" s="89" t="s">
        <v>1563</v>
      </c>
      <c r="Q443" s="89" t="e">
        <f t="shared" ca="1" si="7"/>
        <v>#NAME?</v>
      </c>
      <c r="R443" s="39" t="s">
        <v>316</v>
      </c>
      <c r="S443" s="94">
        <v>3144892402</v>
      </c>
      <c r="T443" s="90" t="s">
        <v>402</v>
      </c>
      <c r="U443" s="90">
        <v>1974</v>
      </c>
      <c r="V443" s="99">
        <v>1</v>
      </c>
      <c r="W443" s="99">
        <v>1</v>
      </c>
      <c r="X443" s="99">
        <v>1</v>
      </c>
      <c r="Y443" s="99">
        <v>1</v>
      </c>
      <c r="Z443" s="99">
        <v>1</v>
      </c>
      <c r="AA443" s="99">
        <v>1</v>
      </c>
      <c r="AB443" s="99">
        <v>1</v>
      </c>
      <c r="AC443" s="99">
        <v>1</v>
      </c>
      <c r="AD443" s="99">
        <v>1</v>
      </c>
      <c r="AE443" s="99">
        <v>1</v>
      </c>
      <c r="AF443" s="99">
        <v>1</v>
      </c>
      <c r="AG443" s="99">
        <v>1</v>
      </c>
      <c r="AH443" s="99">
        <v>1</v>
      </c>
      <c r="AI443" s="96">
        <v>-1</v>
      </c>
      <c r="AJ443" s="99">
        <v>1</v>
      </c>
      <c r="AK443" s="99">
        <v>1</v>
      </c>
      <c r="AL443" s="99">
        <v>1</v>
      </c>
      <c r="AM443" s="99">
        <v>1</v>
      </c>
      <c r="AN443" s="99">
        <v>1</v>
      </c>
      <c r="AO443" s="99">
        <v>1</v>
      </c>
      <c r="AP443" s="95">
        <v>-1</v>
      </c>
      <c r="AQ443" s="99">
        <v>1</v>
      </c>
      <c r="AR443" s="99">
        <v>1</v>
      </c>
      <c r="AS443" s="99">
        <v>1</v>
      </c>
      <c r="AT443" s="99">
        <v>1</v>
      </c>
      <c r="AU443" s="99">
        <v>1</v>
      </c>
      <c r="AV443" s="95">
        <v>-1</v>
      </c>
      <c r="AW443" s="97">
        <v>1</v>
      </c>
      <c r="AX443" s="100">
        <v>1</v>
      </c>
      <c r="AY443" s="95">
        <v>-1</v>
      </c>
      <c r="AZ443" s="95">
        <v>-1</v>
      </c>
      <c r="BA443" s="95">
        <v>-1</v>
      </c>
      <c r="BB443" s="95">
        <v>-1</v>
      </c>
      <c r="BC443" s="97">
        <v>1</v>
      </c>
      <c r="BD443" s="97">
        <v>1</v>
      </c>
      <c r="BE443" s="97">
        <v>1</v>
      </c>
      <c r="BF443" s="96">
        <v>-1</v>
      </c>
      <c r="BG443" s="97">
        <v>1</v>
      </c>
      <c r="BH443" s="97">
        <v>1</v>
      </c>
      <c r="BI443" s="97">
        <v>1</v>
      </c>
      <c r="BJ443" s="97">
        <v>1</v>
      </c>
      <c r="BK443" s="97">
        <v>1</v>
      </c>
      <c r="BL443" s="97">
        <v>1</v>
      </c>
      <c r="BM443" s="96">
        <v>-1</v>
      </c>
      <c r="BN443" s="96">
        <v>-1</v>
      </c>
      <c r="BO443" s="96">
        <v>-1</v>
      </c>
      <c r="BP443" s="96">
        <v>-1</v>
      </c>
      <c r="BQ443" s="96">
        <v>-1</v>
      </c>
      <c r="BR443" s="96">
        <v>-1</v>
      </c>
      <c r="BS443" s="96">
        <v>-1</v>
      </c>
      <c r="BT443" s="96">
        <v>-1</v>
      </c>
      <c r="BU443" s="96">
        <v>-1</v>
      </c>
      <c r="BV443" s="96">
        <v>-1</v>
      </c>
      <c r="BW443" s="89"/>
      <c r="BX443" s="89"/>
      <c r="BY443" s="89"/>
      <c r="BZ443" s="89"/>
      <c r="CA443" s="89"/>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98"/>
      <c r="DA443" s="98"/>
      <c r="DB443" s="98"/>
      <c r="DC443" s="98"/>
      <c r="DD443" s="98"/>
      <c r="DE443" s="98"/>
      <c r="DF443" s="98"/>
      <c r="DG443" s="98"/>
      <c r="DH443" s="98"/>
      <c r="DI443" s="98"/>
      <c r="DJ443" s="98"/>
      <c r="DK443" s="98"/>
      <c r="DL443" s="98"/>
      <c r="DM443" s="98"/>
      <c r="DN443" s="98"/>
      <c r="DO443" s="98"/>
      <c r="DP443" s="98"/>
      <c r="DQ443" s="98"/>
      <c r="DR443" s="98"/>
      <c r="DS443" s="98"/>
      <c r="DT443" s="98"/>
      <c r="DU443" s="98"/>
      <c r="DV443" s="98"/>
      <c r="DW443" s="98"/>
      <c r="DX443" s="98"/>
      <c r="DY443" s="98"/>
      <c r="DZ443" s="98"/>
      <c r="EA443" s="98"/>
      <c r="EB443" s="98"/>
      <c r="EC443" s="98"/>
      <c r="ED443" s="98"/>
    </row>
    <row r="444" spans="1:134" ht="11.25" customHeight="1" x14ac:dyDescent="0.3">
      <c r="A444" s="28" t="e">
        <f t="array" aca="1" ref="A444" ca="1">_xludf.XLOOKUP(S444,Master_Registrations!P:P,Master_Registrations!A:A,"")</f>
        <v>#NAME?</v>
      </c>
      <c r="B444" s="89" t="s">
        <v>182</v>
      </c>
      <c r="C444" s="89">
        <v>2021</v>
      </c>
      <c r="D444" s="89" t="s">
        <v>4886</v>
      </c>
      <c r="E444" s="89">
        <v>1</v>
      </c>
      <c r="F444" s="90" t="str">
        <f t="shared" si="6"/>
        <v>VED-01-2021-GR-1</v>
      </c>
      <c r="G444" s="89" t="s">
        <v>7073</v>
      </c>
      <c r="H444" s="89" t="s">
        <v>4750</v>
      </c>
      <c r="I444" s="89"/>
      <c r="J444" s="89" t="s">
        <v>7094</v>
      </c>
      <c r="K444" s="91"/>
      <c r="L444" s="93"/>
      <c r="M444" s="92"/>
      <c r="N444" s="90" t="s">
        <v>7095</v>
      </c>
      <c r="O444" s="89" t="s">
        <v>781</v>
      </c>
      <c r="P444" s="89" t="s">
        <v>5048</v>
      </c>
      <c r="Q444" s="89" t="e">
        <f t="shared" ca="1" si="7"/>
        <v>#NAME?</v>
      </c>
      <c r="R444" s="39" t="s">
        <v>316</v>
      </c>
      <c r="S444" s="94">
        <v>2489826166</v>
      </c>
      <c r="T444" s="90" t="s">
        <v>402</v>
      </c>
      <c r="U444" s="90">
        <v>1969</v>
      </c>
      <c r="V444" s="95">
        <v>-1</v>
      </c>
      <c r="W444" s="95">
        <v>-1</v>
      </c>
      <c r="X444" s="95">
        <v>-1</v>
      </c>
      <c r="Y444" s="95">
        <v>-1</v>
      </c>
      <c r="Z444" s="95">
        <v>-1</v>
      </c>
      <c r="AA444" s="95">
        <v>-1</v>
      </c>
      <c r="AB444" s="95">
        <v>-1</v>
      </c>
      <c r="AC444" s="95">
        <v>-1</v>
      </c>
      <c r="AD444" s="95">
        <v>-1</v>
      </c>
      <c r="AE444" s="95">
        <v>-1</v>
      </c>
      <c r="AF444" s="95">
        <v>-1</v>
      </c>
      <c r="AG444" s="95">
        <v>-1</v>
      </c>
      <c r="AH444" s="95">
        <v>-1</v>
      </c>
      <c r="AI444" s="96">
        <v>-1</v>
      </c>
      <c r="AJ444" s="95">
        <v>-1</v>
      </c>
      <c r="AK444" s="95">
        <v>-1</v>
      </c>
      <c r="AL444" s="95">
        <v>-1</v>
      </c>
      <c r="AM444" s="95">
        <v>-1</v>
      </c>
      <c r="AN444" s="95">
        <v>-1</v>
      </c>
      <c r="AO444" s="95">
        <v>-1</v>
      </c>
      <c r="AP444" s="95">
        <v>-1</v>
      </c>
      <c r="AQ444" s="95">
        <v>-1</v>
      </c>
      <c r="AR444" s="95">
        <v>-1</v>
      </c>
      <c r="AS444" s="95">
        <v>-1</v>
      </c>
      <c r="AT444" s="95">
        <v>-1</v>
      </c>
      <c r="AU444" s="95">
        <v>-1</v>
      </c>
      <c r="AV444" s="96">
        <v>-1</v>
      </c>
      <c r="AW444" s="97">
        <v>1</v>
      </c>
      <c r="AX444" s="100">
        <v>1</v>
      </c>
      <c r="AY444" s="95">
        <v>-1</v>
      </c>
      <c r="AZ444" s="95">
        <v>-1</v>
      </c>
      <c r="BA444" s="95">
        <v>-1</v>
      </c>
      <c r="BB444" s="95">
        <v>-1</v>
      </c>
      <c r="BC444" s="97">
        <v>1</v>
      </c>
      <c r="BD444" s="97">
        <v>1</v>
      </c>
      <c r="BE444" s="97">
        <v>1</v>
      </c>
      <c r="BF444" s="96">
        <v>-1</v>
      </c>
      <c r="BG444" s="97">
        <v>1</v>
      </c>
      <c r="BH444" s="97">
        <v>1</v>
      </c>
      <c r="BI444" s="97">
        <v>-1</v>
      </c>
      <c r="BJ444" s="97">
        <v>1</v>
      </c>
      <c r="BK444" s="97">
        <v>1</v>
      </c>
      <c r="BL444" s="96">
        <v>-1</v>
      </c>
      <c r="BM444" s="96">
        <v>-1</v>
      </c>
      <c r="BN444" s="96">
        <v>-1</v>
      </c>
      <c r="BO444" s="96">
        <v>-1</v>
      </c>
      <c r="BP444" s="96">
        <v>-1</v>
      </c>
      <c r="BQ444" s="96">
        <v>-1</v>
      </c>
      <c r="BR444" s="96">
        <v>-1</v>
      </c>
      <c r="BS444" s="96">
        <v>-1</v>
      </c>
      <c r="BT444" s="96">
        <v>-1</v>
      </c>
      <c r="BU444" s="96">
        <v>-1</v>
      </c>
      <c r="BV444" s="96">
        <v>-1</v>
      </c>
      <c r="BW444" s="89"/>
      <c r="BX444" s="89"/>
      <c r="BY444" s="89"/>
      <c r="BZ444" s="89"/>
      <c r="CA444" s="89"/>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98"/>
      <c r="DA444" s="98"/>
      <c r="DB444" s="98"/>
      <c r="DC444" s="98"/>
      <c r="DD444" s="98"/>
      <c r="DE444" s="98"/>
      <c r="DF444" s="98"/>
      <c r="DG444" s="98"/>
      <c r="DH444" s="98"/>
      <c r="DI444" s="98"/>
      <c r="DJ444" s="98"/>
      <c r="DK444" s="98"/>
      <c r="DL444" s="98"/>
      <c r="DM444" s="98"/>
      <c r="DN444" s="98"/>
      <c r="DO444" s="98"/>
      <c r="DP444" s="98"/>
      <c r="DQ444" s="98"/>
      <c r="DR444" s="98"/>
      <c r="DS444" s="98"/>
      <c r="DT444" s="98"/>
      <c r="DU444" s="98"/>
      <c r="DV444" s="98"/>
      <c r="DW444" s="98"/>
      <c r="DX444" s="98"/>
      <c r="DY444" s="98"/>
      <c r="DZ444" s="98"/>
      <c r="EA444" s="98"/>
      <c r="EB444" s="98"/>
      <c r="EC444" s="98"/>
      <c r="ED444" s="98"/>
    </row>
    <row r="445" spans="1:134" ht="11.25" customHeight="1" x14ac:dyDescent="0.3">
      <c r="A445" s="28" t="e">
        <f t="array" aca="1" ref="A445" ca="1">_xludf.XLOOKUP(S445,Master_Registrations!P:P,Master_Registrations!A:A,"")</f>
        <v>#NAME?</v>
      </c>
      <c r="B445" s="89" t="s">
        <v>182</v>
      </c>
      <c r="C445" s="89">
        <v>2021</v>
      </c>
      <c r="D445" s="89" t="s">
        <v>4886</v>
      </c>
      <c r="E445" s="89">
        <v>1</v>
      </c>
      <c r="F445" s="90" t="str">
        <f t="shared" si="6"/>
        <v>VED-01-2021-GR-1</v>
      </c>
      <c r="G445" s="89" t="s">
        <v>7073</v>
      </c>
      <c r="H445" s="90" t="s">
        <v>5183</v>
      </c>
      <c r="I445" s="90"/>
      <c r="J445" s="89" t="s">
        <v>7094</v>
      </c>
      <c r="K445" s="91"/>
      <c r="L445" s="92"/>
      <c r="M445" s="93"/>
      <c r="N445" s="90" t="s">
        <v>7095</v>
      </c>
      <c r="O445" s="89" t="s">
        <v>937</v>
      </c>
      <c r="P445" s="89" t="s">
        <v>4855</v>
      </c>
      <c r="Q445" s="89" t="e">
        <f t="shared" ca="1" si="7"/>
        <v>#NAME?</v>
      </c>
      <c r="R445" s="39" t="s">
        <v>112</v>
      </c>
      <c r="S445" s="94">
        <v>9603135460</v>
      </c>
      <c r="T445" s="90" t="s">
        <v>111</v>
      </c>
      <c r="U445" s="90">
        <v>1966</v>
      </c>
      <c r="V445" s="95">
        <v>-1</v>
      </c>
      <c r="W445" s="95">
        <v>-1</v>
      </c>
      <c r="X445" s="99">
        <v>2</v>
      </c>
      <c r="Y445" s="99">
        <v>2</v>
      </c>
      <c r="Z445" s="99">
        <v>2</v>
      </c>
      <c r="AA445" s="99">
        <v>2</v>
      </c>
      <c r="AB445" s="99">
        <v>1</v>
      </c>
      <c r="AC445" s="99">
        <v>1</v>
      </c>
      <c r="AD445" s="99">
        <v>1</v>
      </c>
      <c r="AE445" s="99">
        <v>1</v>
      </c>
      <c r="AF445" s="99">
        <v>1</v>
      </c>
      <c r="AG445" s="99">
        <v>1</v>
      </c>
      <c r="AH445" s="99">
        <v>-1</v>
      </c>
      <c r="AI445" s="96">
        <v>-1</v>
      </c>
      <c r="AJ445" s="99">
        <v>2</v>
      </c>
      <c r="AK445" s="99">
        <v>2</v>
      </c>
      <c r="AL445" s="99">
        <v>2</v>
      </c>
      <c r="AM445" s="99">
        <v>1</v>
      </c>
      <c r="AN445" s="99">
        <v>2</v>
      </c>
      <c r="AO445" s="99">
        <v>1</v>
      </c>
      <c r="AP445" s="95">
        <v>-1</v>
      </c>
      <c r="AQ445" s="95">
        <v>-1</v>
      </c>
      <c r="AR445" s="99">
        <v>1</v>
      </c>
      <c r="AS445" s="95">
        <v>-1</v>
      </c>
      <c r="AT445" s="95">
        <v>-1</v>
      </c>
      <c r="AU445" s="95">
        <v>-1</v>
      </c>
      <c r="AV445" s="95">
        <v>-1</v>
      </c>
      <c r="AW445" s="99">
        <v>1</v>
      </c>
      <c r="AX445" s="100">
        <v>1</v>
      </c>
      <c r="AY445" s="95">
        <v>1</v>
      </c>
      <c r="AZ445" s="95">
        <v>1</v>
      </c>
      <c r="BA445" s="99">
        <v>1</v>
      </c>
      <c r="BB445" s="99">
        <v>1</v>
      </c>
      <c r="BC445" s="99">
        <v>1</v>
      </c>
      <c r="BD445" s="99">
        <v>1</v>
      </c>
      <c r="BE445" s="99">
        <v>-1</v>
      </c>
      <c r="BF445" s="96">
        <v>-1</v>
      </c>
      <c r="BG445" s="99">
        <v>1</v>
      </c>
      <c r="BH445" s="97">
        <v>-1</v>
      </c>
      <c r="BI445" s="97">
        <v>-1</v>
      </c>
      <c r="BJ445" s="97">
        <v>-1</v>
      </c>
      <c r="BK445" s="97">
        <v>-1</v>
      </c>
      <c r="BL445" s="97">
        <v>-1</v>
      </c>
      <c r="BM445" s="96">
        <v>-1</v>
      </c>
      <c r="BN445" s="96">
        <v>-1</v>
      </c>
      <c r="BO445" s="96">
        <v>-1</v>
      </c>
      <c r="BP445" s="96">
        <v>-1</v>
      </c>
      <c r="BQ445" s="96">
        <v>-1</v>
      </c>
      <c r="BR445" s="96">
        <v>-1</v>
      </c>
      <c r="BS445" s="96">
        <v>-1</v>
      </c>
      <c r="BT445" s="96">
        <v>-1</v>
      </c>
      <c r="BU445" s="96">
        <v>-1</v>
      </c>
      <c r="BV445" s="96">
        <v>-1</v>
      </c>
      <c r="BW445" s="89"/>
      <c r="BX445" s="89"/>
      <c r="BY445" s="89"/>
      <c r="BZ445" s="89"/>
      <c r="CA445" s="89"/>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98"/>
      <c r="DA445" s="98"/>
      <c r="DB445" s="98"/>
      <c r="DC445" s="98"/>
      <c r="DD445" s="98"/>
      <c r="DE445" s="98"/>
      <c r="DF445" s="98"/>
      <c r="DG445" s="98"/>
      <c r="DH445" s="98"/>
      <c r="DI445" s="98"/>
      <c r="DJ445" s="98"/>
      <c r="DK445" s="98"/>
      <c r="DL445" s="98"/>
      <c r="DM445" s="98"/>
      <c r="DN445" s="98"/>
      <c r="DO445" s="98"/>
      <c r="DP445" s="98"/>
      <c r="DQ445" s="98"/>
      <c r="DR445" s="98"/>
      <c r="DS445" s="98"/>
      <c r="DT445" s="98"/>
      <c r="DU445" s="98"/>
      <c r="DV445" s="98"/>
      <c r="DW445" s="98"/>
      <c r="DX445" s="98"/>
      <c r="DY445" s="98"/>
      <c r="DZ445" s="98"/>
      <c r="EA445" s="98"/>
      <c r="EB445" s="98"/>
      <c r="EC445" s="98"/>
      <c r="ED445" s="98"/>
    </row>
    <row r="446" spans="1:134" ht="11.25" customHeight="1" x14ac:dyDescent="0.3">
      <c r="A446" s="28" t="e">
        <f t="array" aca="1" ref="A446" ca="1">_xludf.XLOOKUP(S446,Master_Registrations!P:P,Master_Registrations!A:A,"")</f>
        <v>#NAME?</v>
      </c>
      <c r="B446" s="89" t="s">
        <v>182</v>
      </c>
      <c r="C446" s="89">
        <v>2021</v>
      </c>
      <c r="D446" s="89" t="s">
        <v>4886</v>
      </c>
      <c r="E446" s="89">
        <v>1</v>
      </c>
      <c r="F446" s="90" t="str">
        <f t="shared" si="6"/>
        <v>VED-01-2021-GR-1</v>
      </c>
      <c r="G446" s="89" t="s">
        <v>7073</v>
      </c>
      <c r="H446" s="90" t="s">
        <v>5183</v>
      </c>
      <c r="I446" s="90"/>
      <c r="J446" s="89" t="s">
        <v>7094</v>
      </c>
      <c r="K446" s="91"/>
      <c r="L446" s="92"/>
      <c r="M446" s="101"/>
      <c r="N446" s="90" t="s">
        <v>7095</v>
      </c>
      <c r="O446" s="89" t="s">
        <v>4963</v>
      </c>
      <c r="P446" s="89" t="s">
        <v>4966</v>
      </c>
      <c r="Q446" s="89" t="e">
        <f t="shared" ca="1" si="7"/>
        <v>#NAME?</v>
      </c>
      <c r="R446" s="39" t="s">
        <v>112</v>
      </c>
      <c r="S446" s="94">
        <v>9398653667</v>
      </c>
      <c r="T446" s="90" t="s">
        <v>111</v>
      </c>
      <c r="U446" s="90">
        <v>1977</v>
      </c>
      <c r="V446" s="95">
        <v>-1</v>
      </c>
      <c r="W446" s="95">
        <v>-1</v>
      </c>
      <c r="X446" s="95">
        <v>-1</v>
      </c>
      <c r="Y446" s="95">
        <v>-1</v>
      </c>
      <c r="Z446" s="95">
        <v>-1</v>
      </c>
      <c r="AA446" s="95">
        <v>-1</v>
      </c>
      <c r="AB446" s="95">
        <v>-1</v>
      </c>
      <c r="AC446" s="95">
        <v>-1</v>
      </c>
      <c r="AD446" s="95">
        <v>-1</v>
      </c>
      <c r="AE446" s="95">
        <v>-1</v>
      </c>
      <c r="AF446" s="95">
        <v>-1</v>
      </c>
      <c r="AG446" s="95">
        <v>-1</v>
      </c>
      <c r="AH446" s="95">
        <v>-1</v>
      </c>
      <c r="AI446" s="96">
        <v>-1</v>
      </c>
      <c r="AJ446" s="95">
        <v>-1</v>
      </c>
      <c r="AK446" s="95">
        <v>-1</v>
      </c>
      <c r="AL446" s="95">
        <v>-1</v>
      </c>
      <c r="AM446" s="95">
        <v>-1</v>
      </c>
      <c r="AN446" s="95">
        <v>-1</v>
      </c>
      <c r="AO446" s="95">
        <v>-1</v>
      </c>
      <c r="AP446" s="95">
        <v>-1</v>
      </c>
      <c r="AQ446" s="95">
        <v>-1</v>
      </c>
      <c r="AR446" s="95">
        <v>-1</v>
      </c>
      <c r="AS446" s="95">
        <v>-1</v>
      </c>
      <c r="AT446" s="95">
        <v>-1</v>
      </c>
      <c r="AU446" s="95">
        <v>-1</v>
      </c>
      <c r="AV446" s="96">
        <v>-1</v>
      </c>
      <c r="AW446" s="99">
        <v>-1</v>
      </c>
      <c r="AX446" s="95">
        <v>-1</v>
      </c>
      <c r="AY446" s="95">
        <v>-1</v>
      </c>
      <c r="AZ446" s="95">
        <v>-1</v>
      </c>
      <c r="BA446" s="95">
        <v>-1</v>
      </c>
      <c r="BB446" s="95">
        <v>-1</v>
      </c>
      <c r="BC446" s="99">
        <v>-1</v>
      </c>
      <c r="BD446" s="99">
        <v>-1</v>
      </c>
      <c r="BE446" s="99">
        <v>-1</v>
      </c>
      <c r="BF446" s="96">
        <v>-1</v>
      </c>
      <c r="BG446" s="99">
        <v>-1</v>
      </c>
      <c r="BH446" s="97">
        <v>-1</v>
      </c>
      <c r="BI446" s="97">
        <v>-1</v>
      </c>
      <c r="BJ446" s="97">
        <v>-1</v>
      </c>
      <c r="BK446" s="97">
        <v>-1</v>
      </c>
      <c r="BL446" s="96">
        <v>-1</v>
      </c>
      <c r="BM446" s="96">
        <v>-1</v>
      </c>
      <c r="BN446" s="96">
        <v>-1</v>
      </c>
      <c r="BO446" s="96">
        <v>-1</v>
      </c>
      <c r="BP446" s="96">
        <v>-1</v>
      </c>
      <c r="BQ446" s="96">
        <v>-1</v>
      </c>
      <c r="BR446" s="96">
        <v>-1</v>
      </c>
      <c r="BS446" s="96">
        <v>-1</v>
      </c>
      <c r="BT446" s="96">
        <v>-1</v>
      </c>
      <c r="BU446" s="96">
        <v>-1</v>
      </c>
      <c r="BV446" s="96">
        <v>-1</v>
      </c>
      <c r="BW446" s="89"/>
      <c r="BX446" s="89"/>
      <c r="BY446" s="89"/>
      <c r="BZ446" s="89"/>
      <c r="CA446" s="89"/>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98"/>
      <c r="DA446" s="98"/>
      <c r="DB446" s="98"/>
      <c r="DC446" s="98"/>
      <c r="DD446" s="98"/>
      <c r="DE446" s="98"/>
      <c r="DF446" s="98"/>
      <c r="DG446" s="98"/>
      <c r="DH446" s="98"/>
      <c r="DI446" s="98"/>
      <c r="DJ446" s="98"/>
      <c r="DK446" s="98"/>
      <c r="DL446" s="98"/>
      <c r="DM446" s="98"/>
      <c r="DN446" s="98"/>
      <c r="DO446" s="98"/>
      <c r="DP446" s="98"/>
      <c r="DQ446" s="98"/>
      <c r="DR446" s="98"/>
      <c r="DS446" s="98"/>
      <c r="DT446" s="98"/>
      <c r="DU446" s="98"/>
      <c r="DV446" s="98"/>
      <c r="DW446" s="98"/>
      <c r="DX446" s="98"/>
      <c r="DY446" s="98"/>
      <c r="DZ446" s="98"/>
      <c r="EA446" s="98"/>
      <c r="EB446" s="98"/>
      <c r="EC446" s="98"/>
      <c r="ED446" s="98"/>
    </row>
    <row r="447" spans="1:134" ht="11.25" customHeight="1" x14ac:dyDescent="0.3">
      <c r="A447" s="28" t="e">
        <f t="array" aca="1" ref="A447" ca="1">_xludf.XLOOKUP(S447,Master_Registrations!P:P,Master_Registrations!A:A,"")</f>
        <v>#NAME?</v>
      </c>
      <c r="B447" s="89" t="s">
        <v>182</v>
      </c>
      <c r="C447" s="89">
        <v>2021</v>
      </c>
      <c r="D447" s="89" t="s">
        <v>4886</v>
      </c>
      <c r="E447" s="89">
        <v>1</v>
      </c>
      <c r="F447" s="90" t="str">
        <f t="shared" si="6"/>
        <v>VED-01-2021-GR-1</v>
      </c>
      <c r="G447" s="89" t="s">
        <v>7073</v>
      </c>
      <c r="H447" s="90" t="s">
        <v>5183</v>
      </c>
      <c r="I447" s="90"/>
      <c r="J447" s="89" t="s">
        <v>7094</v>
      </c>
      <c r="K447" s="91"/>
      <c r="L447" s="92"/>
      <c r="M447" s="93"/>
      <c r="N447" s="90" t="s">
        <v>7095</v>
      </c>
      <c r="O447" s="89" t="s">
        <v>821</v>
      </c>
      <c r="P447" s="89" t="s">
        <v>4840</v>
      </c>
      <c r="Q447" s="89" t="e">
        <f t="shared" ca="1" si="7"/>
        <v>#NAME?</v>
      </c>
      <c r="R447" s="39" t="s">
        <v>112</v>
      </c>
      <c r="S447" s="94">
        <v>8125002004</v>
      </c>
      <c r="T447" s="90" t="s">
        <v>111</v>
      </c>
      <c r="U447" s="90">
        <v>1966</v>
      </c>
      <c r="V447" s="95">
        <v>-1</v>
      </c>
      <c r="W447" s="95">
        <v>-1</v>
      </c>
      <c r="X447" s="99">
        <v>2</v>
      </c>
      <c r="Y447" s="99">
        <v>2</v>
      </c>
      <c r="Z447" s="99">
        <v>2</v>
      </c>
      <c r="AA447" s="99">
        <v>1</v>
      </c>
      <c r="AB447" s="99">
        <v>1</v>
      </c>
      <c r="AC447" s="99">
        <v>1</v>
      </c>
      <c r="AD447" s="99">
        <v>1</v>
      </c>
      <c r="AE447" s="99">
        <v>1</v>
      </c>
      <c r="AF447" s="99">
        <v>1</v>
      </c>
      <c r="AG447" s="99">
        <v>1</v>
      </c>
      <c r="AH447" s="99">
        <v>1</v>
      </c>
      <c r="AI447" s="96">
        <v>-1</v>
      </c>
      <c r="AJ447" s="99">
        <v>2</v>
      </c>
      <c r="AK447" s="99">
        <v>1</v>
      </c>
      <c r="AL447" s="99">
        <v>1</v>
      </c>
      <c r="AM447" s="99">
        <v>2</v>
      </c>
      <c r="AN447" s="99">
        <v>1</v>
      </c>
      <c r="AO447" s="99">
        <v>-1</v>
      </c>
      <c r="AP447" s="95">
        <v>-1</v>
      </c>
      <c r="AQ447" s="95">
        <v>-1</v>
      </c>
      <c r="AR447" s="99">
        <v>-1</v>
      </c>
      <c r="AS447" s="95">
        <v>-1</v>
      </c>
      <c r="AT447" s="95">
        <v>-1</v>
      </c>
      <c r="AU447" s="99">
        <v>1</v>
      </c>
      <c r="AV447" s="95">
        <v>-1</v>
      </c>
      <c r="AW447" s="99">
        <v>1</v>
      </c>
      <c r="AX447" s="100">
        <v>1</v>
      </c>
      <c r="AY447" s="96">
        <v>-1</v>
      </c>
      <c r="AZ447" s="96">
        <v>-1</v>
      </c>
      <c r="BA447" s="96">
        <v>-1</v>
      </c>
      <c r="BB447" s="96">
        <v>-1</v>
      </c>
      <c r="BC447" s="99">
        <v>1</v>
      </c>
      <c r="BD447" s="99">
        <v>1</v>
      </c>
      <c r="BE447" s="99">
        <v>-1</v>
      </c>
      <c r="BF447" s="96">
        <v>-1</v>
      </c>
      <c r="BG447" s="99">
        <v>1</v>
      </c>
      <c r="BH447" s="97">
        <v>1</v>
      </c>
      <c r="BI447" s="97">
        <v>-1</v>
      </c>
      <c r="BJ447" s="97">
        <v>-1</v>
      </c>
      <c r="BK447" s="97">
        <v>-1</v>
      </c>
      <c r="BL447" s="97">
        <v>-1</v>
      </c>
      <c r="BM447" s="96">
        <v>-1</v>
      </c>
      <c r="BN447" s="96">
        <v>-1</v>
      </c>
      <c r="BO447" s="96">
        <v>-1</v>
      </c>
      <c r="BP447" s="96">
        <v>-1</v>
      </c>
      <c r="BQ447" s="96">
        <v>-1</v>
      </c>
      <c r="BR447" s="96">
        <v>-1</v>
      </c>
      <c r="BS447" s="96">
        <v>-1</v>
      </c>
      <c r="BT447" s="96">
        <v>-1</v>
      </c>
      <c r="BU447" s="96">
        <v>-1</v>
      </c>
      <c r="BV447" s="96">
        <v>-1</v>
      </c>
      <c r="BW447" s="89"/>
      <c r="BX447" s="89"/>
      <c r="BY447" s="89"/>
      <c r="BZ447" s="89"/>
      <c r="CA447" s="89"/>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98"/>
      <c r="DA447" s="98"/>
      <c r="DB447" s="98"/>
      <c r="DC447" s="98"/>
      <c r="DD447" s="98"/>
      <c r="DE447" s="98"/>
      <c r="DF447" s="98"/>
      <c r="DG447" s="98"/>
      <c r="DH447" s="98"/>
      <c r="DI447" s="98"/>
      <c r="DJ447" s="98"/>
      <c r="DK447" s="98"/>
      <c r="DL447" s="98"/>
      <c r="DM447" s="98"/>
      <c r="DN447" s="98"/>
      <c r="DO447" s="98"/>
      <c r="DP447" s="98"/>
      <c r="DQ447" s="98"/>
      <c r="DR447" s="98"/>
      <c r="DS447" s="98"/>
      <c r="DT447" s="98"/>
      <c r="DU447" s="98"/>
      <c r="DV447" s="98"/>
      <c r="DW447" s="98"/>
      <c r="DX447" s="98"/>
      <c r="DY447" s="98"/>
      <c r="DZ447" s="98"/>
      <c r="EA447" s="98"/>
      <c r="EB447" s="98"/>
      <c r="EC447" s="98"/>
      <c r="ED447" s="98"/>
    </row>
    <row r="448" spans="1:134" ht="11.25" customHeight="1" x14ac:dyDescent="0.3">
      <c r="A448" s="28" t="e">
        <f t="array" aca="1" ref="A448" ca="1">_xludf.XLOOKUP(S448,Master_Registrations!P:P,Master_Registrations!A:A,"")</f>
        <v>#NAME?</v>
      </c>
      <c r="B448" s="89" t="s">
        <v>182</v>
      </c>
      <c r="C448" s="89">
        <v>2021</v>
      </c>
      <c r="D448" s="89" t="s">
        <v>4886</v>
      </c>
      <c r="E448" s="89">
        <v>1</v>
      </c>
      <c r="F448" s="90" t="str">
        <f t="shared" si="6"/>
        <v>VED-01-2021-GR-1</v>
      </c>
      <c r="G448" s="89" t="s">
        <v>7073</v>
      </c>
      <c r="H448" s="90" t="s">
        <v>5183</v>
      </c>
      <c r="I448" s="90"/>
      <c r="J448" s="89" t="s">
        <v>7094</v>
      </c>
      <c r="K448" s="91"/>
      <c r="L448" s="102"/>
      <c r="M448" s="93"/>
      <c r="N448" s="90" t="s">
        <v>7095</v>
      </c>
      <c r="O448" s="89" t="s">
        <v>891</v>
      </c>
      <c r="P448" s="89" t="s">
        <v>3201</v>
      </c>
      <c r="Q448" s="89" t="e">
        <f t="shared" ca="1" si="7"/>
        <v>#NAME?</v>
      </c>
      <c r="R448" s="39" t="s">
        <v>112</v>
      </c>
      <c r="S448" s="94">
        <v>9419125122</v>
      </c>
      <c r="T448" s="90" t="s">
        <v>111</v>
      </c>
      <c r="U448" s="90">
        <v>1973</v>
      </c>
      <c r="V448" s="99">
        <v>1</v>
      </c>
      <c r="W448" s="99">
        <v>1</v>
      </c>
      <c r="X448" s="99">
        <v>1</v>
      </c>
      <c r="Y448" s="99">
        <v>1</v>
      </c>
      <c r="Z448" s="99">
        <v>1</v>
      </c>
      <c r="AA448" s="99">
        <v>1</v>
      </c>
      <c r="AB448" s="99">
        <v>1</v>
      </c>
      <c r="AC448" s="99">
        <v>1</v>
      </c>
      <c r="AD448" s="99">
        <v>1</v>
      </c>
      <c r="AE448" s="99">
        <v>1</v>
      </c>
      <c r="AF448" s="99">
        <v>1</v>
      </c>
      <c r="AG448" s="99">
        <v>1</v>
      </c>
      <c r="AH448" s="99">
        <v>1</v>
      </c>
      <c r="AI448" s="96">
        <v>-1</v>
      </c>
      <c r="AJ448" s="99">
        <v>1</v>
      </c>
      <c r="AK448" s="99">
        <v>1</v>
      </c>
      <c r="AL448" s="99">
        <v>1</v>
      </c>
      <c r="AM448" s="99">
        <v>1</v>
      </c>
      <c r="AN448" s="99">
        <v>1</v>
      </c>
      <c r="AO448" s="99">
        <v>1</v>
      </c>
      <c r="AP448" s="95">
        <v>-1</v>
      </c>
      <c r="AQ448" s="99">
        <v>1</v>
      </c>
      <c r="AR448" s="99">
        <v>1</v>
      </c>
      <c r="AS448" s="99">
        <v>1</v>
      </c>
      <c r="AT448" s="99">
        <v>1</v>
      </c>
      <c r="AU448" s="99">
        <v>1</v>
      </c>
      <c r="AV448" s="95">
        <v>-1</v>
      </c>
      <c r="AW448" s="97">
        <v>1</v>
      </c>
      <c r="AX448" s="100">
        <v>1</v>
      </c>
      <c r="AY448" s="95">
        <v>1</v>
      </c>
      <c r="AZ448" s="95">
        <v>1</v>
      </c>
      <c r="BA448" s="99">
        <v>1</v>
      </c>
      <c r="BB448" s="99">
        <v>1</v>
      </c>
      <c r="BC448" s="97">
        <v>1</v>
      </c>
      <c r="BD448" s="97">
        <v>1</v>
      </c>
      <c r="BE448" s="97">
        <v>1</v>
      </c>
      <c r="BF448" s="96">
        <v>-1</v>
      </c>
      <c r="BG448" s="97">
        <v>1</v>
      </c>
      <c r="BH448" s="97">
        <v>1</v>
      </c>
      <c r="BI448" s="97">
        <v>1</v>
      </c>
      <c r="BJ448" s="97">
        <v>1</v>
      </c>
      <c r="BK448" s="97">
        <v>1</v>
      </c>
      <c r="BL448" s="97">
        <v>1</v>
      </c>
      <c r="BM448" s="96">
        <v>-1</v>
      </c>
      <c r="BN448" s="96">
        <v>-1</v>
      </c>
      <c r="BO448" s="96">
        <v>-1</v>
      </c>
      <c r="BP448" s="96">
        <v>-1</v>
      </c>
      <c r="BQ448" s="96">
        <v>-1</v>
      </c>
      <c r="BR448" s="96">
        <v>-1</v>
      </c>
      <c r="BS448" s="96">
        <v>-1</v>
      </c>
      <c r="BT448" s="96">
        <v>-1</v>
      </c>
      <c r="BU448" s="96">
        <v>-1</v>
      </c>
      <c r="BV448" s="96">
        <v>-1</v>
      </c>
      <c r="BW448" s="89"/>
      <c r="BX448" s="89"/>
      <c r="BY448" s="89"/>
      <c r="BZ448" s="89"/>
      <c r="CA448" s="89"/>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98"/>
      <c r="DA448" s="98"/>
      <c r="DB448" s="98"/>
      <c r="DC448" s="98"/>
      <c r="DD448" s="98"/>
      <c r="DE448" s="98"/>
      <c r="DF448" s="98"/>
      <c r="DG448" s="98"/>
      <c r="DH448" s="98"/>
      <c r="DI448" s="98"/>
      <c r="DJ448" s="98"/>
      <c r="DK448" s="98"/>
      <c r="DL448" s="98"/>
      <c r="DM448" s="98"/>
      <c r="DN448" s="98"/>
      <c r="DO448" s="98"/>
      <c r="DP448" s="98"/>
      <c r="DQ448" s="98"/>
      <c r="DR448" s="98"/>
      <c r="DS448" s="98"/>
      <c r="DT448" s="98"/>
      <c r="DU448" s="98"/>
      <c r="DV448" s="98"/>
      <c r="DW448" s="98"/>
      <c r="DX448" s="98"/>
      <c r="DY448" s="98"/>
      <c r="DZ448" s="98"/>
      <c r="EA448" s="98"/>
      <c r="EB448" s="98"/>
      <c r="EC448" s="98"/>
      <c r="ED448" s="98"/>
    </row>
    <row r="449" spans="1:134" ht="11.25" customHeight="1" x14ac:dyDescent="0.3">
      <c r="A449" s="28" t="e">
        <f t="array" aca="1" ref="A449" ca="1">_xludf.XLOOKUP(S449,Master_Registrations!P:P,Master_Registrations!A:A,"")</f>
        <v>#NAME?</v>
      </c>
      <c r="B449" s="89" t="s">
        <v>182</v>
      </c>
      <c r="C449" s="89">
        <v>2021</v>
      </c>
      <c r="D449" s="89" t="s">
        <v>4886</v>
      </c>
      <c r="E449" s="89">
        <v>2</v>
      </c>
      <c r="F449" s="90" t="str">
        <f t="shared" si="6"/>
        <v>VED-01-2021-GR-2</v>
      </c>
      <c r="G449" s="89" t="s">
        <v>4569</v>
      </c>
      <c r="H449" s="89" t="s">
        <v>7062</v>
      </c>
      <c r="I449" s="89"/>
      <c r="J449" s="89" t="s">
        <v>7094</v>
      </c>
      <c r="K449" s="99"/>
      <c r="L449" s="104"/>
      <c r="M449" s="104"/>
      <c r="N449" s="90" t="s">
        <v>7095</v>
      </c>
      <c r="O449" s="89" t="s">
        <v>494</v>
      </c>
      <c r="P449" s="89" t="s">
        <v>495</v>
      </c>
      <c r="Q449" s="89" t="e">
        <f t="shared" ca="1" si="7"/>
        <v>#NAME?</v>
      </c>
      <c r="R449" s="39" t="s">
        <v>112</v>
      </c>
      <c r="S449" s="105">
        <v>9885981818</v>
      </c>
      <c r="T449" s="90" t="s">
        <v>111</v>
      </c>
      <c r="U449" s="89">
        <v>1979</v>
      </c>
      <c r="V449" s="99">
        <v>1</v>
      </c>
      <c r="W449" s="99">
        <v>1</v>
      </c>
      <c r="X449" s="99">
        <v>-1</v>
      </c>
      <c r="Y449" s="99">
        <v>-1</v>
      </c>
      <c r="Z449" s="99">
        <v>-1</v>
      </c>
      <c r="AA449" s="99">
        <v>-1</v>
      </c>
      <c r="AB449" s="99">
        <v>-1</v>
      </c>
      <c r="AC449" s="99">
        <v>1</v>
      </c>
      <c r="AD449" s="99">
        <v>1</v>
      </c>
      <c r="AE449" s="99">
        <v>1</v>
      </c>
      <c r="AF449" s="99">
        <v>-1</v>
      </c>
      <c r="AG449" s="99">
        <v>1</v>
      </c>
      <c r="AH449" s="99">
        <v>-1</v>
      </c>
      <c r="AI449" s="95">
        <v>-1</v>
      </c>
      <c r="AJ449" s="89"/>
      <c r="AK449" s="89"/>
      <c r="AL449" s="89"/>
      <c r="AM449" s="89"/>
      <c r="AN449" s="89"/>
      <c r="AO449" s="89"/>
      <c r="AP449" s="89"/>
      <c r="AQ449" s="89"/>
      <c r="AR449" s="89"/>
      <c r="AS449" s="89"/>
      <c r="AT449" s="89"/>
      <c r="AU449" s="89"/>
      <c r="AV449" s="89"/>
      <c r="AW449" s="89"/>
      <c r="AX449" s="89"/>
      <c r="AY449" s="89"/>
      <c r="AZ449" s="89"/>
      <c r="BA449" s="89"/>
      <c r="BB449" s="89"/>
      <c r="BC449" s="89"/>
      <c r="BD449" s="89"/>
      <c r="BE449" s="89"/>
      <c r="BF449" s="89"/>
      <c r="BG449" s="95">
        <v>-1</v>
      </c>
      <c r="BH449" s="95">
        <v>-1</v>
      </c>
      <c r="BI449" s="95">
        <v>-1</v>
      </c>
      <c r="BJ449" s="95">
        <v>-1</v>
      </c>
      <c r="BK449" s="95">
        <v>-1</v>
      </c>
      <c r="BL449" s="95">
        <v>-1</v>
      </c>
      <c r="BM449" s="95">
        <v>-1</v>
      </c>
      <c r="BN449" s="95">
        <v>-1</v>
      </c>
      <c r="BO449" s="95">
        <v>-1</v>
      </c>
      <c r="BP449" s="95">
        <v>-1</v>
      </c>
      <c r="BQ449" s="95">
        <v>-1</v>
      </c>
      <c r="BR449" s="95">
        <v>-1</v>
      </c>
      <c r="BS449" s="95">
        <v>-1</v>
      </c>
      <c r="BT449" s="95">
        <v>-1</v>
      </c>
      <c r="BU449" s="95">
        <v>-1</v>
      </c>
      <c r="BV449" s="95">
        <v>-1</v>
      </c>
      <c r="BW449" s="89"/>
      <c r="BX449" s="89"/>
      <c r="BY449" s="89"/>
      <c r="BZ449" s="89"/>
      <c r="CA449" s="89"/>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98"/>
      <c r="DA449" s="98"/>
      <c r="DB449" s="98"/>
      <c r="DC449" s="98"/>
      <c r="DD449" s="98"/>
      <c r="DE449" s="98"/>
      <c r="DF449" s="98"/>
      <c r="DG449" s="98"/>
      <c r="DH449" s="98"/>
      <c r="DI449" s="98"/>
      <c r="DJ449" s="98"/>
      <c r="DK449" s="98"/>
      <c r="DL449" s="98"/>
      <c r="DM449" s="98"/>
      <c r="DN449" s="98"/>
      <c r="DO449" s="98"/>
      <c r="DP449" s="98"/>
      <c r="DQ449" s="98"/>
      <c r="DR449" s="98"/>
      <c r="DS449" s="98"/>
      <c r="DT449" s="98"/>
      <c r="DU449" s="98"/>
      <c r="DV449" s="98"/>
      <c r="DW449" s="98"/>
      <c r="DX449" s="98"/>
      <c r="DY449" s="98"/>
      <c r="DZ449" s="98"/>
      <c r="EA449" s="98"/>
      <c r="EB449" s="98"/>
      <c r="EC449" s="98"/>
      <c r="ED449" s="98"/>
    </row>
    <row r="450" spans="1:134" ht="11.25" customHeight="1" x14ac:dyDescent="0.3">
      <c r="A450" s="28" t="e">
        <f t="array" aca="1" ref="A450" ca="1">_xludf.XLOOKUP(S450,Master_Registrations!P:P,Master_Registrations!A:A,"")</f>
        <v>#NAME?</v>
      </c>
      <c r="B450" s="89" t="s">
        <v>182</v>
      </c>
      <c r="C450" s="89">
        <v>2022</v>
      </c>
      <c r="D450" s="89" t="s">
        <v>184</v>
      </c>
      <c r="E450" s="89">
        <v>2</v>
      </c>
      <c r="F450" s="90" t="str">
        <f t="shared" si="6"/>
        <v>VED-01-2022-BR-2</v>
      </c>
      <c r="G450" s="89" t="s">
        <v>4569</v>
      </c>
      <c r="H450" s="90" t="s">
        <v>7096</v>
      </c>
      <c r="I450" s="90"/>
      <c r="J450" s="89" t="s">
        <v>7094</v>
      </c>
      <c r="K450" s="91"/>
      <c r="L450" s="93"/>
      <c r="M450" s="93"/>
      <c r="N450" s="90" t="s">
        <v>7095</v>
      </c>
      <c r="O450" s="89" t="s">
        <v>5115</v>
      </c>
      <c r="P450" s="89" t="s">
        <v>5116</v>
      </c>
      <c r="Q450" s="89" t="e">
        <f t="shared" ca="1" si="7"/>
        <v>#NAME?</v>
      </c>
      <c r="R450" s="39" t="s">
        <v>112</v>
      </c>
      <c r="S450" s="89">
        <v>9908800155</v>
      </c>
      <c r="T450" s="90" t="s">
        <v>111</v>
      </c>
      <c r="U450" s="89">
        <v>2009</v>
      </c>
      <c r="V450" s="99">
        <v>1</v>
      </c>
      <c r="W450" s="95">
        <v>-1</v>
      </c>
      <c r="X450" s="96">
        <v>-1</v>
      </c>
      <c r="Y450" s="97">
        <v>1</v>
      </c>
      <c r="Z450" s="97">
        <v>-1</v>
      </c>
      <c r="AA450" s="97">
        <v>1</v>
      </c>
      <c r="AB450" s="97">
        <v>-1</v>
      </c>
      <c r="AC450" s="95">
        <v>-1</v>
      </c>
      <c r="AD450" s="95">
        <v>-1</v>
      </c>
      <c r="AE450" s="97">
        <v>1</v>
      </c>
      <c r="AF450" s="97">
        <v>-1</v>
      </c>
      <c r="AG450" s="97">
        <v>1</v>
      </c>
      <c r="AH450" s="97">
        <v>1</v>
      </c>
      <c r="AI450" s="96">
        <v>-1</v>
      </c>
      <c r="AJ450" s="89"/>
      <c r="AK450" s="89"/>
      <c r="AL450" s="89"/>
      <c r="AM450" s="89"/>
      <c r="AN450" s="89"/>
      <c r="AO450" s="89"/>
      <c r="AP450" s="89"/>
      <c r="AQ450" s="89"/>
      <c r="AR450" s="89"/>
      <c r="AS450" s="89"/>
      <c r="AT450" s="89"/>
      <c r="AU450" s="89"/>
      <c r="AV450" s="89"/>
      <c r="AW450" s="89"/>
      <c r="AX450" s="89"/>
      <c r="AY450" s="89"/>
      <c r="AZ450" s="89"/>
      <c r="BA450" s="89"/>
      <c r="BB450" s="89"/>
      <c r="BC450" s="89"/>
      <c r="BD450" s="89"/>
      <c r="BE450" s="89"/>
      <c r="BF450" s="89"/>
      <c r="BG450" s="89"/>
      <c r="BH450" s="89"/>
      <c r="BI450" s="89"/>
      <c r="BJ450" s="89"/>
      <c r="BK450" s="89"/>
      <c r="BL450" s="89"/>
      <c r="BM450" s="89"/>
      <c r="BN450" s="89"/>
      <c r="BO450" s="89"/>
      <c r="BP450" s="89"/>
      <c r="BQ450" s="89"/>
      <c r="BR450" s="89"/>
      <c r="BS450" s="89"/>
      <c r="BT450" s="89"/>
      <c r="BU450" s="89"/>
      <c r="BV450" s="89"/>
      <c r="BW450" s="89"/>
      <c r="BX450" s="89"/>
      <c r="BY450" s="89"/>
      <c r="BZ450" s="89"/>
      <c r="CA450" s="89"/>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98"/>
      <c r="DA450" s="98"/>
      <c r="DB450" s="98"/>
      <c r="DC450" s="98"/>
      <c r="DD450" s="98"/>
      <c r="DE450" s="98"/>
      <c r="DF450" s="98"/>
      <c r="DG450" s="98"/>
      <c r="DH450" s="98"/>
      <c r="DI450" s="98"/>
      <c r="DJ450" s="98"/>
      <c r="DK450" s="98"/>
      <c r="DL450" s="98"/>
      <c r="DM450" s="98"/>
      <c r="DN450" s="98"/>
      <c r="DO450" s="98"/>
      <c r="DP450" s="98"/>
      <c r="DQ450" s="98"/>
      <c r="DR450" s="98"/>
      <c r="DS450" s="98"/>
      <c r="DT450" s="98"/>
      <c r="DU450" s="98"/>
      <c r="DV450" s="98"/>
      <c r="DW450" s="98"/>
      <c r="DX450" s="98"/>
      <c r="DY450" s="98"/>
      <c r="DZ450" s="98"/>
      <c r="EA450" s="98"/>
      <c r="EB450" s="98"/>
      <c r="EC450" s="98"/>
      <c r="ED450" s="98"/>
    </row>
    <row r="451" spans="1:134" ht="11.25" customHeight="1" x14ac:dyDescent="0.3">
      <c r="A451" s="28" t="e">
        <f t="array" aca="1" ref="A451" ca="1">_xludf.XLOOKUP(S451,Master_Registrations!P:P,Master_Registrations!A:A,"")</f>
        <v>#NAME?</v>
      </c>
      <c r="B451" s="89" t="s">
        <v>182</v>
      </c>
      <c r="C451" s="89">
        <v>2022</v>
      </c>
      <c r="D451" s="89" t="s">
        <v>184</v>
      </c>
      <c r="E451" s="89">
        <v>2</v>
      </c>
      <c r="F451" s="90" t="str">
        <f t="shared" si="6"/>
        <v>VED-01-2022-BR-2</v>
      </c>
      <c r="G451" s="89" t="s">
        <v>4569</v>
      </c>
      <c r="H451" s="90" t="s">
        <v>7096</v>
      </c>
      <c r="I451" s="90"/>
      <c r="J451" s="89" t="s">
        <v>7094</v>
      </c>
      <c r="K451" s="99"/>
      <c r="L451" s="104"/>
      <c r="M451" s="104"/>
      <c r="N451" s="90" t="s">
        <v>7095</v>
      </c>
      <c r="O451" s="141" t="s">
        <v>5191</v>
      </c>
      <c r="P451" s="141" t="s">
        <v>6417</v>
      </c>
      <c r="Q451" s="89" t="e">
        <f t="shared" ca="1" si="7"/>
        <v>#NAME?</v>
      </c>
      <c r="R451" s="39" t="s">
        <v>112</v>
      </c>
      <c r="S451" s="94">
        <v>8374599228</v>
      </c>
      <c r="T451" s="90" t="s">
        <v>111</v>
      </c>
      <c r="U451" s="94">
        <v>2014</v>
      </c>
      <c r="V451" s="99">
        <v>1</v>
      </c>
      <c r="W451" s="95">
        <v>-1</v>
      </c>
      <c r="X451" s="95">
        <v>-1</v>
      </c>
      <c r="Y451" s="95">
        <v>-1</v>
      </c>
      <c r="Z451" s="95">
        <v>-1</v>
      </c>
      <c r="AA451" s="95">
        <v>-1</v>
      </c>
      <c r="AB451" s="95">
        <v>-1</v>
      </c>
      <c r="AC451" s="95">
        <v>-1</v>
      </c>
      <c r="AD451" s="95">
        <v>-1</v>
      </c>
      <c r="AE451" s="99">
        <v>1</v>
      </c>
      <c r="AF451" s="99">
        <v>-1</v>
      </c>
      <c r="AG451" s="99">
        <v>-1</v>
      </c>
      <c r="AH451" s="95">
        <v>-1</v>
      </c>
      <c r="AI451" s="96">
        <v>-1</v>
      </c>
      <c r="AJ451" s="89"/>
      <c r="AK451" s="89"/>
      <c r="AL451" s="89"/>
      <c r="AM451" s="89"/>
      <c r="AN451" s="89"/>
      <c r="AO451" s="89"/>
      <c r="AP451" s="89"/>
      <c r="AQ451" s="89"/>
      <c r="AR451" s="89"/>
      <c r="AS451" s="89"/>
      <c r="AT451" s="89"/>
      <c r="AU451" s="89"/>
      <c r="AV451" s="89"/>
      <c r="AW451" s="89"/>
      <c r="AX451" s="89"/>
      <c r="AY451" s="89"/>
      <c r="AZ451" s="89"/>
      <c r="BA451" s="89"/>
      <c r="BB451" s="89"/>
      <c r="BC451" s="89"/>
      <c r="BD451" s="89"/>
      <c r="BE451" s="89"/>
      <c r="BF451" s="89"/>
      <c r="BG451" s="89"/>
      <c r="BH451" s="89"/>
      <c r="BI451" s="89"/>
      <c r="BJ451" s="89"/>
      <c r="BK451" s="89"/>
      <c r="BL451" s="89"/>
      <c r="BM451" s="89"/>
      <c r="BN451" s="89"/>
      <c r="BO451" s="89"/>
      <c r="BP451" s="89"/>
      <c r="BQ451" s="89"/>
      <c r="BR451" s="89"/>
      <c r="BS451" s="89"/>
      <c r="BT451" s="89"/>
      <c r="BU451" s="89"/>
      <c r="BV451" s="89"/>
      <c r="BW451" s="89"/>
      <c r="BX451" s="89"/>
      <c r="BY451" s="89"/>
      <c r="BZ451" s="89"/>
      <c r="CA451" s="89"/>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98"/>
      <c r="DA451" s="98"/>
      <c r="DB451" s="98"/>
      <c r="DC451" s="98"/>
      <c r="DD451" s="98"/>
      <c r="DE451" s="98"/>
      <c r="DF451" s="98"/>
      <c r="DG451" s="98"/>
      <c r="DH451" s="98"/>
      <c r="DI451" s="98"/>
      <c r="DJ451" s="98"/>
      <c r="DK451" s="98"/>
      <c r="DL451" s="98"/>
      <c r="DM451" s="98"/>
      <c r="DN451" s="98"/>
      <c r="DO451" s="98"/>
      <c r="DP451" s="98"/>
      <c r="DQ451" s="98"/>
      <c r="DR451" s="98"/>
      <c r="DS451" s="98"/>
      <c r="DT451" s="98"/>
      <c r="DU451" s="98"/>
      <c r="DV451" s="98"/>
      <c r="DW451" s="98"/>
      <c r="DX451" s="98"/>
      <c r="DY451" s="98"/>
      <c r="DZ451" s="98"/>
      <c r="EA451" s="98"/>
      <c r="EB451" s="98"/>
      <c r="EC451" s="98"/>
      <c r="ED451" s="98"/>
    </row>
    <row r="452" spans="1:134" ht="11.25" customHeight="1" x14ac:dyDescent="0.3">
      <c r="A452" s="28" t="e">
        <f t="array" aca="1" ref="A452" ca="1">_xludf.XLOOKUP(S452,Master_Registrations!P:P,Master_Registrations!A:A,"")</f>
        <v>#NAME?</v>
      </c>
      <c r="B452" s="89" t="s">
        <v>182</v>
      </c>
      <c r="C452" s="89">
        <v>2022</v>
      </c>
      <c r="D452" s="89" t="s">
        <v>184</v>
      </c>
      <c r="E452" s="89">
        <v>2</v>
      </c>
      <c r="F452" s="90" t="str">
        <f t="shared" si="6"/>
        <v>VED-01-2022-BR-2</v>
      </c>
      <c r="G452" s="89" t="s">
        <v>4569</v>
      </c>
      <c r="H452" s="90" t="s">
        <v>7096</v>
      </c>
      <c r="I452" s="90"/>
      <c r="J452" s="89" t="s">
        <v>7094</v>
      </c>
      <c r="K452" s="91"/>
      <c r="L452" s="92"/>
      <c r="M452" s="92"/>
      <c r="N452" s="90" t="s">
        <v>7095</v>
      </c>
      <c r="O452" s="89" t="s">
        <v>5491</v>
      </c>
      <c r="P452" s="141" t="s">
        <v>5495</v>
      </c>
      <c r="Q452" s="89" t="e">
        <f t="shared" ca="1" si="7"/>
        <v>#NAME?</v>
      </c>
      <c r="R452" s="39" t="s">
        <v>112</v>
      </c>
      <c r="S452" s="89">
        <v>9886055524</v>
      </c>
      <c r="T452" s="90" t="s">
        <v>111</v>
      </c>
      <c r="U452" s="89">
        <v>2013</v>
      </c>
      <c r="V452" s="99">
        <v>1</v>
      </c>
      <c r="W452" s="95">
        <v>-1</v>
      </c>
      <c r="X452" s="96">
        <v>-1</v>
      </c>
      <c r="Y452" s="97">
        <v>-1</v>
      </c>
      <c r="Z452" s="97">
        <v>1</v>
      </c>
      <c r="AA452" s="97">
        <v>-1</v>
      </c>
      <c r="AB452" s="97">
        <v>-1</v>
      </c>
      <c r="AC452" s="95">
        <v>-1</v>
      </c>
      <c r="AD452" s="95">
        <v>-1</v>
      </c>
      <c r="AE452" s="97">
        <v>1</v>
      </c>
      <c r="AF452" s="97">
        <v>1</v>
      </c>
      <c r="AG452" s="97">
        <v>1</v>
      </c>
      <c r="AH452" s="97">
        <v>1</v>
      </c>
      <c r="AI452" s="96">
        <v>-1</v>
      </c>
      <c r="AJ452" s="89"/>
      <c r="AK452" s="89"/>
      <c r="AL452" s="89"/>
      <c r="AM452" s="89"/>
      <c r="AN452" s="89"/>
      <c r="AO452" s="89"/>
      <c r="AP452" s="89"/>
      <c r="AQ452" s="89"/>
      <c r="AR452" s="89"/>
      <c r="AS452" s="89"/>
      <c r="AT452" s="89"/>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c r="BQ452" s="89"/>
      <c r="BR452" s="89"/>
      <c r="BS452" s="89"/>
      <c r="BT452" s="89"/>
      <c r="BU452" s="89"/>
      <c r="BV452" s="89"/>
      <c r="BW452" s="89"/>
      <c r="BX452" s="89"/>
      <c r="BY452" s="89"/>
      <c r="BZ452" s="89"/>
      <c r="CA452" s="89"/>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98"/>
      <c r="DA452" s="98"/>
      <c r="DB452" s="98"/>
      <c r="DC452" s="98"/>
      <c r="DD452" s="98"/>
      <c r="DE452" s="98"/>
      <c r="DF452" s="98"/>
      <c r="DG452" s="98"/>
      <c r="DH452" s="98"/>
      <c r="DI452" s="98"/>
      <c r="DJ452" s="98"/>
      <c r="DK452" s="98"/>
      <c r="DL452" s="98"/>
      <c r="DM452" s="98"/>
      <c r="DN452" s="98"/>
      <c r="DO452" s="98"/>
      <c r="DP452" s="98"/>
      <c r="DQ452" s="98"/>
      <c r="DR452" s="98"/>
      <c r="DS452" s="98"/>
      <c r="DT452" s="98"/>
      <c r="DU452" s="98"/>
      <c r="DV452" s="98"/>
      <c r="DW452" s="98"/>
      <c r="DX452" s="98"/>
      <c r="DY452" s="98"/>
      <c r="DZ452" s="98"/>
      <c r="EA452" s="98"/>
      <c r="EB452" s="98"/>
      <c r="EC452" s="98"/>
      <c r="ED452" s="98"/>
    </row>
    <row r="453" spans="1:134" ht="11.25" customHeight="1" x14ac:dyDescent="0.3">
      <c r="A453" s="28" t="e">
        <f t="array" aca="1" ref="A453" ca="1">_xludf.XLOOKUP(S453,Master_Registrations!P:P,Master_Registrations!A:A,"")</f>
        <v>#NAME?</v>
      </c>
      <c r="B453" s="89" t="s">
        <v>182</v>
      </c>
      <c r="C453" s="89">
        <v>2022</v>
      </c>
      <c r="D453" s="89" t="s">
        <v>184</v>
      </c>
      <c r="E453" s="89">
        <v>2</v>
      </c>
      <c r="F453" s="90" t="str">
        <f t="shared" si="6"/>
        <v>VED-01-2022-BR-2</v>
      </c>
      <c r="G453" s="89" t="s">
        <v>4569</v>
      </c>
      <c r="H453" s="90" t="s">
        <v>7096</v>
      </c>
      <c r="I453" s="90"/>
      <c r="J453" s="89" t="s">
        <v>7094</v>
      </c>
      <c r="K453" s="91"/>
      <c r="L453" s="93"/>
      <c r="M453" s="92"/>
      <c r="N453" s="90" t="s">
        <v>7095</v>
      </c>
      <c r="O453" s="89" t="s">
        <v>5060</v>
      </c>
      <c r="P453" s="89" t="s">
        <v>5243</v>
      </c>
      <c r="Q453" s="89" t="e">
        <f t="shared" ca="1" si="7"/>
        <v>#NAME?</v>
      </c>
      <c r="R453" s="39" t="s">
        <v>112</v>
      </c>
      <c r="S453" s="94">
        <v>9000969622</v>
      </c>
      <c r="T453" s="90" t="s">
        <v>111</v>
      </c>
      <c r="U453" s="94">
        <v>2012</v>
      </c>
      <c r="V453" s="99">
        <v>1</v>
      </c>
      <c r="W453" s="95">
        <v>-1</v>
      </c>
      <c r="X453" s="97">
        <v>1</v>
      </c>
      <c r="Y453" s="97">
        <v>1</v>
      </c>
      <c r="Z453" s="97">
        <v>1</v>
      </c>
      <c r="AA453" s="97">
        <v>-1</v>
      </c>
      <c r="AB453" s="97">
        <v>-1</v>
      </c>
      <c r="AC453" s="95">
        <v>-1</v>
      </c>
      <c r="AD453" s="95">
        <v>-1</v>
      </c>
      <c r="AE453" s="99">
        <v>1</v>
      </c>
      <c r="AF453" s="99">
        <v>1</v>
      </c>
      <c r="AG453" s="99">
        <v>1</v>
      </c>
      <c r="AH453" s="99">
        <v>-1</v>
      </c>
      <c r="AI453" s="96">
        <v>-1</v>
      </c>
      <c r="AJ453" s="89"/>
      <c r="AK453" s="89"/>
      <c r="AL453" s="89"/>
      <c r="AM453" s="89"/>
      <c r="AN453" s="89"/>
      <c r="AO453" s="89"/>
      <c r="AP453" s="89"/>
      <c r="AQ453" s="89"/>
      <c r="AR453" s="89"/>
      <c r="AS453" s="89"/>
      <c r="AT453" s="89"/>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c r="BQ453" s="89"/>
      <c r="BR453" s="89"/>
      <c r="BS453" s="89"/>
      <c r="BT453" s="89"/>
      <c r="BU453" s="89"/>
      <c r="BV453" s="89"/>
      <c r="BW453" s="89"/>
      <c r="BX453" s="89"/>
      <c r="BY453" s="89"/>
      <c r="BZ453" s="89"/>
      <c r="CA453" s="89"/>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98"/>
      <c r="DA453" s="98"/>
      <c r="DB453" s="98"/>
      <c r="DC453" s="98"/>
      <c r="DD453" s="98"/>
      <c r="DE453" s="98"/>
      <c r="DF453" s="98"/>
      <c r="DG453" s="98"/>
      <c r="DH453" s="98"/>
      <c r="DI453" s="98"/>
      <c r="DJ453" s="98"/>
      <c r="DK453" s="98"/>
      <c r="DL453" s="98"/>
      <c r="DM453" s="98"/>
      <c r="DN453" s="98"/>
      <c r="DO453" s="98"/>
      <c r="DP453" s="98"/>
      <c r="DQ453" s="98"/>
      <c r="DR453" s="98"/>
      <c r="DS453" s="98"/>
      <c r="DT453" s="98"/>
      <c r="DU453" s="98"/>
      <c r="DV453" s="98"/>
      <c r="DW453" s="98"/>
      <c r="DX453" s="98"/>
      <c r="DY453" s="98"/>
      <c r="DZ453" s="98"/>
      <c r="EA453" s="98"/>
      <c r="EB453" s="98"/>
      <c r="EC453" s="98"/>
      <c r="ED453" s="98"/>
    </row>
    <row r="454" spans="1:134" ht="11.25" customHeight="1" x14ac:dyDescent="0.3">
      <c r="A454" s="28" t="e">
        <f t="array" aca="1" ref="A454" ca="1">_xludf.XLOOKUP(S454,Master_Registrations!P:P,Master_Registrations!A:A,"")</f>
        <v>#NAME?</v>
      </c>
      <c r="B454" s="89" t="s">
        <v>182</v>
      </c>
      <c r="C454" s="89">
        <v>2022</v>
      </c>
      <c r="D454" s="89" t="s">
        <v>184</v>
      </c>
      <c r="E454" s="89">
        <v>2</v>
      </c>
      <c r="F454" s="90" t="str">
        <f t="shared" si="6"/>
        <v>VED-01-2022-BR-2</v>
      </c>
      <c r="G454" s="89" t="s">
        <v>4569</v>
      </c>
      <c r="H454" s="90" t="s">
        <v>7096</v>
      </c>
      <c r="I454" s="90"/>
      <c r="J454" s="89" t="s">
        <v>7094</v>
      </c>
      <c r="K454" s="91"/>
      <c r="L454" s="92"/>
      <c r="M454" s="101"/>
      <c r="N454" s="90" t="s">
        <v>7095</v>
      </c>
      <c r="O454" s="89" t="s">
        <v>313</v>
      </c>
      <c r="P454" s="89" t="s">
        <v>5478</v>
      </c>
      <c r="Q454" s="89" t="e">
        <f t="shared" ca="1" si="7"/>
        <v>#NAME?</v>
      </c>
      <c r="R454" s="39" t="s">
        <v>112</v>
      </c>
      <c r="S454" s="89">
        <v>8790882674</v>
      </c>
      <c r="T454" s="90" t="s">
        <v>111</v>
      </c>
      <c r="U454" s="89">
        <v>2008</v>
      </c>
      <c r="V454" s="99">
        <v>1</v>
      </c>
      <c r="W454" s="95">
        <v>-1</v>
      </c>
      <c r="X454" s="96">
        <v>-1</v>
      </c>
      <c r="Y454" s="96">
        <v>-1</v>
      </c>
      <c r="Z454" s="96">
        <v>-1</v>
      </c>
      <c r="AA454" s="96">
        <v>-1</v>
      </c>
      <c r="AB454" s="96">
        <v>-1</v>
      </c>
      <c r="AC454" s="95">
        <v>-1</v>
      </c>
      <c r="AD454" s="95">
        <v>-1</v>
      </c>
      <c r="AE454" s="97">
        <v>1</v>
      </c>
      <c r="AF454" s="97">
        <v>1</v>
      </c>
      <c r="AG454" s="97">
        <v>1</v>
      </c>
      <c r="AH454" s="97">
        <v>1</v>
      </c>
      <c r="AI454" s="96">
        <v>-1</v>
      </c>
      <c r="AJ454" s="89"/>
      <c r="AK454" s="89"/>
      <c r="AL454" s="89"/>
      <c r="AM454" s="89"/>
      <c r="AN454" s="89"/>
      <c r="AO454" s="89"/>
      <c r="AP454" s="89"/>
      <c r="AQ454" s="89"/>
      <c r="AR454" s="89"/>
      <c r="AS454" s="89"/>
      <c r="AT454" s="89"/>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c r="BQ454" s="89"/>
      <c r="BR454" s="89"/>
      <c r="BS454" s="89"/>
      <c r="BT454" s="89"/>
      <c r="BU454" s="89"/>
      <c r="BV454" s="89"/>
      <c r="BW454" s="89"/>
      <c r="BX454" s="89"/>
      <c r="BY454" s="89"/>
      <c r="BZ454" s="89"/>
      <c r="CA454" s="89"/>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98"/>
      <c r="DA454" s="98"/>
      <c r="DB454" s="98"/>
      <c r="DC454" s="98"/>
      <c r="DD454" s="98"/>
      <c r="DE454" s="98"/>
      <c r="DF454" s="98"/>
      <c r="DG454" s="98"/>
      <c r="DH454" s="98"/>
      <c r="DI454" s="98"/>
      <c r="DJ454" s="98"/>
      <c r="DK454" s="98"/>
      <c r="DL454" s="98"/>
      <c r="DM454" s="98"/>
      <c r="DN454" s="98"/>
      <c r="DO454" s="98"/>
      <c r="DP454" s="98"/>
      <c r="DQ454" s="98"/>
      <c r="DR454" s="98"/>
      <c r="DS454" s="98"/>
      <c r="DT454" s="98"/>
      <c r="DU454" s="98"/>
      <c r="DV454" s="98"/>
      <c r="DW454" s="98"/>
      <c r="DX454" s="98"/>
      <c r="DY454" s="98"/>
      <c r="DZ454" s="98"/>
      <c r="EA454" s="98"/>
      <c r="EB454" s="98"/>
      <c r="EC454" s="98"/>
      <c r="ED454" s="98"/>
    </row>
    <row r="455" spans="1:134" ht="11.25" customHeight="1" x14ac:dyDescent="0.3">
      <c r="A455" s="28" t="e">
        <f t="array" aca="1" ref="A455" ca="1">_xludf.XLOOKUP(S455,Master_Registrations!P:P,Master_Registrations!A:A,"")</f>
        <v>#NAME?</v>
      </c>
      <c r="B455" s="89" t="s">
        <v>182</v>
      </c>
      <c r="C455" s="89">
        <v>2022</v>
      </c>
      <c r="D455" s="89" t="s">
        <v>4886</v>
      </c>
      <c r="E455" s="89">
        <v>1</v>
      </c>
      <c r="F455" s="90" t="str">
        <f t="shared" si="6"/>
        <v>VED-01-2022-GR-1</v>
      </c>
      <c r="G455" s="90" t="s">
        <v>7073</v>
      </c>
      <c r="H455" s="90" t="s">
        <v>7097</v>
      </c>
      <c r="I455" s="90"/>
      <c r="J455" s="89" t="s">
        <v>7094</v>
      </c>
      <c r="K455" s="93"/>
      <c r="L455" s="93"/>
      <c r="M455" s="93"/>
      <c r="N455" s="90" t="s">
        <v>7095</v>
      </c>
      <c r="O455" s="89" t="s">
        <v>5413</v>
      </c>
      <c r="P455" s="89" t="s">
        <v>2485</v>
      </c>
      <c r="Q455" s="89" t="e">
        <f t="shared" ca="1" si="7"/>
        <v>#NAME?</v>
      </c>
      <c r="R455" s="39" t="s">
        <v>112</v>
      </c>
      <c r="S455" s="94">
        <v>9866124050</v>
      </c>
      <c r="T455" s="90" t="s">
        <v>111</v>
      </c>
      <c r="U455" s="90">
        <v>1974</v>
      </c>
      <c r="V455" s="97">
        <v>2</v>
      </c>
      <c r="W455" s="97">
        <v>2</v>
      </c>
      <c r="X455" s="97">
        <v>2</v>
      </c>
      <c r="Y455" s="97">
        <v>2</v>
      </c>
      <c r="Z455" s="97">
        <v>2</v>
      </c>
      <c r="AA455" s="97">
        <v>2</v>
      </c>
      <c r="AB455" s="97">
        <v>2</v>
      </c>
      <c r="AC455" s="96">
        <v>-1</v>
      </c>
      <c r="AD455" s="96">
        <v>-1</v>
      </c>
      <c r="AE455" s="97">
        <v>2</v>
      </c>
      <c r="AF455" s="97">
        <v>2</v>
      </c>
      <c r="AG455" s="97">
        <v>2</v>
      </c>
      <c r="AH455" s="97">
        <v>2</v>
      </c>
      <c r="AI455" s="96">
        <v>-1</v>
      </c>
      <c r="AJ455" s="97">
        <v>2</v>
      </c>
      <c r="AK455" s="97">
        <v>2</v>
      </c>
      <c r="AL455" s="97">
        <v>2</v>
      </c>
      <c r="AM455" s="97">
        <v>2</v>
      </c>
      <c r="AN455" s="97">
        <v>2</v>
      </c>
      <c r="AO455" s="97">
        <v>2</v>
      </c>
      <c r="AP455" s="95">
        <v>-1</v>
      </c>
      <c r="AQ455" s="95">
        <v>-1</v>
      </c>
      <c r="AR455" s="97">
        <v>2</v>
      </c>
      <c r="AS455" s="95">
        <v>-1</v>
      </c>
      <c r="AT455" s="97">
        <v>2</v>
      </c>
      <c r="AU455" s="97">
        <v>2</v>
      </c>
      <c r="AV455" s="95">
        <v>-1</v>
      </c>
      <c r="AW455" s="97">
        <v>2</v>
      </c>
      <c r="AX455" s="95">
        <v>-1</v>
      </c>
      <c r="AY455" s="96">
        <v>-1</v>
      </c>
      <c r="AZ455" s="96">
        <v>-1</v>
      </c>
      <c r="BA455" s="97">
        <v>1</v>
      </c>
      <c r="BB455" s="97">
        <v>1</v>
      </c>
      <c r="BC455" s="97">
        <v>2</v>
      </c>
      <c r="BD455" s="97">
        <v>2</v>
      </c>
      <c r="BE455" s="97">
        <v>2</v>
      </c>
      <c r="BF455" s="96">
        <v>-1</v>
      </c>
      <c r="BG455" s="99">
        <v>1</v>
      </c>
      <c r="BH455" s="99">
        <v>1</v>
      </c>
      <c r="BI455" s="97">
        <v>1</v>
      </c>
      <c r="BJ455" s="97">
        <v>1</v>
      </c>
      <c r="BK455" s="97">
        <v>1</v>
      </c>
      <c r="BL455" s="97">
        <v>1</v>
      </c>
      <c r="BM455" s="96">
        <v>-1</v>
      </c>
      <c r="BN455" s="89"/>
      <c r="BO455" s="89"/>
      <c r="BP455" s="89"/>
      <c r="BQ455" s="89"/>
      <c r="BR455" s="89"/>
      <c r="BS455" s="89"/>
      <c r="BT455" s="89"/>
      <c r="BU455" s="89"/>
      <c r="BV455" s="89"/>
      <c r="BW455" s="89"/>
      <c r="BX455" s="89"/>
      <c r="BY455" s="89"/>
      <c r="BZ455" s="89"/>
      <c r="CA455" s="89"/>
      <c r="CB455" s="89"/>
      <c r="CC455" s="89"/>
      <c r="CD455" s="89"/>
      <c r="CE455" s="89"/>
      <c r="CF455" s="89"/>
      <c r="CG455" s="89"/>
      <c r="CH455" s="89"/>
      <c r="CI455" s="89"/>
      <c r="CJ455" s="89"/>
      <c r="CK455" s="89"/>
      <c r="CL455" s="89"/>
      <c r="CM455" s="89"/>
      <c r="CN455" s="106">
        <v>-1</v>
      </c>
      <c r="CO455" s="106">
        <v>-1</v>
      </c>
      <c r="CP455" s="106">
        <v>-1</v>
      </c>
      <c r="CQ455" s="106">
        <v>-1</v>
      </c>
      <c r="CR455" s="106">
        <v>-1</v>
      </c>
      <c r="CS455" s="106">
        <v>-1</v>
      </c>
      <c r="CT455" s="106">
        <v>-1</v>
      </c>
      <c r="CU455" s="106">
        <v>-1</v>
      </c>
      <c r="CV455" s="106">
        <v>-1</v>
      </c>
      <c r="CW455" s="106">
        <v>-1</v>
      </c>
      <c r="CX455" s="106">
        <v>-1</v>
      </c>
      <c r="CY455" s="106">
        <v>-1</v>
      </c>
      <c r="CZ455" s="98"/>
      <c r="DA455" s="98"/>
      <c r="DB455" s="98"/>
      <c r="DC455" s="98"/>
      <c r="DD455" s="98"/>
      <c r="DE455" s="98"/>
      <c r="DF455" s="98"/>
      <c r="DG455" s="98"/>
      <c r="DH455" s="98"/>
      <c r="DI455" s="98"/>
      <c r="DJ455" s="98"/>
      <c r="DK455" s="98"/>
      <c r="DL455" s="98"/>
      <c r="DM455" s="98"/>
      <c r="DN455" s="98"/>
      <c r="DO455" s="98"/>
      <c r="DP455" s="98"/>
      <c r="DQ455" s="98"/>
      <c r="DR455" s="98"/>
      <c r="DS455" s="98"/>
      <c r="DT455" s="98"/>
      <c r="DU455" s="98"/>
      <c r="DV455" s="98"/>
      <c r="DW455" s="98"/>
      <c r="DX455" s="98"/>
      <c r="DY455" s="98"/>
      <c r="DZ455" s="98"/>
      <c r="EA455" s="98"/>
      <c r="EB455" s="98"/>
      <c r="EC455" s="98"/>
      <c r="ED455" s="98"/>
    </row>
    <row r="456" spans="1:134" ht="11.25" customHeight="1" x14ac:dyDescent="0.3">
      <c r="A456" s="28" t="e">
        <f t="array" aca="1" ref="A456" ca="1">_xludf.XLOOKUP(S456,Master_Registrations!P:P,Master_Registrations!A:A,"")</f>
        <v>#NAME?</v>
      </c>
      <c r="B456" s="89" t="s">
        <v>182</v>
      </c>
      <c r="C456" s="89">
        <v>2022</v>
      </c>
      <c r="D456" s="89" t="s">
        <v>4886</v>
      </c>
      <c r="E456" s="89">
        <v>1</v>
      </c>
      <c r="F456" s="90" t="str">
        <f t="shared" si="6"/>
        <v>VED-01-2022-GR-1</v>
      </c>
      <c r="G456" s="90" t="s">
        <v>7073</v>
      </c>
      <c r="H456" s="90" t="s">
        <v>7097</v>
      </c>
      <c r="I456" s="90"/>
      <c r="J456" s="89" t="s">
        <v>7094</v>
      </c>
      <c r="K456" s="93"/>
      <c r="L456" s="102"/>
      <c r="M456" s="93"/>
      <c r="N456" s="90" t="s">
        <v>7095</v>
      </c>
      <c r="O456" s="89" t="s">
        <v>3200</v>
      </c>
      <c r="P456" s="89" t="s">
        <v>5127</v>
      </c>
      <c r="Q456" s="89" t="e">
        <f t="shared" ca="1" si="7"/>
        <v>#NAME?</v>
      </c>
      <c r="R456" s="39" t="s">
        <v>112</v>
      </c>
      <c r="S456" s="94">
        <v>9902365460</v>
      </c>
      <c r="T456" s="90" t="s">
        <v>111</v>
      </c>
      <c r="U456" s="90">
        <v>1988</v>
      </c>
      <c r="V456" s="97">
        <v>1</v>
      </c>
      <c r="W456" s="97">
        <v>1</v>
      </c>
      <c r="X456" s="97">
        <v>1</v>
      </c>
      <c r="Y456" s="97">
        <v>1</v>
      </c>
      <c r="Z456" s="97">
        <v>1</v>
      </c>
      <c r="AA456" s="97">
        <v>1</v>
      </c>
      <c r="AB456" s="97">
        <v>1</v>
      </c>
      <c r="AC456" s="96">
        <v>-1</v>
      </c>
      <c r="AD456" s="96">
        <v>-1</v>
      </c>
      <c r="AE456" s="97">
        <v>1</v>
      </c>
      <c r="AF456" s="97">
        <v>1</v>
      </c>
      <c r="AG456" s="97">
        <v>1</v>
      </c>
      <c r="AH456" s="97">
        <v>1</v>
      </c>
      <c r="AI456" s="96">
        <v>-1</v>
      </c>
      <c r="AJ456" s="97">
        <v>1</v>
      </c>
      <c r="AK456" s="97">
        <v>1</v>
      </c>
      <c r="AL456" s="97">
        <v>1</v>
      </c>
      <c r="AM456" s="97">
        <v>1</v>
      </c>
      <c r="AN456" s="97">
        <v>1</v>
      </c>
      <c r="AO456" s="97">
        <v>1</v>
      </c>
      <c r="AP456" s="95">
        <v>-1</v>
      </c>
      <c r="AQ456" s="95">
        <v>-1</v>
      </c>
      <c r="AR456" s="97">
        <v>1</v>
      </c>
      <c r="AS456" s="95">
        <v>-1</v>
      </c>
      <c r="AT456" s="97">
        <v>1</v>
      </c>
      <c r="AU456" s="99">
        <v>1</v>
      </c>
      <c r="AV456" s="95">
        <v>-1</v>
      </c>
      <c r="AW456" s="97">
        <v>1</v>
      </c>
      <c r="AX456" s="95">
        <v>-1</v>
      </c>
      <c r="AY456" s="96">
        <v>-1</v>
      </c>
      <c r="AZ456" s="96">
        <v>-1</v>
      </c>
      <c r="BA456" s="96">
        <v>-1</v>
      </c>
      <c r="BB456" s="96">
        <v>-1</v>
      </c>
      <c r="BC456" s="97">
        <v>1</v>
      </c>
      <c r="BD456" s="97">
        <v>1</v>
      </c>
      <c r="BE456" s="97">
        <v>1</v>
      </c>
      <c r="BF456" s="96">
        <v>-1</v>
      </c>
      <c r="BG456" s="96">
        <v>-1</v>
      </c>
      <c r="BH456" s="96">
        <v>-1</v>
      </c>
      <c r="BI456" s="96">
        <v>-1</v>
      </c>
      <c r="BJ456" s="96">
        <v>-1</v>
      </c>
      <c r="BK456" s="96">
        <v>-1</v>
      </c>
      <c r="BL456" s="96">
        <v>-1</v>
      </c>
      <c r="BM456" s="96">
        <v>-1</v>
      </c>
      <c r="BN456" s="89"/>
      <c r="BO456" s="89"/>
      <c r="BP456" s="89"/>
      <c r="BQ456" s="89"/>
      <c r="BR456" s="89"/>
      <c r="BS456" s="89"/>
      <c r="BT456" s="89"/>
      <c r="BU456" s="89"/>
      <c r="BV456" s="89"/>
      <c r="BW456" s="89"/>
      <c r="BX456" s="89"/>
      <c r="BY456" s="89"/>
      <c r="BZ456" s="89"/>
      <c r="CA456" s="89"/>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98"/>
      <c r="DA456" s="98"/>
      <c r="DB456" s="98"/>
      <c r="DC456" s="98"/>
      <c r="DD456" s="98"/>
      <c r="DE456" s="98"/>
      <c r="DF456" s="98"/>
      <c r="DG456" s="98"/>
      <c r="DH456" s="98"/>
      <c r="DI456" s="98"/>
      <c r="DJ456" s="98"/>
      <c r="DK456" s="98"/>
      <c r="DL456" s="98"/>
      <c r="DM456" s="98"/>
      <c r="DN456" s="98"/>
      <c r="DO456" s="98"/>
      <c r="DP456" s="98"/>
      <c r="DQ456" s="98"/>
      <c r="DR456" s="98"/>
      <c r="DS456" s="98"/>
      <c r="DT456" s="98"/>
      <c r="DU456" s="98"/>
      <c r="DV456" s="98"/>
      <c r="DW456" s="98"/>
      <c r="DX456" s="98"/>
      <c r="DY456" s="98"/>
      <c r="DZ456" s="98"/>
      <c r="EA456" s="98"/>
      <c r="EB456" s="98"/>
      <c r="EC456" s="98"/>
      <c r="ED456" s="98"/>
    </row>
    <row r="457" spans="1:134" ht="11.25" customHeight="1" x14ac:dyDescent="0.3">
      <c r="A457" s="28" t="e">
        <f t="array" aca="1" ref="A457" ca="1">_xludf.XLOOKUP(S457,Master_Registrations!P:P,Master_Registrations!A:A,"")</f>
        <v>#NAME?</v>
      </c>
      <c r="B457" s="89" t="s">
        <v>182</v>
      </c>
      <c r="C457" s="89">
        <v>2022</v>
      </c>
      <c r="D457" s="89" t="s">
        <v>4886</v>
      </c>
      <c r="E457" s="89">
        <v>1</v>
      </c>
      <c r="F457" s="90" t="str">
        <f t="shared" si="6"/>
        <v>VED-01-2022-GR-1</v>
      </c>
      <c r="G457" s="90" t="s">
        <v>7073</v>
      </c>
      <c r="H457" s="90" t="s">
        <v>7097</v>
      </c>
      <c r="I457" s="90"/>
      <c r="J457" s="89" t="s">
        <v>7094</v>
      </c>
      <c r="K457" s="93"/>
      <c r="L457" s="93"/>
      <c r="M457" s="93"/>
      <c r="N457" s="90" t="s">
        <v>7095</v>
      </c>
      <c r="O457" s="89" t="s">
        <v>5150</v>
      </c>
      <c r="P457" s="89" t="s">
        <v>2820</v>
      </c>
      <c r="Q457" s="89" t="e">
        <f t="shared" ca="1" si="7"/>
        <v>#NAME?</v>
      </c>
      <c r="R457" s="39" t="s">
        <v>112</v>
      </c>
      <c r="S457" s="94">
        <v>8374329155</v>
      </c>
      <c r="T457" s="90" t="s">
        <v>111</v>
      </c>
      <c r="U457" s="90">
        <v>1982</v>
      </c>
      <c r="V457" s="97">
        <v>1</v>
      </c>
      <c r="W457" s="97">
        <v>1</v>
      </c>
      <c r="X457" s="97">
        <v>1</v>
      </c>
      <c r="Y457" s="97">
        <v>1</v>
      </c>
      <c r="Z457" s="97">
        <v>1</v>
      </c>
      <c r="AA457" s="97">
        <v>1</v>
      </c>
      <c r="AB457" s="97">
        <v>1</v>
      </c>
      <c r="AC457" s="95">
        <v>-1</v>
      </c>
      <c r="AD457" s="95">
        <v>-1</v>
      </c>
      <c r="AE457" s="99">
        <v>1</v>
      </c>
      <c r="AF457" s="99">
        <v>1</v>
      </c>
      <c r="AG457" s="99">
        <v>1</v>
      </c>
      <c r="AH457" s="99">
        <v>1</v>
      </c>
      <c r="AI457" s="96">
        <v>-1</v>
      </c>
      <c r="AJ457" s="97">
        <v>1</v>
      </c>
      <c r="AK457" s="97">
        <v>1</v>
      </c>
      <c r="AL457" s="97">
        <v>1</v>
      </c>
      <c r="AM457" s="97">
        <v>1</v>
      </c>
      <c r="AN457" s="97">
        <v>1</v>
      </c>
      <c r="AO457" s="97">
        <v>1</v>
      </c>
      <c r="AP457" s="95">
        <v>-1</v>
      </c>
      <c r="AQ457" s="95">
        <v>-1</v>
      </c>
      <c r="AR457" s="97">
        <v>1</v>
      </c>
      <c r="AS457" s="95">
        <v>-1</v>
      </c>
      <c r="AT457" s="97">
        <v>1</v>
      </c>
      <c r="AU457" s="99">
        <v>1</v>
      </c>
      <c r="AV457" s="95">
        <v>-1</v>
      </c>
      <c r="AW457" s="99">
        <v>1</v>
      </c>
      <c r="AX457" s="95">
        <v>-1</v>
      </c>
      <c r="AY457" s="95">
        <v>-1</v>
      </c>
      <c r="AZ457" s="95">
        <v>-1</v>
      </c>
      <c r="BA457" s="95">
        <v>-1</v>
      </c>
      <c r="BB457" s="95">
        <v>-1</v>
      </c>
      <c r="BC457" s="99">
        <v>1</v>
      </c>
      <c r="BD457" s="99">
        <v>1</v>
      </c>
      <c r="BE457" s="99">
        <v>1</v>
      </c>
      <c r="BF457" s="96">
        <v>-1</v>
      </c>
      <c r="BG457" s="99">
        <v>1</v>
      </c>
      <c r="BH457" s="97">
        <v>1</v>
      </c>
      <c r="BI457" s="97">
        <v>1</v>
      </c>
      <c r="BJ457" s="97">
        <v>1</v>
      </c>
      <c r="BK457" s="97">
        <v>1</v>
      </c>
      <c r="BL457" s="97">
        <v>1</v>
      </c>
      <c r="BM457" s="96">
        <v>-1</v>
      </c>
      <c r="BN457" s="89"/>
      <c r="BO457" s="89"/>
      <c r="BP457" s="89"/>
      <c r="BQ457" s="89"/>
      <c r="BR457" s="89"/>
      <c r="BS457" s="89"/>
      <c r="BT457" s="89"/>
      <c r="BU457" s="89"/>
      <c r="BV457" s="89"/>
      <c r="BW457" s="89"/>
      <c r="BX457" s="89"/>
      <c r="BY457" s="89"/>
      <c r="BZ457" s="89"/>
      <c r="CA457" s="89"/>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98"/>
      <c r="DA457" s="98"/>
      <c r="DB457" s="98"/>
      <c r="DC457" s="98"/>
      <c r="DD457" s="98"/>
      <c r="DE457" s="98"/>
      <c r="DF457" s="98"/>
      <c r="DG457" s="98"/>
      <c r="DH457" s="98"/>
      <c r="DI457" s="98"/>
      <c r="DJ457" s="98"/>
      <c r="DK457" s="98"/>
      <c r="DL457" s="98"/>
      <c r="DM457" s="98"/>
      <c r="DN457" s="98"/>
      <c r="DO457" s="98"/>
      <c r="DP457" s="98"/>
      <c r="DQ457" s="98"/>
      <c r="DR457" s="98"/>
      <c r="DS457" s="98"/>
      <c r="DT457" s="98"/>
      <c r="DU457" s="98"/>
      <c r="DV457" s="98"/>
      <c r="DW457" s="98"/>
      <c r="DX457" s="98"/>
      <c r="DY457" s="98"/>
      <c r="DZ457" s="98"/>
      <c r="EA457" s="98"/>
      <c r="EB457" s="98"/>
      <c r="EC457" s="98"/>
      <c r="ED457" s="98"/>
    </row>
    <row r="458" spans="1:134" ht="11.25" customHeight="1" x14ac:dyDescent="0.3">
      <c r="A458" s="28" t="e">
        <f t="array" aca="1" ref="A458" ca="1">_xludf.XLOOKUP(S458,Master_Registrations!P:P,Master_Registrations!A:A,"")</f>
        <v>#NAME?</v>
      </c>
      <c r="B458" s="89" t="s">
        <v>182</v>
      </c>
      <c r="C458" s="89">
        <v>2022</v>
      </c>
      <c r="D458" s="89" t="s">
        <v>4886</v>
      </c>
      <c r="E458" s="89">
        <v>1</v>
      </c>
      <c r="F458" s="90" t="str">
        <f t="shared" si="6"/>
        <v>VED-01-2022-GR-1</v>
      </c>
      <c r="G458" s="90" t="s">
        <v>7073</v>
      </c>
      <c r="H458" s="90" t="s">
        <v>7097</v>
      </c>
      <c r="I458" s="90"/>
      <c r="J458" s="89" t="s">
        <v>7094</v>
      </c>
      <c r="K458" s="93"/>
      <c r="L458" s="102"/>
      <c r="M458" s="93"/>
      <c r="N458" s="90" t="s">
        <v>7095</v>
      </c>
      <c r="O458" s="89" t="s">
        <v>5060</v>
      </c>
      <c r="P458" s="89" t="s">
        <v>5239</v>
      </c>
      <c r="Q458" s="89" t="e">
        <f t="shared" ca="1" si="7"/>
        <v>#NAME?</v>
      </c>
      <c r="R458" s="39" t="s">
        <v>112</v>
      </c>
      <c r="S458" s="94">
        <v>9481342903</v>
      </c>
      <c r="T458" s="90" t="s">
        <v>111</v>
      </c>
      <c r="U458" s="90">
        <v>1964</v>
      </c>
      <c r="V458" s="97">
        <v>1</v>
      </c>
      <c r="W458" s="97">
        <v>1</v>
      </c>
      <c r="X458" s="97">
        <v>2</v>
      </c>
      <c r="Y458" s="97">
        <v>2</v>
      </c>
      <c r="Z458" s="97">
        <v>2</v>
      </c>
      <c r="AA458" s="97">
        <v>2</v>
      </c>
      <c r="AB458" s="97">
        <v>2</v>
      </c>
      <c r="AC458" s="96">
        <v>-1</v>
      </c>
      <c r="AD458" s="96">
        <v>-1</v>
      </c>
      <c r="AE458" s="97">
        <v>2</v>
      </c>
      <c r="AF458" s="97">
        <v>2</v>
      </c>
      <c r="AG458" s="97">
        <v>2</v>
      </c>
      <c r="AH458" s="97">
        <v>2</v>
      </c>
      <c r="AI458" s="96">
        <v>-1</v>
      </c>
      <c r="AJ458" s="97">
        <v>2</v>
      </c>
      <c r="AK458" s="97">
        <v>2</v>
      </c>
      <c r="AL458" s="97">
        <v>2</v>
      </c>
      <c r="AM458" s="97">
        <v>2</v>
      </c>
      <c r="AN458" s="97">
        <v>2</v>
      </c>
      <c r="AO458" s="97">
        <v>2</v>
      </c>
      <c r="AP458" s="95">
        <v>-1</v>
      </c>
      <c r="AQ458" s="95">
        <v>-1</v>
      </c>
      <c r="AR458" s="97">
        <v>2</v>
      </c>
      <c r="AS458" s="95">
        <v>-1</v>
      </c>
      <c r="AT458" s="99">
        <v>2</v>
      </c>
      <c r="AU458" s="99">
        <v>2</v>
      </c>
      <c r="AV458" s="95">
        <v>-1</v>
      </c>
      <c r="AW458" s="97">
        <v>1</v>
      </c>
      <c r="AX458" s="95">
        <v>-1</v>
      </c>
      <c r="AY458" s="96">
        <v>-1</v>
      </c>
      <c r="AZ458" s="96">
        <v>-1</v>
      </c>
      <c r="BA458" s="96">
        <v>-1</v>
      </c>
      <c r="BB458" s="96">
        <v>-1</v>
      </c>
      <c r="BC458" s="97">
        <v>1</v>
      </c>
      <c r="BD458" s="97">
        <v>1</v>
      </c>
      <c r="BE458" s="97">
        <v>1</v>
      </c>
      <c r="BF458" s="96">
        <v>-1</v>
      </c>
      <c r="BG458" s="97">
        <v>1</v>
      </c>
      <c r="BH458" s="97">
        <v>1</v>
      </c>
      <c r="BI458" s="97">
        <v>1</v>
      </c>
      <c r="BJ458" s="97">
        <v>1</v>
      </c>
      <c r="BK458" s="97">
        <v>1</v>
      </c>
      <c r="BL458" s="97">
        <v>1</v>
      </c>
      <c r="BM458" s="96">
        <v>-1</v>
      </c>
      <c r="BN458" s="89"/>
      <c r="BO458" s="89"/>
      <c r="BP458" s="89"/>
      <c r="BQ458" s="89"/>
      <c r="BR458" s="89"/>
      <c r="BS458" s="89"/>
      <c r="BT458" s="89"/>
      <c r="BU458" s="89"/>
      <c r="BV458" s="89"/>
      <c r="BW458" s="89"/>
      <c r="BX458" s="89"/>
      <c r="BY458" s="89"/>
      <c r="BZ458" s="89"/>
      <c r="CA458" s="89"/>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98"/>
      <c r="DA458" s="98"/>
      <c r="DB458" s="98"/>
      <c r="DC458" s="98"/>
      <c r="DD458" s="98"/>
      <c r="DE458" s="98"/>
      <c r="DF458" s="98"/>
      <c r="DG458" s="98"/>
      <c r="DH458" s="98"/>
      <c r="DI458" s="98"/>
      <c r="DJ458" s="98"/>
      <c r="DK458" s="98"/>
      <c r="DL458" s="98"/>
      <c r="DM458" s="98"/>
      <c r="DN458" s="98"/>
      <c r="DO458" s="98"/>
      <c r="DP458" s="98"/>
      <c r="DQ458" s="98"/>
      <c r="DR458" s="98"/>
      <c r="DS458" s="98"/>
      <c r="DT458" s="98"/>
      <c r="DU458" s="98"/>
      <c r="DV458" s="98"/>
      <c r="DW458" s="98"/>
      <c r="DX458" s="98"/>
      <c r="DY458" s="98"/>
      <c r="DZ458" s="98"/>
      <c r="EA458" s="98"/>
      <c r="EB458" s="98"/>
      <c r="EC458" s="98"/>
      <c r="ED458" s="98"/>
    </row>
    <row r="459" spans="1:134" ht="11.25" customHeight="1" x14ac:dyDescent="0.3">
      <c r="A459" s="28" t="e">
        <f t="array" aca="1" ref="A459" ca="1">_xludf.XLOOKUP(S459,Master_Registrations!P:P,Master_Registrations!A:A,"")</f>
        <v>#NAME?</v>
      </c>
      <c r="B459" s="89" t="s">
        <v>182</v>
      </c>
      <c r="C459" s="89">
        <v>2022</v>
      </c>
      <c r="D459" s="89" t="s">
        <v>4886</v>
      </c>
      <c r="E459" s="89">
        <v>1</v>
      </c>
      <c r="F459" s="90" t="str">
        <f t="shared" si="6"/>
        <v>VED-01-2022-GR-1</v>
      </c>
      <c r="G459" s="90" t="s">
        <v>7073</v>
      </c>
      <c r="H459" s="90" t="s">
        <v>7097</v>
      </c>
      <c r="I459" s="90"/>
      <c r="J459" s="89" t="s">
        <v>7094</v>
      </c>
      <c r="K459" s="93"/>
      <c r="L459" s="102"/>
      <c r="M459" s="93"/>
      <c r="N459" s="90" t="s">
        <v>7095</v>
      </c>
      <c r="O459" s="89" t="s">
        <v>5266</v>
      </c>
      <c r="P459" s="89" t="s">
        <v>5267</v>
      </c>
      <c r="Q459" s="89" t="e">
        <f t="shared" ca="1" si="7"/>
        <v>#NAME?</v>
      </c>
      <c r="R459" s="39" t="s">
        <v>112</v>
      </c>
      <c r="S459" s="94">
        <v>9966667678</v>
      </c>
      <c r="T459" s="90" t="s">
        <v>111</v>
      </c>
      <c r="U459" s="90">
        <v>1988</v>
      </c>
      <c r="V459" s="97">
        <v>2</v>
      </c>
      <c r="W459" s="97">
        <v>2</v>
      </c>
      <c r="X459" s="97">
        <v>2</v>
      </c>
      <c r="Y459" s="97">
        <v>2</v>
      </c>
      <c r="Z459" s="97">
        <v>2</v>
      </c>
      <c r="AA459" s="97">
        <v>2</v>
      </c>
      <c r="AB459" s="99">
        <v>2</v>
      </c>
      <c r="AC459" s="96">
        <v>-1</v>
      </c>
      <c r="AD459" s="96">
        <v>-1</v>
      </c>
      <c r="AE459" s="97">
        <v>2</v>
      </c>
      <c r="AF459" s="97">
        <v>2</v>
      </c>
      <c r="AG459" s="97">
        <v>2</v>
      </c>
      <c r="AH459" s="97">
        <v>2</v>
      </c>
      <c r="AI459" s="96">
        <v>-1</v>
      </c>
      <c r="AJ459" s="99">
        <v>2</v>
      </c>
      <c r="AK459" s="99">
        <v>2</v>
      </c>
      <c r="AL459" s="99">
        <v>2</v>
      </c>
      <c r="AM459" s="99">
        <v>2</v>
      </c>
      <c r="AN459" s="99">
        <v>2</v>
      </c>
      <c r="AO459" s="99">
        <v>2</v>
      </c>
      <c r="AP459" s="95">
        <v>-1</v>
      </c>
      <c r="AQ459" s="95">
        <v>-1</v>
      </c>
      <c r="AR459" s="99">
        <v>2</v>
      </c>
      <c r="AS459" s="95">
        <v>-1</v>
      </c>
      <c r="AT459" s="97">
        <v>2</v>
      </c>
      <c r="AU459" s="99">
        <v>2</v>
      </c>
      <c r="AV459" s="95">
        <v>-1</v>
      </c>
      <c r="AW459" s="97">
        <v>2</v>
      </c>
      <c r="AX459" s="95">
        <v>-1</v>
      </c>
      <c r="AY459" s="95">
        <v>-1</v>
      </c>
      <c r="AZ459" s="95">
        <v>-1</v>
      </c>
      <c r="BA459" s="99">
        <v>2</v>
      </c>
      <c r="BB459" s="99">
        <v>2</v>
      </c>
      <c r="BC459" s="97">
        <v>2</v>
      </c>
      <c r="BD459" s="97">
        <v>2</v>
      </c>
      <c r="BE459" s="97">
        <v>2</v>
      </c>
      <c r="BF459" s="96">
        <v>-1</v>
      </c>
      <c r="BG459" s="99">
        <v>2</v>
      </c>
      <c r="BH459" s="97">
        <v>2</v>
      </c>
      <c r="BI459" s="97">
        <v>2</v>
      </c>
      <c r="BJ459" s="97">
        <v>2</v>
      </c>
      <c r="BK459" s="97">
        <v>2</v>
      </c>
      <c r="BL459" s="97">
        <v>2</v>
      </c>
      <c r="BM459" s="96">
        <v>-1</v>
      </c>
      <c r="BN459" s="89"/>
      <c r="BO459" s="89"/>
      <c r="BP459" s="89"/>
      <c r="BQ459" s="89"/>
      <c r="BR459" s="89"/>
      <c r="BS459" s="89"/>
      <c r="BT459" s="89"/>
      <c r="BU459" s="89"/>
      <c r="BV459" s="89"/>
      <c r="BW459" s="89"/>
      <c r="BX459" s="89"/>
      <c r="BY459" s="89"/>
      <c r="BZ459" s="89"/>
      <c r="CA459" s="89"/>
      <c r="CB459" s="89"/>
      <c r="CC459" s="89"/>
      <c r="CD459" s="89"/>
      <c r="CE459" s="89"/>
      <c r="CF459" s="89"/>
      <c r="CG459" s="89"/>
      <c r="CH459" s="89"/>
      <c r="CI459" s="89"/>
      <c r="CJ459" s="89"/>
      <c r="CK459" s="89"/>
      <c r="CL459" s="89"/>
      <c r="CM459" s="89"/>
      <c r="CN459" s="106">
        <v>-1</v>
      </c>
      <c r="CO459" s="106">
        <v>-1</v>
      </c>
      <c r="CP459" s="106">
        <v>-1</v>
      </c>
      <c r="CQ459" s="106">
        <v>-1</v>
      </c>
      <c r="CR459" s="106">
        <v>-1</v>
      </c>
      <c r="CS459" s="106">
        <v>-1</v>
      </c>
      <c r="CT459" s="106">
        <v>-1</v>
      </c>
      <c r="CU459" s="106">
        <v>-1</v>
      </c>
      <c r="CV459" s="106">
        <v>-1</v>
      </c>
      <c r="CW459" s="106">
        <v>-1</v>
      </c>
      <c r="CX459" s="106">
        <v>-1</v>
      </c>
      <c r="CY459" s="106">
        <v>-1</v>
      </c>
      <c r="CZ459" s="98"/>
      <c r="DA459" s="98"/>
      <c r="DB459" s="98"/>
      <c r="DC459" s="98"/>
      <c r="DD459" s="98"/>
      <c r="DE459" s="98"/>
      <c r="DF459" s="98"/>
      <c r="DG459" s="98"/>
      <c r="DH459" s="98"/>
      <c r="DI459" s="98"/>
      <c r="DJ459" s="98"/>
      <c r="DK459" s="98"/>
      <c r="DL459" s="98"/>
      <c r="DM459" s="98"/>
      <c r="DN459" s="98"/>
      <c r="DO459" s="98"/>
      <c r="DP459" s="98"/>
      <c r="DQ459" s="98"/>
      <c r="DR459" s="98"/>
      <c r="DS459" s="98"/>
      <c r="DT459" s="98"/>
      <c r="DU459" s="98"/>
      <c r="DV459" s="98"/>
      <c r="DW459" s="98"/>
      <c r="DX459" s="98"/>
      <c r="DY459" s="98"/>
      <c r="DZ459" s="98"/>
      <c r="EA459" s="98"/>
      <c r="EB459" s="98"/>
      <c r="EC459" s="98"/>
      <c r="ED459" s="98"/>
    </row>
    <row r="460" spans="1:134" ht="11.25" customHeight="1" x14ac:dyDescent="0.3">
      <c r="A460" s="28" t="e">
        <f t="array" aca="1" ref="A460" ca="1">_xludf.XLOOKUP(S460,Master_Registrations!P:P,Master_Registrations!A:A,"")</f>
        <v>#NAME?</v>
      </c>
      <c r="B460" s="89" t="s">
        <v>182</v>
      </c>
      <c r="C460" s="89">
        <v>2022</v>
      </c>
      <c r="D460" s="89" t="s">
        <v>4886</v>
      </c>
      <c r="E460" s="89">
        <v>1</v>
      </c>
      <c r="F460" s="90" t="str">
        <f t="shared" si="6"/>
        <v>VED-01-2022-GR-1</v>
      </c>
      <c r="G460" s="90" t="s">
        <v>7073</v>
      </c>
      <c r="H460" s="90" t="s">
        <v>7097</v>
      </c>
      <c r="I460" s="90"/>
      <c r="J460" s="89" t="s">
        <v>7094</v>
      </c>
      <c r="K460" s="101"/>
      <c r="L460" s="93"/>
      <c r="M460" s="101"/>
      <c r="N460" s="90" t="s">
        <v>7095</v>
      </c>
      <c r="O460" s="89" t="s">
        <v>4902</v>
      </c>
      <c r="P460" s="89" t="s">
        <v>5187</v>
      </c>
      <c r="Q460" s="89" t="e">
        <f t="shared" ca="1" si="7"/>
        <v>#NAME?</v>
      </c>
      <c r="R460" s="39" t="s">
        <v>112</v>
      </c>
      <c r="S460" s="94">
        <v>8500642543</v>
      </c>
      <c r="T460" s="90" t="s">
        <v>111</v>
      </c>
      <c r="U460" s="90">
        <v>1988</v>
      </c>
      <c r="V460" s="97">
        <v>1</v>
      </c>
      <c r="W460" s="97">
        <v>1</v>
      </c>
      <c r="X460" s="97">
        <v>1</v>
      </c>
      <c r="Y460" s="97">
        <v>1</v>
      </c>
      <c r="Z460" s="97">
        <v>1</v>
      </c>
      <c r="AA460" s="97">
        <v>1</v>
      </c>
      <c r="AB460" s="97">
        <v>1</v>
      </c>
      <c r="AC460" s="96">
        <v>-1</v>
      </c>
      <c r="AD460" s="96">
        <v>-1</v>
      </c>
      <c r="AE460" s="97">
        <v>1</v>
      </c>
      <c r="AF460" s="97">
        <v>1</v>
      </c>
      <c r="AG460" s="97">
        <v>1</v>
      </c>
      <c r="AH460" s="97">
        <v>1</v>
      </c>
      <c r="AI460" s="96">
        <v>-1</v>
      </c>
      <c r="AJ460" s="97">
        <v>1</v>
      </c>
      <c r="AK460" s="97">
        <v>1</v>
      </c>
      <c r="AL460" s="97">
        <v>1</v>
      </c>
      <c r="AM460" s="97">
        <v>1</v>
      </c>
      <c r="AN460" s="97">
        <v>1</v>
      </c>
      <c r="AO460" s="97">
        <v>1</v>
      </c>
      <c r="AP460" s="95">
        <v>-1</v>
      </c>
      <c r="AQ460" s="95">
        <v>-1</v>
      </c>
      <c r="AR460" s="97">
        <v>1</v>
      </c>
      <c r="AS460" s="95">
        <v>-1</v>
      </c>
      <c r="AT460" s="95">
        <v>-1</v>
      </c>
      <c r="AU460" s="99">
        <v>1</v>
      </c>
      <c r="AV460" s="95">
        <v>-1</v>
      </c>
      <c r="AW460" s="97">
        <v>1</v>
      </c>
      <c r="AX460" s="95">
        <v>-1</v>
      </c>
      <c r="AY460" s="96">
        <v>-1</v>
      </c>
      <c r="AZ460" s="96">
        <v>-1</v>
      </c>
      <c r="BA460" s="96">
        <v>-1</v>
      </c>
      <c r="BB460" s="96">
        <v>-1</v>
      </c>
      <c r="BC460" s="97">
        <v>1</v>
      </c>
      <c r="BD460" s="97">
        <v>1</v>
      </c>
      <c r="BE460" s="97">
        <v>1</v>
      </c>
      <c r="BF460" s="96">
        <v>-1</v>
      </c>
      <c r="BG460" s="97">
        <v>-1</v>
      </c>
      <c r="BH460" s="97">
        <v>-1</v>
      </c>
      <c r="BI460" s="97">
        <v>-1</v>
      </c>
      <c r="BJ460" s="97">
        <v>-1</v>
      </c>
      <c r="BK460" s="97">
        <v>-1</v>
      </c>
      <c r="BL460" s="97">
        <v>-1</v>
      </c>
      <c r="BM460" s="96">
        <v>-1</v>
      </c>
      <c r="BN460" s="89"/>
      <c r="BO460" s="89"/>
      <c r="BP460" s="89"/>
      <c r="BQ460" s="89"/>
      <c r="BR460" s="89"/>
      <c r="BS460" s="89"/>
      <c r="BT460" s="89"/>
      <c r="BU460" s="89"/>
      <c r="BV460" s="89"/>
      <c r="BW460" s="89"/>
      <c r="BX460" s="89"/>
      <c r="BY460" s="89"/>
      <c r="BZ460" s="89"/>
      <c r="CA460" s="89"/>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98"/>
      <c r="DA460" s="98"/>
      <c r="DB460" s="98"/>
      <c r="DC460" s="98"/>
      <c r="DD460" s="98"/>
      <c r="DE460" s="98"/>
      <c r="DF460" s="98"/>
      <c r="DG460" s="98"/>
      <c r="DH460" s="98"/>
      <c r="DI460" s="98"/>
      <c r="DJ460" s="98"/>
      <c r="DK460" s="98"/>
      <c r="DL460" s="98"/>
      <c r="DM460" s="98"/>
      <c r="DN460" s="98"/>
      <c r="DO460" s="98"/>
      <c r="DP460" s="98"/>
      <c r="DQ460" s="98"/>
      <c r="DR460" s="98"/>
      <c r="DS460" s="98"/>
      <c r="DT460" s="98"/>
      <c r="DU460" s="98"/>
      <c r="DV460" s="98"/>
      <c r="DW460" s="98"/>
      <c r="DX460" s="98"/>
      <c r="DY460" s="98"/>
      <c r="DZ460" s="98"/>
      <c r="EA460" s="98"/>
      <c r="EB460" s="98"/>
      <c r="EC460" s="98"/>
      <c r="ED460" s="98"/>
    </row>
    <row r="461" spans="1:134" ht="11.25" customHeight="1" x14ac:dyDescent="0.3">
      <c r="A461" s="28" t="e">
        <f t="array" aca="1" ref="A461" ca="1">_xludf.XLOOKUP(S461,Master_Registrations!P:P,Master_Registrations!A:A,"")</f>
        <v>#NAME?</v>
      </c>
      <c r="B461" s="89" t="s">
        <v>182</v>
      </c>
      <c r="C461" s="89">
        <v>2022</v>
      </c>
      <c r="D461" s="89" t="s">
        <v>4886</v>
      </c>
      <c r="E461" s="89">
        <v>1</v>
      </c>
      <c r="F461" s="90" t="str">
        <f t="shared" si="6"/>
        <v>VED-01-2022-GR-1</v>
      </c>
      <c r="G461" s="90" t="s">
        <v>7073</v>
      </c>
      <c r="H461" s="90" t="s">
        <v>7097</v>
      </c>
      <c r="I461" s="90"/>
      <c r="J461" s="89" t="s">
        <v>7094</v>
      </c>
      <c r="K461" s="93"/>
      <c r="L461" s="93"/>
      <c r="M461" s="93"/>
      <c r="N461" s="90" t="s">
        <v>7095</v>
      </c>
      <c r="O461" s="89" t="s">
        <v>5404</v>
      </c>
      <c r="P461" s="89" t="s">
        <v>5405</v>
      </c>
      <c r="Q461" s="89" t="e">
        <f t="shared" ca="1" si="7"/>
        <v>#NAME?</v>
      </c>
      <c r="R461" s="39" t="s">
        <v>112</v>
      </c>
      <c r="S461" s="94">
        <v>7022512555</v>
      </c>
      <c r="T461" s="90" t="s">
        <v>111</v>
      </c>
      <c r="U461" s="90">
        <v>1993</v>
      </c>
      <c r="V461" s="97">
        <v>2</v>
      </c>
      <c r="W461" s="97">
        <v>2</v>
      </c>
      <c r="X461" s="97">
        <v>2</v>
      </c>
      <c r="Y461" s="97">
        <v>2</v>
      </c>
      <c r="Z461" s="97">
        <v>2</v>
      </c>
      <c r="AA461" s="97">
        <v>2</v>
      </c>
      <c r="AB461" s="97">
        <v>2</v>
      </c>
      <c r="AC461" s="96">
        <v>-1</v>
      </c>
      <c r="AD461" s="96">
        <v>-1</v>
      </c>
      <c r="AE461" s="97">
        <v>2</v>
      </c>
      <c r="AF461" s="97">
        <v>2</v>
      </c>
      <c r="AG461" s="97">
        <v>2</v>
      </c>
      <c r="AH461" s="97">
        <v>2</v>
      </c>
      <c r="AI461" s="96">
        <v>-1</v>
      </c>
      <c r="AJ461" s="97">
        <v>2</v>
      </c>
      <c r="AK461" s="97">
        <v>2</v>
      </c>
      <c r="AL461" s="97">
        <v>2</v>
      </c>
      <c r="AM461" s="97">
        <v>2</v>
      </c>
      <c r="AN461" s="97">
        <v>2</v>
      </c>
      <c r="AO461" s="97">
        <v>2</v>
      </c>
      <c r="AP461" s="95">
        <v>-1</v>
      </c>
      <c r="AQ461" s="95">
        <v>-1</v>
      </c>
      <c r="AR461" s="97">
        <v>2</v>
      </c>
      <c r="AS461" s="95">
        <v>-1</v>
      </c>
      <c r="AT461" s="97">
        <v>-1</v>
      </c>
      <c r="AU461" s="97">
        <v>2</v>
      </c>
      <c r="AV461" s="95">
        <v>-1</v>
      </c>
      <c r="AW461" s="97">
        <v>1</v>
      </c>
      <c r="AX461" s="95">
        <v>-1</v>
      </c>
      <c r="AY461" s="96">
        <v>-1</v>
      </c>
      <c r="AZ461" s="96">
        <v>-1</v>
      </c>
      <c r="BA461" s="97">
        <v>1</v>
      </c>
      <c r="BB461" s="97">
        <v>1</v>
      </c>
      <c r="BC461" s="97">
        <v>1</v>
      </c>
      <c r="BD461" s="97">
        <v>1</v>
      </c>
      <c r="BE461" s="97">
        <v>-1</v>
      </c>
      <c r="BF461" s="96">
        <v>-1</v>
      </c>
      <c r="BG461" s="99">
        <v>1</v>
      </c>
      <c r="BH461" s="99">
        <v>1</v>
      </c>
      <c r="BI461" s="97">
        <v>-1</v>
      </c>
      <c r="BJ461" s="97">
        <v>-1</v>
      </c>
      <c r="BK461" s="97">
        <v>-1</v>
      </c>
      <c r="BL461" s="97">
        <v>-1</v>
      </c>
      <c r="BM461" s="96">
        <v>-1</v>
      </c>
      <c r="BN461" s="89"/>
      <c r="BO461" s="89"/>
      <c r="BP461" s="89"/>
      <c r="BQ461" s="89"/>
      <c r="BR461" s="89"/>
      <c r="BS461" s="89"/>
      <c r="BT461" s="89"/>
      <c r="BU461" s="89"/>
      <c r="BV461" s="89"/>
      <c r="BW461" s="89"/>
      <c r="BX461" s="89"/>
      <c r="BY461" s="89"/>
      <c r="BZ461" s="89"/>
      <c r="CA461" s="89"/>
      <c r="CB461" s="89"/>
      <c r="CC461" s="89"/>
      <c r="CD461" s="89"/>
      <c r="CE461" s="89"/>
      <c r="CF461" s="89"/>
      <c r="CG461" s="89"/>
      <c r="CH461" s="89"/>
      <c r="CI461" s="89"/>
      <c r="CJ461" s="89"/>
      <c r="CK461" s="89"/>
      <c r="CL461" s="89"/>
      <c r="CM461" s="89"/>
      <c r="CN461" s="106">
        <v>-1</v>
      </c>
      <c r="CO461" s="106">
        <v>-1</v>
      </c>
      <c r="CP461" s="106">
        <v>-1</v>
      </c>
      <c r="CQ461" s="106">
        <v>-1</v>
      </c>
      <c r="CR461" s="106">
        <v>-1</v>
      </c>
      <c r="CS461" s="106">
        <v>-1</v>
      </c>
      <c r="CT461" s="106">
        <v>-1</v>
      </c>
      <c r="CU461" s="106">
        <v>-1</v>
      </c>
      <c r="CV461" s="106">
        <v>-1</v>
      </c>
      <c r="CW461" s="106">
        <v>-1</v>
      </c>
      <c r="CX461" s="106">
        <v>-1</v>
      </c>
      <c r="CY461" s="106">
        <v>-1</v>
      </c>
      <c r="CZ461" s="98"/>
      <c r="DA461" s="98"/>
      <c r="DB461" s="98"/>
      <c r="DC461" s="98"/>
      <c r="DD461" s="98"/>
      <c r="DE461" s="98"/>
      <c r="DF461" s="98"/>
      <c r="DG461" s="98"/>
      <c r="DH461" s="98"/>
      <c r="DI461" s="98"/>
      <c r="DJ461" s="98"/>
      <c r="DK461" s="98"/>
      <c r="DL461" s="98"/>
      <c r="DM461" s="98"/>
      <c r="DN461" s="98"/>
      <c r="DO461" s="98"/>
      <c r="DP461" s="98"/>
      <c r="DQ461" s="98"/>
      <c r="DR461" s="98"/>
      <c r="DS461" s="98"/>
      <c r="DT461" s="98"/>
      <c r="DU461" s="98"/>
      <c r="DV461" s="98"/>
      <c r="DW461" s="98"/>
      <c r="DX461" s="98"/>
      <c r="DY461" s="98"/>
      <c r="DZ461" s="98"/>
      <c r="EA461" s="98"/>
      <c r="EB461" s="98"/>
      <c r="EC461" s="98"/>
      <c r="ED461" s="98"/>
    </row>
    <row r="462" spans="1:134" ht="11.25" customHeight="1" x14ac:dyDescent="0.3">
      <c r="A462" s="28" t="e">
        <f t="array" aca="1" ref="A462" ca="1">_xludf.XLOOKUP(S462,Master_Registrations!P:P,Master_Registrations!A:A,"")</f>
        <v>#NAME?</v>
      </c>
      <c r="B462" s="89" t="s">
        <v>182</v>
      </c>
      <c r="C462" s="89">
        <v>2022</v>
      </c>
      <c r="D462" s="89" t="s">
        <v>4886</v>
      </c>
      <c r="E462" s="89">
        <v>1</v>
      </c>
      <c r="F462" s="90" t="str">
        <f t="shared" si="6"/>
        <v>VED-01-2022-GR-1</v>
      </c>
      <c r="G462" s="90" t="s">
        <v>7073</v>
      </c>
      <c r="H462" s="90" t="s">
        <v>7097</v>
      </c>
      <c r="I462" s="90"/>
      <c r="J462" s="89" t="s">
        <v>7094</v>
      </c>
      <c r="K462" s="93"/>
      <c r="L462" s="92"/>
      <c r="M462" s="92"/>
      <c r="N462" s="90" t="s">
        <v>7095</v>
      </c>
      <c r="O462" s="89" t="s">
        <v>5301</v>
      </c>
      <c r="P462" s="89" t="s">
        <v>5307</v>
      </c>
      <c r="Q462" s="89" t="e">
        <f t="shared" ca="1" si="7"/>
        <v>#NAME?</v>
      </c>
      <c r="R462" s="39" t="s">
        <v>112</v>
      </c>
      <c r="S462" s="94">
        <v>6300931371</v>
      </c>
      <c r="T462" s="90" t="s">
        <v>111</v>
      </c>
      <c r="U462" s="90">
        <v>1982</v>
      </c>
      <c r="V462" s="97">
        <v>1</v>
      </c>
      <c r="W462" s="97">
        <v>1</v>
      </c>
      <c r="X462" s="97">
        <v>1</v>
      </c>
      <c r="Y462" s="97">
        <v>1</v>
      </c>
      <c r="Z462" s="97">
        <v>1</v>
      </c>
      <c r="AA462" s="97">
        <v>1</v>
      </c>
      <c r="AB462" s="97">
        <v>1</v>
      </c>
      <c r="AC462" s="96">
        <v>-1</v>
      </c>
      <c r="AD462" s="96">
        <v>-1</v>
      </c>
      <c r="AE462" s="97">
        <v>1</v>
      </c>
      <c r="AF462" s="97">
        <v>1</v>
      </c>
      <c r="AG462" s="97">
        <v>1</v>
      </c>
      <c r="AH462" s="97">
        <v>1</v>
      </c>
      <c r="AI462" s="96">
        <v>-1</v>
      </c>
      <c r="AJ462" s="97">
        <v>1</v>
      </c>
      <c r="AK462" s="97">
        <v>-1</v>
      </c>
      <c r="AL462" s="97">
        <v>-1</v>
      </c>
      <c r="AM462" s="97">
        <v>-1</v>
      </c>
      <c r="AN462" s="97">
        <v>-1</v>
      </c>
      <c r="AO462" s="97">
        <v>1</v>
      </c>
      <c r="AP462" s="95">
        <v>-1</v>
      </c>
      <c r="AQ462" s="95">
        <v>-1</v>
      </c>
      <c r="AR462" s="97">
        <v>1</v>
      </c>
      <c r="AS462" s="95">
        <v>-1</v>
      </c>
      <c r="AT462" s="95">
        <v>-1</v>
      </c>
      <c r="AU462" s="99">
        <v>-1</v>
      </c>
      <c r="AV462" s="95">
        <v>-1</v>
      </c>
      <c r="AW462" s="97">
        <v>-1</v>
      </c>
      <c r="AX462" s="95">
        <v>-1</v>
      </c>
      <c r="AY462" s="96">
        <v>-1</v>
      </c>
      <c r="AZ462" s="96">
        <v>-1</v>
      </c>
      <c r="BA462" s="96">
        <v>-1</v>
      </c>
      <c r="BB462" s="96">
        <v>-1</v>
      </c>
      <c r="BC462" s="97">
        <v>-1</v>
      </c>
      <c r="BD462" s="97">
        <v>-1</v>
      </c>
      <c r="BE462" s="97">
        <v>-1</v>
      </c>
      <c r="BF462" s="96">
        <v>-1</v>
      </c>
      <c r="BG462" s="97">
        <v>1</v>
      </c>
      <c r="BH462" s="97">
        <v>1</v>
      </c>
      <c r="BI462" s="97">
        <v>-1</v>
      </c>
      <c r="BJ462" s="96">
        <v>-1</v>
      </c>
      <c r="BK462" s="96">
        <v>-1</v>
      </c>
      <c r="BL462" s="96">
        <v>-1</v>
      </c>
      <c r="BM462" s="96">
        <v>-1</v>
      </c>
      <c r="BN462" s="89"/>
      <c r="BO462" s="89"/>
      <c r="BP462" s="89"/>
      <c r="BQ462" s="89"/>
      <c r="BR462" s="89"/>
      <c r="BS462" s="89"/>
      <c r="BT462" s="89"/>
      <c r="BU462" s="89"/>
      <c r="BV462" s="89"/>
      <c r="BW462" s="89"/>
      <c r="BX462" s="89"/>
      <c r="BY462" s="89"/>
      <c r="BZ462" s="89"/>
      <c r="CA462" s="89"/>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98"/>
      <c r="DA462" s="98"/>
      <c r="DB462" s="98"/>
      <c r="DC462" s="98"/>
      <c r="DD462" s="98"/>
      <c r="DE462" s="98"/>
      <c r="DF462" s="98"/>
      <c r="DG462" s="98"/>
      <c r="DH462" s="98"/>
      <c r="DI462" s="98"/>
      <c r="DJ462" s="98"/>
      <c r="DK462" s="98"/>
      <c r="DL462" s="98"/>
      <c r="DM462" s="98"/>
      <c r="DN462" s="98"/>
      <c r="DO462" s="98"/>
      <c r="DP462" s="98"/>
      <c r="DQ462" s="98"/>
      <c r="DR462" s="98"/>
      <c r="DS462" s="98"/>
      <c r="DT462" s="98"/>
      <c r="DU462" s="98"/>
      <c r="DV462" s="98"/>
      <c r="DW462" s="98"/>
      <c r="DX462" s="98"/>
      <c r="DY462" s="98"/>
      <c r="DZ462" s="98"/>
      <c r="EA462" s="98"/>
      <c r="EB462" s="98"/>
      <c r="EC462" s="98"/>
      <c r="ED462" s="98"/>
    </row>
    <row r="463" spans="1:134" ht="11.25" customHeight="1" x14ac:dyDescent="0.3">
      <c r="A463" s="28" t="e">
        <f t="array" aca="1" ref="A463" ca="1">_xludf.XLOOKUP(S463,Master_Registrations!P:P,Master_Registrations!A:A,"")</f>
        <v>#NAME?</v>
      </c>
      <c r="B463" s="89" t="s">
        <v>182</v>
      </c>
      <c r="C463" s="89">
        <v>2022</v>
      </c>
      <c r="D463" s="89" t="s">
        <v>4886</v>
      </c>
      <c r="E463" s="89">
        <v>1</v>
      </c>
      <c r="F463" s="90" t="str">
        <f t="shared" si="6"/>
        <v>VED-01-2022-GR-1</v>
      </c>
      <c r="G463" s="89" t="s">
        <v>7073</v>
      </c>
      <c r="H463" s="89" t="s">
        <v>4750</v>
      </c>
      <c r="I463" s="89"/>
      <c r="J463" s="89" t="s">
        <v>7094</v>
      </c>
      <c r="K463" s="92"/>
      <c r="L463" s="92"/>
      <c r="M463" s="92"/>
      <c r="N463" s="90" t="s">
        <v>7095</v>
      </c>
      <c r="O463" s="89" t="s">
        <v>5597</v>
      </c>
      <c r="P463" s="89" t="s">
        <v>2296</v>
      </c>
      <c r="Q463" s="89" t="e">
        <f t="shared" ca="1" si="7"/>
        <v>#NAME?</v>
      </c>
      <c r="R463" s="39" t="s">
        <v>316</v>
      </c>
      <c r="S463" s="94">
        <v>4086097142</v>
      </c>
      <c r="T463" s="90" t="s">
        <v>402</v>
      </c>
      <c r="U463" s="90">
        <v>1981</v>
      </c>
      <c r="V463" s="95">
        <v>-1</v>
      </c>
      <c r="W463" s="95">
        <v>-1</v>
      </c>
      <c r="X463" s="97">
        <v>1</v>
      </c>
      <c r="Y463" s="97">
        <v>1</v>
      </c>
      <c r="Z463" s="97">
        <v>1</v>
      </c>
      <c r="AA463" s="97">
        <v>1</v>
      </c>
      <c r="AB463" s="97">
        <v>1</v>
      </c>
      <c r="AC463" s="96">
        <v>-1</v>
      </c>
      <c r="AD463" s="96">
        <v>-1</v>
      </c>
      <c r="AE463" s="97">
        <v>1</v>
      </c>
      <c r="AF463" s="97">
        <v>1</v>
      </c>
      <c r="AG463" s="97">
        <v>1</v>
      </c>
      <c r="AH463" s="99">
        <v>-1</v>
      </c>
      <c r="AI463" s="96">
        <v>-1</v>
      </c>
      <c r="AJ463" s="97">
        <v>1</v>
      </c>
      <c r="AK463" s="97">
        <v>1</v>
      </c>
      <c r="AL463" s="97">
        <v>1</v>
      </c>
      <c r="AM463" s="97">
        <v>1</v>
      </c>
      <c r="AN463" s="97">
        <v>1</v>
      </c>
      <c r="AO463" s="97">
        <v>1</v>
      </c>
      <c r="AP463" s="95">
        <v>-1</v>
      </c>
      <c r="AQ463" s="95">
        <v>-1</v>
      </c>
      <c r="AR463" s="97">
        <v>1</v>
      </c>
      <c r="AS463" s="95">
        <v>-1</v>
      </c>
      <c r="AT463" s="95">
        <v>-1</v>
      </c>
      <c r="AU463" s="95">
        <v>-1</v>
      </c>
      <c r="AV463" s="95">
        <v>-1</v>
      </c>
      <c r="AW463" s="89"/>
      <c r="AX463" s="89"/>
      <c r="AY463" s="89"/>
      <c r="AZ463" s="89"/>
      <c r="BA463" s="89"/>
      <c r="BB463" s="89"/>
      <c r="BC463" s="89"/>
      <c r="BD463" s="89"/>
      <c r="BE463" s="89"/>
      <c r="BF463" s="89"/>
      <c r="BG463" s="89"/>
      <c r="BH463" s="89"/>
      <c r="BI463" s="89"/>
      <c r="BJ463" s="89"/>
      <c r="BK463" s="89"/>
      <c r="BL463" s="89"/>
      <c r="BM463" s="89"/>
      <c r="BN463" s="89"/>
      <c r="BO463" s="89"/>
      <c r="BP463" s="89"/>
      <c r="BQ463" s="89"/>
      <c r="BR463" s="89"/>
      <c r="BS463" s="89"/>
      <c r="BT463" s="89"/>
      <c r="BU463" s="89"/>
      <c r="BV463" s="89"/>
      <c r="BW463" s="89"/>
      <c r="BX463" s="89"/>
      <c r="BY463" s="89"/>
      <c r="BZ463" s="89"/>
      <c r="CA463" s="89"/>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98"/>
      <c r="DA463" s="98"/>
      <c r="DB463" s="98"/>
      <c r="DC463" s="98"/>
      <c r="DD463" s="98"/>
      <c r="DE463" s="98"/>
      <c r="DF463" s="98"/>
      <c r="DG463" s="98"/>
      <c r="DH463" s="98"/>
      <c r="DI463" s="98"/>
      <c r="DJ463" s="98"/>
      <c r="DK463" s="98"/>
      <c r="DL463" s="98"/>
      <c r="DM463" s="98"/>
      <c r="DN463" s="98"/>
      <c r="DO463" s="98"/>
      <c r="DP463" s="98"/>
      <c r="DQ463" s="98"/>
      <c r="DR463" s="98"/>
      <c r="DS463" s="98"/>
      <c r="DT463" s="98"/>
      <c r="DU463" s="98"/>
      <c r="DV463" s="98"/>
      <c r="DW463" s="98"/>
      <c r="DX463" s="98"/>
      <c r="DY463" s="98"/>
      <c r="DZ463" s="98"/>
      <c r="EA463" s="98"/>
      <c r="EB463" s="98"/>
      <c r="EC463" s="98"/>
      <c r="ED463" s="98"/>
    </row>
    <row r="464" spans="1:134" ht="11.25" customHeight="1" x14ac:dyDescent="0.3">
      <c r="A464" s="28" t="e">
        <f t="array" aca="1" ref="A464" ca="1">_xludf.XLOOKUP(S464,Master_Registrations!P:P,Master_Registrations!A:A,"")</f>
        <v>#NAME?</v>
      </c>
      <c r="B464" s="89" t="s">
        <v>182</v>
      </c>
      <c r="C464" s="89">
        <v>2022</v>
      </c>
      <c r="D464" s="89" t="s">
        <v>4886</v>
      </c>
      <c r="E464" s="89">
        <v>1</v>
      </c>
      <c r="F464" s="90" t="str">
        <f t="shared" si="6"/>
        <v>VED-01-2022-GR-1</v>
      </c>
      <c r="G464" s="89" t="s">
        <v>7073</v>
      </c>
      <c r="H464" s="89" t="s">
        <v>4750</v>
      </c>
      <c r="I464" s="89"/>
      <c r="J464" s="89" t="s">
        <v>7094</v>
      </c>
      <c r="K464" s="101"/>
      <c r="L464" s="92"/>
      <c r="M464" s="101"/>
      <c r="N464" s="90" t="s">
        <v>7095</v>
      </c>
      <c r="O464" s="89" t="s">
        <v>5723</v>
      </c>
      <c r="P464" s="141" t="s">
        <v>1767</v>
      </c>
      <c r="Q464" s="89" t="e">
        <f t="shared" ca="1" si="7"/>
        <v>#NAME?</v>
      </c>
      <c r="R464" s="39" t="s">
        <v>316</v>
      </c>
      <c r="S464" s="94">
        <v>6462609456</v>
      </c>
      <c r="T464" s="90" t="s">
        <v>402</v>
      </c>
      <c r="U464" s="90">
        <v>1971</v>
      </c>
      <c r="V464" s="95">
        <v>-1</v>
      </c>
      <c r="W464" s="95">
        <v>-1</v>
      </c>
      <c r="X464" s="99">
        <v>1</v>
      </c>
      <c r="Y464" s="99">
        <v>1</v>
      </c>
      <c r="Z464" s="99">
        <v>1</v>
      </c>
      <c r="AA464" s="99">
        <v>-1</v>
      </c>
      <c r="AB464" s="99">
        <v>-1</v>
      </c>
      <c r="AC464" s="95">
        <v>-1</v>
      </c>
      <c r="AD464" s="95">
        <v>-1</v>
      </c>
      <c r="AE464" s="99">
        <v>-1</v>
      </c>
      <c r="AF464" s="99">
        <v>-1</v>
      </c>
      <c r="AG464" s="99">
        <v>-1</v>
      </c>
      <c r="AH464" s="99">
        <v>-1</v>
      </c>
      <c r="AI464" s="96">
        <v>-1</v>
      </c>
      <c r="AJ464" s="97">
        <v>-1</v>
      </c>
      <c r="AK464" s="97">
        <v>-1</v>
      </c>
      <c r="AL464" s="97">
        <v>-1</v>
      </c>
      <c r="AM464" s="97">
        <v>1</v>
      </c>
      <c r="AN464" s="97">
        <v>1</v>
      </c>
      <c r="AO464" s="97">
        <v>1</v>
      </c>
      <c r="AP464" s="95">
        <v>-1</v>
      </c>
      <c r="AQ464" s="95">
        <v>-1</v>
      </c>
      <c r="AR464" s="97">
        <v>-1</v>
      </c>
      <c r="AS464" s="95">
        <v>-1</v>
      </c>
      <c r="AT464" s="95">
        <v>-1</v>
      </c>
      <c r="AU464" s="99">
        <v>-1</v>
      </c>
      <c r="AV464" s="95">
        <v>-1</v>
      </c>
      <c r="AW464" s="97">
        <v>-1</v>
      </c>
      <c r="AX464" s="95">
        <v>-1</v>
      </c>
      <c r="AY464" s="96">
        <v>-1</v>
      </c>
      <c r="AZ464" s="96">
        <v>-1</v>
      </c>
      <c r="BA464" s="96">
        <v>-1</v>
      </c>
      <c r="BB464" s="96">
        <v>-1</v>
      </c>
      <c r="BC464" s="97">
        <v>-1</v>
      </c>
      <c r="BD464" s="97">
        <v>-1</v>
      </c>
      <c r="BE464" s="96">
        <v>-1</v>
      </c>
      <c r="BF464" s="96">
        <v>-1</v>
      </c>
      <c r="BG464" s="96">
        <v>-1</v>
      </c>
      <c r="BH464" s="96">
        <v>-1</v>
      </c>
      <c r="BI464" s="96">
        <v>-1</v>
      </c>
      <c r="BJ464" s="96">
        <v>-1</v>
      </c>
      <c r="BK464" s="96">
        <v>-1</v>
      </c>
      <c r="BL464" s="96">
        <v>-1</v>
      </c>
      <c r="BM464" s="96">
        <v>-1</v>
      </c>
      <c r="BN464" s="89"/>
      <c r="BO464" s="89"/>
      <c r="BP464" s="89"/>
      <c r="BQ464" s="89"/>
      <c r="BR464" s="89"/>
      <c r="BS464" s="89"/>
      <c r="BT464" s="89"/>
      <c r="BU464" s="89"/>
      <c r="BV464" s="89"/>
      <c r="BW464" s="89"/>
      <c r="BX464" s="89"/>
      <c r="BY464" s="89"/>
      <c r="BZ464" s="89"/>
      <c r="CA464" s="89"/>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98"/>
      <c r="DA464" s="98"/>
      <c r="DB464" s="98"/>
      <c r="DC464" s="98"/>
      <c r="DD464" s="98"/>
      <c r="DE464" s="98"/>
      <c r="DF464" s="98"/>
      <c r="DG464" s="98"/>
      <c r="DH464" s="98"/>
      <c r="DI464" s="98"/>
      <c r="DJ464" s="98"/>
      <c r="DK464" s="98"/>
      <c r="DL464" s="98"/>
      <c r="DM464" s="98"/>
      <c r="DN464" s="98"/>
      <c r="DO464" s="98"/>
      <c r="DP464" s="98"/>
      <c r="DQ464" s="98"/>
      <c r="DR464" s="98"/>
      <c r="DS464" s="98"/>
      <c r="DT464" s="98"/>
      <c r="DU464" s="98"/>
      <c r="DV464" s="98"/>
      <c r="DW464" s="98"/>
      <c r="DX464" s="98"/>
      <c r="DY464" s="98"/>
      <c r="DZ464" s="98"/>
      <c r="EA464" s="98"/>
      <c r="EB464" s="98"/>
      <c r="EC464" s="98"/>
      <c r="ED464" s="98"/>
    </row>
    <row r="465" spans="1:134" ht="11.25" customHeight="1" x14ac:dyDescent="0.3">
      <c r="A465" s="28" t="e">
        <f t="array" aca="1" ref="A465" ca="1">_xludf.XLOOKUP(S465,Master_Registrations!P:P,Master_Registrations!A:A,"")</f>
        <v>#NAME?</v>
      </c>
      <c r="B465" s="89" t="s">
        <v>182</v>
      </c>
      <c r="C465" s="89">
        <v>2022</v>
      </c>
      <c r="D465" s="89" t="s">
        <v>4886</v>
      </c>
      <c r="E465" s="89">
        <v>1</v>
      </c>
      <c r="F465" s="90" t="str">
        <f t="shared" si="6"/>
        <v>VED-01-2022-GR-1</v>
      </c>
      <c r="G465" s="89" t="s">
        <v>7073</v>
      </c>
      <c r="H465" s="89" t="s">
        <v>4750</v>
      </c>
      <c r="I465" s="89"/>
      <c r="J465" s="89" t="s">
        <v>7094</v>
      </c>
      <c r="K465" s="92"/>
      <c r="L465" s="92"/>
      <c r="M465" s="92"/>
      <c r="N465" s="90" t="s">
        <v>7095</v>
      </c>
      <c r="O465" s="89" t="s">
        <v>5602</v>
      </c>
      <c r="P465" s="89" t="s">
        <v>5603</v>
      </c>
      <c r="Q465" s="89" t="e">
        <f t="shared" ca="1" si="7"/>
        <v>#NAME?</v>
      </c>
      <c r="R465" s="39" t="s">
        <v>316</v>
      </c>
      <c r="S465" s="94">
        <v>4077823419</v>
      </c>
      <c r="T465" s="90" t="s">
        <v>402</v>
      </c>
      <c r="U465" s="90">
        <v>1967</v>
      </c>
      <c r="V465" s="95">
        <v>-1</v>
      </c>
      <c r="W465" s="95">
        <v>-1</v>
      </c>
      <c r="X465" s="97">
        <v>-1</v>
      </c>
      <c r="Y465" s="97">
        <v>-1</v>
      </c>
      <c r="Z465" s="97">
        <v>-1</v>
      </c>
      <c r="AA465" s="97">
        <v>-1</v>
      </c>
      <c r="AB465" s="97">
        <v>-1</v>
      </c>
      <c r="AC465" s="95">
        <v>-1</v>
      </c>
      <c r="AD465" s="95">
        <v>-1</v>
      </c>
      <c r="AE465" s="99">
        <v>-1</v>
      </c>
      <c r="AF465" s="97">
        <v>-1</v>
      </c>
      <c r="AG465" s="97">
        <v>-1</v>
      </c>
      <c r="AH465" s="99">
        <v>-1</v>
      </c>
      <c r="AI465" s="96">
        <v>-1</v>
      </c>
      <c r="AJ465" s="97">
        <v>-1</v>
      </c>
      <c r="AK465" s="97">
        <v>-1</v>
      </c>
      <c r="AL465" s="97">
        <v>1</v>
      </c>
      <c r="AM465" s="97">
        <v>1</v>
      </c>
      <c r="AN465" s="97">
        <v>1</v>
      </c>
      <c r="AO465" s="97">
        <v>1</v>
      </c>
      <c r="AP465" s="95">
        <v>-1</v>
      </c>
      <c r="AQ465" s="95">
        <v>-1</v>
      </c>
      <c r="AR465" s="97">
        <v>1</v>
      </c>
      <c r="AS465" s="95">
        <v>-1</v>
      </c>
      <c r="AT465" s="95">
        <v>-1</v>
      </c>
      <c r="AU465" s="99">
        <v>-1</v>
      </c>
      <c r="AV465" s="95">
        <v>-1</v>
      </c>
      <c r="AW465" s="97">
        <v>-1</v>
      </c>
      <c r="AX465" s="95">
        <v>-1</v>
      </c>
      <c r="AY465" s="96">
        <v>-1</v>
      </c>
      <c r="AZ465" s="96">
        <v>-1</v>
      </c>
      <c r="BA465" s="96">
        <v>-1</v>
      </c>
      <c r="BB465" s="96">
        <v>-1</v>
      </c>
      <c r="BC465" s="97">
        <v>-1</v>
      </c>
      <c r="BD465" s="97">
        <v>-1</v>
      </c>
      <c r="BE465" s="96">
        <v>-1</v>
      </c>
      <c r="BF465" s="96">
        <v>-1</v>
      </c>
      <c r="BG465" s="96">
        <v>-1</v>
      </c>
      <c r="BH465" s="96">
        <v>-1</v>
      </c>
      <c r="BI465" s="96">
        <v>-1</v>
      </c>
      <c r="BJ465" s="96">
        <v>-1</v>
      </c>
      <c r="BK465" s="96">
        <v>-1</v>
      </c>
      <c r="BL465" s="96">
        <v>-1</v>
      </c>
      <c r="BM465" s="96">
        <v>-1</v>
      </c>
      <c r="BN465" s="89"/>
      <c r="BO465" s="89"/>
      <c r="BP465" s="89"/>
      <c r="BQ465" s="89"/>
      <c r="BR465" s="89"/>
      <c r="BS465" s="89"/>
      <c r="BT465" s="89"/>
      <c r="BU465" s="89"/>
      <c r="BV465" s="89"/>
      <c r="BW465" s="89"/>
      <c r="BX465" s="89"/>
      <c r="BY465" s="89"/>
      <c r="BZ465" s="89"/>
      <c r="CA465" s="89"/>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98"/>
      <c r="DA465" s="98"/>
      <c r="DB465" s="98"/>
      <c r="DC465" s="98"/>
      <c r="DD465" s="98"/>
      <c r="DE465" s="98"/>
      <c r="DF465" s="98"/>
      <c r="DG465" s="98"/>
      <c r="DH465" s="98"/>
      <c r="DI465" s="98"/>
      <c r="DJ465" s="98"/>
      <c r="DK465" s="98"/>
      <c r="DL465" s="98"/>
      <c r="DM465" s="98"/>
      <c r="DN465" s="98"/>
      <c r="DO465" s="98"/>
      <c r="DP465" s="98"/>
      <c r="DQ465" s="98"/>
      <c r="DR465" s="98"/>
      <c r="DS465" s="98"/>
      <c r="DT465" s="98"/>
      <c r="DU465" s="98"/>
      <c r="DV465" s="98"/>
      <c r="DW465" s="98"/>
      <c r="DX465" s="98"/>
      <c r="DY465" s="98"/>
      <c r="DZ465" s="98"/>
      <c r="EA465" s="98"/>
      <c r="EB465" s="98"/>
      <c r="EC465" s="98"/>
      <c r="ED465" s="98"/>
    </row>
    <row r="466" spans="1:134" ht="11.25" customHeight="1" x14ac:dyDescent="0.3">
      <c r="A466" s="28" t="e">
        <f t="array" aca="1" ref="A466" ca="1">_xludf.XLOOKUP(S466,Master_Registrations!P:P,Master_Registrations!A:A,"")</f>
        <v>#NAME?</v>
      </c>
      <c r="B466" s="89" t="s">
        <v>182</v>
      </c>
      <c r="C466" s="89">
        <v>2022</v>
      </c>
      <c r="D466" s="89" t="s">
        <v>4886</v>
      </c>
      <c r="E466" s="89">
        <v>1</v>
      </c>
      <c r="F466" s="90" t="str">
        <f t="shared" si="6"/>
        <v>VED-01-2022-GR-1</v>
      </c>
      <c r="G466" s="89" t="s">
        <v>7073</v>
      </c>
      <c r="H466" s="89" t="s">
        <v>4750</v>
      </c>
      <c r="I466" s="89"/>
      <c r="J466" s="89" t="s">
        <v>7094</v>
      </c>
      <c r="K466" s="92"/>
      <c r="L466" s="92"/>
      <c r="M466" s="92"/>
      <c r="N466" s="90" t="s">
        <v>7095</v>
      </c>
      <c r="O466" s="89" t="s">
        <v>5678</v>
      </c>
      <c r="P466" s="89" t="s">
        <v>2279</v>
      </c>
      <c r="Q466" s="89" t="e">
        <f t="shared" ca="1" si="7"/>
        <v>#NAME?</v>
      </c>
      <c r="R466" s="39" t="s">
        <v>316</v>
      </c>
      <c r="S466" s="94">
        <v>7325100003</v>
      </c>
      <c r="T466" s="90" t="s">
        <v>402</v>
      </c>
      <c r="U466" s="90">
        <v>1977</v>
      </c>
      <c r="V466" s="95">
        <v>-1</v>
      </c>
      <c r="W466" s="95">
        <v>-1</v>
      </c>
      <c r="X466" s="97">
        <v>1</v>
      </c>
      <c r="Y466" s="97">
        <v>1</v>
      </c>
      <c r="Z466" s="97">
        <v>1</v>
      </c>
      <c r="AA466" s="97">
        <v>1</v>
      </c>
      <c r="AB466" s="97">
        <v>1</v>
      </c>
      <c r="AC466" s="96">
        <v>-1</v>
      </c>
      <c r="AD466" s="96">
        <v>-1</v>
      </c>
      <c r="AE466" s="97">
        <v>1</v>
      </c>
      <c r="AF466" s="97">
        <v>1</v>
      </c>
      <c r="AG466" s="97">
        <v>1</v>
      </c>
      <c r="AH466" s="97">
        <v>1</v>
      </c>
      <c r="AI466" s="96">
        <v>-1</v>
      </c>
      <c r="AJ466" s="97">
        <v>-1</v>
      </c>
      <c r="AK466" s="97">
        <v>-1</v>
      </c>
      <c r="AL466" s="97">
        <v>-1</v>
      </c>
      <c r="AM466" s="97">
        <v>1</v>
      </c>
      <c r="AN466" s="97">
        <v>1</v>
      </c>
      <c r="AO466" s="97">
        <v>-1</v>
      </c>
      <c r="AP466" s="95">
        <v>-1</v>
      </c>
      <c r="AQ466" s="95">
        <v>-1</v>
      </c>
      <c r="AR466" s="97">
        <v>-1</v>
      </c>
      <c r="AS466" s="95">
        <v>-1</v>
      </c>
      <c r="AT466" s="95">
        <v>-1</v>
      </c>
      <c r="AU466" s="99">
        <v>-1</v>
      </c>
      <c r="AV466" s="95">
        <v>-1</v>
      </c>
      <c r="AW466" s="97">
        <v>-1</v>
      </c>
      <c r="AX466" s="95">
        <v>-1</v>
      </c>
      <c r="AY466" s="96">
        <v>-1</v>
      </c>
      <c r="AZ466" s="96">
        <v>-1</v>
      </c>
      <c r="BA466" s="96">
        <v>-1</v>
      </c>
      <c r="BB466" s="96">
        <v>-1</v>
      </c>
      <c r="BC466" s="97">
        <v>-1</v>
      </c>
      <c r="BD466" s="97">
        <v>-1</v>
      </c>
      <c r="BE466" s="97">
        <v>-1</v>
      </c>
      <c r="BF466" s="96">
        <v>-1</v>
      </c>
      <c r="BG466" s="97">
        <v>-1</v>
      </c>
      <c r="BH466" s="97">
        <v>-1</v>
      </c>
      <c r="BI466" s="96">
        <v>-1</v>
      </c>
      <c r="BJ466" s="96">
        <v>-1</v>
      </c>
      <c r="BK466" s="96">
        <v>-1</v>
      </c>
      <c r="BL466" s="96">
        <v>-1</v>
      </c>
      <c r="BM466" s="96">
        <v>-1</v>
      </c>
      <c r="BN466" s="89"/>
      <c r="BO466" s="89"/>
      <c r="BP466" s="89"/>
      <c r="BQ466" s="89"/>
      <c r="BR466" s="89"/>
      <c r="BS466" s="89"/>
      <c r="BT466" s="89"/>
      <c r="BU466" s="89"/>
      <c r="BV466" s="89"/>
      <c r="BW466" s="89"/>
      <c r="BX466" s="89"/>
      <c r="BY466" s="89"/>
      <c r="BZ466" s="89"/>
      <c r="CA466" s="89"/>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98"/>
      <c r="DA466" s="98"/>
      <c r="DB466" s="98"/>
      <c r="DC466" s="98"/>
      <c r="DD466" s="98"/>
      <c r="DE466" s="98"/>
      <c r="DF466" s="98"/>
      <c r="DG466" s="98"/>
      <c r="DH466" s="98"/>
      <c r="DI466" s="98"/>
      <c r="DJ466" s="98"/>
      <c r="DK466" s="98"/>
      <c r="DL466" s="98"/>
      <c r="DM466" s="98"/>
      <c r="DN466" s="98"/>
      <c r="DO466" s="98"/>
      <c r="DP466" s="98"/>
      <c r="DQ466" s="98"/>
      <c r="DR466" s="98"/>
      <c r="DS466" s="98"/>
      <c r="DT466" s="98"/>
      <c r="DU466" s="98"/>
      <c r="DV466" s="98"/>
      <c r="DW466" s="98"/>
      <c r="DX466" s="98"/>
      <c r="DY466" s="98"/>
      <c r="DZ466" s="98"/>
      <c r="EA466" s="98"/>
      <c r="EB466" s="98"/>
      <c r="EC466" s="98"/>
      <c r="ED466" s="98"/>
    </row>
    <row r="467" spans="1:134" ht="11.25" customHeight="1" x14ac:dyDescent="0.3">
      <c r="A467" s="28" t="e">
        <f t="array" aca="1" ref="A467" ca="1">_xludf.XLOOKUP(S467,Master_Registrations!P:P,Master_Registrations!A:A,"")</f>
        <v>#NAME?</v>
      </c>
      <c r="B467" s="89" t="s">
        <v>182</v>
      </c>
      <c r="C467" s="89">
        <v>2022</v>
      </c>
      <c r="D467" s="89" t="s">
        <v>4886</v>
      </c>
      <c r="E467" s="89">
        <v>1</v>
      </c>
      <c r="F467" s="90" t="str">
        <f t="shared" si="6"/>
        <v>VED-01-2022-GR-1</v>
      </c>
      <c r="G467" s="89" t="s">
        <v>7073</v>
      </c>
      <c r="H467" s="89" t="s">
        <v>4750</v>
      </c>
      <c r="I467" s="89"/>
      <c r="J467" s="89" t="s">
        <v>7094</v>
      </c>
      <c r="K467" s="92">
        <v>-1</v>
      </c>
      <c r="L467" s="92">
        <v>-1</v>
      </c>
      <c r="M467" s="92">
        <v>-1</v>
      </c>
      <c r="N467" s="90" t="s">
        <v>7095</v>
      </c>
      <c r="O467" s="89" t="s">
        <v>5145</v>
      </c>
      <c r="P467" s="89" t="s">
        <v>5146</v>
      </c>
      <c r="Q467" s="89" t="e">
        <f t="shared" ca="1" si="7"/>
        <v>#NAME?</v>
      </c>
      <c r="R467" s="39" t="s">
        <v>112</v>
      </c>
      <c r="S467" s="94">
        <v>8985971814</v>
      </c>
      <c r="T467" s="90" t="s">
        <v>111</v>
      </c>
      <c r="U467" s="90">
        <v>1974</v>
      </c>
      <c r="V467" s="89"/>
      <c r="W467" s="89"/>
      <c r="X467" s="89"/>
      <c r="Y467" s="89"/>
      <c r="Z467" s="89"/>
      <c r="AA467" s="89"/>
      <c r="AB467" s="89"/>
      <c r="AC467" s="89"/>
      <c r="AD467" s="89"/>
      <c r="AE467" s="89"/>
      <c r="AF467" s="89"/>
      <c r="AG467" s="89"/>
      <c r="AH467" s="89"/>
      <c r="AI467" s="89"/>
      <c r="AJ467" s="97">
        <v>-1</v>
      </c>
      <c r="AK467" s="97">
        <v>-1</v>
      </c>
      <c r="AL467" s="97">
        <v>-1</v>
      </c>
      <c r="AM467" s="97">
        <v>1</v>
      </c>
      <c r="AN467" s="97">
        <v>1</v>
      </c>
      <c r="AO467" s="97">
        <v>1</v>
      </c>
      <c r="AP467" s="95">
        <v>-1</v>
      </c>
      <c r="AQ467" s="95">
        <v>-1</v>
      </c>
      <c r="AR467" s="97">
        <v>1</v>
      </c>
      <c r="AS467" s="95">
        <v>-1</v>
      </c>
      <c r="AT467" s="95">
        <v>-1</v>
      </c>
      <c r="AU467" s="95">
        <v>-1</v>
      </c>
      <c r="AV467" s="95">
        <v>-1</v>
      </c>
      <c r="AW467" s="89"/>
      <c r="AX467" s="89"/>
      <c r="AY467" s="89"/>
      <c r="AZ467" s="89"/>
      <c r="BA467" s="89"/>
      <c r="BB467" s="89"/>
      <c r="BC467" s="89"/>
      <c r="BD467" s="89"/>
      <c r="BE467" s="89"/>
      <c r="BF467" s="89"/>
      <c r="BG467" s="89"/>
      <c r="BH467" s="89"/>
      <c r="BI467" s="89"/>
      <c r="BJ467" s="89"/>
      <c r="BK467" s="89"/>
      <c r="BL467" s="89"/>
      <c r="BM467" s="89"/>
      <c r="BN467" s="89"/>
      <c r="BO467" s="89"/>
      <c r="BP467" s="89"/>
      <c r="BQ467" s="89"/>
      <c r="BR467" s="89"/>
      <c r="BS467" s="89"/>
      <c r="BT467" s="89"/>
      <c r="BU467" s="89"/>
      <c r="BV467" s="89"/>
      <c r="BW467" s="89"/>
      <c r="BX467" s="89"/>
      <c r="BY467" s="89"/>
      <c r="BZ467" s="89"/>
      <c r="CA467" s="89"/>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98"/>
      <c r="DA467" s="98"/>
      <c r="DB467" s="98"/>
      <c r="DC467" s="98"/>
      <c r="DD467" s="98"/>
      <c r="DE467" s="98"/>
      <c r="DF467" s="98"/>
      <c r="DG467" s="98"/>
      <c r="DH467" s="98"/>
      <c r="DI467" s="98"/>
      <c r="DJ467" s="98"/>
      <c r="DK467" s="98"/>
      <c r="DL467" s="98"/>
      <c r="DM467" s="98"/>
      <c r="DN467" s="98"/>
      <c r="DO467" s="98"/>
      <c r="DP467" s="98"/>
      <c r="DQ467" s="98"/>
      <c r="DR467" s="98"/>
      <c r="DS467" s="98"/>
      <c r="DT467" s="98"/>
      <c r="DU467" s="98"/>
      <c r="DV467" s="98"/>
      <c r="DW467" s="98"/>
      <c r="DX467" s="98"/>
      <c r="DY467" s="98"/>
      <c r="DZ467" s="98"/>
      <c r="EA467" s="98"/>
      <c r="EB467" s="98"/>
      <c r="EC467" s="98"/>
      <c r="ED467" s="98"/>
    </row>
    <row r="468" spans="1:134" ht="11.25" customHeight="1" x14ac:dyDescent="0.3">
      <c r="A468" s="28" t="e">
        <f t="array" aca="1" ref="A468" ca="1">_xludf.XLOOKUP(S468,Master_Registrations!P:P,Master_Registrations!A:A,"")</f>
        <v>#NAME?</v>
      </c>
      <c r="B468" s="89" t="s">
        <v>182</v>
      </c>
      <c r="C468" s="89">
        <v>2022</v>
      </c>
      <c r="D468" s="89" t="s">
        <v>4886</v>
      </c>
      <c r="E468" s="89">
        <v>1</v>
      </c>
      <c r="F468" s="90" t="str">
        <f t="shared" si="6"/>
        <v>VED-01-2022-GR-1</v>
      </c>
      <c r="G468" s="89" t="s">
        <v>7073</v>
      </c>
      <c r="H468" s="89" t="s">
        <v>4750</v>
      </c>
      <c r="I468" s="89"/>
      <c r="J468" s="89" t="s">
        <v>7094</v>
      </c>
      <c r="K468" s="93"/>
      <c r="L468" s="93"/>
      <c r="M468" s="93"/>
      <c r="N468" s="90" t="s">
        <v>7095</v>
      </c>
      <c r="O468" s="89" t="s">
        <v>3975</v>
      </c>
      <c r="P468" s="89" t="s">
        <v>5312</v>
      </c>
      <c r="Q468" s="89" t="e">
        <f t="shared" ca="1" si="7"/>
        <v>#NAME?</v>
      </c>
      <c r="R468" s="39" t="s">
        <v>112</v>
      </c>
      <c r="S468" s="94">
        <v>9989277757</v>
      </c>
      <c r="T468" s="90" t="s">
        <v>111</v>
      </c>
      <c r="U468" s="90">
        <v>1968</v>
      </c>
      <c r="V468" s="96">
        <v>-1</v>
      </c>
      <c r="W468" s="96">
        <v>-1</v>
      </c>
      <c r="X468" s="97">
        <v>1</v>
      </c>
      <c r="Y468" s="97">
        <v>1</v>
      </c>
      <c r="Z468" s="97">
        <v>1</v>
      </c>
      <c r="AA468" s="97">
        <v>1</v>
      </c>
      <c r="AB468" s="97">
        <v>1</v>
      </c>
      <c r="AC468" s="96">
        <v>-1</v>
      </c>
      <c r="AD468" s="96">
        <v>-1</v>
      </c>
      <c r="AE468" s="97">
        <v>1</v>
      </c>
      <c r="AF468" s="97">
        <v>1</v>
      </c>
      <c r="AG468" s="97">
        <v>1</v>
      </c>
      <c r="AH468" s="97">
        <v>1</v>
      </c>
      <c r="AI468" s="96">
        <v>-1</v>
      </c>
      <c r="AJ468" s="97">
        <v>1</v>
      </c>
      <c r="AK468" s="97">
        <v>1</v>
      </c>
      <c r="AL468" s="97">
        <v>1</v>
      </c>
      <c r="AM468" s="97">
        <v>1</v>
      </c>
      <c r="AN468" s="97">
        <v>1</v>
      </c>
      <c r="AO468" s="97">
        <v>1</v>
      </c>
      <c r="AP468" s="95">
        <v>-1</v>
      </c>
      <c r="AQ468" s="95">
        <v>-1</v>
      </c>
      <c r="AR468" s="97">
        <v>1</v>
      </c>
      <c r="AS468" s="95">
        <v>-1</v>
      </c>
      <c r="AT468" s="95">
        <v>-1</v>
      </c>
      <c r="AU468" s="95">
        <v>-1</v>
      </c>
      <c r="AV468" s="95">
        <v>-1</v>
      </c>
      <c r="AW468" s="89"/>
      <c r="AX468" s="89"/>
      <c r="AY468" s="89"/>
      <c r="AZ468" s="89"/>
      <c r="BA468" s="89"/>
      <c r="BB468" s="89"/>
      <c r="BC468" s="89"/>
      <c r="BD468" s="89"/>
      <c r="BE468" s="89"/>
      <c r="BF468" s="89"/>
      <c r="BG468" s="89"/>
      <c r="BH468" s="89"/>
      <c r="BI468" s="89"/>
      <c r="BJ468" s="89"/>
      <c r="BK468" s="89"/>
      <c r="BL468" s="89"/>
      <c r="BM468" s="89"/>
      <c r="BN468" s="89"/>
      <c r="BO468" s="89"/>
      <c r="BP468" s="89"/>
      <c r="BQ468" s="89"/>
      <c r="BR468" s="89"/>
      <c r="BS468" s="89"/>
      <c r="BT468" s="89"/>
      <c r="BU468" s="89"/>
      <c r="BV468" s="89"/>
      <c r="BW468" s="89"/>
      <c r="BX468" s="89"/>
      <c r="BY468" s="89"/>
      <c r="BZ468" s="89"/>
      <c r="CA468" s="89"/>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98"/>
      <c r="DA468" s="98"/>
      <c r="DB468" s="98"/>
      <c r="DC468" s="98"/>
      <c r="DD468" s="98"/>
      <c r="DE468" s="98"/>
      <c r="DF468" s="98"/>
      <c r="DG468" s="98"/>
      <c r="DH468" s="98"/>
      <c r="DI468" s="98"/>
      <c r="DJ468" s="98"/>
      <c r="DK468" s="98"/>
      <c r="DL468" s="98"/>
      <c r="DM468" s="98"/>
      <c r="DN468" s="98"/>
      <c r="DO468" s="98"/>
      <c r="DP468" s="98"/>
      <c r="DQ468" s="98"/>
      <c r="DR468" s="98"/>
      <c r="DS468" s="98"/>
      <c r="DT468" s="98"/>
      <c r="DU468" s="98"/>
      <c r="DV468" s="98"/>
      <c r="DW468" s="98"/>
      <c r="DX468" s="98"/>
      <c r="DY468" s="98"/>
      <c r="DZ468" s="98"/>
      <c r="EA468" s="98"/>
      <c r="EB468" s="98"/>
      <c r="EC468" s="98"/>
      <c r="ED468" s="98"/>
    </row>
    <row r="469" spans="1:134" ht="11.25" customHeight="1" x14ac:dyDescent="0.3">
      <c r="A469" s="28" t="e">
        <f t="array" aca="1" ref="A469" ca="1">_xludf.XLOOKUP(S469,Master_Registrations!P:P,Master_Registrations!A:A,"")</f>
        <v>#NAME?</v>
      </c>
      <c r="B469" s="89" t="s">
        <v>182</v>
      </c>
      <c r="C469" s="89">
        <v>2022</v>
      </c>
      <c r="D469" s="89" t="s">
        <v>4886</v>
      </c>
      <c r="E469" s="89">
        <v>1</v>
      </c>
      <c r="F469" s="90" t="str">
        <f t="shared" si="6"/>
        <v>VED-01-2022-GR-1</v>
      </c>
      <c r="G469" s="89" t="s">
        <v>7073</v>
      </c>
      <c r="H469" s="89" t="s">
        <v>4750</v>
      </c>
      <c r="I469" s="89"/>
      <c r="J469" s="89" t="s">
        <v>7094</v>
      </c>
      <c r="K469" s="101"/>
      <c r="L469" s="93"/>
      <c r="M469" s="101"/>
      <c r="N469" s="90" t="s">
        <v>7095</v>
      </c>
      <c r="O469" s="89" t="s">
        <v>5201</v>
      </c>
      <c r="P469" s="141" t="s">
        <v>5202</v>
      </c>
      <c r="Q469" s="89" t="e">
        <f t="shared" ca="1" si="7"/>
        <v>#NAME?</v>
      </c>
      <c r="R469" s="39" t="s">
        <v>112</v>
      </c>
      <c r="S469" s="94">
        <v>9032598770</v>
      </c>
      <c r="T469" s="90" t="s">
        <v>111</v>
      </c>
      <c r="U469" s="90">
        <v>1991</v>
      </c>
      <c r="V469" s="96">
        <v>-1</v>
      </c>
      <c r="W469" s="96">
        <v>-1</v>
      </c>
      <c r="X469" s="97">
        <v>1</v>
      </c>
      <c r="Y469" s="97">
        <v>1</v>
      </c>
      <c r="Z469" s="97">
        <v>1</v>
      </c>
      <c r="AA469" s="97">
        <v>1</v>
      </c>
      <c r="AB469" s="97">
        <v>1</v>
      </c>
      <c r="AC469" s="96">
        <v>-1</v>
      </c>
      <c r="AD469" s="96">
        <v>-1</v>
      </c>
      <c r="AE469" s="97">
        <v>1</v>
      </c>
      <c r="AF469" s="97">
        <v>1</v>
      </c>
      <c r="AG469" s="97">
        <v>1</v>
      </c>
      <c r="AH469" s="97">
        <v>1</v>
      </c>
      <c r="AI469" s="96">
        <v>-1</v>
      </c>
      <c r="AJ469" s="97">
        <v>1</v>
      </c>
      <c r="AK469" s="97">
        <v>1</v>
      </c>
      <c r="AL469" s="97">
        <v>1</v>
      </c>
      <c r="AM469" s="97">
        <v>1</v>
      </c>
      <c r="AN469" s="97">
        <v>1</v>
      </c>
      <c r="AO469" s="97">
        <v>1</v>
      </c>
      <c r="AP469" s="95">
        <v>-1</v>
      </c>
      <c r="AQ469" s="95">
        <v>-1</v>
      </c>
      <c r="AR469" s="97">
        <v>1</v>
      </c>
      <c r="AS469" s="95">
        <v>-1</v>
      </c>
      <c r="AT469" s="95">
        <v>-1</v>
      </c>
      <c r="AU469" s="99">
        <v>-1</v>
      </c>
      <c r="AV469" s="95">
        <v>-1</v>
      </c>
      <c r="AW469" s="97">
        <v>-1</v>
      </c>
      <c r="AX469" s="95">
        <v>-1</v>
      </c>
      <c r="AY469" s="96">
        <v>-1</v>
      </c>
      <c r="AZ469" s="96">
        <v>-1</v>
      </c>
      <c r="BA469" s="96">
        <v>-1</v>
      </c>
      <c r="BB469" s="96">
        <v>-1</v>
      </c>
      <c r="BC469" s="97">
        <v>-1</v>
      </c>
      <c r="BD469" s="97">
        <v>-1</v>
      </c>
      <c r="BE469" s="96">
        <v>-1</v>
      </c>
      <c r="BF469" s="96">
        <v>-1</v>
      </c>
      <c r="BG469" s="96">
        <v>-1</v>
      </c>
      <c r="BH469" s="96">
        <v>-1</v>
      </c>
      <c r="BI469" s="96">
        <v>-1</v>
      </c>
      <c r="BJ469" s="96">
        <v>-1</v>
      </c>
      <c r="BK469" s="96">
        <v>-1</v>
      </c>
      <c r="BL469" s="96">
        <v>-1</v>
      </c>
      <c r="BM469" s="96">
        <v>-1</v>
      </c>
      <c r="BN469" s="89"/>
      <c r="BO469" s="89"/>
      <c r="BP469" s="89"/>
      <c r="BQ469" s="89"/>
      <c r="BR469" s="89"/>
      <c r="BS469" s="89"/>
      <c r="BT469" s="89"/>
      <c r="BU469" s="89"/>
      <c r="BV469" s="89"/>
      <c r="BW469" s="89"/>
      <c r="BX469" s="89"/>
      <c r="BY469" s="89"/>
      <c r="BZ469" s="89"/>
      <c r="CA469" s="89"/>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98"/>
      <c r="DA469" s="98"/>
      <c r="DB469" s="98"/>
      <c r="DC469" s="98"/>
      <c r="DD469" s="98"/>
      <c r="DE469" s="98"/>
      <c r="DF469" s="98"/>
      <c r="DG469" s="98"/>
      <c r="DH469" s="98"/>
      <c r="DI469" s="98"/>
      <c r="DJ469" s="98"/>
      <c r="DK469" s="98"/>
      <c r="DL469" s="98"/>
      <c r="DM469" s="98"/>
      <c r="DN469" s="98"/>
      <c r="DO469" s="98"/>
      <c r="DP469" s="98"/>
      <c r="DQ469" s="98"/>
      <c r="DR469" s="98"/>
      <c r="DS469" s="98"/>
      <c r="DT469" s="98"/>
      <c r="DU469" s="98"/>
      <c r="DV469" s="98"/>
      <c r="DW469" s="98"/>
      <c r="DX469" s="98"/>
      <c r="DY469" s="98"/>
      <c r="DZ469" s="98"/>
      <c r="EA469" s="98"/>
      <c r="EB469" s="98"/>
      <c r="EC469" s="98"/>
      <c r="ED469" s="98"/>
    </row>
    <row r="470" spans="1:134" ht="11.25" customHeight="1" x14ac:dyDescent="0.3">
      <c r="A470" s="28" t="e">
        <f t="array" aca="1" ref="A470" ca="1">_xludf.XLOOKUP(S470,Master_Registrations!P:P,Master_Registrations!A:A,"")</f>
        <v>#NAME?</v>
      </c>
      <c r="B470" s="89" t="s">
        <v>182</v>
      </c>
      <c r="C470" s="89">
        <v>2022</v>
      </c>
      <c r="D470" s="89" t="s">
        <v>4886</v>
      </c>
      <c r="E470" s="89">
        <v>1</v>
      </c>
      <c r="F470" s="90" t="str">
        <f t="shared" si="6"/>
        <v>VED-01-2022-GR-1</v>
      </c>
      <c r="G470" s="89" t="s">
        <v>7073</v>
      </c>
      <c r="H470" s="89" t="s">
        <v>4750</v>
      </c>
      <c r="I470" s="89"/>
      <c r="J470" s="89" t="s">
        <v>7094</v>
      </c>
      <c r="K470" s="101"/>
      <c r="L470" s="93"/>
      <c r="M470" s="101"/>
      <c r="N470" s="90" t="s">
        <v>7095</v>
      </c>
      <c r="O470" s="89" t="s">
        <v>5670</v>
      </c>
      <c r="P470" s="89" t="s">
        <v>5671</v>
      </c>
      <c r="Q470" s="89" t="e">
        <f t="shared" ca="1" si="7"/>
        <v>#NAME?</v>
      </c>
      <c r="R470" s="39" t="s">
        <v>316</v>
      </c>
      <c r="S470" s="94">
        <v>4256559298</v>
      </c>
      <c r="T470" s="90" t="s">
        <v>474</v>
      </c>
      <c r="U470" s="90">
        <v>2002</v>
      </c>
      <c r="V470" s="96">
        <v>-1</v>
      </c>
      <c r="W470" s="96">
        <v>-1</v>
      </c>
      <c r="X470" s="97">
        <v>-1</v>
      </c>
      <c r="Y470" s="97">
        <v>-1</v>
      </c>
      <c r="Z470" s="97">
        <v>-1</v>
      </c>
      <c r="AA470" s="97">
        <v>-1</v>
      </c>
      <c r="AB470" s="97">
        <v>-1</v>
      </c>
      <c r="AC470" s="96">
        <v>-1</v>
      </c>
      <c r="AD470" s="96">
        <v>-1</v>
      </c>
      <c r="AE470" s="97">
        <v>-1</v>
      </c>
      <c r="AF470" s="97">
        <v>-1</v>
      </c>
      <c r="AG470" s="97">
        <v>-1</v>
      </c>
      <c r="AH470" s="97">
        <v>-1</v>
      </c>
      <c r="AI470" s="96">
        <v>-1</v>
      </c>
      <c r="AJ470" s="97">
        <v>-1</v>
      </c>
      <c r="AK470" s="97">
        <v>-1</v>
      </c>
      <c r="AL470" s="97">
        <v>-1</v>
      </c>
      <c r="AM470" s="97">
        <v>-1</v>
      </c>
      <c r="AN470" s="97">
        <v>-1</v>
      </c>
      <c r="AO470" s="97">
        <v>-1</v>
      </c>
      <c r="AP470" s="95">
        <v>-1</v>
      </c>
      <c r="AQ470" s="95">
        <v>-1</v>
      </c>
      <c r="AR470" s="97">
        <v>-1</v>
      </c>
      <c r="AS470" s="95">
        <v>-1</v>
      </c>
      <c r="AT470" s="95">
        <v>-1</v>
      </c>
      <c r="AU470" s="95">
        <v>-1</v>
      </c>
      <c r="AV470" s="95">
        <v>-1</v>
      </c>
      <c r="AW470" s="89"/>
      <c r="AX470" s="89"/>
      <c r="AY470" s="89"/>
      <c r="AZ470" s="89"/>
      <c r="BA470" s="89"/>
      <c r="BB470" s="89"/>
      <c r="BC470" s="89"/>
      <c r="BD470" s="89"/>
      <c r="BE470" s="89"/>
      <c r="BF470" s="89"/>
      <c r="BG470" s="89"/>
      <c r="BH470" s="89"/>
      <c r="BI470" s="89"/>
      <c r="BJ470" s="89"/>
      <c r="BK470" s="89"/>
      <c r="BL470" s="89"/>
      <c r="BM470" s="89"/>
      <c r="BN470" s="89"/>
      <c r="BO470" s="89"/>
      <c r="BP470" s="89"/>
      <c r="BQ470" s="89"/>
      <c r="BR470" s="89"/>
      <c r="BS470" s="89"/>
      <c r="BT470" s="89"/>
      <c r="BU470" s="89"/>
      <c r="BV470" s="89"/>
      <c r="BW470" s="89"/>
      <c r="BX470" s="89"/>
      <c r="BY470" s="89"/>
      <c r="BZ470" s="89"/>
      <c r="CA470" s="89"/>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98"/>
      <c r="DA470" s="98"/>
      <c r="DB470" s="98"/>
      <c r="DC470" s="98"/>
      <c r="DD470" s="98"/>
      <c r="DE470" s="98"/>
      <c r="DF470" s="98"/>
      <c r="DG470" s="98"/>
      <c r="DH470" s="98"/>
      <c r="DI470" s="98"/>
      <c r="DJ470" s="98"/>
      <c r="DK470" s="98"/>
      <c r="DL470" s="98"/>
      <c r="DM470" s="98"/>
      <c r="DN470" s="98"/>
      <c r="DO470" s="98"/>
      <c r="DP470" s="98"/>
      <c r="DQ470" s="98"/>
      <c r="DR470" s="98"/>
      <c r="DS470" s="98"/>
      <c r="DT470" s="98"/>
      <c r="DU470" s="98"/>
      <c r="DV470" s="98"/>
      <c r="DW470" s="98"/>
      <c r="DX470" s="98"/>
      <c r="DY470" s="98"/>
      <c r="DZ470" s="98"/>
      <c r="EA470" s="98"/>
      <c r="EB470" s="98"/>
      <c r="EC470" s="98"/>
      <c r="ED470" s="98"/>
    </row>
    <row r="471" spans="1:134" ht="11.25" customHeight="1" x14ac:dyDescent="0.3">
      <c r="A471" s="28" t="e">
        <f t="array" aca="1" ref="A471" ca="1">_xludf.XLOOKUP(S471,Master_Registrations!P:P,Master_Registrations!A:A,"")</f>
        <v>#NAME?</v>
      </c>
      <c r="B471" s="89" t="s">
        <v>182</v>
      </c>
      <c r="C471" s="89">
        <v>2022</v>
      </c>
      <c r="D471" s="89" t="s">
        <v>4886</v>
      </c>
      <c r="E471" s="89">
        <v>1</v>
      </c>
      <c r="F471" s="90" t="str">
        <f t="shared" si="6"/>
        <v>VED-01-2022-GR-1</v>
      </c>
      <c r="G471" s="89" t="s">
        <v>7073</v>
      </c>
      <c r="H471" s="89" t="s">
        <v>4750</v>
      </c>
      <c r="I471" s="89"/>
      <c r="J471" s="89" t="s">
        <v>7094</v>
      </c>
      <c r="K471" s="101"/>
      <c r="L471" s="93"/>
      <c r="M471" s="101"/>
      <c r="N471" s="90" t="s">
        <v>7095</v>
      </c>
      <c r="O471" s="89" t="s">
        <v>5645</v>
      </c>
      <c r="P471" s="89" t="s">
        <v>5646</v>
      </c>
      <c r="Q471" s="89" t="e">
        <f t="shared" ca="1" si="7"/>
        <v>#NAME?</v>
      </c>
      <c r="R471" s="39" t="s">
        <v>316</v>
      </c>
      <c r="S471" s="94">
        <v>6127705049</v>
      </c>
      <c r="T471" s="90" t="s">
        <v>315</v>
      </c>
      <c r="U471" s="90">
        <v>1983</v>
      </c>
      <c r="V471" s="96">
        <v>-1</v>
      </c>
      <c r="W471" s="96">
        <v>-1</v>
      </c>
      <c r="X471" s="97">
        <v>1</v>
      </c>
      <c r="Y471" s="97">
        <v>1</v>
      </c>
      <c r="Z471" s="97">
        <v>1</v>
      </c>
      <c r="AA471" s="97">
        <v>-1</v>
      </c>
      <c r="AB471" s="97">
        <v>-1</v>
      </c>
      <c r="AC471" s="96">
        <v>-1</v>
      </c>
      <c r="AD471" s="96">
        <v>-1</v>
      </c>
      <c r="AE471" s="97">
        <v>1</v>
      </c>
      <c r="AF471" s="97">
        <v>1</v>
      </c>
      <c r="AG471" s="97">
        <v>1</v>
      </c>
      <c r="AH471" s="97">
        <v>1</v>
      </c>
      <c r="AI471" s="96">
        <v>-1</v>
      </c>
      <c r="AJ471" s="97">
        <v>1</v>
      </c>
      <c r="AK471" s="97">
        <v>1</v>
      </c>
      <c r="AL471" s="97">
        <v>1</v>
      </c>
      <c r="AM471" s="97">
        <v>1</v>
      </c>
      <c r="AN471" s="97">
        <v>1</v>
      </c>
      <c r="AO471" s="97">
        <v>1</v>
      </c>
      <c r="AP471" s="95">
        <v>-1</v>
      </c>
      <c r="AQ471" s="95">
        <v>-1</v>
      </c>
      <c r="AR471" s="97">
        <v>1</v>
      </c>
      <c r="AS471" s="95">
        <v>-1</v>
      </c>
      <c r="AT471" s="95">
        <v>-1</v>
      </c>
      <c r="AU471" s="99">
        <v>-1</v>
      </c>
      <c r="AV471" s="95">
        <v>-1</v>
      </c>
      <c r="AW471" s="89"/>
      <c r="AX471" s="89"/>
      <c r="AY471" s="89"/>
      <c r="AZ471" s="89"/>
      <c r="BA471" s="89"/>
      <c r="BB471" s="89"/>
      <c r="BC471" s="89"/>
      <c r="BD471" s="89"/>
      <c r="BE471" s="89"/>
      <c r="BF471" s="89"/>
      <c r="BG471" s="89"/>
      <c r="BH471" s="89"/>
      <c r="BI471" s="89"/>
      <c r="BJ471" s="89"/>
      <c r="BK471" s="89"/>
      <c r="BL471" s="89"/>
      <c r="BM471" s="89"/>
      <c r="BN471" s="89"/>
      <c r="BO471" s="89"/>
      <c r="BP471" s="89"/>
      <c r="BQ471" s="89"/>
      <c r="BR471" s="89"/>
      <c r="BS471" s="89"/>
      <c r="BT471" s="89"/>
      <c r="BU471" s="89"/>
      <c r="BV471" s="89"/>
      <c r="BW471" s="89"/>
      <c r="BX471" s="89"/>
      <c r="BY471" s="89"/>
      <c r="BZ471" s="89"/>
      <c r="CA471" s="89"/>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98"/>
      <c r="DA471" s="98"/>
      <c r="DB471" s="98"/>
      <c r="DC471" s="98"/>
      <c r="DD471" s="98"/>
      <c r="DE471" s="98"/>
      <c r="DF471" s="98"/>
      <c r="DG471" s="98"/>
      <c r="DH471" s="98"/>
      <c r="DI471" s="98"/>
      <c r="DJ471" s="98"/>
      <c r="DK471" s="98"/>
      <c r="DL471" s="98"/>
      <c r="DM471" s="98"/>
      <c r="DN471" s="98"/>
      <c r="DO471" s="98"/>
      <c r="DP471" s="98"/>
      <c r="DQ471" s="98"/>
      <c r="DR471" s="98"/>
      <c r="DS471" s="98"/>
      <c r="DT471" s="98"/>
      <c r="DU471" s="98"/>
      <c r="DV471" s="98"/>
      <c r="DW471" s="98"/>
      <c r="DX471" s="98"/>
      <c r="DY471" s="98"/>
      <c r="DZ471" s="98"/>
      <c r="EA471" s="98"/>
      <c r="EB471" s="98"/>
      <c r="EC471" s="98"/>
      <c r="ED471" s="98"/>
    </row>
    <row r="472" spans="1:134" ht="11.25" customHeight="1" x14ac:dyDescent="0.3">
      <c r="A472" s="28" t="e">
        <f t="array" aca="1" ref="A472" ca="1">_xludf.XLOOKUP(S472,Master_Registrations!P:P,Master_Registrations!A:A,"")</f>
        <v>#NAME?</v>
      </c>
      <c r="B472" s="89" t="s">
        <v>182</v>
      </c>
      <c r="C472" s="89">
        <v>2022</v>
      </c>
      <c r="D472" s="89" t="s">
        <v>4886</v>
      </c>
      <c r="E472" s="89">
        <v>1</v>
      </c>
      <c r="F472" s="90" t="str">
        <f t="shared" si="6"/>
        <v>VED-01-2022-GR-1</v>
      </c>
      <c r="G472" s="89" t="s">
        <v>7073</v>
      </c>
      <c r="H472" s="89" t="s">
        <v>4750</v>
      </c>
      <c r="I472" s="89"/>
      <c r="J472" s="89" t="s">
        <v>7094</v>
      </c>
      <c r="K472" s="91"/>
      <c r="L472" s="93"/>
      <c r="M472" s="92"/>
      <c r="N472" s="90" t="s">
        <v>7095</v>
      </c>
      <c r="O472" s="89" t="s">
        <v>5582</v>
      </c>
      <c r="P472" s="89" t="s">
        <v>643</v>
      </c>
      <c r="Q472" s="89" t="e">
        <f t="shared" ca="1" si="7"/>
        <v>#NAME?</v>
      </c>
      <c r="R472" s="39" t="s">
        <v>316</v>
      </c>
      <c r="S472" s="94">
        <v>5126569880</v>
      </c>
      <c r="T472" s="90" t="s">
        <v>315</v>
      </c>
      <c r="U472" s="90">
        <v>1978</v>
      </c>
      <c r="V472" s="97">
        <v>1</v>
      </c>
      <c r="W472" s="97">
        <v>1</v>
      </c>
      <c r="X472" s="97">
        <v>1</v>
      </c>
      <c r="Y472" s="97">
        <v>1</v>
      </c>
      <c r="Z472" s="97">
        <v>1</v>
      </c>
      <c r="AA472" s="97">
        <v>1</v>
      </c>
      <c r="AB472" s="97">
        <v>1</v>
      </c>
      <c r="AC472" s="95">
        <v>-1</v>
      </c>
      <c r="AD472" s="95">
        <v>-1</v>
      </c>
      <c r="AE472" s="97">
        <v>1</v>
      </c>
      <c r="AF472" s="97">
        <v>1</v>
      </c>
      <c r="AG472" s="97">
        <v>1</v>
      </c>
      <c r="AH472" s="97">
        <v>1</v>
      </c>
      <c r="AI472" s="96">
        <v>-1</v>
      </c>
      <c r="AJ472" s="97">
        <v>1</v>
      </c>
      <c r="AK472" s="97">
        <v>1</v>
      </c>
      <c r="AL472" s="97">
        <v>-1</v>
      </c>
      <c r="AM472" s="97">
        <v>1</v>
      </c>
      <c r="AN472" s="97">
        <v>1</v>
      </c>
      <c r="AO472" s="97">
        <v>-1</v>
      </c>
      <c r="AP472" s="95">
        <v>-1</v>
      </c>
      <c r="AQ472" s="95">
        <v>-1</v>
      </c>
      <c r="AR472" s="97">
        <v>-1</v>
      </c>
      <c r="AS472" s="95">
        <v>-1</v>
      </c>
      <c r="AT472" s="95">
        <v>-1</v>
      </c>
      <c r="AU472" s="95">
        <v>-1</v>
      </c>
      <c r="AV472" s="95">
        <v>-1</v>
      </c>
      <c r="AW472" s="97">
        <v>-1</v>
      </c>
      <c r="AX472" s="96">
        <v>-1</v>
      </c>
      <c r="AY472" s="95">
        <v>-1</v>
      </c>
      <c r="AZ472" s="95">
        <v>-1</v>
      </c>
      <c r="BA472" s="95">
        <v>-1</v>
      </c>
      <c r="BB472" s="95">
        <v>-1</v>
      </c>
      <c r="BC472" s="97">
        <v>-1</v>
      </c>
      <c r="BD472" s="97">
        <v>-1</v>
      </c>
      <c r="BE472" s="97">
        <v>-1</v>
      </c>
      <c r="BF472" s="96">
        <v>-1</v>
      </c>
      <c r="BG472" s="97">
        <v>1</v>
      </c>
      <c r="BH472" s="97">
        <v>1</v>
      </c>
      <c r="BI472" s="97">
        <v>1</v>
      </c>
      <c r="BJ472" s="97">
        <v>1</v>
      </c>
      <c r="BK472" s="97">
        <v>1</v>
      </c>
      <c r="BL472" s="97">
        <v>1</v>
      </c>
      <c r="BM472" s="96">
        <v>-1</v>
      </c>
      <c r="BN472" s="89"/>
      <c r="BO472" s="89"/>
      <c r="BP472" s="89"/>
      <c r="BQ472" s="89"/>
      <c r="BR472" s="89"/>
      <c r="BS472" s="89"/>
      <c r="BT472" s="89"/>
      <c r="BU472" s="89"/>
      <c r="BV472" s="89"/>
      <c r="BW472" s="89"/>
      <c r="BX472" s="89"/>
      <c r="BY472" s="89"/>
      <c r="BZ472" s="89"/>
      <c r="CA472" s="89"/>
      <c r="CB472" s="89"/>
      <c r="CC472" s="89"/>
      <c r="CD472" s="89"/>
      <c r="CE472" s="89"/>
      <c r="CF472" s="89"/>
      <c r="CG472" s="89"/>
      <c r="CH472" s="89"/>
      <c r="CI472" s="89"/>
      <c r="CJ472" s="89"/>
      <c r="CK472" s="89"/>
      <c r="CL472" s="89"/>
      <c r="CM472" s="89"/>
      <c r="CN472" s="106">
        <v>-1</v>
      </c>
      <c r="CO472" s="106">
        <v>-1</v>
      </c>
      <c r="CP472" s="106">
        <v>-1</v>
      </c>
      <c r="CQ472" s="106">
        <v>-1</v>
      </c>
      <c r="CR472" s="106">
        <v>-1</v>
      </c>
      <c r="CS472" s="106">
        <v>-1</v>
      </c>
      <c r="CT472" s="106">
        <v>-1</v>
      </c>
      <c r="CU472" s="106">
        <v>-1</v>
      </c>
      <c r="CV472" s="106">
        <v>-1</v>
      </c>
      <c r="CW472" s="106">
        <v>-1</v>
      </c>
      <c r="CX472" s="106">
        <v>-1</v>
      </c>
      <c r="CY472" s="106">
        <v>-1</v>
      </c>
      <c r="CZ472" s="98"/>
      <c r="DA472" s="98"/>
      <c r="DB472" s="98"/>
      <c r="DC472" s="98"/>
      <c r="DD472" s="98"/>
      <c r="DE472" s="98"/>
      <c r="DF472" s="98"/>
      <c r="DG472" s="98"/>
      <c r="DH472" s="98"/>
      <c r="DI472" s="98"/>
      <c r="DJ472" s="98"/>
      <c r="DK472" s="98"/>
      <c r="DL472" s="98"/>
      <c r="DM472" s="98"/>
      <c r="DN472" s="98"/>
      <c r="DO472" s="98"/>
      <c r="DP472" s="98"/>
      <c r="DQ472" s="98"/>
      <c r="DR472" s="98"/>
      <c r="DS472" s="98"/>
      <c r="DT472" s="98"/>
      <c r="DU472" s="98"/>
      <c r="DV472" s="98"/>
      <c r="DW472" s="98"/>
      <c r="DX472" s="98"/>
      <c r="DY472" s="98"/>
      <c r="DZ472" s="98"/>
      <c r="EA472" s="98"/>
      <c r="EB472" s="98"/>
      <c r="EC472" s="98"/>
      <c r="ED472" s="98"/>
    </row>
    <row r="473" spans="1:134" ht="11.25" customHeight="1" x14ac:dyDescent="0.3">
      <c r="A473" s="28" t="e">
        <f t="array" aca="1" ref="A473" ca="1">_xludf.XLOOKUP(S473,Master_Registrations!P:P,Master_Registrations!A:A,"")</f>
        <v>#NAME?</v>
      </c>
      <c r="B473" s="89" t="s">
        <v>182</v>
      </c>
      <c r="C473" s="89">
        <v>2022</v>
      </c>
      <c r="D473" s="89" t="s">
        <v>4886</v>
      </c>
      <c r="E473" s="89">
        <v>1</v>
      </c>
      <c r="F473" s="90" t="str">
        <f t="shared" si="6"/>
        <v>VED-01-2022-GR-1</v>
      </c>
      <c r="G473" s="90" t="s">
        <v>7073</v>
      </c>
      <c r="H473" s="90" t="s">
        <v>7092</v>
      </c>
      <c r="I473" s="90"/>
      <c r="J473" s="89" t="s">
        <v>7094</v>
      </c>
      <c r="K473" s="92"/>
      <c r="L473" s="102"/>
      <c r="M473" s="92"/>
      <c r="N473" s="90" t="s">
        <v>7095</v>
      </c>
      <c r="O473" s="89" t="s">
        <v>5714</v>
      </c>
      <c r="P473" s="89" t="s">
        <v>5715</v>
      </c>
      <c r="Q473" s="89" t="e">
        <f t="shared" ca="1" si="7"/>
        <v>#NAME?</v>
      </c>
      <c r="R473" s="39" t="s">
        <v>316</v>
      </c>
      <c r="S473" s="94">
        <v>4257866656</v>
      </c>
      <c r="T473" s="90" t="s">
        <v>474</v>
      </c>
      <c r="U473" s="90">
        <v>1985</v>
      </c>
      <c r="V473" s="97">
        <v>2</v>
      </c>
      <c r="W473" s="97">
        <v>2</v>
      </c>
      <c r="X473" s="97">
        <v>2</v>
      </c>
      <c r="Y473" s="97">
        <v>2</v>
      </c>
      <c r="Z473" s="97">
        <v>2</v>
      </c>
      <c r="AA473" s="97">
        <v>2</v>
      </c>
      <c r="AB473" s="97">
        <v>2</v>
      </c>
      <c r="AC473" s="96">
        <v>-1</v>
      </c>
      <c r="AD473" s="96">
        <v>-1</v>
      </c>
      <c r="AE473" s="97">
        <v>2</v>
      </c>
      <c r="AF473" s="97">
        <v>2</v>
      </c>
      <c r="AG473" s="97">
        <v>2</v>
      </c>
      <c r="AH473" s="97">
        <v>2</v>
      </c>
      <c r="AI473" s="96">
        <v>-1</v>
      </c>
      <c r="AJ473" s="97">
        <v>2</v>
      </c>
      <c r="AK473" s="97">
        <v>2</v>
      </c>
      <c r="AL473" s="97">
        <v>2</v>
      </c>
      <c r="AM473" s="97">
        <v>2</v>
      </c>
      <c r="AN473" s="97">
        <v>2</v>
      </c>
      <c r="AO473" s="97">
        <v>2</v>
      </c>
      <c r="AP473" s="95">
        <v>-1</v>
      </c>
      <c r="AQ473" s="95">
        <v>-1</v>
      </c>
      <c r="AR473" s="97">
        <v>2</v>
      </c>
      <c r="AS473" s="95">
        <v>-1</v>
      </c>
      <c r="AT473" s="97">
        <v>-1</v>
      </c>
      <c r="AU473" s="97">
        <v>2</v>
      </c>
      <c r="AV473" s="95">
        <v>-1</v>
      </c>
      <c r="AW473" s="97">
        <v>1</v>
      </c>
      <c r="AX473" s="95">
        <v>-1</v>
      </c>
      <c r="AY473" s="96">
        <v>-1</v>
      </c>
      <c r="AZ473" s="96">
        <v>-1</v>
      </c>
      <c r="BA473" s="97">
        <v>2</v>
      </c>
      <c r="BB473" s="97">
        <v>2</v>
      </c>
      <c r="BC473" s="97">
        <v>1</v>
      </c>
      <c r="BD473" s="97">
        <v>1</v>
      </c>
      <c r="BE473" s="97">
        <v>-1</v>
      </c>
      <c r="BF473" s="96">
        <v>-1</v>
      </c>
      <c r="BG473" s="97">
        <v>-1</v>
      </c>
      <c r="BH473" s="97">
        <v>-1</v>
      </c>
      <c r="BI473" s="97">
        <v>-1</v>
      </c>
      <c r="BJ473" s="97">
        <v>-1</v>
      </c>
      <c r="BK473" s="97">
        <v>-1</v>
      </c>
      <c r="BL473" s="97">
        <v>-1</v>
      </c>
      <c r="BM473" s="96">
        <v>-1</v>
      </c>
      <c r="BN473" s="106">
        <v>-1</v>
      </c>
      <c r="BO473" s="106">
        <v>-1</v>
      </c>
      <c r="BP473" s="106">
        <v>-1</v>
      </c>
      <c r="BQ473" s="106">
        <v>-1</v>
      </c>
      <c r="BR473" s="106">
        <v>-1</v>
      </c>
      <c r="BS473" s="100">
        <v>-1</v>
      </c>
      <c r="BT473" s="100">
        <v>-1</v>
      </c>
      <c r="BU473" s="100">
        <v>-1</v>
      </c>
      <c r="BV473" s="106">
        <v>-1</v>
      </c>
      <c r="BW473" s="89"/>
      <c r="BX473" s="89"/>
      <c r="BY473" s="89"/>
      <c r="BZ473" s="89"/>
      <c r="CA473" s="89"/>
      <c r="CB473" s="89"/>
      <c r="CC473" s="89"/>
      <c r="CD473" s="89"/>
      <c r="CE473" s="89"/>
      <c r="CF473" s="89"/>
      <c r="CG473" s="89"/>
      <c r="CH473" s="89"/>
      <c r="CI473" s="89"/>
      <c r="CJ473" s="89"/>
      <c r="CK473" s="89"/>
      <c r="CL473" s="89"/>
      <c r="CM473" s="89"/>
      <c r="CN473" s="106">
        <v>-1</v>
      </c>
      <c r="CO473" s="106">
        <v>-1</v>
      </c>
      <c r="CP473" s="106">
        <v>-1</v>
      </c>
      <c r="CQ473" s="106">
        <v>-1</v>
      </c>
      <c r="CR473" s="106">
        <v>-1</v>
      </c>
      <c r="CS473" s="106">
        <v>-1</v>
      </c>
      <c r="CT473" s="106">
        <v>-1</v>
      </c>
      <c r="CU473" s="106">
        <v>-1</v>
      </c>
      <c r="CV473" s="106">
        <v>-1</v>
      </c>
      <c r="CW473" s="106">
        <v>-1</v>
      </c>
      <c r="CX473" s="106">
        <v>-1</v>
      </c>
      <c r="CY473" s="106">
        <v>-1</v>
      </c>
      <c r="CZ473" s="98"/>
      <c r="DA473" s="98"/>
      <c r="DB473" s="98"/>
      <c r="DC473" s="98"/>
      <c r="DD473" s="98"/>
      <c r="DE473" s="98"/>
      <c r="DF473" s="98"/>
      <c r="DG473" s="98"/>
      <c r="DH473" s="98"/>
      <c r="DI473" s="98"/>
      <c r="DJ473" s="98"/>
      <c r="DK473" s="98"/>
      <c r="DL473" s="98"/>
      <c r="DM473" s="98"/>
      <c r="DN473" s="98"/>
      <c r="DO473" s="98"/>
      <c r="DP473" s="98"/>
      <c r="DQ473" s="98"/>
      <c r="DR473" s="98"/>
      <c r="DS473" s="98"/>
      <c r="DT473" s="98"/>
      <c r="DU473" s="98"/>
      <c r="DV473" s="98"/>
      <c r="DW473" s="98"/>
      <c r="DX473" s="98"/>
      <c r="DY473" s="98"/>
      <c r="DZ473" s="98"/>
      <c r="EA473" s="98"/>
      <c r="EB473" s="98"/>
      <c r="EC473" s="98"/>
      <c r="ED473" s="98"/>
    </row>
    <row r="474" spans="1:134" ht="11.25" customHeight="1" x14ac:dyDescent="0.3">
      <c r="A474" s="28" t="e">
        <f t="array" aca="1" ref="A474" ca="1">_xludf.XLOOKUP(S474,Master_Registrations!P:P,Master_Registrations!A:A,"")</f>
        <v>#NAME?</v>
      </c>
      <c r="B474" s="89" t="s">
        <v>182</v>
      </c>
      <c r="C474" s="89">
        <v>2022</v>
      </c>
      <c r="D474" s="89" t="s">
        <v>4886</v>
      </c>
      <c r="E474" s="89">
        <v>1</v>
      </c>
      <c r="F474" s="90" t="str">
        <f t="shared" si="6"/>
        <v>VED-01-2022-GR-1</v>
      </c>
      <c r="G474" s="89" t="s">
        <v>7073</v>
      </c>
      <c r="H474" s="89" t="s">
        <v>7098</v>
      </c>
      <c r="I474" s="89"/>
      <c r="J474" s="89" t="s">
        <v>7094</v>
      </c>
      <c r="K474" s="107"/>
      <c r="L474" s="107"/>
      <c r="M474" s="107"/>
      <c r="N474" s="90" t="s">
        <v>7095</v>
      </c>
      <c r="O474" s="89" t="s">
        <v>2881</v>
      </c>
      <c r="P474" s="89" t="s">
        <v>5651</v>
      </c>
      <c r="Q474" s="89" t="e">
        <f t="shared" ca="1" si="7"/>
        <v>#NAME?</v>
      </c>
      <c r="R474" s="39" t="s">
        <v>316</v>
      </c>
      <c r="S474" s="105">
        <v>8036293505</v>
      </c>
      <c r="T474" s="90" t="s">
        <v>474</v>
      </c>
      <c r="U474" s="89">
        <v>1983</v>
      </c>
      <c r="V474" s="99">
        <v>2</v>
      </c>
      <c r="W474" s="99">
        <v>2</v>
      </c>
      <c r="X474" s="99">
        <v>2</v>
      </c>
      <c r="Y474" s="99">
        <v>2</v>
      </c>
      <c r="Z474" s="99">
        <v>2</v>
      </c>
      <c r="AA474" s="99">
        <v>2</v>
      </c>
      <c r="AB474" s="99">
        <v>2</v>
      </c>
      <c r="AC474" s="95">
        <v>-1</v>
      </c>
      <c r="AD474" s="95">
        <v>-1</v>
      </c>
      <c r="AE474" s="99">
        <v>2</v>
      </c>
      <c r="AF474" s="99">
        <v>2</v>
      </c>
      <c r="AG474" s="99">
        <v>2</v>
      </c>
      <c r="AH474" s="99">
        <v>2</v>
      </c>
      <c r="AI474" s="95">
        <v>-1</v>
      </c>
      <c r="AJ474" s="97">
        <v>1</v>
      </c>
      <c r="AK474" s="97">
        <v>1</v>
      </c>
      <c r="AL474" s="97">
        <v>1</v>
      </c>
      <c r="AM474" s="97">
        <v>1</v>
      </c>
      <c r="AN474" s="97">
        <v>1</v>
      </c>
      <c r="AO474" s="97">
        <v>1</v>
      </c>
      <c r="AP474" s="99">
        <v>-1</v>
      </c>
      <c r="AQ474" s="99">
        <v>1</v>
      </c>
      <c r="AR474" s="97">
        <v>1</v>
      </c>
      <c r="AS474" s="99">
        <v>1</v>
      </c>
      <c r="AT474" s="99">
        <v>1</v>
      </c>
      <c r="AU474" s="97">
        <v>1</v>
      </c>
      <c r="AV474" s="95">
        <v>-1</v>
      </c>
      <c r="AW474" s="99">
        <v>-1</v>
      </c>
      <c r="AX474" s="99">
        <v>-1</v>
      </c>
      <c r="AY474" s="95">
        <v>-1</v>
      </c>
      <c r="AZ474" s="95">
        <v>-1</v>
      </c>
      <c r="BA474" s="99">
        <v>1</v>
      </c>
      <c r="BB474" s="99">
        <v>1</v>
      </c>
      <c r="BC474" s="99">
        <v>-1</v>
      </c>
      <c r="BD474" s="99">
        <v>-1</v>
      </c>
      <c r="BE474" s="95">
        <v>-1</v>
      </c>
      <c r="BF474" s="95">
        <v>-1</v>
      </c>
      <c r="BG474" s="89"/>
      <c r="BH474" s="89"/>
      <c r="BI474" s="89"/>
      <c r="BJ474" s="89"/>
      <c r="BK474" s="89"/>
      <c r="BL474" s="89"/>
      <c r="BM474" s="89"/>
      <c r="BN474" s="89"/>
      <c r="BO474" s="89"/>
      <c r="BP474" s="89"/>
      <c r="BQ474" s="89"/>
      <c r="BR474" s="89"/>
      <c r="BS474" s="89"/>
      <c r="BT474" s="89"/>
      <c r="BU474" s="89"/>
      <c r="BV474" s="89"/>
      <c r="BW474" s="89"/>
      <c r="BX474" s="89"/>
      <c r="BY474" s="89"/>
      <c r="BZ474" s="89"/>
      <c r="CA474" s="89"/>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98"/>
      <c r="DA474" s="98"/>
      <c r="DB474" s="98"/>
      <c r="DC474" s="98"/>
      <c r="DD474" s="98"/>
      <c r="DE474" s="98"/>
      <c r="DF474" s="98"/>
      <c r="DG474" s="98"/>
      <c r="DH474" s="98"/>
      <c r="DI474" s="98"/>
      <c r="DJ474" s="98"/>
      <c r="DK474" s="98"/>
      <c r="DL474" s="98"/>
      <c r="DM474" s="98"/>
      <c r="DN474" s="98"/>
      <c r="DO474" s="98"/>
      <c r="DP474" s="98"/>
      <c r="DQ474" s="98"/>
      <c r="DR474" s="98"/>
      <c r="DS474" s="98"/>
      <c r="DT474" s="98"/>
      <c r="DU474" s="98"/>
      <c r="DV474" s="98"/>
      <c r="DW474" s="98"/>
      <c r="DX474" s="98"/>
      <c r="DY474" s="98"/>
      <c r="DZ474" s="98"/>
      <c r="EA474" s="98"/>
      <c r="EB474" s="98"/>
      <c r="EC474" s="98"/>
      <c r="ED474" s="98"/>
    </row>
    <row r="475" spans="1:134" ht="11.25" customHeight="1" x14ac:dyDescent="0.3">
      <c r="A475" s="28" t="e">
        <f t="array" aca="1" ref="A475" ca="1">_xludf.XLOOKUP(S475,Master_Registrations!P:P,Master_Registrations!A:A,"")</f>
        <v>#NAME?</v>
      </c>
      <c r="B475" s="89" t="s">
        <v>182</v>
      </c>
      <c r="C475" s="89">
        <v>2022</v>
      </c>
      <c r="D475" s="89" t="s">
        <v>4886</v>
      </c>
      <c r="E475" s="89">
        <v>1</v>
      </c>
      <c r="F475" s="90" t="str">
        <f t="shared" si="6"/>
        <v>VED-01-2022-GR-1</v>
      </c>
      <c r="G475" s="89" t="s">
        <v>7073</v>
      </c>
      <c r="H475" s="89" t="s">
        <v>7098</v>
      </c>
      <c r="I475" s="89"/>
      <c r="J475" s="89" t="s">
        <v>7094</v>
      </c>
      <c r="K475" s="107"/>
      <c r="L475" s="107"/>
      <c r="M475" s="107"/>
      <c r="N475" s="90" t="s">
        <v>7095</v>
      </c>
      <c r="O475" s="89" t="s">
        <v>5508</v>
      </c>
      <c r="P475" s="89" t="s">
        <v>520</v>
      </c>
      <c r="Q475" s="89" t="e">
        <f t="shared" ca="1" si="7"/>
        <v>#NAME?</v>
      </c>
      <c r="R475" s="39" t="s">
        <v>316</v>
      </c>
      <c r="S475" s="94">
        <v>2487978589</v>
      </c>
      <c r="T475" s="90" t="s">
        <v>402</v>
      </c>
      <c r="U475" s="89">
        <v>1980</v>
      </c>
      <c r="V475" s="99">
        <v>2</v>
      </c>
      <c r="W475" s="99">
        <v>2</v>
      </c>
      <c r="X475" s="99">
        <v>2</v>
      </c>
      <c r="Y475" s="99">
        <v>2</v>
      </c>
      <c r="Z475" s="99">
        <v>2</v>
      </c>
      <c r="AA475" s="99">
        <v>2</v>
      </c>
      <c r="AB475" s="99">
        <v>2</v>
      </c>
      <c r="AC475" s="95">
        <v>-1</v>
      </c>
      <c r="AD475" s="95">
        <v>-1</v>
      </c>
      <c r="AE475" s="99">
        <v>2</v>
      </c>
      <c r="AF475" s="99">
        <v>2</v>
      </c>
      <c r="AG475" s="99">
        <v>2</v>
      </c>
      <c r="AH475" s="99">
        <v>2</v>
      </c>
      <c r="AI475" s="95">
        <v>-1</v>
      </c>
      <c r="AJ475" s="99">
        <v>2</v>
      </c>
      <c r="AK475" s="99">
        <v>2</v>
      </c>
      <c r="AL475" s="99">
        <v>2</v>
      </c>
      <c r="AM475" s="99">
        <v>2</v>
      </c>
      <c r="AN475" s="99">
        <v>2</v>
      </c>
      <c r="AO475" s="99">
        <v>2</v>
      </c>
      <c r="AP475" s="99">
        <v>-1</v>
      </c>
      <c r="AQ475" s="99">
        <v>1</v>
      </c>
      <c r="AR475" s="99">
        <v>2</v>
      </c>
      <c r="AS475" s="99">
        <v>1</v>
      </c>
      <c r="AT475" s="99">
        <v>1</v>
      </c>
      <c r="AU475" s="99">
        <v>2</v>
      </c>
      <c r="AV475" s="95">
        <v>-1</v>
      </c>
      <c r="AW475" s="99">
        <v>1</v>
      </c>
      <c r="AX475" s="99">
        <v>-1</v>
      </c>
      <c r="AY475" s="95">
        <v>-1</v>
      </c>
      <c r="AZ475" s="95">
        <v>-1</v>
      </c>
      <c r="BA475" s="99">
        <v>1</v>
      </c>
      <c r="BB475" s="99">
        <v>1</v>
      </c>
      <c r="BC475" s="99">
        <v>1</v>
      </c>
      <c r="BD475" s="99">
        <v>1</v>
      </c>
      <c r="BE475" s="97">
        <v>1</v>
      </c>
      <c r="BF475" s="95">
        <v>-1</v>
      </c>
      <c r="BG475" s="97">
        <v>1</v>
      </c>
      <c r="BH475" s="97">
        <v>1</v>
      </c>
      <c r="BI475" s="97">
        <v>1</v>
      </c>
      <c r="BJ475" s="96">
        <v>-1</v>
      </c>
      <c r="BK475" s="96">
        <v>-1</v>
      </c>
      <c r="BL475" s="96">
        <v>-1</v>
      </c>
      <c r="BM475" s="96">
        <v>-1</v>
      </c>
      <c r="BN475" s="89"/>
      <c r="BO475" s="89"/>
      <c r="BP475" s="89"/>
      <c r="BQ475" s="89"/>
      <c r="BR475" s="89"/>
      <c r="BS475" s="89"/>
      <c r="BT475" s="89"/>
      <c r="BU475" s="89"/>
      <c r="BV475" s="89"/>
      <c r="BW475" s="89"/>
      <c r="BX475" s="89"/>
      <c r="BY475" s="89"/>
      <c r="BZ475" s="89"/>
      <c r="CA475" s="89"/>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98"/>
      <c r="DA475" s="98"/>
      <c r="DB475" s="98"/>
      <c r="DC475" s="98"/>
      <c r="DD475" s="98"/>
      <c r="DE475" s="98"/>
      <c r="DF475" s="98"/>
      <c r="DG475" s="98"/>
      <c r="DH475" s="98"/>
      <c r="DI475" s="98"/>
      <c r="DJ475" s="98"/>
      <c r="DK475" s="98"/>
      <c r="DL475" s="98"/>
      <c r="DM475" s="98"/>
      <c r="DN475" s="98"/>
      <c r="DO475" s="98"/>
      <c r="DP475" s="98"/>
      <c r="DQ475" s="98"/>
      <c r="DR475" s="98"/>
      <c r="DS475" s="98"/>
      <c r="DT475" s="98"/>
      <c r="DU475" s="98"/>
      <c r="DV475" s="98"/>
      <c r="DW475" s="98"/>
      <c r="DX475" s="98"/>
      <c r="DY475" s="98"/>
      <c r="DZ475" s="98"/>
      <c r="EA475" s="98"/>
      <c r="EB475" s="98"/>
      <c r="EC475" s="98"/>
      <c r="ED475" s="98"/>
    </row>
    <row r="476" spans="1:134" ht="11.25" customHeight="1" x14ac:dyDescent="0.3">
      <c r="A476" s="28" t="e">
        <f t="array" aca="1" ref="A476" ca="1">_xludf.XLOOKUP(S476,Master_Registrations!P:P,Master_Registrations!A:A,"")</f>
        <v>#NAME?</v>
      </c>
      <c r="B476" s="89" t="s">
        <v>182</v>
      </c>
      <c r="C476" s="89">
        <v>2022</v>
      </c>
      <c r="D476" s="89" t="s">
        <v>4886</v>
      </c>
      <c r="E476" s="89">
        <v>2</v>
      </c>
      <c r="F476" s="90" t="str">
        <f t="shared" si="6"/>
        <v>VED-01-2022-GR-2</v>
      </c>
      <c r="G476" s="89" t="s">
        <v>4569</v>
      </c>
      <c r="H476" s="89" t="s">
        <v>7099</v>
      </c>
      <c r="I476" s="89"/>
      <c r="J476" s="89" t="s">
        <v>7094</v>
      </c>
      <c r="K476" s="91"/>
      <c r="L476" s="101"/>
      <c r="M476" s="101"/>
      <c r="N476" s="90" t="s">
        <v>7095</v>
      </c>
      <c r="O476" s="89" t="s">
        <v>5207</v>
      </c>
      <c r="P476" s="141" t="s">
        <v>5208</v>
      </c>
      <c r="Q476" s="89" t="e">
        <f t="shared" ca="1" si="7"/>
        <v>#NAME?</v>
      </c>
      <c r="R476" s="39" t="s">
        <v>112</v>
      </c>
      <c r="S476" s="90">
        <v>7337359261</v>
      </c>
      <c r="T476" s="90" t="s">
        <v>111</v>
      </c>
      <c r="U476" s="90">
        <v>2011</v>
      </c>
      <c r="V476" s="99">
        <v>-1</v>
      </c>
      <c r="W476" s="95">
        <v>-1</v>
      </c>
      <c r="X476" s="96">
        <v>-1</v>
      </c>
      <c r="Y476" s="96">
        <v>-1</v>
      </c>
      <c r="Z476" s="96">
        <v>-1</v>
      </c>
      <c r="AA476" s="96">
        <v>-1</v>
      </c>
      <c r="AB476" s="96">
        <v>-1</v>
      </c>
      <c r="AC476" s="95">
        <v>-1</v>
      </c>
      <c r="AD476" s="95">
        <v>-1</v>
      </c>
      <c r="AE476" s="95">
        <v>-1</v>
      </c>
      <c r="AF476" s="95">
        <v>-1</v>
      </c>
      <c r="AG476" s="95">
        <v>-1</v>
      </c>
      <c r="AH476" s="95">
        <v>-1</v>
      </c>
      <c r="AI476" s="96">
        <v>-1</v>
      </c>
      <c r="AJ476" s="89"/>
      <c r="AK476" s="89"/>
      <c r="AL476" s="89"/>
      <c r="AM476" s="89"/>
      <c r="AN476" s="89"/>
      <c r="AO476" s="89"/>
      <c r="AP476" s="89"/>
      <c r="AQ476" s="89"/>
      <c r="AR476" s="89"/>
      <c r="AS476" s="89"/>
      <c r="AT476" s="89"/>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c r="BQ476" s="89"/>
      <c r="BR476" s="89"/>
      <c r="BS476" s="89"/>
      <c r="BT476" s="89"/>
      <c r="BU476" s="89"/>
      <c r="BV476" s="89"/>
      <c r="BW476" s="89"/>
      <c r="BX476" s="89"/>
      <c r="BY476" s="89"/>
      <c r="BZ476" s="89"/>
      <c r="CA476" s="89"/>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98"/>
      <c r="DA476" s="98"/>
      <c r="DB476" s="98"/>
      <c r="DC476" s="98"/>
      <c r="DD476" s="98"/>
      <c r="DE476" s="98"/>
      <c r="DF476" s="98"/>
      <c r="DG476" s="98"/>
      <c r="DH476" s="98"/>
      <c r="DI476" s="98"/>
      <c r="DJ476" s="98"/>
      <c r="DK476" s="98"/>
      <c r="DL476" s="98"/>
      <c r="DM476" s="98"/>
      <c r="DN476" s="98"/>
      <c r="DO476" s="98"/>
      <c r="DP476" s="98"/>
      <c r="DQ476" s="98"/>
      <c r="DR476" s="98"/>
      <c r="DS476" s="98"/>
      <c r="DT476" s="98"/>
      <c r="DU476" s="98"/>
      <c r="DV476" s="98"/>
      <c r="DW476" s="98"/>
      <c r="DX476" s="98"/>
      <c r="DY476" s="98"/>
      <c r="DZ476" s="98"/>
      <c r="EA476" s="98"/>
      <c r="EB476" s="98"/>
      <c r="EC476" s="98"/>
      <c r="ED476" s="98"/>
    </row>
    <row r="477" spans="1:134" ht="11.25" customHeight="1" x14ac:dyDescent="0.3">
      <c r="A477" s="28" t="e">
        <f t="array" aca="1" ref="A477" ca="1">_xludf.XLOOKUP(S477,Master_Registrations!P:P,Master_Registrations!A:A,"")</f>
        <v>#NAME?</v>
      </c>
      <c r="B477" s="89" t="s">
        <v>182</v>
      </c>
      <c r="C477" s="89">
        <v>2022</v>
      </c>
      <c r="D477" s="89" t="s">
        <v>4886</v>
      </c>
      <c r="E477" s="89">
        <v>2</v>
      </c>
      <c r="F477" s="90" t="str">
        <f t="shared" si="6"/>
        <v>VED-01-2022-GR-2</v>
      </c>
      <c r="G477" s="89" t="s">
        <v>4569</v>
      </c>
      <c r="H477" s="90" t="s">
        <v>4750</v>
      </c>
      <c r="I477" s="90"/>
      <c r="J477" s="89" t="s">
        <v>7094</v>
      </c>
      <c r="K477" s="91"/>
      <c r="L477" s="93"/>
      <c r="M477" s="101"/>
      <c r="N477" s="90" t="s">
        <v>7095</v>
      </c>
      <c r="O477" s="89" t="s">
        <v>367</v>
      </c>
      <c r="P477" s="141" t="s">
        <v>5627</v>
      </c>
      <c r="Q477" s="89" t="e">
        <f t="shared" ca="1" si="7"/>
        <v>#NAME?</v>
      </c>
      <c r="R477" s="39" t="s">
        <v>316</v>
      </c>
      <c r="S477" s="89">
        <v>9083073813</v>
      </c>
      <c r="T477" s="90" t="s">
        <v>315</v>
      </c>
      <c r="U477" s="89">
        <v>1998</v>
      </c>
      <c r="V477" s="97">
        <v>1</v>
      </c>
      <c r="W477" s="97">
        <v>1</v>
      </c>
      <c r="X477" s="97">
        <v>1</v>
      </c>
      <c r="Y477" s="97">
        <v>1</v>
      </c>
      <c r="Z477" s="97">
        <v>1</v>
      </c>
      <c r="AA477" s="97">
        <v>1</v>
      </c>
      <c r="AB477" s="97">
        <v>1</v>
      </c>
      <c r="AC477" s="95">
        <v>-1</v>
      </c>
      <c r="AD477" s="95">
        <v>-1</v>
      </c>
      <c r="AE477" s="97">
        <v>1</v>
      </c>
      <c r="AF477" s="97">
        <v>1</v>
      </c>
      <c r="AG477" s="97">
        <v>1</v>
      </c>
      <c r="AH477" s="97">
        <v>1</v>
      </c>
      <c r="AI477" s="96">
        <v>-1</v>
      </c>
      <c r="AJ477" s="97">
        <v>1</v>
      </c>
      <c r="AK477" s="97">
        <v>-1</v>
      </c>
      <c r="AL477" s="99">
        <v>-1</v>
      </c>
      <c r="AM477" s="97">
        <v>-1</v>
      </c>
      <c r="AN477" s="97">
        <v>-1</v>
      </c>
      <c r="AO477" s="97">
        <v>1</v>
      </c>
      <c r="AP477" s="95">
        <v>-1</v>
      </c>
      <c r="AQ477" s="95">
        <v>-1</v>
      </c>
      <c r="AR477" s="97">
        <v>-1</v>
      </c>
      <c r="AS477" s="95">
        <v>-1</v>
      </c>
      <c r="AT477" s="95">
        <v>-1</v>
      </c>
      <c r="AU477" s="95">
        <v>-1</v>
      </c>
      <c r="AV477" s="95">
        <v>-1</v>
      </c>
      <c r="AW477" s="95">
        <v>-1</v>
      </c>
      <c r="AX477" s="95">
        <v>-1</v>
      </c>
      <c r="AY477" s="95">
        <v>-1</v>
      </c>
      <c r="AZ477" s="95">
        <v>-1</v>
      </c>
      <c r="BA477" s="95">
        <v>-1</v>
      </c>
      <c r="BB477" s="95">
        <v>-1</v>
      </c>
      <c r="BC477" s="95">
        <v>-1</v>
      </c>
      <c r="BD477" s="95">
        <v>-1</v>
      </c>
      <c r="BE477" s="95">
        <v>-1</v>
      </c>
      <c r="BF477" s="96">
        <v>-1</v>
      </c>
      <c r="BG477" s="95">
        <v>-1</v>
      </c>
      <c r="BH477" s="95">
        <v>-1</v>
      </c>
      <c r="BI477" s="95">
        <v>-1</v>
      </c>
      <c r="BJ477" s="95">
        <v>-1</v>
      </c>
      <c r="BK477" s="95">
        <v>-1</v>
      </c>
      <c r="BL477" s="95">
        <v>-1</v>
      </c>
      <c r="BM477" s="96">
        <v>-1</v>
      </c>
      <c r="BN477" s="89"/>
      <c r="BO477" s="89"/>
      <c r="BP477" s="89"/>
      <c r="BQ477" s="89"/>
      <c r="BR477" s="89"/>
      <c r="BS477" s="89"/>
      <c r="BT477" s="89"/>
      <c r="BU477" s="89"/>
      <c r="BV477" s="89"/>
      <c r="BW477" s="89"/>
      <c r="BX477" s="89"/>
      <c r="BY477" s="89"/>
      <c r="BZ477" s="89"/>
      <c r="CA477" s="89"/>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98"/>
      <c r="DA477" s="98"/>
      <c r="DB477" s="98"/>
      <c r="DC477" s="98"/>
      <c r="DD477" s="98"/>
      <c r="DE477" s="98"/>
      <c r="DF477" s="98"/>
      <c r="DG477" s="98"/>
      <c r="DH477" s="98"/>
      <c r="DI477" s="98"/>
      <c r="DJ477" s="98"/>
      <c r="DK477" s="98"/>
      <c r="DL477" s="98"/>
      <c r="DM477" s="98"/>
      <c r="DN477" s="98"/>
      <c r="DO477" s="98"/>
      <c r="DP477" s="98"/>
      <c r="DQ477" s="98"/>
      <c r="DR477" s="98"/>
      <c r="DS477" s="98"/>
      <c r="DT477" s="98"/>
      <c r="DU477" s="98"/>
      <c r="DV477" s="98"/>
      <c r="DW477" s="98"/>
      <c r="DX477" s="98"/>
      <c r="DY477" s="98"/>
      <c r="DZ477" s="98"/>
      <c r="EA477" s="98"/>
      <c r="EB477" s="98"/>
      <c r="EC477" s="98"/>
      <c r="ED477" s="98"/>
    </row>
    <row r="478" spans="1:134" ht="11.25" customHeight="1" x14ac:dyDescent="0.3">
      <c r="A478" s="28" t="e">
        <f t="array" aca="1" ref="A478" ca="1">_xludf.XLOOKUP(S478,Master_Registrations!P:P,Master_Registrations!A:A,"")</f>
        <v>#NAME?</v>
      </c>
      <c r="B478" s="89" t="s">
        <v>182</v>
      </c>
      <c r="C478" s="89">
        <v>2022</v>
      </c>
      <c r="D478" s="89" t="s">
        <v>4886</v>
      </c>
      <c r="E478" s="89">
        <v>2</v>
      </c>
      <c r="F478" s="90" t="str">
        <f t="shared" si="6"/>
        <v>VED-01-2022-GR-2</v>
      </c>
      <c r="G478" s="90" t="s">
        <v>4569</v>
      </c>
      <c r="H478" s="90" t="s">
        <v>4750</v>
      </c>
      <c r="I478" s="90"/>
      <c r="J478" s="89" t="s">
        <v>7094</v>
      </c>
      <c r="K478" s="102"/>
      <c r="L478" s="102"/>
      <c r="M478" s="102"/>
      <c r="N478" s="90" t="s">
        <v>7095</v>
      </c>
      <c r="O478" s="89" t="s">
        <v>5530</v>
      </c>
      <c r="P478" s="141" t="s">
        <v>5531</v>
      </c>
      <c r="Q478" s="89" t="e">
        <f t="shared" ca="1" si="7"/>
        <v>#NAME?</v>
      </c>
      <c r="R478" s="39" t="s">
        <v>316</v>
      </c>
      <c r="S478" s="94">
        <v>3468146821</v>
      </c>
      <c r="T478" s="90" t="s">
        <v>315</v>
      </c>
      <c r="U478" s="94">
        <v>1980</v>
      </c>
      <c r="V478" s="97">
        <v>2</v>
      </c>
      <c r="W478" s="97">
        <v>2</v>
      </c>
      <c r="X478" s="97">
        <v>2</v>
      </c>
      <c r="Y478" s="97">
        <v>2</v>
      </c>
      <c r="Z478" s="97">
        <v>2</v>
      </c>
      <c r="AA478" s="97">
        <v>2</v>
      </c>
      <c r="AB478" s="97">
        <v>2</v>
      </c>
      <c r="AC478" s="97">
        <v>2</v>
      </c>
      <c r="AD478" s="97">
        <v>2</v>
      </c>
      <c r="AE478" s="97">
        <v>2</v>
      </c>
      <c r="AF478" s="97">
        <v>2</v>
      </c>
      <c r="AG478" s="97">
        <v>2</v>
      </c>
      <c r="AH478" s="97">
        <v>2</v>
      </c>
      <c r="AI478" s="97">
        <v>3</v>
      </c>
      <c r="AJ478" s="97">
        <v>2</v>
      </c>
      <c r="AK478" s="97">
        <v>2</v>
      </c>
      <c r="AL478" s="97">
        <v>2</v>
      </c>
      <c r="AM478" s="97">
        <v>2</v>
      </c>
      <c r="AN478" s="97">
        <v>2</v>
      </c>
      <c r="AO478" s="97">
        <v>2</v>
      </c>
      <c r="AP478" s="97">
        <v>2</v>
      </c>
      <c r="AQ478" s="97">
        <v>2</v>
      </c>
      <c r="AR478" s="97">
        <v>2</v>
      </c>
      <c r="AS478" s="97">
        <v>2</v>
      </c>
      <c r="AT478" s="97">
        <v>2</v>
      </c>
      <c r="AU478" s="97">
        <v>2</v>
      </c>
      <c r="AV478" s="97">
        <v>3</v>
      </c>
      <c r="AW478" s="97">
        <v>-1</v>
      </c>
      <c r="AX478" s="95">
        <v>-1</v>
      </c>
      <c r="AY478" s="97">
        <v>2</v>
      </c>
      <c r="AZ478" s="97">
        <v>2</v>
      </c>
      <c r="BA478" s="97">
        <v>2</v>
      </c>
      <c r="BB478" s="97">
        <v>2</v>
      </c>
      <c r="BC478" s="97">
        <v>-1</v>
      </c>
      <c r="BD478" s="97">
        <v>-1</v>
      </c>
      <c r="BE478" s="97">
        <v>-1</v>
      </c>
      <c r="BF478" s="96">
        <v>-1</v>
      </c>
      <c r="BG478" s="97">
        <v>-1</v>
      </c>
      <c r="BH478" s="97">
        <v>-1</v>
      </c>
      <c r="BI478" s="97">
        <v>-1</v>
      </c>
      <c r="BJ478" s="97">
        <v>-1</v>
      </c>
      <c r="BK478" s="97">
        <v>-1</v>
      </c>
      <c r="BL478" s="97">
        <v>-1</v>
      </c>
      <c r="BM478" s="96">
        <v>-1</v>
      </c>
      <c r="BN478" s="99">
        <v>1</v>
      </c>
      <c r="BO478" s="99">
        <v>1</v>
      </c>
      <c r="BP478" s="99">
        <v>1</v>
      </c>
      <c r="BQ478" s="99">
        <v>1</v>
      </c>
      <c r="BR478" s="99">
        <v>1</v>
      </c>
      <c r="BS478" s="97">
        <v>1</v>
      </c>
      <c r="BT478" s="97">
        <v>1</v>
      </c>
      <c r="BU478" s="97">
        <v>1</v>
      </c>
      <c r="BV478" s="106">
        <v>-1</v>
      </c>
      <c r="BW478" s="89"/>
      <c r="BX478" s="89"/>
      <c r="BY478" s="89"/>
      <c r="BZ478" s="89"/>
      <c r="CA478" s="89"/>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98"/>
      <c r="DA478" s="98"/>
      <c r="DB478" s="98"/>
      <c r="DC478" s="98"/>
      <c r="DD478" s="98"/>
      <c r="DE478" s="98"/>
      <c r="DF478" s="98"/>
      <c r="DG478" s="98"/>
      <c r="DH478" s="98"/>
      <c r="DI478" s="98"/>
      <c r="DJ478" s="98"/>
      <c r="DK478" s="98"/>
      <c r="DL478" s="98"/>
      <c r="DM478" s="98"/>
      <c r="DN478" s="98"/>
      <c r="DO478" s="98"/>
      <c r="DP478" s="98"/>
      <c r="DQ478" s="98"/>
      <c r="DR478" s="98"/>
      <c r="DS478" s="98"/>
      <c r="DT478" s="98"/>
      <c r="DU478" s="98"/>
      <c r="DV478" s="98"/>
      <c r="DW478" s="98"/>
      <c r="DX478" s="98"/>
      <c r="DY478" s="98"/>
      <c r="DZ478" s="98"/>
      <c r="EA478" s="98"/>
      <c r="EB478" s="98"/>
      <c r="EC478" s="98"/>
      <c r="ED478" s="98"/>
    </row>
    <row r="479" spans="1:134" ht="11.25" customHeight="1" x14ac:dyDescent="0.3">
      <c r="A479" s="28" t="e">
        <f t="array" aca="1" ref="A479" ca="1">_xludf.XLOOKUP(S479,Master_Registrations!P:P,Master_Registrations!A:A,"")</f>
        <v>#NAME?</v>
      </c>
      <c r="B479" s="89" t="s">
        <v>182</v>
      </c>
      <c r="C479" s="89">
        <v>2022</v>
      </c>
      <c r="D479" s="89" t="s">
        <v>4886</v>
      </c>
      <c r="E479" s="89">
        <v>2</v>
      </c>
      <c r="F479" s="90" t="str">
        <f t="shared" si="6"/>
        <v>VED-01-2022-GR-2</v>
      </c>
      <c r="G479" s="89" t="s">
        <v>4569</v>
      </c>
      <c r="H479" s="89" t="s">
        <v>4750</v>
      </c>
      <c r="I479" s="89"/>
      <c r="J479" s="89" t="s">
        <v>7094</v>
      </c>
      <c r="K479" s="102"/>
      <c r="L479" s="102"/>
      <c r="M479" s="102"/>
      <c r="N479" s="90" t="s">
        <v>7095</v>
      </c>
      <c r="O479" s="89" t="s">
        <v>4499</v>
      </c>
      <c r="P479" s="89" t="s">
        <v>6293</v>
      </c>
      <c r="Q479" s="89" t="e">
        <f t="shared" ca="1" si="7"/>
        <v>#NAME?</v>
      </c>
      <c r="R479" s="39" t="s">
        <v>316</v>
      </c>
      <c r="S479" s="94">
        <v>2409949102</v>
      </c>
      <c r="T479" s="90" t="s">
        <v>315</v>
      </c>
      <c r="U479" s="90">
        <v>1977</v>
      </c>
      <c r="V479" s="97">
        <v>2</v>
      </c>
      <c r="W479" s="97">
        <v>2</v>
      </c>
      <c r="X479" s="97">
        <v>2</v>
      </c>
      <c r="Y479" s="97">
        <v>2</v>
      </c>
      <c r="Z479" s="97">
        <v>2</v>
      </c>
      <c r="AA479" s="97">
        <v>2</v>
      </c>
      <c r="AB479" s="97">
        <v>2</v>
      </c>
      <c r="AC479" s="97">
        <v>2</v>
      </c>
      <c r="AD479" s="97">
        <v>2</v>
      </c>
      <c r="AE479" s="97">
        <v>2</v>
      </c>
      <c r="AF479" s="97">
        <v>2</v>
      </c>
      <c r="AG479" s="97">
        <v>2</v>
      </c>
      <c r="AH479" s="97">
        <v>2</v>
      </c>
      <c r="AI479" s="97">
        <v>3</v>
      </c>
      <c r="AJ479" s="97">
        <v>2</v>
      </c>
      <c r="AK479" s="97">
        <v>2</v>
      </c>
      <c r="AL479" s="97">
        <v>2</v>
      </c>
      <c r="AM479" s="97">
        <v>2</v>
      </c>
      <c r="AN479" s="97">
        <v>2</v>
      </c>
      <c r="AO479" s="97">
        <v>2</v>
      </c>
      <c r="AP479" s="97">
        <v>2</v>
      </c>
      <c r="AQ479" s="97">
        <v>2</v>
      </c>
      <c r="AR479" s="97">
        <v>2</v>
      </c>
      <c r="AS479" s="97">
        <v>2</v>
      </c>
      <c r="AT479" s="97">
        <v>2</v>
      </c>
      <c r="AU479" s="97">
        <v>2</v>
      </c>
      <c r="AV479" s="97">
        <v>2</v>
      </c>
      <c r="AW479" s="99">
        <v>1</v>
      </c>
      <c r="AX479" s="100">
        <v>1</v>
      </c>
      <c r="AY479" s="95">
        <v>-1</v>
      </c>
      <c r="AZ479" s="95">
        <v>-1</v>
      </c>
      <c r="BA479" s="95">
        <v>-1</v>
      </c>
      <c r="BB479" s="95">
        <v>-1</v>
      </c>
      <c r="BC479" s="99">
        <v>1</v>
      </c>
      <c r="BD479" s="99">
        <v>1</v>
      </c>
      <c r="BE479" s="95">
        <v>-1</v>
      </c>
      <c r="BF479" s="95">
        <v>-1</v>
      </c>
      <c r="BG479" s="89"/>
      <c r="BH479" s="89"/>
      <c r="BI479" s="89"/>
      <c r="BJ479" s="89"/>
      <c r="BK479" s="89"/>
      <c r="BL479" s="89"/>
      <c r="BM479" s="89"/>
      <c r="BN479" s="89"/>
      <c r="BO479" s="89"/>
      <c r="BP479" s="89"/>
      <c r="BQ479" s="89"/>
      <c r="BR479" s="89"/>
      <c r="BS479" s="89"/>
      <c r="BT479" s="89"/>
      <c r="BU479" s="89"/>
      <c r="BV479" s="89"/>
      <c r="BW479" s="89"/>
      <c r="BX479" s="89"/>
      <c r="BY479" s="89"/>
      <c r="BZ479" s="89"/>
      <c r="CA479" s="89"/>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98"/>
      <c r="DA479" s="98"/>
      <c r="DB479" s="98"/>
      <c r="DC479" s="98"/>
      <c r="DD479" s="98"/>
      <c r="DE479" s="98"/>
      <c r="DF479" s="98"/>
      <c r="DG479" s="98"/>
      <c r="DH479" s="98"/>
      <c r="DI479" s="98"/>
      <c r="DJ479" s="98"/>
      <c r="DK479" s="98"/>
      <c r="DL479" s="98"/>
      <c r="DM479" s="98"/>
      <c r="DN479" s="98"/>
      <c r="DO479" s="98"/>
      <c r="DP479" s="98"/>
      <c r="DQ479" s="98"/>
      <c r="DR479" s="98"/>
      <c r="DS479" s="98"/>
      <c r="DT479" s="98"/>
      <c r="DU479" s="98"/>
      <c r="DV479" s="98"/>
      <c r="DW479" s="98"/>
      <c r="DX479" s="98"/>
      <c r="DY479" s="98"/>
      <c r="DZ479" s="98"/>
      <c r="EA479" s="98"/>
      <c r="EB479" s="98"/>
      <c r="EC479" s="98"/>
      <c r="ED479" s="98"/>
    </row>
    <row r="480" spans="1:134" ht="11.25" customHeight="1" x14ac:dyDescent="0.3">
      <c r="A480" s="28" t="e">
        <f t="array" aca="1" ref="A480" ca="1">_xludf.XLOOKUP(S480,Master_Registrations!P:P,Master_Registrations!A:A,"")</f>
        <v>#NAME?</v>
      </c>
      <c r="B480" s="89" t="s">
        <v>182</v>
      </c>
      <c r="C480" s="89">
        <v>2023</v>
      </c>
      <c r="D480" s="89" t="s">
        <v>184</v>
      </c>
      <c r="E480" s="89">
        <v>2</v>
      </c>
      <c r="F480" s="90" t="str">
        <f t="shared" si="6"/>
        <v>VED-01-2023-BR-2</v>
      </c>
      <c r="G480" s="89" t="s">
        <v>4569</v>
      </c>
      <c r="H480" s="90" t="s">
        <v>7096</v>
      </c>
      <c r="I480" s="90"/>
      <c r="J480" s="89" t="s">
        <v>7094</v>
      </c>
      <c r="K480" s="91"/>
      <c r="L480" s="93"/>
      <c r="M480" s="93"/>
      <c r="N480" s="90" t="s">
        <v>7095</v>
      </c>
      <c r="O480" s="89" t="s">
        <v>1158</v>
      </c>
      <c r="P480" s="89" t="s">
        <v>5964</v>
      </c>
      <c r="Q480" s="89" t="e">
        <f t="shared" ca="1" si="7"/>
        <v>#NAME?</v>
      </c>
      <c r="R480" s="39" t="s">
        <v>112</v>
      </c>
      <c r="S480" s="94">
        <v>9948254512</v>
      </c>
      <c r="T480" s="90" t="s">
        <v>111</v>
      </c>
      <c r="U480" s="94">
        <v>2011</v>
      </c>
      <c r="V480" s="99">
        <v>1</v>
      </c>
      <c r="W480" s="99">
        <v>1</v>
      </c>
      <c r="X480" s="99">
        <v>1</v>
      </c>
      <c r="Y480" s="99">
        <v>1</v>
      </c>
      <c r="Z480" s="97">
        <v>1</v>
      </c>
      <c r="AA480" s="97">
        <v>-1</v>
      </c>
      <c r="AB480" s="97">
        <v>-1</v>
      </c>
      <c r="AC480" s="95">
        <v>-1</v>
      </c>
      <c r="AD480" s="95">
        <v>-1</v>
      </c>
      <c r="AE480" s="99">
        <v>1</v>
      </c>
      <c r="AF480" s="99">
        <v>-1</v>
      </c>
      <c r="AG480" s="99">
        <v>-1</v>
      </c>
      <c r="AH480" s="99">
        <v>-1</v>
      </c>
      <c r="AI480" s="96">
        <v>-1</v>
      </c>
      <c r="AJ480" s="89"/>
      <c r="AK480" s="89"/>
      <c r="AL480" s="89"/>
      <c r="AM480" s="89"/>
      <c r="AN480" s="89"/>
      <c r="AO480" s="89"/>
      <c r="AP480" s="89"/>
      <c r="AQ480" s="89"/>
      <c r="AR480" s="89"/>
      <c r="AS480" s="89"/>
      <c r="AT480" s="89"/>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89"/>
      <c r="BS480" s="89"/>
      <c r="BT480" s="89"/>
      <c r="BU480" s="89"/>
      <c r="BV480" s="89"/>
      <c r="BW480" s="89"/>
      <c r="BX480" s="89"/>
      <c r="BY480" s="89"/>
      <c r="BZ480" s="89"/>
      <c r="CA480" s="89"/>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98"/>
      <c r="DA480" s="98"/>
      <c r="DB480" s="98"/>
      <c r="DC480" s="98"/>
      <c r="DD480" s="98"/>
      <c r="DE480" s="98"/>
      <c r="DF480" s="98"/>
      <c r="DG480" s="98"/>
      <c r="DH480" s="98"/>
      <c r="DI480" s="98"/>
      <c r="DJ480" s="98"/>
      <c r="DK480" s="98"/>
      <c r="DL480" s="98"/>
      <c r="DM480" s="98"/>
      <c r="DN480" s="98"/>
      <c r="DO480" s="98"/>
      <c r="DP480" s="98"/>
      <c r="DQ480" s="98"/>
      <c r="DR480" s="98"/>
      <c r="DS480" s="98"/>
      <c r="DT480" s="98"/>
      <c r="DU480" s="98"/>
      <c r="DV480" s="98"/>
      <c r="DW480" s="98"/>
      <c r="DX480" s="98"/>
      <c r="DY480" s="98"/>
      <c r="DZ480" s="98"/>
      <c r="EA480" s="98"/>
      <c r="EB480" s="98"/>
      <c r="EC480" s="98"/>
      <c r="ED480" s="98"/>
    </row>
    <row r="481" spans="1:134" ht="11.25" customHeight="1" x14ac:dyDescent="0.3">
      <c r="A481" s="28" t="e">
        <f t="array" aca="1" ref="A481" ca="1">_xludf.XLOOKUP(S481,Master_Registrations!P:P,Master_Registrations!A:A,"")</f>
        <v>#NAME?</v>
      </c>
      <c r="B481" s="89" t="s">
        <v>182</v>
      </c>
      <c r="C481" s="89">
        <v>2023</v>
      </c>
      <c r="D481" s="89" t="s">
        <v>184</v>
      </c>
      <c r="E481" s="89">
        <v>2</v>
      </c>
      <c r="F481" s="90" t="str">
        <f t="shared" si="6"/>
        <v>VED-01-2023-BR-2</v>
      </c>
      <c r="G481" s="89" t="s">
        <v>4569</v>
      </c>
      <c r="H481" s="90" t="s">
        <v>7096</v>
      </c>
      <c r="I481" s="90"/>
      <c r="J481" s="89" t="s">
        <v>7094</v>
      </c>
      <c r="K481" s="91"/>
      <c r="L481" s="93"/>
      <c r="M481" s="92"/>
      <c r="N481" s="90" t="s">
        <v>7095</v>
      </c>
      <c r="O481" s="89" t="s">
        <v>7100</v>
      </c>
      <c r="P481" s="141" t="s">
        <v>5999</v>
      </c>
      <c r="Q481" s="89" t="e">
        <f t="shared" ca="1" si="7"/>
        <v>#NAME?</v>
      </c>
      <c r="R481" s="39" t="s">
        <v>112</v>
      </c>
      <c r="S481" s="94">
        <v>9440162070</v>
      </c>
      <c r="T481" s="90" t="s">
        <v>111</v>
      </c>
      <c r="U481" s="90">
        <v>2011</v>
      </c>
      <c r="V481" s="95">
        <v>-1</v>
      </c>
      <c r="W481" s="95">
        <v>-1</v>
      </c>
      <c r="X481" s="96">
        <v>-1</v>
      </c>
      <c r="Y481" s="96">
        <v>-1</v>
      </c>
      <c r="Z481" s="96">
        <v>-1</v>
      </c>
      <c r="AA481" s="96">
        <v>-1</v>
      </c>
      <c r="AB481" s="96">
        <v>-1</v>
      </c>
      <c r="AC481" s="95">
        <v>-1</v>
      </c>
      <c r="AD481" s="95">
        <v>-1</v>
      </c>
      <c r="AE481" s="99">
        <v>-1</v>
      </c>
      <c r="AF481" s="99">
        <v>-1</v>
      </c>
      <c r="AG481" s="99">
        <v>-1</v>
      </c>
      <c r="AH481" s="99">
        <v>-1</v>
      </c>
      <c r="AI481" s="96">
        <v>-1</v>
      </c>
      <c r="AJ481" s="89"/>
      <c r="AK481" s="89"/>
      <c r="AL481" s="89"/>
      <c r="AM481" s="89"/>
      <c r="AN481" s="89"/>
      <c r="AO481" s="89"/>
      <c r="AP481" s="89"/>
      <c r="AQ481" s="89"/>
      <c r="AR481" s="89"/>
      <c r="AS481" s="89"/>
      <c r="AT481" s="89"/>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89"/>
      <c r="BS481" s="89"/>
      <c r="BT481" s="89"/>
      <c r="BU481" s="89"/>
      <c r="BV481" s="89"/>
      <c r="BW481" s="89"/>
      <c r="BX481" s="89"/>
      <c r="BY481" s="89"/>
      <c r="BZ481" s="89"/>
      <c r="CA481" s="89"/>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98"/>
      <c r="DA481" s="98"/>
      <c r="DB481" s="98"/>
      <c r="DC481" s="98"/>
      <c r="DD481" s="98"/>
      <c r="DE481" s="98"/>
      <c r="DF481" s="98"/>
      <c r="DG481" s="98"/>
      <c r="DH481" s="98"/>
      <c r="DI481" s="98"/>
      <c r="DJ481" s="98"/>
      <c r="DK481" s="98"/>
      <c r="DL481" s="98"/>
      <c r="DM481" s="98"/>
      <c r="DN481" s="98"/>
      <c r="DO481" s="98"/>
      <c r="DP481" s="98"/>
      <c r="DQ481" s="98"/>
      <c r="DR481" s="98"/>
      <c r="DS481" s="98"/>
      <c r="DT481" s="98"/>
      <c r="DU481" s="98"/>
      <c r="DV481" s="98"/>
      <c r="DW481" s="98"/>
      <c r="DX481" s="98"/>
      <c r="DY481" s="98"/>
      <c r="DZ481" s="98"/>
      <c r="EA481" s="98"/>
      <c r="EB481" s="98"/>
      <c r="EC481" s="98"/>
      <c r="ED481" s="98"/>
    </row>
    <row r="482" spans="1:134" ht="11.25" customHeight="1" x14ac:dyDescent="0.3">
      <c r="A482" s="28" t="e">
        <f t="array" aca="1" ref="A482" ca="1">_xludf.XLOOKUP(S482,Master_Registrations!P:P,Master_Registrations!A:A,"")</f>
        <v>#NAME?</v>
      </c>
      <c r="B482" s="89" t="s">
        <v>182</v>
      </c>
      <c r="C482" s="89">
        <v>2023</v>
      </c>
      <c r="D482" s="89" t="s">
        <v>184</v>
      </c>
      <c r="E482" s="89">
        <v>2</v>
      </c>
      <c r="F482" s="90" t="str">
        <f t="shared" si="6"/>
        <v>VED-01-2023-BR-2</v>
      </c>
      <c r="G482" s="89" t="s">
        <v>4569</v>
      </c>
      <c r="H482" s="90" t="s">
        <v>7096</v>
      </c>
      <c r="I482" s="90"/>
      <c r="J482" s="89" t="s">
        <v>7094</v>
      </c>
      <c r="K482" s="91"/>
      <c r="L482" s="92"/>
      <c r="M482" s="101"/>
      <c r="N482" s="90" t="s">
        <v>7095</v>
      </c>
      <c r="O482" s="89" t="s">
        <v>4902</v>
      </c>
      <c r="P482" s="89" t="s">
        <v>5887</v>
      </c>
      <c r="Q482" s="89" t="e">
        <f t="shared" ca="1" si="7"/>
        <v>#NAME?</v>
      </c>
      <c r="R482" s="39" t="s">
        <v>112</v>
      </c>
      <c r="S482" s="94">
        <v>7358097110</v>
      </c>
      <c r="T482" s="90" t="s">
        <v>111</v>
      </c>
      <c r="U482" s="90">
        <v>2014</v>
      </c>
      <c r="V482" s="99">
        <v>-1</v>
      </c>
      <c r="W482" s="95">
        <v>-1</v>
      </c>
      <c r="X482" s="97">
        <v>-1</v>
      </c>
      <c r="Y482" s="97">
        <v>-1</v>
      </c>
      <c r="Z482" s="97">
        <v>-1</v>
      </c>
      <c r="AA482" s="97">
        <v>-1</v>
      </c>
      <c r="AB482" s="97">
        <v>-1</v>
      </c>
      <c r="AC482" s="95">
        <v>-1</v>
      </c>
      <c r="AD482" s="95">
        <v>-1</v>
      </c>
      <c r="AE482" s="99">
        <v>-1</v>
      </c>
      <c r="AF482" s="99">
        <v>-1</v>
      </c>
      <c r="AG482" s="99">
        <v>-1</v>
      </c>
      <c r="AH482" s="99">
        <v>-1</v>
      </c>
      <c r="AI482" s="96">
        <v>-1</v>
      </c>
      <c r="AJ482" s="89"/>
      <c r="AK482" s="89"/>
      <c r="AL482" s="89"/>
      <c r="AM482" s="89"/>
      <c r="AN482" s="89"/>
      <c r="AO482" s="89"/>
      <c r="AP482" s="89"/>
      <c r="AQ482" s="89"/>
      <c r="AR482" s="89"/>
      <c r="AS482" s="89"/>
      <c r="AT482" s="89"/>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89"/>
      <c r="BS482" s="89"/>
      <c r="BT482" s="89"/>
      <c r="BU482" s="89"/>
      <c r="BV482" s="89"/>
      <c r="BW482" s="89"/>
      <c r="BX482" s="89"/>
      <c r="BY482" s="89"/>
      <c r="BZ482" s="89"/>
      <c r="CA482" s="89"/>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98"/>
      <c r="DA482" s="98"/>
      <c r="DB482" s="98"/>
      <c r="DC482" s="98"/>
      <c r="DD482" s="98"/>
      <c r="DE482" s="98"/>
      <c r="DF482" s="98"/>
      <c r="DG482" s="98"/>
      <c r="DH482" s="98"/>
      <c r="DI482" s="98"/>
      <c r="DJ482" s="98"/>
      <c r="DK482" s="98"/>
      <c r="DL482" s="98"/>
      <c r="DM482" s="98"/>
      <c r="DN482" s="98"/>
      <c r="DO482" s="98"/>
      <c r="DP482" s="98"/>
      <c r="DQ482" s="98"/>
      <c r="DR482" s="98"/>
      <c r="DS482" s="98"/>
      <c r="DT482" s="98"/>
      <c r="DU482" s="98"/>
      <c r="DV482" s="98"/>
      <c r="DW482" s="98"/>
      <c r="DX482" s="98"/>
      <c r="DY482" s="98"/>
      <c r="DZ482" s="98"/>
      <c r="EA482" s="98"/>
      <c r="EB482" s="98"/>
      <c r="EC482" s="98"/>
      <c r="ED482" s="98"/>
    </row>
    <row r="483" spans="1:134" ht="11.25" customHeight="1" x14ac:dyDescent="0.3">
      <c r="A483" s="28" t="e">
        <f t="array" aca="1" ref="A483" ca="1">_xludf.XLOOKUP(S483,Master_Registrations!P:P,Master_Registrations!A:A,"")</f>
        <v>#NAME?</v>
      </c>
      <c r="B483" s="89" t="s">
        <v>182</v>
      </c>
      <c r="C483" s="89">
        <v>2023</v>
      </c>
      <c r="D483" s="89" t="s">
        <v>184</v>
      </c>
      <c r="E483" s="89">
        <v>2</v>
      </c>
      <c r="F483" s="90" t="str">
        <f t="shared" si="6"/>
        <v>VED-01-2023-BR-2</v>
      </c>
      <c r="G483" s="89" t="s">
        <v>4569</v>
      </c>
      <c r="H483" s="90" t="s">
        <v>7096</v>
      </c>
      <c r="I483" s="90"/>
      <c r="J483" s="89" t="s">
        <v>7094</v>
      </c>
      <c r="K483" s="91"/>
      <c r="L483" s="92"/>
      <c r="M483" s="101"/>
      <c r="N483" s="90" t="s">
        <v>7095</v>
      </c>
      <c r="O483" s="89" t="s">
        <v>5670</v>
      </c>
      <c r="P483" s="89" t="s">
        <v>6072</v>
      </c>
      <c r="Q483" s="89" t="e">
        <f t="shared" ca="1" si="7"/>
        <v>#NAME?</v>
      </c>
      <c r="R483" s="39" t="s">
        <v>112</v>
      </c>
      <c r="S483" s="94">
        <v>9959578625</v>
      </c>
      <c r="T483" s="90" t="s">
        <v>111</v>
      </c>
      <c r="U483" s="94">
        <v>2014</v>
      </c>
      <c r="V483" s="99">
        <v>-1</v>
      </c>
      <c r="W483" s="95">
        <v>-1</v>
      </c>
      <c r="X483" s="97">
        <v>-1</v>
      </c>
      <c r="Y483" s="97">
        <v>-1</v>
      </c>
      <c r="Z483" s="97">
        <v>-1</v>
      </c>
      <c r="AA483" s="97">
        <v>-1</v>
      </c>
      <c r="AB483" s="97">
        <v>-1</v>
      </c>
      <c r="AC483" s="95">
        <v>-1</v>
      </c>
      <c r="AD483" s="95">
        <v>-1</v>
      </c>
      <c r="AE483" s="99">
        <v>-1</v>
      </c>
      <c r="AF483" s="99">
        <v>-1</v>
      </c>
      <c r="AG483" s="99">
        <v>-1</v>
      </c>
      <c r="AH483" s="99">
        <v>-1</v>
      </c>
      <c r="AI483" s="96">
        <v>-1</v>
      </c>
      <c r="AJ483" s="89"/>
      <c r="AK483" s="89"/>
      <c r="AL483" s="89"/>
      <c r="AM483" s="89"/>
      <c r="AN483" s="89"/>
      <c r="AO483" s="89"/>
      <c r="AP483" s="89"/>
      <c r="AQ483" s="89"/>
      <c r="AR483" s="89"/>
      <c r="AS483" s="89"/>
      <c r="AT483" s="89"/>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c r="BQ483" s="89"/>
      <c r="BR483" s="89"/>
      <c r="BS483" s="89"/>
      <c r="BT483" s="89"/>
      <c r="BU483" s="89"/>
      <c r="BV483" s="89"/>
      <c r="BW483" s="89"/>
      <c r="BX483" s="89"/>
      <c r="BY483" s="89"/>
      <c r="BZ483" s="89"/>
      <c r="CA483" s="89"/>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98"/>
      <c r="DA483" s="98"/>
      <c r="DB483" s="98"/>
      <c r="DC483" s="98"/>
      <c r="DD483" s="98"/>
      <c r="DE483" s="98"/>
      <c r="DF483" s="98"/>
      <c r="DG483" s="98"/>
      <c r="DH483" s="98"/>
      <c r="DI483" s="98"/>
      <c r="DJ483" s="98"/>
      <c r="DK483" s="98"/>
      <c r="DL483" s="98"/>
      <c r="DM483" s="98"/>
      <c r="DN483" s="98"/>
      <c r="DO483" s="98"/>
      <c r="DP483" s="98"/>
      <c r="DQ483" s="98"/>
      <c r="DR483" s="98"/>
      <c r="DS483" s="98"/>
      <c r="DT483" s="98"/>
      <c r="DU483" s="98"/>
      <c r="DV483" s="98"/>
      <c r="DW483" s="98"/>
      <c r="DX483" s="98"/>
      <c r="DY483" s="98"/>
      <c r="DZ483" s="98"/>
      <c r="EA483" s="98"/>
      <c r="EB483" s="98"/>
      <c r="EC483" s="98"/>
      <c r="ED483" s="98"/>
    </row>
    <row r="484" spans="1:134" ht="11.25" customHeight="1" x14ac:dyDescent="0.3">
      <c r="A484" s="28" t="e">
        <f t="array" aca="1" ref="A484" ca="1">_xludf.XLOOKUP(S484,Master_Registrations!P:P,Master_Registrations!A:A,"")</f>
        <v>#NAME?</v>
      </c>
      <c r="B484" s="89" t="s">
        <v>182</v>
      </c>
      <c r="C484" s="89">
        <v>2023</v>
      </c>
      <c r="D484" s="89" t="s">
        <v>184</v>
      </c>
      <c r="E484" s="89">
        <v>2</v>
      </c>
      <c r="F484" s="90" t="str">
        <f t="shared" si="6"/>
        <v>VED-01-2023-BR-2</v>
      </c>
      <c r="G484" s="89" t="s">
        <v>4569</v>
      </c>
      <c r="H484" s="90" t="s">
        <v>7096</v>
      </c>
      <c r="I484" s="90"/>
      <c r="J484" s="89" t="s">
        <v>7094</v>
      </c>
      <c r="K484" s="91"/>
      <c r="L484" s="91"/>
      <c r="M484" s="101">
        <v>-1</v>
      </c>
      <c r="N484" s="90" t="s">
        <v>7095</v>
      </c>
      <c r="O484" s="89" t="s">
        <v>5862</v>
      </c>
      <c r="P484" s="141" t="s">
        <v>5863</v>
      </c>
      <c r="Q484" s="89" t="e">
        <f t="shared" ca="1" si="7"/>
        <v>#NAME?</v>
      </c>
      <c r="R484" s="39" t="s">
        <v>112</v>
      </c>
      <c r="S484" s="89">
        <v>9008785286</v>
      </c>
      <c r="T484" s="90" t="s">
        <v>111</v>
      </c>
      <c r="U484" s="89">
        <v>2011</v>
      </c>
      <c r="V484" s="95">
        <v>-1</v>
      </c>
      <c r="W484" s="95">
        <v>-1</v>
      </c>
      <c r="X484" s="96">
        <v>-1</v>
      </c>
      <c r="Y484" s="96">
        <v>-1</v>
      </c>
      <c r="Z484" s="96">
        <v>-1</v>
      </c>
      <c r="AA484" s="96">
        <v>-1</v>
      </c>
      <c r="AB484" s="96">
        <v>-1</v>
      </c>
      <c r="AC484" s="95">
        <v>-1</v>
      </c>
      <c r="AD484" s="95">
        <v>-1</v>
      </c>
      <c r="AE484" s="95">
        <v>-1</v>
      </c>
      <c r="AF484" s="95">
        <v>-1</v>
      </c>
      <c r="AG484" s="95">
        <v>-1</v>
      </c>
      <c r="AH484" s="95">
        <v>-1</v>
      </c>
      <c r="AI484" s="96">
        <v>-1</v>
      </c>
      <c r="AJ484" s="89"/>
      <c r="AK484" s="89"/>
      <c r="AL484" s="89"/>
      <c r="AM484" s="89"/>
      <c r="AN484" s="89"/>
      <c r="AO484" s="89"/>
      <c r="AP484" s="89"/>
      <c r="AQ484" s="89"/>
      <c r="AR484" s="89"/>
      <c r="AS484" s="89"/>
      <c r="AT484" s="89"/>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c r="BQ484" s="89"/>
      <c r="BR484" s="89"/>
      <c r="BS484" s="89"/>
      <c r="BT484" s="89"/>
      <c r="BU484" s="89"/>
      <c r="BV484" s="89"/>
      <c r="BW484" s="89"/>
      <c r="BX484" s="89"/>
      <c r="BY484" s="89"/>
      <c r="BZ484" s="89"/>
      <c r="CA484" s="89"/>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98"/>
      <c r="DA484" s="98"/>
      <c r="DB484" s="98"/>
      <c r="DC484" s="98"/>
      <c r="DD484" s="98"/>
      <c r="DE484" s="98"/>
      <c r="DF484" s="98"/>
      <c r="DG484" s="98"/>
      <c r="DH484" s="98"/>
      <c r="DI484" s="98"/>
      <c r="DJ484" s="98"/>
      <c r="DK484" s="98"/>
      <c r="DL484" s="98"/>
      <c r="DM484" s="98"/>
      <c r="DN484" s="98"/>
      <c r="DO484" s="98"/>
      <c r="DP484" s="98"/>
      <c r="DQ484" s="98"/>
      <c r="DR484" s="98"/>
      <c r="DS484" s="98"/>
      <c r="DT484" s="98"/>
      <c r="DU484" s="98"/>
      <c r="DV484" s="98"/>
      <c r="DW484" s="98"/>
      <c r="DX484" s="98"/>
      <c r="DY484" s="98"/>
      <c r="DZ484" s="98"/>
      <c r="EA484" s="98"/>
      <c r="EB484" s="98"/>
      <c r="EC484" s="98"/>
      <c r="ED484" s="98"/>
    </row>
    <row r="485" spans="1:134" ht="11.25" customHeight="1" x14ac:dyDescent="0.3">
      <c r="A485" s="28" t="e">
        <f t="array" aca="1" ref="A485" ca="1">_xludf.XLOOKUP(S485,Master_Registrations!P:P,Master_Registrations!A:A,"")</f>
        <v>#NAME?</v>
      </c>
      <c r="B485" s="89" t="s">
        <v>182</v>
      </c>
      <c r="C485" s="89">
        <v>2023</v>
      </c>
      <c r="D485" s="89" t="s">
        <v>184</v>
      </c>
      <c r="E485" s="89">
        <v>2</v>
      </c>
      <c r="F485" s="90" t="str">
        <f t="shared" si="6"/>
        <v>VED-01-2023-BR-2</v>
      </c>
      <c r="G485" s="89" t="s">
        <v>4569</v>
      </c>
      <c r="H485" s="90" t="s">
        <v>7096</v>
      </c>
      <c r="I485" s="90"/>
      <c r="J485" s="89" t="s">
        <v>7094</v>
      </c>
      <c r="K485" s="91"/>
      <c r="L485" s="92"/>
      <c r="M485" s="92"/>
      <c r="N485" s="90" t="s">
        <v>7095</v>
      </c>
      <c r="O485" s="89" t="s">
        <v>6096</v>
      </c>
      <c r="P485" s="141" t="s">
        <v>6097</v>
      </c>
      <c r="Q485" s="89" t="e">
        <f t="shared" ca="1" si="7"/>
        <v>#NAME?</v>
      </c>
      <c r="R485" s="39" t="s">
        <v>112</v>
      </c>
      <c r="S485" s="89">
        <v>9848362099</v>
      </c>
      <c r="T485" s="90" t="s">
        <v>111</v>
      </c>
      <c r="U485" s="89">
        <v>2009</v>
      </c>
      <c r="V485" s="95">
        <v>-1</v>
      </c>
      <c r="W485" s="95">
        <v>-1</v>
      </c>
      <c r="X485" s="96">
        <v>-1</v>
      </c>
      <c r="Y485" s="96">
        <v>-1</v>
      </c>
      <c r="Z485" s="96">
        <v>-1</v>
      </c>
      <c r="AA485" s="96">
        <v>-1</v>
      </c>
      <c r="AB485" s="96">
        <v>-1</v>
      </c>
      <c r="AC485" s="95">
        <v>-1</v>
      </c>
      <c r="AD485" s="95">
        <v>-1</v>
      </c>
      <c r="AE485" s="99">
        <v>-1</v>
      </c>
      <c r="AF485" s="99">
        <v>-1</v>
      </c>
      <c r="AG485" s="99">
        <v>-1</v>
      </c>
      <c r="AH485" s="95">
        <v>-1</v>
      </c>
      <c r="AI485" s="96">
        <v>-1</v>
      </c>
      <c r="AJ485" s="89"/>
      <c r="AK485" s="89"/>
      <c r="AL485" s="89"/>
      <c r="AM485" s="89"/>
      <c r="AN485" s="89"/>
      <c r="AO485" s="89"/>
      <c r="AP485" s="89"/>
      <c r="AQ485" s="89"/>
      <c r="AR485" s="89"/>
      <c r="AS485" s="89"/>
      <c r="AT485" s="89"/>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c r="BQ485" s="89"/>
      <c r="BR485" s="89"/>
      <c r="BS485" s="89"/>
      <c r="BT485" s="89"/>
      <c r="BU485" s="89"/>
      <c r="BV485" s="89"/>
      <c r="BW485" s="89"/>
      <c r="BX485" s="89"/>
      <c r="BY485" s="89"/>
      <c r="BZ485" s="89"/>
      <c r="CA485" s="89"/>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98"/>
      <c r="DA485" s="98"/>
      <c r="DB485" s="98"/>
      <c r="DC485" s="98"/>
      <c r="DD485" s="98"/>
      <c r="DE485" s="98"/>
      <c r="DF485" s="98"/>
      <c r="DG485" s="98"/>
      <c r="DH485" s="98"/>
      <c r="DI485" s="98"/>
      <c r="DJ485" s="98"/>
      <c r="DK485" s="98"/>
      <c r="DL485" s="98"/>
      <c r="DM485" s="98"/>
      <c r="DN485" s="98"/>
      <c r="DO485" s="98"/>
      <c r="DP485" s="98"/>
      <c r="DQ485" s="98"/>
      <c r="DR485" s="98"/>
      <c r="DS485" s="98"/>
      <c r="DT485" s="98"/>
      <c r="DU485" s="98"/>
      <c r="DV485" s="98"/>
      <c r="DW485" s="98"/>
      <c r="DX485" s="98"/>
      <c r="DY485" s="98"/>
      <c r="DZ485" s="98"/>
      <c r="EA485" s="98"/>
      <c r="EB485" s="98"/>
      <c r="EC485" s="98"/>
      <c r="ED485" s="98"/>
    </row>
    <row r="486" spans="1:134" ht="11.25" customHeight="1" x14ac:dyDescent="0.3">
      <c r="A486" s="28" t="e">
        <f t="array" aca="1" ref="A486" ca="1">_xludf.XLOOKUP(S486,Master_Registrations!P:P,Master_Registrations!A:A,"")</f>
        <v>#NAME?</v>
      </c>
      <c r="B486" s="89" t="s">
        <v>182</v>
      </c>
      <c r="C486" s="89">
        <v>2023</v>
      </c>
      <c r="D486" s="89" t="s">
        <v>184</v>
      </c>
      <c r="E486" s="89">
        <v>2</v>
      </c>
      <c r="F486" s="90" t="str">
        <f t="shared" si="6"/>
        <v>VED-01-2023-BR-2</v>
      </c>
      <c r="G486" s="89" t="s">
        <v>4569</v>
      </c>
      <c r="H486" s="90" t="s">
        <v>7096</v>
      </c>
      <c r="I486" s="90"/>
      <c r="J486" s="89" t="s">
        <v>7094</v>
      </c>
      <c r="K486" s="91"/>
      <c r="L486" s="91"/>
      <c r="M486" s="91"/>
      <c r="N486" s="90" t="s">
        <v>7095</v>
      </c>
      <c r="O486" s="89" t="s">
        <v>531</v>
      </c>
      <c r="P486" s="89" t="s">
        <v>7101</v>
      </c>
      <c r="Q486" s="89" t="e">
        <f t="shared" ca="1" si="7"/>
        <v>#NAME?</v>
      </c>
      <c r="R486" s="39" t="s">
        <v>316</v>
      </c>
      <c r="S486" s="89">
        <v>4698919791</v>
      </c>
      <c r="T486" s="90" t="s">
        <v>315</v>
      </c>
      <c r="U486" s="89">
        <v>2010</v>
      </c>
      <c r="V486" s="95">
        <v>-1</v>
      </c>
      <c r="W486" s="95">
        <v>-1</v>
      </c>
      <c r="X486" s="96">
        <v>-1</v>
      </c>
      <c r="Y486" s="96">
        <v>-1</v>
      </c>
      <c r="Z486" s="96">
        <v>-1</v>
      </c>
      <c r="AA486" s="96">
        <v>-1</v>
      </c>
      <c r="AB486" s="96">
        <v>-1</v>
      </c>
      <c r="AC486" s="95">
        <v>-1</v>
      </c>
      <c r="AD486" s="95">
        <v>-1</v>
      </c>
      <c r="AE486" s="95">
        <v>-1</v>
      </c>
      <c r="AF486" s="95">
        <v>-1</v>
      </c>
      <c r="AG486" s="95">
        <v>-1</v>
      </c>
      <c r="AH486" s="95">
        <v>-1</v>
      </c>
      <c r="AI486" s="96">
        <v>-1</v>
      </c>
      <c r="AJ486" s="89"/>
      <c r="AK486" s="89"/>
      <c r="AL486" s="89"/>
      <c r="AM486" s="89"/>
      <c r="AN486" s="89"/>
      <c r="AO486" s="89"/>
      <c r="AP486" s="89"/>
      <c r="AQ486" s="89"/>
      <c r="AR486" s="89"/>
      <c r="AS486" s="89"/>
      <c r="AT486" s="89"/>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c r="BQ486" s="89"/>
      <c r="BR486" s="89"/>
      <c r="BS486" s="89"/>
      <c r="BT486" s="89"/>
      <c r="BU486" s="89"/>
      <c r="BV486" s="89"/>
      <c r="BW486" s="89"/>
      <c r="BX486" s="89"/>
      <c r="BY486" s="89"/>
      <c r="BZ486" s="89"/>
      <c r="CA486" s="89"/>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98"/>
      <c r="DA486" s="98"/>
      <c r="DB486" s="98"/>
      <c r="DC486" s="98"/>
      <c r="DD486" s="98"/>
      <c r="DE486" s="98"/>
      <c r="DF486" s="98"/>
      <c r="DG486" s="98"/>
      <c r="DH486" s="98"/>
      <c r="DI486" s="98"/>
      <c r="DJ486" s="98"/>
      <c r="DK486" s="98"/>
      <c r="DL486" s="98"/>
      <c r="DM486" s="98"/>
      <c r="DN486" s="98"/>
      <c r="DO486" s="98"/>
      <c r="DP486" s="98"/>
      <c r="DQ486" s="98"/>
      <c r="DR486" s="98"/>
      <c r="DS486" s="98"/>
      <c r="DT486" s="98"/>
      <c r="DU486" s="98"/>
      <c r="DV486" s="98"/>
      <c r="DW486" s="98"/>
      <c r="DX486" s="98"/>
      <c r="DY486" s="98"/>
      <c r="DZ486" s="98"/>
      <c r="EA486" s="98"/>
      <c r="EB486" s="98"/>
      <c r="EC486" s="98"/>
      <c r="ED486" s="98"/>
    </row>
    <row r="487" spans="1:134" ht="11.25" customHeight="1" x14ac:dyDescent="0.3">
      <c r="A487" s="28" t="e">
        <f t="array" aca="1" ref="A487" ca="1">_xludf.XLOOKUP(S487,Master_Registrations!P:P,Master_Registrations!A:A,"")</f>
        <v>#NAME?</v>
      </c>
      <c r="B487" s="89" t="s">
        <v>182</v>
      </c>
      <c r="C487" s="89">
        <v>2023</v>
      </c>
      <c r="D487" s="89" t="s">
        <v>184</v>
      </c>
      <c r="E487" s="89">
        <v>2</v>
      </c>
      <c r="F487" s="90" t="str">
        <f t="shared" si="6"/>
        <v>VED-01-2023-BR-2</v>
      </c>
      <c r="G487" s="89" t="s">
        <v>4569</v>
      </c>
      <c r="H487" s="90" t="s">
        <v>7096</v>
      </c>
      <c r="I487" s="90"/>
      <c r="J487" s="89" t="s">
        <v>7094</v>
      </c>
      <c r="K487" s="91"/>
      <c r="L487" s="92"/>
      <c r="M487" s="101"/>
      <c r="N487" s="90" t="s">
        <v>7095</v>
      </c>
      <c r="O487" s="89" t="s">
        <v>7102</v>
      </c>
      <c r="P487" s="89" t="s">
        <v>7103</v>
      </c>
      <c r="Q487" s="89" t="e">
        <f t="shared" ca="1" si="7"/>
        <v>#NAME?</v>
      </c>
      <c r="R487" s="39" t="s">
        <v>316</v>
      </c>
      <c r="S487" s="89">
        <v>6512356643</v>
      </c>
      <c r="T487" s="90" t="s">
        <v>315</v>
      </c>
      <c r="U487" s="89">
        <v>2015</v>
      </c>
      <c r="V487" s="99">
        <v>-1</v>
      </c>
      <c r="W487" s="95">
        <v>-1</v>
      </c>
      <c r="X487" s="96">
        <v>-1</v>
      </c>
      <c r="Y487" s="96">
        <v>-1</v>
      </c>
      <c r="Z487" s="96">
        <v>-1</v>
      </c>
      <c r="AA487" s="96">
        <v>-1</v>
      </c>
      <c r="AB487" s="96">
        <v>-1</v>
      </c>
      <c r="AC487" s="95">
        <v>-1</v>
      </c>
      <c r="AD487" s="95">
        <v>-1</v>
      </c>
      <c r="AE487" s="95">
        <v>-1</v>
      </c>
      <c r="AF487" s="95">
        <v>-1</v>
      </c>
      <c r="AG487" s="95">
        <v>-1</v>
      </c>
      <c r="AH487" s="95">
        <v>-1</v>
      </c>
      <c r="AI487" s="96">
        <v>-1</v>
      </c>
      <c r="AJ487" s="89"/>
      <c r="AK487" s="89"/>
      <c r="AL487" s="89"/>
      <c r="AM487" s="89"/>
      <c r="AN487" s="89"/>
      <c r="AO487" s="89"/>
      <c r="AP487" s="89"/>
      <c r="AQ487" s="89"/>
      <c r="AR487" s="89"/>
      <c r="AS487" s="89"/>
      <c r="AT487" s="89"/>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c r="BQ487" s="89"/>
      <c r="BR487" s="89"/>
      <c r="BS487" s="89"/>
      <c r="BT487" s="89"/>
      <c r="BU487" s="89"/>
      <c r="BV487" s="89"/>
      <c r="BW487" s="89"/>
      <c r="BX487" s="89"/>
      <c r="BY487" s="89"/>
      <c r="BZ487" s="89"/>
      <c r="CA487" s="89"/>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98"/>
      <c r="DA487" s="98"/>
      <c r="DB487" s="98"/>
      <c r="DC487" s="98"/>
      <c r="DD487" s="98"/>
      <c r="DE487" s="98"/>
      <c r="DF487" s="98"/>
      <c r="DG487" s="98"/>
      <c r="DH487" s="98"/>
      <c r="DI487" s="98"/>
      <c r="DJ487" s="98"/>
      <c r="DK487" s="98"/>
      <c r="DL487" s="98"/>
      <c r="DM487" s="98"/>
      <c r="DN487" s="98"/>
      <c r="DO487" s="98"/>
      <c r="DP487" s="98"/>
      <c r="DQ487" s="98"/>
      <c r="DR487" s="98"/>
      <c r="DS487" s="98"/>
      <c r="DT487" s="98"/>
      <c r="DU487" s="98"/>
      <c r="DV487" s="98"/>
      <c r="DW487" s="98"/>
      <c r="DX487" s="98"/>
      <c r="DY487" s="98"/>
      <c r="DZ487" s="98"/>
      <c r="EA487" s="98"/>
      <c r="EB487" s="98"/>
      <c r="EC487" s="98"/>
      <c r="ED487" s="98"/>
    </row>
    <row r="488" spans="1:134" ht="11.25" customHeight="1" x14ac:dyDescent="0.3">
      <c r="A488" s="28" t="e">
        <f t="array" aca="1" ref="A488" ca="1">_xludf.XLOOKUP(S488,Master_Registrations!P:P,Master_Registrations!A:A,"")</f>
        <v>#NAME?</v>
      </c>
      <c r="B488" s="89" t="s">
        <v>182</v>
      </c>
      <c r="C488" s="89">
        <v>2023</v>
      </c>
      <c r="D488" s="89" t="s">
        <v>184</v>
      </c>
      <c r="E488" s="89">
        <v>2</v>
      </c>
      <c r="F488" s="90" t="str">
        <f t="shared" si="6"/>
        <v>VED-01-2023-BR-2</v>
      </c>
      <c r="G488" s="90" t="s">
        <v>7104</v>
      </c>
      <c r="H488" s="90" t="s">
        <v>7105</v>
      </c>
      <c r="I488" s="90"/>
      <c r="J488" s="89" t="s">
        <v>7094</v>
      </c>
      <c r="K488" s="91"/>
      <c r="L488" s="91"/>
      <c r="M488" s="91"/>
      <c r="N488" s="90" t="s">
        <v>7095</v>
      </c>
      <c r="O488" s="89" t="s">
        <v>4008</v>
      </c>
      <c r="P488" s="89" t="s">
        <v>1642</v>
      </c>
      <c r="Q488" s="89" t="e">
        <f t="shared" ca="1" si="7"/>
        <v>#NAME?</v>
      </c>
      <c r="R488" s="39" t="s">
        <v>112</v>
      </c>
      <c r="S488" s="94">
        <v>9885810017</v>
      </c>
      <c r="T488" s="90" t="s">
        <v>111</v>
      </c>
      <c r="U488" s="90">
        <v>2013</v>
      </c>
      <c r="V488" s="95">
        <v>-1</v>
      </c>
      <c r="W488" s="95">
        <v>-1</v>
      </c>
      <c r="X488" s="96">
        <v>-1</v>
      </c>
      <c r="Y488" s="96">
        <v>-1</v>
      </c>
      <c r="Z488" s="96">
        <v>-1</v>
      </c>
      <c r="AA488" s="96">
        <v>-1</v>
      </c>
      <c r="AB488" s="96">
        <v>-1</v>
      </c>
      <c r="AC488" s="95">
        <v>-1</v>
      </c>
      <c r="AD488" s="95">
        <v>-1</v>
      </c>
      <c r="AE488" s="95">
        <v>-1</v>
      </c>
      <c r="AF488" s="95">
        <v>-1</v>
      </c>
      <c r="AG488" s="95">
        <v>-1</v>
      </c>
      <c r="AH488" s="95">
        <v>-1</v>
      </c>
      <c r="AI488" s="96">
        <v>-1</v>
      </c>
      <c r="AJ488" s="89"/>
      <c r="AK488" s="89"/>
      <c r="AL488" s="89"/>
      <c r="AM488" s="89"/>
      <c r="AN488" s="89"/>
      <c r="AO488" s="89"/>
      <c r="AP488" s="89"/>
      <c r="AQ488" s="89"/>
      <c r="AR488" s="89"/>
      <c r="AS488" s="89"/>
      <c r="AT488" s="89"/>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c r="BQ488" s="89"/>
      <c r="BR488" s="89"/>
      <c r="BS488" s="89"/>
      <c r="BT488" s="89"/>
      <c r="BU488" s="89"/>
      <c r="BV488" s="89"/>
      <c r="BW488" s="89"/>
      <c r="BX488" s="89"/>
      <c r="BY488" s="89"/>
      <c r="BZ488" s="89"/>
      <c r="CA488" s="89"/>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98"/>
      <c r="DA488" s="98"/>
      <c r="DB488" s="98"/>
      <c r="DC488" s="98"/>
      <c r="DD488" s="98"/>
      <c r="DE488" s="98"/>
      <c r="DF488" s="98"/>
      <c r="DG488" s="98"/>
      <c r="DH488" s="98"/>
      <c r="DI488" s="98"/>
      <c r="DJ488" s="98"/>
      <c r="DK488" s="98"/>
      <c r="DL488" s="98"/>
      <c r="DM488" s="98"/>
      <c r="DN488" s="98"/>
      <c r="DO488" s="98"/>
      <c r="DP488" s="98"/>
      <c r="DQ488" s="98"/>
      <c r="DR488" s="98"/>
      <c r="DS488" s="98"/>
      <c r="DT488" s="98"/>
      <c r="DU488" s="98"/>
      <c r="DV488" s="98"/>
      <c r="DW488" s="98"/>
      <c r="DX488" s="98"/>
      <c r="DY488" s="98"/>
      <c r="DZ488" s="98"/>
      <c r="EA488" s="98"/>
      <c r="EB488" s="98"/>
      <c r="EC488" s="98"/>
      <c r="ED488" s="98"/>
    </row>
    <row r="489" spans="1:134" ht="11.25" customHeight="1" x14ac:dyDescent="0.3">
      <c r="A489" s="28" t="e">
        <f t="array" aca="1" ref="A489" ca="1">_xludf.XLOOKUP(S489,Master_Registrations!P:P,Master_Registrations!A:A,"")</f>
        <v>#NAME?</v>
      </c>
      <c r="B489" s="89" t="s">
        <v>182</v>
      </c>
      <c r="C489" s="89">
        <v>2023</v>
      </c>
      <c r="D489" s="89" t="s">
        <v>184</v>
      </c>
      <c r="E489" s="89">
        <v>2</v>
      </c>
      <c r="F489" s="90" t="str">
        <f t="shared" si="6"/>
        <v>VED-01-2023-BR-2</v>
      </c>
      <c r="G489" s="90" t="s">
        <v>7104</v>
      </c>
      <c r="H489" s="90" t="s">
        <v>7105</v>
      </c>
      <c r="I489" s="90"/>
      <c r="J489" s="89" t="s">
        <v>7094</v>
      </c>
      <c r="K489" s="91"/>
      <c r="L489" s="91"/>
      <c r="M489" s="91"/>
      <c r="N489" s="90" t="s">
        <v>7095</v>
      </c>
      <c r="O489" s="89" t="s">
        <v>6040</v>
      </c>
      <c r="P489" s="89" t="s">
        <v>6041</v>
      </c>
      <c r="Q489" s="89" t="e">
        <f t="shared" ca="1" si="7"/>
        <v>#NAME?</v>
      </c>
      <c r="R489" s="39" t="s">
        <v>112</v>
      </c>
      <c r="S489" s="105">
        <v>9963534314</v>
      </c>
      <c r="T489" s="90" t="s">
        <v>111</v>
      </c>
      <c r="U489" s="89">
        <v>2010</v>
      </c>
      <c r="V489" s="95">
        <v>-1</v>
      </c>
      <c r="W489" s="95">
        <v>-1</v>
      </c>
      <c r="X489" s="96">
        <v>-1</v>
      </c>
      <c r="Y489" s="96">
        <v>-1</v>
      </c>
      <c r="Z489" s="96">
        <v>-1</v>
      </c>
      <c r="AA489" s="96">
        <v>-1</v>
      </c>
      <c r="AB489" s="96">
        <v>-1</v>
      </c>
      <c r="AC489" s="95">
        <v>-1</v>
      </c>
      <c r="AD489" s="95">
        <v>-1</v>
      </c>
      <c r="AE489" s="95">
        <v>-1</v>
      </c>
      <c r="AF489" s="95">
        <v>-1</v>
      </c>
      <c r="AG489" s="95">
        <v>-1</v>
      </c>
      <c r="AH489" s="95">
        <v>-1</v>
      </c>
      <c r="AI489" s="96">
        <v>-1</v>
      </c>
      <c r="AJ489" s="89"/>
      <c r="AK489" s="89"/>
      <c r="AL489" s="89"/>
      <c r="AM489" s="89"/>
      <c r="AN489" s="89"/>
      <c r="AO489" s="89"/>
      <c r="AP489" s="89"/>
      <c r="AQ489" s="89"/>
      <c r="AR489" s="89"/>
      <c r="AS489" s="89"/>
      <c r="AT489" s="89"/>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c r="BQ489" s="89"/>
      <c r="BR489" s="89"/>
      <c r="BS489" s="89"/>
      <c r="BT489" s="89"/>
      <c r="BU489" s="89"/>
      <c r="BV489" s="89"/>
      <c r="BW489" s="89"/>
      <c r="BX489" s="89"/>
      <c r="BY489" s="89"/>
      <c r="BZ489" s="89"/>
      <c r="CA489" s="89"/>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98"/>
      <c r="DA489" s="98"/>
      <c r="DB489" s="98"/>
      <c r="DC489" s="98"/>
      <c r="DD489" s="98"/>
      <c r="DE489" s="98"/>
      <c r="DF489" s="98"/>
      <c r="DG489" s="98"/>
      <c r="DH489" s="98"/>
      <c r="DI489" s="98"/>
      <c r="DJ489" s="98"/>
      <c r="DK489" s="98"/>
      <c r="DL489" s="98"/>
      <c r="DM489" s="98"/>
      <c r="DN489" s="98"/>
      <c r="DO489" s="98"/>
      <c r="DP489" s="98"/>
      <c r="DQ489" s="98"/>
      <c r="DR489" s="98"/>
      <c r="DS489" s="98"/>
      <c r="DT489" s="98"/>
      <c r="DU489" s="98"/>
      <c r="DV489" s="98"/>
      <c r="DW489" s="98"/>
      <c r="DX489" s="98"/>
      <c r="DY489" s="98"/>
      <c r="DZ489" s="98"/>
      <c r="EA489" s="98"/>
      <c r="EB489" s="98"/>
      <c r="EC489" s="98"/>
      <c r="ED489" s="98"/>
    </row>
    <row r="490" spans="1:134" ht="11.25" customHeight="1" x14ac:dyDescent="0.3">
      <c r="A490" s="28" t="e">
        <f t="array" aca="1" ref="A490" ca="1">_xludf.XLOOKUP(S490,Master_Registrations!P:P,Master_Registrations!A:A,"")</f>
        <v>#NAME?</v>
      </c>
      <c r="B490" s="89" t="s">
        <v>182</v>
      </c>
      <c r="C490" s="89">
        <v>2023</v>
      </c>
      <c r="D490" s="89" t="s">
        <v>4886</v>
      </c>
      <c r="E490" s="89">
        <v>2</v>
      </c>
      <c r="F490" s="90" t="str">
        <f t="shared" si="6"/>
        <v>VED-01-2023-GR-2</v>
      </c>
      <c r="G490" s="89" t="s">
        <v>4569</v>
      </c>
      <c r="H490" s="89" t="s">
        <v>7099</v>
      </c>
      <c r="I490" s="89"/>
      <c r="J490" s="89" t="s">
        <v>7094</v>
      </c>
      <c r="K490" s="92"/>
      <c r="L490" s="93"/>
      <c r="M490" s="92"/>
      <c r="N490" s="90" t="s">
        <v>7095</v>
      </c>
      <c r="O490" s="89" t="s">
        <v>803</v>
      </c>
      <c r="P490" s="141" t="s">
        <v>5992</v>
      </c>
      <c r="Q490" s="89" t="e">
        <f t="shared" ca="1" si="7"/>
        <v>#NAME?</v>
      </c>
      <c r="R490" s="39" t="s">
        <v>112</v>
      </c>
      <c r="S490" s="94">
        <v>7995543347</v>
      </c>
      <c r="T490" s="90" t="s">
        <v>111</v>
      </c>
      <c r="U490" s="90">
        <v>1993</v>
      </c>
      <c r="V490" s="99">
        <v>2</v>
      </c>
      <c r="W490" s="99">
        <v>2</v>
      </c>
      <c r="X490" s="99">
        <v>2</v>
      </c>
      <c r="Y490" s="99">
        <v>2</v>
      </c>
      <c r="Z490" s="99">
        <v>2</v>
      </c>
      <c r="AA490" s="99">
        <v>2</v>
      </c>
      <c r="AB490" s="99">
        <v>2</v>
      </c>
      <c r="AC490" s="95">
        <v>2</v>
      </c>
      <c r="AD490" s="95">
        <v>2</v>
      </c>
      <c r="AE490" s="99">
        <v>2</v>
      </c>
      <c r="AF490" s="99">
        <v>2</v>
      </c>
      <c r="AG490" s="99">
        <v>2</v>
      </c>
      <c r="AH490" s="99">
        <v>2</v>
      </c>
      <c r="AI490" s="96">
        <v>-1</v>
      </c>
      <c r="AJ490" s="99">
        <v>2</v>
      </c>
      <c r="AK490" s="99">
        <v>2</v>
      </c>
      <c r="AL490" s="99">
        <v>2</v>
      </c>
      <c r="AM490" s="99">
        <v>2</v>
      </c>
      <c r="AN490" s="99">
        <v>2</v>
      </c>
      <c r="AO490" s="99">
        <v>2</v>
      </c>
      <c r="AP490" s="95">
        <v>-1</v>
      </c>
      <c r="AQ490" s="95">
        <v>-1</v>
      </c>
      <c r="AR490" s="99">
        <v>2</v>
      </c>
      <c r="AS490" s="95">
        <v>-1</v>
      </c>
      <c r="AT490" s="97">
        <v>1</v>
      </c>
      <c r="AU490" s="99">
        <v>2</v>
      </c>
      <c r="AV490" s="95">
        <v>-1</v>
      </c>
      <c r="AW490" s="99">
        <v>1</v>
      </c>
      <c r="AX490" s="100">
        <v>1</v>
      </c>
      <c r="AY490" s="96">
        <v>-1</v>
      </c>
      <c r="AZ490" s="96">
        <v>-1</v>
      </c>
      <c r="BA490" s="97">
        <v>-1</v>
      </c>
      <c r="BB490" s="97">
        <v>-1</v>
      </c>
      <c r="BC490" s="99">
        <v>1</v>
      </c>
      <c r="BD490" s="99">
        <v>1</v>
      </c>
      <c r="BE490" s="99">
        <v>1</v>
      </c>
      <c r="BF490" s="95">
        <v>-1</v>
      </c>
      <c r="BG490" s="89"/>
      <c r="BH490" s="89"/>
      <c r="BI490" s="89"/>
      <c r="BJ490" s="89"/>
      <c r="BK490" s="89"/>
      <c r="BL490" s="89"/>
      <c r="BM490" s="89"/>
      <c r="BN490" s="89"/>
      <c r="BO490" s="89"/>
      <c r="BP490" s="89"/>
      <c r="BQ490" s="89"/>
      <c r="BR490" s="89"/>
      <c r="BS490" s="89"/>
      <c r="BT490" s="89"/>
      <c r="BU490" s="89"/>
      <c r="BV490" s="89"/>
      <c r="BW490" s="89"/>
      <c r="BX490" s="89"/>
      <c r="BY490" s="89"/>
      <c r="BZ490" s="89"/>
      <c r="CA490" s="89"/>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98"/>
      <c r="DA490" s="98"/>
      <c r="DB490" s="98"/>
      <c r="DC490" s="98"/>
      <c r="DD490" s="98"/>
      <c r="DE490" s="98"/>
      <c r="DF490" s="98"/>
      <c r="DG490" s="98"/>
      <c r="DH490" s="98"/>
      <c r="DI490" s="98"/>
      <c r="DJ490" s="98"/>
      <c r="DK490" s="98"/>
      <c r="DL490" s="98"/>
      <c r="DM490" s="98"/>
      <c r="DN490" s="98"/>
      <c r="DO490" s="98"/>
      <c r="DP490" s="98"/>
      <c r="DQ490" s="98"/>
      <c r="DR490" s="98"/>
      <c r="DS490" s="98"/>
      <c r="DT490" s="98"/>
      <c r="DU490" s="98"/>
      <c r="DV490" s="98"/>
      <c r="DW490" s="98"/>
      <c r="DX490" s="98"/>
      <c r="DY490" s="98"/>
      <c r="DZ490" s="98"/>
      <c r="EA490" s="98"/>
      <c r="EB490" s="98"/>
      <c r="EC490" s="98"/>
      <c r="ED490" s="98"/>
    </row>
    <row r="491" spans="1:134" ht="11.25" customHeight="1" x14ac:dyDescent="0.3">
      <c r="A491" s="28" t="e">
        <f t="array" aca="1" ref="A491" ca="1">_xludf.XLOOKUP(S491,Master_Registrations!P:P,Master_Registrations!A:A,"")</f>
        <v>#NAME?</v>
      </c>
      <c r="B491" s="89" t="s">
        <v>182</v>
      </c>
      <c r="C491" s="89">
        <v>2023</v>
      </c>
      <c r="D491" s="89" t="s">
        <v>4886</v>
      </c>
      <c r="E491" s="89">
        <v>2</v>
      </c>
      <c r="F491" s="90" t="str">
        <f t="shared" si="6"/>
        <v>VED-01-2023-GR-2</v>
      </c>
      <c r="G491" s="89" t="s">
        <v>4569</v>
      </c>
      <c r="H491" s="89" t="s">
        <v>7099</v>
      </c>
      <c r="I491" s="89"/>
      <c r="J491" s="89" t="s">
        <v>7094</v>
      </c>
      <c r="K491" s="93"/>
      <c r="L491" s="93"/>
      <c r="M491" s="93"/>
      <c r="N491" s="90" t="s">
        <v>7095</v>
      </c>
      <c r="O491" s="89" t="s">
        <v>1641</v>
      </c>
      <c r="P491" s="89" t="s">
        <v>5980</v>
      </c>
      <c r="Q491" s="89" t="e">
        <f t="shared" ca="1" si="7"/>
        <v>#NAME?</v>
      </c>
      <c r="R491" s="39" t="s">
        <v>112</v>
      </c>
      <c r="S491" s="94">
        <v>9676539098</v>
      </c>
      <c r="T491" s="90" t="s">
        <v>111</v>
      </c>
      <c r="U491" s="90">
        <v>1999</v>
      </c>
      <c r="V491" s="97">
        <v>2</v>
      </c>
      <c r="W491" s="97">
        <v>2</v>
      </c>
      <c r="X491" s="97">
        <v>2</v>
      </c>
      <c r="Y491" s="97">
        <v>2</v>
      </c>
      <c r="Z491" s="97">
        <v>2</v>
      </c>
      <c r="AA491" s="97">
        <v>2</v>
      </c>
      <c r="AB491" s="97">
        <v>2</v>
      </c>
      <c r="AC491" s="96">
        <v>2</v>
      </c>
      <c r="AD491" s="96">
        <v>2</v>
      </c>
      <c r="AE491" s="97">
        <v>2</v>
      </c>
      <c r="AF491" s="97">
        <v>2</v>
      </c>
      <c r="AG491" s="97">
        <v>2</v>
      </c>
      <c r="AH491" s="97">
        <v>2</v>
      </c>
      <c r="AI491" s="96">
        <v>-1</v>
      </c>
      <c r="AJ491" s="99">
        <v>2</v>
      </c>
      <c r="AK491" s="99">
        <v>2</v>
      </c>
      <c r="AL491" s="99">
        <v>2</v>
      </c>
      <c r="AM491" s="99">
        <v>2</v>
      </c>
      <c r="AN491" s="99">
        <v>2</v>
      </c>
      <c r="AO491" s="99">
        <v>2</v>
      </c>
      <c r="AP491" s="95">
        <v>-1</v>
      </c>
      <c r="AQ491" s="95">
        <v>-1</v>
      </c>
      <c r="AR491" s="99">
        <v>2</v>
      </c>
      <c r="AS491" s="95">
        <v>-1</v>
      </c>
      <c r="AT491" s="95">
        <v>-1</v>
      </c>
      <c r="AU491" s="99">
        <v>2</v>
      </c>
      <c r="AV491" s="95">
        <v>-1</v>
      </c>
      <c r="AW491" s="99">
        <v>2</v>
      </c>
      <c r="AX491" s="99">
        <v>2</v>
      </c>
      <c r="AY491" s="99">
        <v>2</v>
      </c>
      <c r="AZ491" s="99">
        <v>2</v>
      </c>
      <c r="BA491" s="99">
        <v>2</v>
      </c>
      <c r="BB491" s="99">
        <v>2</v>
      </c>
      <c r="BC491" s="99">
        <v>2</v>
      </c>
      <c r="BD491" s="99">
        <v>2</v>
      </c>
      <c r="BE491" s="99">
        <v>2</v>
      </c>
      <c r="BF491" s="99">
        <v>4</v>
      </c>
      <c r="BG491" s="99">
        <v>2</v>
      </c>
      <c r="BH491" s="99">
        <v>2</v>
      </c>
      <c r="BI491" s="99">
        <v>2</v>
      </c>
      <c r="BJ491" s="99">
        <v>2</v>
      </c>
      <c r="BK491" s="99">
        <v>2</v>
      </c>
      <c r="BL491" s="99">
        <v>2</v>
      </c>
      <c r="BM491" s="99">
        <v>4</v>
      </c>
      <c r="BN491" s="89"/>
      <c r="BO491" s="89"/>
      <c r="BP491" s="89"/>
      <c r="BQ491" s="89"/>
      <c r="BR491" s="89"/>
      <c r="BS491" s="89"/>
      <c r="BT491" s="89"/>
      <c r="BU491" s="89"/>
      <c r="BV491" s="89"/>
      <c r="BW491" s="106">
        <v>-1</v>
      </c>
      <c r="BX491" s="106">
        <v>-1</v>
      </c>
      <c r="BY491" s="106">
        <v>-1</v>
      </c>
      <c r="BZ491" s="106">
        <v>-1</v>
      </c>
      <c r="CA491" s="106">
        <v>-1</v>
      </c>
      <c r="CB491" s="106">
        <v>-1</v>
      </c>
      <c r="CC491" s="106">
        <v>-1</v>
      </c>
      <c r="CD491" s="106">
        <v>-1</v>
      </c>
      <c r="CE491" s="106">
        <v>-1</v>
      </c>
      <c r="CF491" s="106">
        <v>-1</v>
      </c>
      <c r="CG491" s="106">
        <v>-1</v>
      </c>
      <c r="CH491" s="106">
        <v>-1</v>
      </c>
      <c r="CI491" s="106">
        <v>-1</v>
      </c>
      <c r="CJ491" s="106">
        <v>-1</v>
      </c>
      <c r="CK491" s="106">
        <v>-1</v>
      </c>
      <c r="CL491" s="106">
        <v>-1</v>
      </c>
      <c r="CM491" s="106">
        <v>-1</v>
      </c>
      <c r="CN491" s="95">
        <v>-1</v>
      </c>
      <c r="CO491" s="95">
        <v>-1</v>
      </c>
      <c r="CP491" s="95">
        <v>-1</v>
      </c>
      <c r="CQ491" s="95">
        <v>-1</v>
      </c>
      <c r="CR491" s="95">
        <v>-1</v>
      </c>
      <c r="CS491" s="95">
        <v>-1</v>
      </c>
      <c r="CT491" s="99">
        <v>1</v>
      </c>
      <c r="CU491" s="99">
        <v>1</v>
      </c>
      <c r="CV491" s="95">
        <v>-1</v>
      </c>
      <c r="CW491" s="95">
        <v>-1</v>
      </c>
      <c r="CX491" s="95">
        <v>-1</v>
      </c>
      <c r="CY491" s="95">
        <v>-1</v>
      </c>
      <c r="CZ491" s="98"/>
      <c r="DA491" s="98"/>
      <c r="DB491" s="98"/>
      <c r="DC491" s="98"/>
      <c r="DD491" s="98"/>
      <c r="DE491" s="98"/>
      <c r="DF491" s="98"/>
      <c r="DG491" s="98"/>
      <c r="DH491" s="98"/>
      <c r="DI491" s="98"/>
      <c r="DJ491" s="98"/>
      <c r="DK491" s="98"/>
      <c r="DL491" s="98"/>
      <c r="DM491" s="98"/>
      <c r="DN491" s="98"/>
      <c r="DO491" s="98"/>
      <c r="DP491" s="98"/>
      <c r="DQ491" s="98"/>
      <c r="DR491" s="98"/>
      <c r="DS491" s="98"/>
      <c r="DT491" s="98"/>
      <c r="DU491" s="98"/>
      <c r="DV491" s="98"/>
      <c r="DW491" s="98"/>
      <c r="DX491" s="98"/>
      <c r="DY491" s="98"/>
      <c r="DZ491" s="98"/>
      <c r="EA491" s="98"/>
      <c r="EB491" s="98"/>
      <c r="EC491" s="98"/>
      <c r="ED491" s="98"/>
    </row>
    <row r="492" spans="1:134" ht="11.25" customHeight="1" x14ac:dyDescent="0.3">
      <c r="A492" s="28" t="e">
        <f t="array" aca="1" ref="A492" ca="1">_xludf.XLOOKUP(S492,Master_Registrations!P:P,Master_Registrations!A:A,"")</f>
        <v>#NAME?</v>
      </c>
      <c r="B492" s="89" t="s">
        <v>182</v>
      </c>
      <c r="C492" s="89">
        <v>2023</v>
      </c>
      <c r="D492" s="89" t="s">
        <v>4886</v>
      </c>
      <c r="E492" s="89">
        <v>2</v>
      </c>
      <c r="F492" s="90" t="str">
        <f t="shared" si="6"/>
        <v>VED-01-2023-GR-2</v>
      </c>
      <c r="G492" s="89" t="s">
        <v>4569</v>
      </c>
      <c r="H492" s="89" t="s">
        <v>7106</v>
      </c>
      <c r="I492" s="89"/>
      <c r="J492" s="89" t="s">
        <v>7094</v>
      </c>
      <c r="K492" s="102"/>
      <c r="L492" s="102"/>
      <c r="M492" s="102"/>
      <c r="N492" s="90" t="s">
        <v>7095</v>
      </c>
      <c r="O492" s="89" t="s">
        <v>6060</v>
      </c>
      <c r="P492" s="89" t="s">
        <v>6061</v>
      </c>
      <c r="Q492" s="89" t="e">
        <f t="shared" ca="1" si="7"/>
        <v>#NAME?</v>
      </c>
      <c r="R492" s="39" t="s">
        <v>112</v>
      </c>
      <c r="S492" s="105">
        <v>9440070424</v>
      </c>
      <c r="T492" s="90" t="s">
        <v>111</v>
      </c>
      <c r="U492" s="89">
        <v>1968</v>
      </c>
      <c r="V492" s="99">
        <v>2</v>
      </c>
      <c r="W492" s="99">
        <v>2</v>
      </c>
      <c r="X492" s="99">
        <v>2</v>
      </c>
      <c r="Y492" s="99">
        <v>2</v>
      </c>
      <c r="Z492" s="99">
        <v>2</v>
      </c>
      <c r="AA492" s="99">
        <v>2</v>
      </c>
      <c r="AB492" s="99">
        <v>2</v>
      </c>
      <c r="AC492" s="95">
        <v>2</v>
      </c>
      <c r="AD492" s="95">
        <v>2</v>
      </c>
      <c r="AE492" s="99">
        <v>2</v>
      </c>
      <c r="AF492" s="99">
        <v>2</v>
      </c>
      <c r="AG492" s="99">
        <v>2</v>
      </c>
      <c r="AH492" s="99">
        <v>2</v>
      </c>
      <c r="AI492" s="97">
        <v>2</v>
      </c>
      <c r="AJ492" s="99">
        <v>2</v>
      </c>
      <c r="AK492" s="99">
        <v>2</v>
      </c>
      <c r="AL492" s="99">
        <v>2</v>
      </c>
      <c r="AM492" s="99">
        <v>2</v>
      </c>
      <c r="AN492" s="99">
        <v>2</v>
      </c>
      <c r="AO492" s="99">
        <v>2</v>
      </c>
      <c r="AP492" s="95">
        <v>-1</v>
      </c>
      <c r="AQ492" s="95">
        <v>-1</v>
      </c>
      <c r="AR492" s="99">
        <v>2</v>
      </c>
      <c r="AS492" s="95">
        <v>-1</v>
      </c>
      <c r="AT492" s="97">
        <v>1</v>
      </c>
      <c r="AU492" s="99">
        <v>2</v>
      </c>
      <c r="AV492" s="95">
        <v>-1</v>
      </c>
      <c r="AW492" s="99">
        <v>1</v>
      </c>
      <c r="AX492" s="95">
        <v>-1</v>
      </c>
      <c r="AY492" s="96">
        <v>1</v>
      </c>
      <c r="AZ492" s="96">
        <v>1</v>
      </c>
      <c r="BA492" s="97">
        <v>1</v>
      </c>
      <c r="BB492" s="97">
        <v>1</v>
      </c>
      <c r="BC492" s="99">
        <v>1</v>
      </c>
      <c r="BD492" s="99">
        <v>1</v>
      </c>
      <c r="BE492" s="99">
        <v>1</v>
      </c>
      <c r="BF492" s="95">
        <v>-1</v>
      </c>
      <c r="BG492" s="99">
        <v>-1</v>
      </c>
      <c r="BH492" s="99">
        <v>-1</v>
      </c>
      <c r="BI492" s="99">
        <v>-1</v>
      </c>
      <c r="BJ492" s="99">
        <v>-1</v>
      </c>
      <c r="BK492" s="95">
        <v>-1</v>
      </c>
      <c r="BL492" s="95">
        <v>-1</v>
      </c>
      <c r="BM492" s="95">
        <v>-1</v>
      </c>
      <c r="BN492" s="89"/>
      <c r="BO492" s="89"/>
      <c r="BP492" s="89"/>
      <c r="BQ492" s="89"/>
      <c r="BR492" s="89"/>
      <c r="BS492" s="89"/>
      <c r="BT492" s="89"/>
      <c r="BU492" s="89"/>
      <c r="BV492" s="89"/>
      <c r="BW492" s="89"/>
      <c r="BX492" s="89"/>
      <c r="BY492" s="89"/>
      <c r="BZ492" s="89"/>
      <c r="CA492" s="89"/>
      <c r="CB492" s="89"/>
      <c r="CC492" s="89"/>
      <c r="CD492" s="89"/>
      <c r="CE492" s="89"/>
      <c r="CF492" s="89"/>
      <c r="CG492" s="89"/>
      <c r="CH492" s="89"/>
      <c r="CI492" s="89"/>
      <c r="CJ492" s="89"/>
      <c r="CK492" s="89"/>
      <c r="CL492" s="89"/>
      <c r="CM492" s="89"/>
      <c r="CN492" s="95">
        <v>-1</v>
      </c>
      <c r="CO492" s="95">
        <v>-1</v>
      </c>
      <c r="CP492" s="95">
        <v>-1</v>
      </c>
      <c r="CQ492" s="95">
        <v>-1</v>
      </c>
      <c r="CR492" s="95">
        <v>-1</v>
      </c>
      <c r="CS492" s="95">
        <v>-1</v>
      </c>
      <c r="CT492" s="95">
        <v>-1</v>
      </c>
      <c r="CU492" s="95">
        <v>-1</v>
      </c>
      <c r="CV492" s="95">
        <v>-1</v>
      </c>
      <c r="CW492" s="95">
        <v>-1</v>
      </c>
      <c r="CX492" s="95">
        <v>-1</v>
      </c>
      <c r="CY492" s="95">
        <v>-1</v>
      </c>
      <c r="CZ492" s="98"/>
      <c r="DA492" s="98"/>
      <c r="DB492" s="98"/>
      <c r="DC492" s="98"/>
      <c r="DD492" s="98"/>
      <c r="DE492" s="98"/>
      <c r="DF492" s="98"/>
      <c r="DG492" s="98"/>
      <c r="DH492" s="98"/>
      <c r="DI492" s="98"/>
      <c r="DJ492" s="98"/>
      <c r="DK492" s="98"/>
      <c r="DL492" s="98"/>
      <c r="DM492" s="98"/>
      <c r="DN492" s="98"/>
      <c r="DO492" s="98"/>
      <c r="DP492" s="98"/>
      <c r="DQ492" s="98"/>
      <c r="DR492" s="98"/>
      <c r="DS492" s="98"/>
      <c r="DT492" s="98"/>
      <c r="DU492" s="98"/>
      <c r="DV492" s="98"/>
      <c r="DW492" s="98"/>
      <c r="DX492" s="98"/>
      <c r="DY492" s="98"/>
      <c r="DZ492" s="98"/>
      <c r="EA492" s="98"/>
      <c r="EB492" s="98"/>
      <c r="EC492" s="98"/>
      <c r="ED492" s="98"/>
    </row>
    <row r="493" spans="1:134" ht="11.25" customHeight="1" x14ac:dyDescent="0.3">
      <c r="A493" s="28" t="e">
        <f t="array" aca="1" ref="A493" ca="1">_xludf.XLOOKUP(S493,Master_Registrations!P:P,Master_Registrations!A:A,"")</f>
        <v>#NAME?</v>
      </c>
      <c r="B493" s="89" t="s">
        <v>182</v>
      </c>
      <c r="C493" s="89">
        <v>2023</v>
      </c>
      <c r="D493" s="89" t="s">
        <v>4886</v>
      </c>
      <c r="E493" s="89">
        <v>2</v>
      </c>
      <c r="F493" s="90" t="str">
        <f t="shared" si="6"/>
        <v>VED-01-2023-GR-2</v>
      </c>
      <c r="G493" s="89" t="s">
        <v>4569</v>
      </c>
      <c r="H493" s="89" t="s">
        <v>7106</v>
      </c>
      <c r="I493" s="89"/>
      <c r="J493" s="89" t="s">
        <v>7094</v>
      </c>
      <c r="K493" s="93"/>
      <c r="L493" s="93"/>
      <c r="M493" s="92"/>
      <c r="N493" s="90" t="s">
        <v>7095</v>
      </c>
      <c r="O493" s="89" t="s">
        <v>5820</v>
      </c>
      <c r="P493" s="141" t="s">
        <v>5821</v>
      </c>
      <c r="Q493" s="89" t="e">
        <f t="shared" ca="1" si="7"/>
        <v>#NAME?</v>
      </c>
      <c r="R493" s="39" t="s">
        <v>112</v>
      </c>
      <c r="S493" s="105">
        <v>8985970843</v>
      </c>
      <c r="T493" s="90" t="s">
        <v>111</v>
      </c>
      <c r="U493" s="89">
        <v>1972</v>
      </c>
      <c r="V493" s="99">
        <v>1</v>
      </c>
      <c r="W493" s="99">
        <v>1</v>
      </c>
      <c r="X493" s="99">
        <v>1</v>
      </c>
      <c r="Y493" s="99">
        <v>1</v>
      </c>
      <c r="Z493" s="99">
        <v>1</v>
      </c>
      <c r="AA493" s="97">
        <v>1</v>
      </c>
      <c r="AB493" s="97">
        <v>1</v>
      </c>
      <c r="AC493" s="99">
        <v>-1</v>
      </c>
      <c r="AD493" s="99">
        <v>-1</v>
      </c>
      <c r="AE493" s="99">
        <v>-1</v>
      </c>
      <c r="AF493" s="99">
        <v>-1</v>
      </c>
      <c r="AG493" s="99">
        <v>-1</v>
      </c>
      <c r="AH493" s="97">
        <v>1</v>
      </c>
      <c r="AI493" s="96">
        <v>-1</v>
      </c>
      <c r="AJ493" s="97">
        <v>1</v>
      </c>
      <c r="AK493" s="97">
        <v>1</v>
      </c>
      <c r="AL493" s="97">
        <v>1</v>
      </c>
      <c r="AM493" s="97">
        <v>1</v>
      </c>
      <c r="AN493" s="97">
        <v>1</v>
      </c>
      <c r="AO493" s="97">
        <v>1</v>
      </c>
      <c r="AP493" s="95">
        <v>-1</v>
      </c>
      <c r="AQ493" s="95">
        <v>-1</v>
      </c>
      <c r="AR493" s="97">
        <v>1</v>
      </c>
      <c r="AS493" s="95">
        <v>-1</v>
      </c>
      <c r="AT493" s="95">
        <v>-1</v>
      </c>
      <c r="AU493" s="97">
        <v>1</v>
      </c>
      <c r="AV493" s="95">
        <v>-1</v>
      </c>
      <c r="AW493" s="99">
        <v>-1</v>
      </c>
      <c r="AX493" s="95">
        <v>-1</v>
      </c>
      <c r="AY493" s="96">
        <v>1</v>
      </c>
      <c r="AZ493" s="96">
        <v>1</v>
      </c>
      <c r="BA493" s="97">
        <v>1</v>
      </c>
      <c r="BB493" s="97">
        <v>1</v>
      </c>
      <c r="BC493" s="99">
        <v>-1</v>
      </c>
      <c r="BD493" s="99">
        <v>-1</v>
      </c>
      <c r="BE493" s="99">
        <v>-1</v>
      </c>
      <c r="BF493" s="95">
        <v>-1</v>
      </c>
      <c r="BG493" s="99">
        <v>-1</v>
      </c>
      <c r="BH493" s="99">
        <v>-1</v>
      </c>
      <c r="BI493" s="99">
        <v>-1</v>
      </c>
      <c r="BJ493" s="99">
        <v>-1</v>
      </c>
      <c r="BK493" s="95">
        <v>-1</v>
      </c>
      <c r="BL493" s="95">
        <v>-1</v>
      </c>
      <c r="BM493" s="95">
        <v>-1</v>
      </c>
      <c r="BN493" s="99">
        <v>1</v>
      </c>
      <c r="BO493" s="99">
        <v>-1</v>
      </c>
      <c r="BP493" s="99">
        <v>1</v>
      </c>
      <c r="BQ493" s="95">
        <v>-1</v>
      </c>
      <c r="BR493" s="95">
        <v>-1</v>
      </c>
      <c r="BS493" s="95">
        <v>-1</v>
      </c>
      <c r="BT493" s="95">
        <v>-1</v>
      </c>
      <c r="BU493" s="95">
        <v>-1</v>
      </c>
      <c r="BV493" s="95">
        <v>-1</v>
      </c>
      <c r="BW493" s="106">
        <v>-1</v>
      </c>
      <c r="BX493" s="106">
        <v>-1</v>
      </c>
      <c r="BY493" s="106">
        <v>-1</v>
      </c>
      <c r="BZ493" s="106">
        <v>-1</v>
      </c>
      <c r="CA493" s="106">
        <v>-1</v>
      </c>
      <c r="CB493" s="106">
        <v>-1</v>
      </c>
      <c r="CC493" s="106">
        <v>-1</v>
      </c>
      <c r="CD493" s="106">
        <v>-1</v>
      </c>
      <c r="CE493" s="106">
        <v>-1</v>
      </c>
      <c r="CF493" s="89"/>
      <c r="CG493" s="89"/>
      <c r="CH493" s="89"/>
      <c r="CI493" s="89"/>
      <c r="CJ493" s="89"/>
      <c r="CK493" s="89"/>
      <c r="CL493" s="89"/>
      <c r="CM493" s="89"/>
      <c r="CN493" s="95">
        <v>-1</v>
      </c>
      <c r="CO493" s="95">
        <v>-1</v>
      </c>
      <c r="CP493" s="95">
        <v>-1</v>
      </c>
      <c r="CQ493" s="95">
        <v>-1</v>
      </c>
      <c r="CR493" s="95">
        <v>-1</v>
      </c>
      <c r="CS493" s="95">
        <v>-1</v>
      </c>
      <c r="CT493" s="95">
        <v>-1</v>
      </c>
      <c r="CU493" s="95">
        <v>-1</v>
      </c>
      <c r="CV493" s="95">
        <v>-1</v>
      </c>
      <c r="CW493" s="95">
        <v>-1</v>
      </c>
      <c r="CX493" s="95">
        <v>-1</v>
      </c>
      <c r="CY493" s="95">
        <v>-1</v>
      </c>
      <c r="CZ493" s="98"/>
      <c r="DA493" s="98"/>
      <c r="DB493" s="98"/>
      <c r="DC493" s="98"/>
      <c r="DD493" s="98"/>
      <c r="DE493" s="98"/>
      <c r="DF493" s="98"/>
      <c r="DG493" s="98"/>
      <c r="DH493" s="98"/>
      <c r="DI493" s="98"/>
      <c r="DJ493" s="98"/>
      <c r="DK493" s="98"/>
      <c r="DL493" s="98"/>
      <c r="DM493" s="98"/>
      <c r="DN493" s="98"/>
      <c r="DO493" s="98"/>
      <c r="DP493" s="98"/>
      <c r="DQ493" s="98"/>
      <c r="DR493" s="98"/>
      <c r="DS493" s="98"/>
      <c r="DT493" s="98"/>
      <c r="DU493" s="98"/>
      <c r="DV493" s="98"/>
      <c r="DW493" s="98"/>
      <c r="DX493" s="98"/>
      <c r="DY493" s="98"/>
      <c r="DZ493" s="98"/>
      <c r="EA493" s="98"/>
      <c r="EB493" s="98"/>
      <c r="EC493" s="98"/>
      <c r="ED493" s="98"/>
    </row>
    <row r="494" spans="1:134" ht="11.25" customHeight="1" x14ac:dyDescent="0.3">
      <c r="A494" s="28" t="e">
        <f t="array" aca="1" ref="A494" ca="1">_xludf.XLOOKUP(S494,Master_Registrations!P:P,Master_Registrations!A:A,"")</f>
        <v>#NAME?</v>
      </c>
      <c r="B494" s="89" t="s">
        <v>182</v>
      </c>
      <c r="C494" s="89">
        <v>2023</v>
      </c>
      <c r="D494" s="89" t="s">
        <v>4886</v>
      </c>
      <c r="E494" s="89">
        <v>2</v>
      </c>
      <c r="F494" s="90" t="str">
        <f t="shared" si="6"/>
        <v>VED-01-2023-GR-2</v>
      </c>
      <c r="G494" s="89" t="s">
        <v>4569</v>
      </c>
      <c r="H494" s="89" t="s">
        <v>7106</v>
      </c>
      <c r="I494" s="89"/>
      <c r="J494" s="89" t="s">
        <v>7094</v>
      </c>
      <c r="K494" s="93"/>
      <c r="L494" s="93"/>
      <c r="M494" s="92"/>
      <c r="N494" s="90" t="s">
        <v>7095</v>
      </c>
      <c r="O494" s="89" t="s">
        <v>821</v>
      </c>
      <c r="P494" s="89" t="s">
        <v>5800</v>
      </c>
      <c r="Q494" s="89" t="e">
        <f t="shared" ca="1" si="7"/>
        <v>#NAME?</v>
      </c>
      <c r="R494" s="39" t="s">
        <v>112</v>
      </c>
      <c r="S494" s="105">
        <v>7331174142</v>
      </c>
      <c r="T494" s="90" t="s">
        <v>111</v>
      </c>
      <c r="U494" s="89">
        <v>1974</v>
      </c>
      <c r="V494" s="99">
        <v>1</v>
      </c>
      <c r="W494" s="99">
        <v>1</v>
      </c>
      <c r="X494" s="97">
        <v>1</v>
      </c>
      <c r="Y494" s="97">
        <v>-1</v>
      </c>
      <c r="Z494" s="97">
        <v>1</v>
      </c>
      <c r="AA494" s="97">
        <v>1</v>
      </c>
      <c r="AB494" s="97">
        <v>1</v>
      </c>
      <c r="AC494" s="99">
        <v>1</v>
      </c>
      <c r="AD494" s="99">
        <v>1</v>
      </c>
      <c r="AE494" s="97">
        <v>1</v>
      </c>
      <c r="AF494" s="97">
        <v>1</v>
      </c>
      <c r="AG494" s="97">
        <v>1</v>
      </c>
      <c r="AH494" s="97">
        <v>1</v>
      </c>
      <c r="AI494" s="96">
        <v>-1</v>
      </c>
      <c r="AJ494" s="97">
        <v>1</v>
      </c>
      <c r="AK494" s="97">
        <v>1</v>
      </c>
      <c r="AL494" s="97">
        <v>-1</v>
      </c>
      <c r="AM494" s="97">
        <v>1</v>
      </c>
      <c r="AN494" s="97">
        <v>-1</v>
      </c>
      <c r="AO494" s="97">
        <v>1</v>
      </c>
      <c r="AP494" s="95">
        <v>-1</v>
      </c>
      <c r="AQ494" s="95">
        <v>-1</v>
      </c>
      <c r="AR494" s="97">
        <v>-1</v>
      </c>
      <c r="AS494" s="95">
        <v>-1</v>
      </c>
      <c r="AT494" s="95">
        <v>-1</v>
      </c>
      <c r="AU494" s="97">
        <v>-1</v>
      </c>
      <c r="AV494" s="95">
        <v>-1</v>
      </c>
      <c r="AW494" s="97">
        <v>1</v>
      </c>
      <c r="AX494" s="95">
        <v>-1</v>
      </c>
      <c r="AY494" s="96">
        <v>-1</v>
      </c>
      <c r="AZ494" s="96">
        <v>-1</v>
      </c>
      <c r="BA494" s="97">
        <v>-1</v>
      </c>
      <c r="BB494" s="97">
        <v>-1</v>
      </c>
      <c r="BC494" s="99">
        <v>-1</v>
      </c>
      <c r="BD494" s="99">
        <v>-1</v>
      </c>
      <c r="BE494" s="99">
        <v>-1</v>
      </c>
      <c r="BF494" s="95">
        <v>-1</v>
      </c>
      <c r="BG494" s="99">
        <v>-1</v>
      </c>
      <c r="BH494" s="99">
        <v>-1</v>
      </c>
      <c r="BI494" s="99">
        <v>-1</v>
      </c>
      <c r="BJ494" s="99">
        <v>-1</v>
      </c>
      <c r="BK494" s="95">
        <v>-1</v>
      </c>
      <c r="BL494" s="95">
        <v>-1</v>
      </c>
      <c r="BM494" s="95">
        <v>-1</v>
      </c>
      <c r="BN494" s="99">
        <v>1</v>
      </c>
      <c r="BO494" s="99">
        <v>-1</v>
      </c>
      <c r="BP494" s="99">
        <v>-1</v>
      </c>
      <c r="BQ494" s="95">
        <v>-1</v>
      </c>
      <c r="BR494" s="95">
        <v>-1</v>
      </c>
      <c r="BS494" s="95">
        <v>-1</v>
      </c>
      <c r="BT494" s="95">
        <v>-1</v>
      </c>
      <c r="BU494" s="95">
        <v>-1</v>
      </c>
      <c r="BV494" s="95">
        <v>-1</v>
      </c>
      <c r="BW494" s="89"/>
      <c r="BX494" s="89"/>
      <c r="BY494" s="89"/>
      <c r="BZ494" s="89"/>
      <c r="CA494" s="89"/>
      <c r="CB494" s="89"/>
      <c r="CC494" s="89"/>
      <c r="CD494" s="89"/>
      <c r="CE494" s="89"/>
      <c r="CF494" s="89"/>
      <c r="CG494" s="89"/>
      <c r="CH494" s="89"/>
      <c r="CI494" s="89"/>
      <c r="CJ494" s="89"/>
      <c r="CK494" s="89"/>
      <c r="CL494" s="89"/>
      <c r="CM494" s="89"/>
      <c r="CN494" s="95">
        <v>-1</v>
      </c>
      <c r="CO494" s="95">
        <v>-1</v>
      </c>
      <c r="CP494" s="95">
        <v>-1</v>
      </c>
      <c r="CQ494" s="95">
        <v>-1</v>
      </c>
      <c r="CR494" s="95">
        <v>-1</v>
      </c>
      <c r="CS494" s="95">
        <v>-1</v>
      </c>
      <c r="CT494" s="95">
        <v>-1</v>
      </c>
      <c r="CU494" s="95">
        <v>-1</v>
      </c>
      <c r="CV494" s="95">
        <v>-1</v>
      </c>
      <c r="CW494" s="95">
        <v>-1</v>
      </c>
      <c r="CX494" s="95">
        <v>-1</v>
      </c>
      <c r="CY494" s="95">
        <v>-1</v>
      </c>
      <c r="CZ494" s="98"/>
      <c r="DA494" s="98"/>
      <c r="DB494" s="98"/>
      <c r="DC494" s="98"/>
      <c r="DD494" s="98"/>
      <c r="DE494" s="98"/>
      <c r="DF494" s="98"/>
      <c r="DG494" s="98"/>
      <c r="DH494" s="98"/>
      <c r="DI494" s="98"/>
      <c r="DJ494" s="98"/>
      <c r="DK494" s="98"/>
      <c r="DL494" s="98"/>
      <c r="DM494" s="98"/>
      <c r="DN494" s="98"/>
      <c r="DO494" s="98"/>
      <c r="DP494" s="98"/>
      <c r="DQ494" s="98"/>
      <c r="DR494" s="98"/>
      <c r="DS494" s="98"/>
      <c r="DT494" s="98"/>
      <c r="DU494" s="98"/>
      <c r="DV494" s="98"/>
      <c r="DW494" s="98"/>
      <c r="DX494" s="98"/>
      <c r="DY494" s="98"/>
      <c r="DZ494" s="98"/>
      <c r="EA494" s="98"/>
      <c r="EB494" s="98"/>
      <c r="EC494" s="98"/>
      <c r="ED494" s="98"/>
    </row>
    <row r="495" spans="1:134" ht="11.25" customHeight="1" x14ac:dyDescent="0.3">
      <c r="A495" s="28" t="e">
        <f t="array" aca="1" ref="A495" ca="1">_xludf.XLOOKUP(S495,Master_Registrations!P:P,Master_Registrations!A:A,"")</f>
        <v>#NAME?</v>
      </c>
      <c r="B495" s="89" t="s">
        <v>182</v>
      </c>
      <c r="C495" s="89">
        <v>2023</v>
      </c>
      <c r="D495" s="89" t="s">
        <v>4886</v>
      </c>
      <c r="E495" s="89">
        <v>2</v>
      </c>
      <c r="F495" s="90" t="str">
        <f t="shared" si="6"/>
        <v>VED-01-2023-GR-2</v>
      </c>
      <c r="G495" s="89" t="s">
        <v>4569</v>
      </c>
      <c r="H495" s="89" t="s">
        <v>7107</v>
      </c>
      <c r="I495" s="89"/>
      <c r="J495" s="89" t="s">
        <v>7094</v>
      </c>
      <c r="K495" s="92"/>
      <c r="L495" s="93"/>
      <c r="M495" s="93"/>
      <c r="N495" s="90" t="s">
        <v>7095</v>
      </c>
      <c r="O495" s="89" t="s">
        <v>2649</v>
      </c>
      <c r="P495" s="89" t="s">
        <v>862</v>
      </c>
      <c r="Q495" s="89" t="e">
        <f t="shared" ca="1" si="7"/>
        <v>#NAME?</v>
      </c>
      <c r="R495" s="39" t="s">
        <v>316</v>
      </c>
      <c r="S495" s="94">
        <v>4257858843</v>
      </c>
      <c r="T495" s="90" t="s">
        <v>402</v>
      </c>
      <c r="U495" s="90">
        <v>1971</v>
      </c>
      <c r="V495" s="99">
        <v>1</v>
      </c>
      <c r="W495" s="99">
        <v>1</v>
      </c>
      <c r="X495" s="97">
        <v>1</v>
      </c>
      <c r="Y495" s="97">
        <v>1</v>
      </c>
      <c r="Z495" s="99">
        <v>1</v>
      </c>
      <c r="AA495" s="97">
        <v>1</v>
      </c>
      <c r="AB495" s="97">
        <v>1</v>
      </c>
      <c r="AC495" s="99">
        <v>1</v>
      </c>
      <c r="AD495" s="99">
        <v>1</v>
      </c>
      <c r="AE495" s="99">
        <v>1</v>
      </c>
      <c r="AF495" s="99">
        <v>1</v>
      </c>
      <c r="AG495" s="99">
        <v>1</v>
      </c>
      <c r="AH495" s="99">
        <v>-1</v>
      </c>
      <c r="AI495" s="96">
        <v>-1</v>
      </c>
      <c r="AJ495" s="97">
        <v>1</v>
      </c>
      <c r="AK495" s="97">
        <v>1</v>
      </c>
      <c r="AL495" s="97">
        <v>1</v>
      </c>
      <c r="AM495" s="97">
        <v>1</v>
      </c>
      <c r="AN495" s="97">
        <v>1</v>
      </c>
      <c r="AO495" s="97">
        <v>1</v>
      </c>
      <c r="AP495" s="95">
        <v>-1</v>
      </c>
      <c r="AQ495" s="95">
        <v>-1</v>
      </c>
      <c r="AR495" s="97">
        <v>1</v>
      </c>
      <c r="AS495" s="95">
        <v>-1</v>
      </c>
      <c r="AT495" s="97">
        <v>1</v>
      </c>
      <c r="AU495" s="97">
        <v>-1</v>
      </c>
      <c r="AV495" s="95">
        <v>-1</v>
      </c>
      <c r="AW495" s="89"/>
      <c r="AX495" s="89"/>
      <c r="AY495" s="89"/>
      <c r="AZ495" s="89"/>
      <c r="BA495" s="89"/>
      <c r="BB495" s="89"/>
      <c r="BC495" s="89"/>
      <c r="BD495" s="89"/>
      <c r="BE495" s="89"/>
      <c r="BF495" s="89"/>
      <c r="BG495" s="99">
        <v>-1</v>
      </c>
      <c r="BH495" s="99">
        <v>-1</v>
      </c>
      <c r="BI495" s="99">
        <v>-1</v>
      </c>
      <c r="BJ495" s="95">
        <v>-1</v>
      </c>
      <c r="BK495" s="95">
        <v>-1</v>
      </c>
      <c r="BL495" s="95">
        <v>-1</v>
      </c>
      <c r="BM495" s="95">
        <v>-1</v>
      </c>
      <c r="BN495" s="89"/>
      <c r="BO495" s="89"/>
      <c r="BP495" s="89"/>
      <c r="BQ495" s="89"/>
      <c r="BR495" s="89"/>
      <c r="BS495" s="89"/>
      <c r="BT495" s="89"/>
      <c r="BU495" s="89"/>
      <c r="BV495" s="89"/>
      <c r="BW495" s="89"/>
      <c r="BX495" s="89"/>
      <c r="BY495" s="89"/>
      <c r="BZ495" s="89"/>
      <c r="CA495" s="89"/>
      <c r="CB495" s="89"/>
      <c r="CC495" s="89"/>
      <c r="CD495" s="89"/>
      <c r="CE495" s="89"/>
      <c r="CF495" s="89"/>
      <c r="CG495" s="89"/>
      <c r="CH495" s="89"/>
      <c r="CI495" s="89"/>
      <c r="CJ495" s="89"/>
      <c r="CK495" s="89"/>
      <c r="CL495" s="89"/>
      <c r="CM495" s="89"/>
      <c r="CN495" s="95">
        <v>-1</v>
      </c>
      <c r="CO495" s="95">
        <v>-1</v>
      </c>
      <c r="CP495" s="95">
        <v>-1</v>
      </c>
      <c r="CQ495" s="95">
        <v>-1</v>
      </c>
      <c r="CR495" s="95">
        <v>-1</v>
      </c>
      <c r="CS495" s="95">
        <v>-1</v>
      </c>
      <c r="CT495" s="95">
        <v>-1</v>
      </c>
      <c r="CU495" s="95">
        <v>-1</v>
      </c>
      <c r="CV495" s="95">
        <v>-1</v>
      </c>
      <c r="CW495" s="95">
        <v>-1</v>
      </c>
      <c r="CX495" s="95">
        <v>-1</v>
      </c>
      <c r="CY495" s="95">
        <v>-1</v>
      </c>
      <c r="CZ495" s="98"/>
      <c r="DA495" s="98"/>
      <c r="DB495" s="98"/>
      <c r="DC495" s="98"/>
      <c r="DD495" s="98"/>
      <c r="DE495" s="98"/>
      <c r="DF495" s="98"/>
      <c r="DG495" s="98"/>
      <c r="DH495" s="98"/>
      <c r="DI495" s="98"/>
      <c r="DJ495" s="98"/>
      <c r="DK495" s="98"/>
      <c r="DL495" s="98"/>
      <c r="DM495" s="98"/>
      <c r="DN495" s="98"/>
      <c r="DO495" s="98"/>
      <c r="DP495" s="98"/>
      <c r="DQ495" s="98"/>
      <c r="DR495" s="98"/>
      <c r="DS495" s="98"/>
      <c r="DT495" s="98"/>
      <c r="DU495" s="98"/>
      <c r="DV495" s="98"/>
      <c r="DW495" s="98"/>
      <c r="DX495" s="98"/>
      <c r="DY495" s="98"/>
      <c r="DZ495" s="98"/>
      <c r="EA495" s="98"/>
      <c r="EB495" s="98"/>
      <c r="EC495" s="98"/>
      <c r="ED495" s="98"/>
    </row>
    <row r="496" spans="1:134" ht="11.25" customHeight="1" x14ac:dyDescent="0.3">
      <c r="A496" s="28" t="e">
        <f t="array" aca="1" ref="A496" ca="1">_xludf.XLOOKUP(S496,Master_Registrations!P:P,Master_Registrations!A:A,"")</f>
        <v>#NAME?</v>
      </c>
      <c r="B496" s="89" t="s">
        <v>182</v>
      </c>
      <c r="C496" s="89">
        <v>2023</v>
      </c>
      <c r="D496" s="89" t="s">
        <v>4886</v>
      </c>
      <c r="E496" s="89">
        <v>2</v>
      </c>
      <c r="F496" s="90" t="str">
        <f t="shared" si="6"/>
        <v>VED-01-2023-GR-2</v>
      </c>
      <c r="G496" s="89" t="s">
        <v>4569</v>
      </c>
      <c r="H496" s="89" t="s">
        <v>4750</v>
      </c>
      <c r="I496" s="89"/>
      <c r="J496" s="89" t="s">
        <v>7094</v>
      </c>
      <c r="K496" s="92"/>
      <c r="L496" s="93"/>
      <c r="M496" s="92"/>
      <c r="N496" s="90" t="s">
        <v>7095</v>
      </c>
      <c r="O496" s="89" t="s">
        <v>2544</v>
      </c>
      <c r="P496" s="89" t="s">
        <v>6311</v>
      </c>
      <c r="Q496" s="89" t="e">
        <f t="shared" ca="1" si="7"/>
        <v>#NAME?</v>
      </c>
      <c r="R496" s="39" t="s">
        <v>316</v>
      </c>
      <c r="S496" s="94">
        <v>2063517116</v>
      </c>
      <c r="T496" s="90" t="s">
        <v>474</v>
      </c>
      <c r="U496" s="90">
        <v>2008</v>
      </c>
      <c r="V496" s="99">
        <v>1</v>
      </c>
      <c r="W496" s="99">
        <v>1</v>
      </c>
      <c r="X496" s="99">
        <v>1</v>
      </c>
      <c r="Y496" s="99">
        <v>1</v>
      </c>
      <c r="Z496" s="97">
        <v>1</v>
      </c>
      <c r="AA496" s="97">
        <v>1</v>
      </c>
      <c r="AB496" s="97">
        <v>1</v>
      </c>
      <c r="AC496" s="99">
        <v>1</v>
      </c>
      <c r="AD496" s="99">
        <v>1</v>
      </c>
      <c r="AE496" s="99">
        <v>1</v>
      </c>
      <c r="AF496" s="99">
        <v>1</v>
      </c>
      <c r="AG496" s="99">
        <v>1</v>
      </c>
      <c r="AH496" s="95">
        <v>-1</v>
      </c>
      <c r="AI496" s="96">
        <v>-1</v>
      </c>
      <c r="AJ496" s="97">
        <v>1</v>
      </c>
      <c r="AK496" s="96">
        <v>-1</v>
      </c>
      <c r="AL496" s="96">
        <v>-1</v>
      </c>
      <c r="AM496" s="96">
        <v>-1</v>
      </c>
      <c r="AN496" s="96">
        <v>-1</v>
      </c>
      <c r="AO496" s="96">
        <v>-1</v>
      </c>
      <c r="AP496" s="96">
        <v>-1</v>
      </c>
      <c r="AQ496" s="96">
        <v>-1</v>
      </c>
      <c r="AR496" s="96">
        <v>-1</v>
      </c>
      <c r="AS496" s="96">
        <v>-1</v>
      </c>
      <c r="AT496" s="96">
        <v>-1</v>
      </c>
      <c r="AU496" s="96">
        <v>-1</v>
      </c>
      <c r="AV496" s="96">
        <v>-1</v>
      </c>
      <c r="AW496" s="95">
        <v>-1</v>
      </c>
      <c r="AX496" s="95">
        <v>-1</v>
      </c>
      <c r="AY496" s="95">
        <v>-1</v>
      </c>
      <c r="AZ496" s="95">
        <v>-1</v>
      </c>
      <c r="BA496" s="95">
        <v>-1</v>
      </c>
      <c r="BB496" s="95">
        <v>-1</v>
      </c>
      <c r="BC496" s="95">
        <v>-1</v>
      </c>
      <c r="BD496" s="95">
        <v>-1</v>
      </c>
      <c r="BE496" s="95">
        <v>-1</v>
      </c>
      <c r="BF496" s="95">
        <v>-1</v>
      </c>
      <c r="BG496" s="89"/>
      <c r="BH496" s="89"/>
      <c r="BI496" s="89"/>
      <c r="BJ496" s="89"/>
      <c r="BK496" s="89"/>
      <c r="BL496" s="89"/>
      <c r="BM496" s="89"/>
      <c r="BN496" s="89"/>
      <c r="BO496" s="89"/>
      <c r="BP496" s="89"/>
      <c r="BQ496" s="89"/>
      <c r="BR496" s="89"/>
      <c r="BS496" s="89"/>
      <c r="BT496" s="89"/>
      <c r="BU496" s="89"/>
      <c r="BV496" s="89"/>
      <c r="BW496" s="89"/>
      <c r="BX496" s="89"/>
      <c r="BY496" s="89"/>
      <c r="BZ496" s="89"/>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98"/>
      <c r="DA496" s="98"/>
      <c r="DB496" s="98"/>
      <c r="DC496" s="98"/>
      <c r="DD496" s="98"/>
      <c r="DE496" s="98"/>
      <c r="DF496" s="98"/>
      <c r="DG496" s="98"/>
      <c r="DH496" s="98"/>
      <c r="DI496" s="98"/>
      <c r="DJ496" s="98"/>
      <c r="DK496" s="98"/>
      <c r="DL496" s="98"/>
      <c r="DM496" s="98"/>
      <c r="DN496" s="98"/>
      <c r="DO496" s="98"/>
      <c r="DP496" s="98"/>
      <c r="DQ496" s="98"/>
      <c r="DR496" s="98"/>
      <c r="DS496" s="98"/>
      <c r="DT496" s="98"/>
      <c r="DU496" s="98"/>
      <c r="DV496" s="98"/>
      <c r="DW496" s="98"/>
      <c r="DX496" s="98"/>
      <c r="DY496" s="98"/>
      <c r="DZ496" s="98"/>
      <c r="EA496" s="98"/>
      <c r="EB496" s="98"/>
      <c r="EC496" s="98"/>
      <c r="ED496" s="98"/>
    </row>
    <row r="497" spans="1:134" ht="11.25" customHeight="1" x14ac:dyDescent="0.3">
      <c r="A497" s="28" t="e">
        <f t="array" aca="1" ref="A497" ca="1">_xludf.XLOOKUP(S497,Master_Registrations!P:P,Master_Registrations!A:A,"")</f>
        <v>#NAME?</v>
      </c>
      <c r="B497" s="89" t="s">
        <v>182</v>
      </c>
      <c r="C497" s="89">
        <v>2023</v>
      </c>
      <c r="D497" s="89" t="s">
        <v>4886</v>
      </c>
      <c r="E497" s="89">
        <v>2</v>
      </c>
      <c r="F497" s="90" t="str">
        <f t="shared" si="6"/>
        <v>VED-01-2023-GR-2</v>
      </c>
      <c r="G497" s="89" t="s">
        <v>4569</v>
      </c>
      <c r="H497" s="89" t="s">
        <v>4750</v>
      </c>
      <c r="I497" s="89"/>
      <c r="J497" s="89" t="s">
        <v>7094</v>
      </c>
      <c r="K497" s="93"/>
      <c r="L497" s="93"/>
      <c r="M497" s="93"/>
      <c r="N497" s="90" t="s">
        <v>7095</v>
      </c>
      <c r="O497" s="89" t="s">
        <v>880</v>
      </c>
      <c r="P497" s="89" t="s">
        <v>5800</v>
      </c>
      <c r="Q497" s="89" t="e">
        <f t="shared" ca="1" si="7"/>
        <v>#NAME?</v>
      </c>
      <c r="R497" s="39" t="s">
        <v>316</v>
      </c>
      <c r="S497" s="94">
        <v>7373779389</v>
      </c>
      <c r="T497" s="90" t="s">
        <v>315</v>
      </c>
      <c r="U497" s="90">
        <v>1984</v>
      </c>
      <c r="V497" s="99">
        <v>1</v>
      </c>
      <c r="W497" s="99">
        <v>1</v>
      </c>
      <c r="X497" s="97">
        <v>1</v>
      </c>
      <c r="Y497" s="97">
        <v>1</v>
      </c>
      <c r="Z497" s="97">
        <v>1</v>
      </c>
      <c r="AA497" s="97">
        <v>1</v>
      </c>
      <c r="AB497" s="97">
        <v>1</v>
      </c>
      <c r="AC497" s="99">
        <v>1</v>
      </c>
      <c r="AD497" s="99">
        <v>1</v>
      </c>
      <c r="AE497" s="99">
        <v>1</v>
      </c>
      <c r="AF497" s="99">
        <v>1</v>
      </c>
      <c r="AG497" s="99">
        <v>1</v>
      </c>
      <c r="AH497" s="97">
        <v>1</v>
      </c>
      <c r="AI497" s="96">
        <v>-1</v>
      </c>
      <c r="AJ497" s="97">
        <v>1</v>
      </c>
      <c r="AK497" s="97">
        <v>1</v>
      </c>
      <c r="AL497" s="97">
        <v>1</v>
      </c>
      <c r="AM497" s="97">
        <v>1</v>
      </c>
      <c r="AN497" s="97">
        <v>1</v>
      </c>
      <c r="AO497" s="97">
        <v>1</v>
      </c>
      <c r="AP497" s="95">
        <v>-1</v>
      </c>
      <c r="AQ497" s="95">
        <v>-1</v>
      </c>
      <c r="AR497" s="97">
        <v>1</v>
      </c>
      <c r="AS497" s="95">
        <v>-1</v>
      </c>
      <c r="AT497" s="95">
        <v>-1</v>
      </c>
      <c r="AU497" s="97">
        <v>1</v>
      </c>
      <c r="AV497" s="95">
        <v>-1</v>
      </c>
      <c r="AW497" s="95">
        <v>-1</v>
      </c>
      <c r="AX497" s="95">
        <v>-1</v>
      </c>
      <c r="AY497" s="95">
        <v>-1</v>
      </c>
      <c r="AZ497" s="95">
        <v>-1</v>
      </c>
      <c r="BA497" s="95">
        <v>-1</v>
      </c>
      <c r="BB497" s="95">
        <v>-1</v>
      </c>
      <c r="BC497" s="95">
        <v>-1</v>
      </c>
      <c r="BD497" s="95">
        <v>-1</v>
      </c>
      <c r="BE497" s="95">
        <v>-1</v>
      </c>
      <c r="BF497" s="95">
        <v>-1</v>
      </c>
      <c r="BG497" s="89"/>
      <c r="BH497" s="89"/>
      <c r="BI497" s="89"/>
      <c r="BJ497" s="89"/>
      <c r="BK497" s="89"/>
      <c r="BL497" s="89"/>
      <c r="BM497" s="89"/>
      <c r="BN497" s="89"/>
      <c r="BO497" s="89"/>
      <c r="BP497" s="89"/>
      <c r="BQ497" s="89"/>
      <c r="BR497" s="89"/>
      <c r="BS497" s="89"/>
      <c r="BT497" s="89"/>
      <c r="BU497" s="89"/>
      <c r="BV497" s="89"/>
      <c r="BW497" s="89"/>
      <c r="BX497" s="89"/>
      <c r="BY497" s="89"/>
      <c r="BZ497" s="89"/>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98"/>
      <c r="DA497" s="98"/>
      <c r="DB497" s="98"/>
      <c r="DC497" s="98"/>
      <c r="DD497" s="98"/>
      <c r="DE497" s="98"/>
      <c r="DF497" s="98"/>
      <c r="DG497" s="98"/>
      <c r="DH497" s="98"/>
      <c r="DI497" s="98"/>
      <c r="DJ497" s="98"/>
      <c r="DK497" s="98"/>
      <c r="DL497" s="98"/>
      <c r="DM497" s="98"/>
      <c r="DN497" s="98"/>
      <c r="DO497" s="98"/>
      <c r="DP497" s="98"/>
      <c r="DQ497" s="98"/>
      <c r="DR497" s="98"/>
      <c r="DS497" s="98"/>
      <c r="DT497" s="98"/>
      <c r="DU497" s="98"/>
      <c r="DV497" s="98"/>
      <c r="DW497" s="98"/>
      <c r="DX497" s="98"/>
      <c r="DY497" s="98"/>
      <c r="DZ497" s="98"/>
      <c r="EA497" s="98"/>
      <c r="EB497" s="98"/>
      <c r="EC497" s="98"/>
      <c r="ED497" s="98"/>
    </row>
    <row r="498" spans="1:134" ht="11.25" customHeight="1" x14ac:dyDescent="0.3">
      <c r="A498" s="28" t="e">
        <f t="array" aca="1" ref="A498" ca="1">_xludf.XLOOKUP(S498,Master_Registrations!P:P,Master_Registrations!A:A,"")</f>
        <v>#NAME?</v>
      </c>
      <c r="B498" s="89" t="s">
        <v>182</v>
      </c>
      <c r="C498" s="89">
        <v>2023</v>
      </c>
      <c r="D498" s="89" t="s">
        <v>4886</v>
      </c>
      <c r="E498" s="89">
        <v>2</v>
      </c>
      <c r="F498" s="90" t="str">
        <f t="shared" si="6"/>
        <v>VED-01-2023-GR-2</v>
      </c>
      <c r="G498" s="89" t="s">
        <v>4569</v>
      </c>
      <c r="H498" s="89" t="s">
        <v>4750</v>
      </c>
      <c r="I498" s="89"/>
      <c r="J498" s="89" t="s">
        <v>7094</v>
      </c>
      <c r="K498" s="92"/>
      <c r="L498" s="93"/>
      <c r="M498" s="92"/>
      <c r="N498" s="90" t="s">
        <v>7095</v>
      </c>
      <c r="O498" s="141" t="s">
        <v>6233</v>
      </c>
      <c r="P498" s="141" t="s">
        <v>6234</v>
      </c>
      <c r="Q498" s="89" t="e">
        <f t="shared" ca="1" si="7"/>
        <v>#NAME?</v>
      </c>
      <c r="R498" s="39" t="s">
        <v>316</v>
      </c>
      <c r="S498" s="94">
        <v>5129837352</v>
      </c>
      <c r="T498" s="90" t="s">
        <v>315</v>
      </c>
      <c r="U498" s="90">
        <v>1965</v>
      </c>
      <c r="V498" s="99">
        <v>1</v>
      </c>
      <c r="W498" s="95">
        <v>-1</v>
      </c>
      <c r="X498" s="97">
        <v>1</v>
      </c>
      <c r="Y498" s="97">
        <v>1</v>
      </c>
      <c r="Z498" s="97">
        <v>1</v>
      </c>
      <c r="AA498" s="96">
        <v>-1</v>
      </c>
      <c r="AB498" s="97">
        <v>1</v>
      </c>
      <c r="AC498" s="99">
        <v>1</v>
      </c>
      <c r="AD498" s="99">
        <v>1</v>
      </c>
      <c r="AE498" s="99">
        <v>1</v>
      </c>
      <c r="AF498" s="99">
        <v>-1</v>
      </c>
      <c r="AG498" s="99">
        <v>1</v>
      </c>
      <c r="AH498" s="95">
        <v>-1</v>
      </c>
      <c r="AI498" s="96">
        <v>-1</v>
      </c>
      <c r="AJ498" s="96">
        <v>-1</v>
      </c>
      <c r="AK498" s="96">
        <v>-1</v>
      </c>
      <c r="AL498" s="96">
        <v>-1</v>
      </c>
      <c r="AM498" s="96">
        <v>-1</v>
      </c>
      <c r="AN498" s="96">
        <v>-1</v>
      </c>
      <c r="AO498" s="96">
        <v>-1</v>
      </c>
      <c r="AP498" s="96">
        <v>-1</v>
      </c>
      <c r="AQ498" s="96">
        <v>-1</v>
      </c>
      <c r="AR498" s="96">
        <v>-1</v>
      </c>
      <c r="AS498" s="96">
        <v>-1</v>
      </c>
      <c r="AT498" s="96">
        <v>-1</v>
      </c>
      <c r="AU498" s="96">
        <v>-1</v>
      </c>
      <c r="AV498" s="96">
        <v>-1</v>
      </c>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89"/>
      <c r="BS498" s="89"/>
      <c r="BT498" s="89"/>
      <c r="BU498" s="89"/>
      <c r="BV498" s="89"/>
      <c r="BW498" s="89"/>
      <c r="BX498" s="89"/>
      <c r="BY498" s="89"/>
      <c r="BZ498" s="89"/>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98"/>
      <c r="DA498" s="98"/>
      <c r="DB498" s="98"/>
      <c r="DC498" s="98"/>
      <c r="DD498" s="98"/>
      <c r="DE498" s="98"/>
      <c r="DF498" s="98"/>
      <c r="DG498" s="98"/>
      <c r="DH498" s="98"/>
      <c r="DI498" s="98"/>
      <c r="DJ498" s="98"/>
      <c r="DK498" s="98"/>
      <c r="DL498" s="98"/>
      <c r="DM498" s="98"/>
      <c r="DN498" s="98"/>
      <c r="DO498" s="98"/>
      <c r="DP498" s="98"/>
      <c r="DQ498" s="98"/>
      <c r="DR498" s="98"/>
      <c r="DS498" s="98"/>
      <c r="DT498" s="98"/>
      <c r="DU498" s="98"/>
      <c r="DV498" s="98"/>
      <c r="DW498" s="98"/>
      <c r="DX498" s="98"/>
      <c r="DY498" s="98"/>
      <c r="DZ498" s="98"/>
      <c r="EA498" s="98"/>
      <c r="EB498" s="98"/>
      <c r="EC498" s="98"/>
      <c r="ED498" s="98"/>
    </row>
    <row r="499" spans="1:134" ht="11.25" customHeight="1" x14ac:dyDescent="0.3">
      <c r="A499" s="28" t="e">
        <f t="array" aca="1" ref="A499" ca="1">_xludf.XLOOKUP(S499,Master_Registrations!P:P,Master_Registrations!A:A,"")</f>
        <v>#NAME?</v>
      </c>
      <c r="B499" s="89" t="s">
        <v>182</v>
      </c>
      <c r="C499" s="89">
        <v>2023</v>
      </c>
      <c r="D499" s="89" t="s">
        <v>4886</v>
      </c>
      <c r="E499" s="89">
        <v>2</v>
      </c>
      <c r="F499" s="90" t="str">
        <f t="shared" si="6"/>
        <v>VED-01-2023-GR-2</v>
      </c>
      <c r="G499" s="89" t="s">
        <v>4569</v>
      </c>
      <c r="H499" s="89" t="s">
        <v>4750</v>
      </c>
      <c r="I499" s="89"/>
      <c r="J499" s="89" t="s">
        <v>7094</v>
      </c>
      <c r="K499" s="99"/>
      <c r="L499" s="99"/>
      <c r="M499" s="99"/>
      <c r="N499" s="90" t="s">
        <v>7095</v>
      </c>
      <c r="O499" s="89" t="s">
        <v>3200</v>
      </c>
      <c r="P499" s="89" t="s">
        <v>1914</v>
      </c>
      <c r="Q499" s="89" t="e">
        <f t="shared" ca="1" si="7"/>
        <v>#NAME?</v>
      </c>
      <c r="R499" s="39" t="s">
        <v>316</v>
      </c>
      <c r="S499" s="94">
        <v>6305364201</v>
      </c>
      <c r="T499" s="90" t="s">
        <v>474</v>
      </c>
      <c r="U499" s="90">
        <v>1972</v>
      </c>
      <c r="V499" s="97">
        <v>2</v>
      </c>
      <c r="W499" s="97">
        <v>2</v>
      </c>
      <c r="X499" s="97">
        <v>2</v>
      </c>
      <c r="Y499" s="97">
        <v>2</v>
      </c>
      <c r="Z499" s="97">
        <v>2</v>
      </c>
      <c r="AA499" s="97">
        <v>2</v>
      </c>
      <c r="AB499" s="97">
        <v>2</v>
      </c>
      <c r="AC499" s="96">
        <v>2</v>
      </c>
      <c r="AD499" s="96">
        <v>2</v>
      </c>
      <c r="AE499" s="97">
        <v>2</v>
      </c>
      <c r="AF499" s="97">
        <v>2</v>
      </c>
      <c r="AG499" s="97">
        <v>2</v>
      </c>
      <c r="AH499" s="97">
        <v>2</v>
      </c>
      <c r="AI499" s="96">
        <v>-1</v>
      </c>
      <c r="AJ499" s="99">
        <v>2</v>
      </c>
      <c r="AK499" s="99">
        <v>2</v>
      </c>
      <c r="AL499" s="99">
        <v>2</v>
      </c>
      <c r="AM499" s="99">
        <v>2</v>
      </c>
      <c r="AN499" s="99">
        <v>2</v>
      </c>
      <c r="AO499" s="99">
        <v>2</v>
      </c>
      <c r="AP499" s="95">
        <v>-1</v>
      </c>
      <c r="AQ499" s="95">
        <v>-1</v>
      </c>
      <c r="AR499" s="99">
        <v>2</v>
      </c>
      <c r="AS499" s="95">
        <v>-1</v>
      </c>
      <c r="AT499" s="95">
        <v>-1</v>
      </c>
      <c r="AU499" s="99">
        <v>2</v>
      </c>
      <c r="AV499" s="95">
        <v>-1</v>
      </c>
      <c r="AW499" s="95">
        <v>-1</v>
      </c>
      <c r="AX499" s="95">
        <v>-1</v>
      </c>
      <c r="AY499" s="96">
        <v>1</v>
      </c>
      <c r="AZ499" s="96">
        <v>1</v>
      </c>
      <c r="BA499" s="97">
        <v>1</v>
      </c>
      <c r="BB499" s="99">
        <v>1</v>
      </c>
      <c r="BC499" s="95">
        <v>-1</v>
      </c>
      <c r="BD499" s="95">
        <v>-1</v>
      </c>
      <c r="BE499" s="95">
        <v>-1</v>
      </c>
      <c r="BF499" s="95">
        <v>-1</v>
      </c>
      <c r="BG499" s="89"/>
      <c r="BH499" s="89"/>
      <c r="BI499" s="89"/>
      <c r="BJ499" s="89"/>
      <c r="BK499" s="89"/>
      <c r="BL499" s="89"/>
      <c r="BM499" s="89"/>
      <c r="BN499" s="89"/>
      <c r="BO499" s="89"/>
      <c r="BP499" s="89"/>
      <c r="BQ499" s="89"/>
      <c r="BR499" s="89"/>
      <c r="BS499" s="89"/>
      <c r="BT499" s="89"/>
      <c r="BU499" s="89"/>
      <c r="BV499" s="89"/>
      <c r="BW499" s="89"/>
      <c r="BX499" s="89"/>
      <c r="BY499" s="89"/>
      <c r="BZ499" s="89"/>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98"/>
      <c r="DA499" s="98"/>
      <c r="DB499" s="98"/>
      <c r="DC499" s="98"/>
      <c r="DD499" s="98"/>
      <c r="DE499" s="98"/>
      <c r="DF499" s="98"/>
      <c r="DG499" s="98"/>
      <c r="DH499" s="98"/>
      <c r="DI499" s="98"/>
      <c r="DJ499" s="98"/>
      <c r="DK499" s="98"/>
      <c r="DL499" s="98"/>
      <c r="DM499" s="98"/>
      <c r="DN499" s="98"/>
      <c r="DO499" s="98"/>
      <c r="DP499" s="98"/>
      <c r="DQ499" s="98"/>
      <c r="DR499" s="98"/>
      <c r="DS499" s="98"/>
      <c r="DT499" s="98"/>
      <c r="DU499" s="98"/>
      <c r="DV499" s="98"/>
      <c r="DW499" s="98"/>
      <c r="DX499" s="98"/>
      <c r="DY499" s="98"/>
      <c r="DZ499" s="98"/>
      <c r="EA499" s="98"/>
      <c r="EB499" s="98"/>
      <c r="EC499" s="98"/>
      <c r="ED499" s="98"/>
    </row>
    <row r="500" spans="1:134" ht="11.25" customHeight="1" x14ac:dyDescent="0.3">
      <c r="A500" s="28" t="e">
        <f t="array" aca="1" ref="A500" ca="1">_xludf.XLOOKUP(S500,Master_Registrations!P:P,Master_Registrations!A:A,"")</f>
        <v>#NAME?</v>
      </c>
      <c r="B500" s="89" t="s">
        <v>182</v>
      </c>
      <c r="C500" s="89">
        <v>2023</v>
      </c>
      <c r="D500" s="89" t="s">
        <v>4886</v>
      </c>
      <c r="E500" s="89">
        <v>2</v>
      </c>
      <c r="F500" s="90" t="str">
        <f t="shared" si="6"/>
        <v>VED-01-2023-GR-2</v>
      </c>
      <c r="G500" s="89" t="s">
        <v>4569</v>
      </c>
      <c r="H500" s="89" t="s">
        <v>7092</v>
      </c>
      <c r="I500" s="89"/>
      <c r="J500" s="89" t="s">
        <v>7094</v>
      </c>
      <c r="K500" s="104"/>
      <c r="L500" s="99"/>
      <c r="M500" s="104"/>
      <c r="N500" s="90" t="s">
        <v>7095</v>
      </c>
      <c r="O500" s="89" t="s">
        <v>6321</v>
      </c>
      <c r="P500" s="141" t="s">
        <v>1858</v>
      </c>
      <c r="Q500" s="89" t="e">
        <f t="shared" ca="1" si="7"/>
        <v>#NAME?</v>
      </c>
      <c r="R500" s="39" t="s">
        <v>316</v>
      </c>
      <c r="S500" s="94">
        <v>4256237496</v>
      </c>
      <c r="T500" s="90" t="s">
        <v>474</v>
      </c>
      <c r="U500" s="90">
        <v>1978</v>
      </c>
      <c r="V500" s="97">
        <v>2</v>
      </c>
      <c r="W500" s="97">
        <v>2</v>
      </c>
      <c r="X500" s="97">
        <v>2</v>
      </c>
      <c r="Y500" s="97">
        <v>2</v>
      </c>
      <c r="Z500" s="97">
        <v>2</v>
      </c>
      <c r="AA500" s="97">
        <v>2</v>
      </c>
      <c r="AB500" s="97">
        <v>2</v>
      </c>
      <c r="AC500" s="96">
        <v>2</v>
      </c>
      <c r="AD500" s="96">
        <v>2</v>
      </c>
      <c r="AE500" s="97">
        <v>2</v>
      </c>
      <c r="AF500" s="97">
        <v>2</v>
      </c>
      <c r="AG500" s="97">
        <v>2</v>
      </c>
      <c r="AH500" s="97">
        <v>2</v>
      </c>
      <c r="AI500" s="96">
        <v>-1</v>
      </c>
      <c r="AJ500" s="99">
        <v>1</v>
      </c>
      <c r="AK500" s="99">
        <v>1</v>
      </c>
      <c r="AL500" s="99">
        <v>1</v>
      </c>
      <c r="AM500" s="99">
        <v>1</v>
      </c>
      <c r="AN500" s="99">
        <v>1</v>
      </c>
      <c r="AO500" s="99">
        <v>1</v>
      </c>
      <c r="AP500" s="99">
        <v>-1</v>
      </c>
      <c r="AQ500" s="97">
        <v>-1</v>
      </c>
      <c r="AR500" s="99">
        <v>1</v>
      </c>
      <c r="AS500" s="99">
        <v>1</v>
      </c>
      <c r="AT500" s="97">
        <v>1</v>
      </c>
      <c r="AU500" s="99">
        <v>1</v>
      </c>
      <c r="AV500" s="95">
        <v>-1</v>
      </c>
      <c r="AW500" s="99">
        <v>-1</v>
      </c>
      <c r="AX500" s="95">
        <v>-1</v>
      </c>
      <c r="AY500" s="96">
        <v>1</v>
      </c>
      <c r="AZ500" s="96">
        <v>1</v>
      </c>
      <c r="BA500" s="97">
        <v>1</v>
      </c>
      <c r="BB500" s="97">
        <v>1</v>
      </c>
      <c r="BC500" s="99">
        <v>-1</v>
      </c>
      <c r="BD500" s="99">
        <v>-1</v>
      </c>
      <c r="BE500" s="99">
        <v>-1</v>
      </c>
      <c r="BF500" s="95">
        <v>-1</v>
      </c>
      <c r="BG500" s="99">
        <v>1</v>
      </c>
      <c r="BH500" s="99">
        <v>-1</v>
      </c>
      <c r="BI500" s="99">
        <v>1</v>
      </c>
      <c r="BJ500" s="95">
        <v>-1</v>
      </c>
      <c r="BK500" s="95">
        <v>-1</v>
      </c>
      <c r="BL500" s="95">
        <v>-1</v>
      </c>
      <c r="BM500" s="95">
        <v>-1</v>
      </c>
      <c r="BN500" s="89"/>
      <c r="BO500" s="89"/>
      <c r="BP500" s="89"/>
      <c r="BQ500" s="89"/>
      <c r="BR500" s="89"/>
      <c r="BS500" s="89"/>
      <c r="BT500" s="89"/>
      <c r="BU500" s="89"/>
      <c r="BV500" s="89"/>
      <c r="BW500" s="89"/>
      <c r="BX500" s="89"/>
      <c r="BY500" s="89"/>
      <c r="BZ500" s="89"/>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98"/>
      <c r="DA500" s="98"/>
      <c r="DB500" s="98"/>
      <c r="DC500" s="98"/>
      <c r="DD500" s="98"/>
      <c r="DE500" s="98"/>
      <c r="DF500" s="98"/>
      <c r="DG500" s="98"/>
      <c r="DH500" s="98"/>
      <c r="DI500" s="98"/>
      <c r="DJ500" s="98"/>
      <c r="DK500" s="98"/>
      <c r="DL500" s="98"/>
      <c r="DM500" s="98"/>
      <c r="DN500" s="98"/>
      <c r="DO500" s="98"/>
      <c r="DP500" s="98"/>
      <c r="DQ500" s="98"/>
      <c r="DR500" s="98"/>
      <c r="DS500" s="98"/>
      <c r="DT500" s="98"/>
      <c r="DU500" s="98"/>
      <c r="DV500" s="98"/>
      <c r="DW500" s="98"/>
      <c r="DX500" s="98"/>
      <c r="DY500" s="98"/>
      <c r="DZ500" s="98"/>
      <c r="EA500" s="98"/>
      <c r="EB500" s="98"/>
      <c r="EC500" s="98"/>
      <c r="ED500" s="98"/>
    </row>
    <row r="501" spans="1:134" ht="11.25" customHeight="1" x14ac:dyDescent="0.3">
      <c r="A501" s="28" t="e">
        <f t="array" aca="1" ref="A501" ca="1">_xludf.XLOOKUP(S501,Master_Registrations!P:P,Master_Registrations!A:A,"")</f>
        <v>#NAME?</v>
      </c>
      <c r="B501" s="89" t="s">
        <v>182</v>
      </c>
      <c r="C501" s="89">
        <v>2023</v>
      </c>
      <c r="D501" s="89" t="s">
        <v>4886</v>
      </c>
      <c r="E501" s="89">
        <v>2</v>
      </c>
      <c r="F501" s="90" t="str">
        <f t="shared" si="6"/>
        <v>VED-01-2023-GR-2</v>
      </c>
      <c r="G501" s="89" t="s">
        <v>4569</v>
      </c>
      <c r="H501" s="90" t="s">
        <v>5323</v>
      </c>
      <c r="I501" s="90"/>
      <c r="J501" s="89" t="s">
        <v>7094</v>
      </c>
      <c r="K501" s="91"/>
      <c r="L501" s="91"/>
      <c r="M501" s="91"/>
      <c r="N501" s="90" t="s">
        <v>7095</v>
      </c>
      <c r="O501" s="89" t="s">
        <v>5750</v>
      </c>
      <c r="P501" s="89" t="s">
        <v>5761</v>
      </c>
      <c r="Q501" s="89" t="e">
        <f t="shared" ca="1" si="7"/>
        <v>#NAME?</v>
      </c>
      <c r="R501" s="39" t="s">
        <v>112</v>
      </c>
      <c r="S501" s="94">
        <v>9849263669</v>
      </c>
      <c r="T501" s="90" t="s">
        <v>111</v>
      </c>
      <c r="U501" s="90">
        <v>1965</v>
      </c>
      <c r="V501" s="99">
        <v>-1</v>
      </c>
      <c r="W501" s="95">
        <v>-1</v>
      </c>
      <c r="X501" s="97">
        <v>-1</v>
      </c>
      <c r="Y501" s="97">
        <v>-1</v>
      </c>
      <c r="Z501" s="97">
        <v>-1</v>
      </c>
      <c r="AA501" s="97">
        <v>-1</v>
      </c>
      <c r="AB501" s="97">
        <v>-1</v>
      </c>
      <c r="AC501" s="99">
        <v>-1</v>
      </c>
      <c r="AD501" s="99">
        <v>-1</v>
      </c>
      <c r="AE501" s="99">
        <v>-1</v>
      </c>
      <c r="AF501" s="99">
        <v>-1</v>
      </c>
      <c r="AG501" s="99">
        <v>-1</v>
      </c>
      <c r="AH501" s="99">
        <v>-1</v>
      </c>
      <c r="AI501" s="96">
        <v>-1</v>
      </c>
      <c r="AJ501" s="97">
        <v>-1</v>
      </c>
      <c r="AK501" s="97">
        <v>-1</v>
      </c>
      <c r="AL501" s="97">
        <v>-1</v>
      </c>
      <c r="AM501" s="97">
        <v>1</v>
      </c>
      <c r="AN501" s="97">
        <v>1</v>
      </c>
      <c r="AO501" s="97">
        <v>-1</v>
      </c>
      <c r="AP501" s="95">
        <v>-1</v>
      </c>
      <c r="AQ501" s="95">
        <v>-1</v>
      </c>
      <c r="AR501" s="97">
        <v>-1</v>
      </c>
      <c r="AS501" s="95">
        <v>-1</v>
      </c>
      <c r="AT501" s="95">
        <v>-1</v>
      </c>
      <c r="AU501" s="95">
        <v>-1</v>
      </c>
      <c r="AV501" s="95">
        <v>-1</v>
      </c>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89"/>
      <c r="BS501" s="89"/>
      <c r="BT501" s="89"/>
      <c r="BU501" s="89"/>
      <c r="BV501" s="89"/>
      <c r="BW501" s="89"/>
      <c r="BX501" s="89"/>
      <c r="BY501" s="89"/>
      <c r="BZ501" s="89"/>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98"/>
      <c r="DA501" s="98"/>
      <c r="DB501" s="98"/>
      <c r="DC501" s="98"/>
      <c r="DD501" s="98"/>
      <c r="DE501" s="98"/>
      <c r="DF501" s="98"/>
      <c r="DG501" s="98"/>
      <c r="DH501" s="98"/>
      <c r="DI501" s="98"/>
      <c r="DJ501" s="98"/>
      <c r="DK501" s="98"/>
      <c r="DL501" s="98"/>
      <c r="DM501" s="98"/>
      <c r="DN501" s="98"/>
      <c r="DO501" s="98"/>
      <c r="DP501" s="98"/>
      <c r="DQ501" s="98"/>
      <c r="DR501" s="98"/>
      <c r="DS501" s="98"/>
      <c r="DT501" s="98"/>
      <c r="DU501" s="98"/>
      <c r="DV501" s="98"/>
      <c r="DW501" s="98"/>
      <c r="DX501" s="98"/>
      <c r="DY501" s="98"/>
      <c r="DZ501" s="98"/>
      <c r="EA501" s="98"/>
      <c r="EB501" s="98"/>
      <c r="EC501" s="98"/>
      <c r="ED501" s="98"/>
    </row>
    <row r="502" spans="1:134" ht="11.25" customHeight="1" x14ac:dyDescent="0.3">
      <c r="A502" s="28" t="e">
        <f t="array" aca="1" ref="A502" ca="1">_xludf.XLOOKUP(S502,Master_Registrations!P:P,Master_Registrations!A:A,"")</f>
        <v>#NAME?</v>
      </c>
      <c r="B502" s="89" t="s">
        <v>182</v>
      </c>
      <c r="C502" s="89">
        <v>2023</v>
      </c>
      <c r="D502" s="89" t="s">
        <v>4886</v>
      </c>
      <c r="E502" s="89">
        <v>2</v>
      </c>
      <c r="F502" s="90" t="str">
        <f t="shared" si="6"/>
        <v>VED-01-2023-GR-2</v>
      </c>
      <c r="G502" s="89" t="s">
        <v>4569</v>
      </c>
      <c r="H502" s="90" t="s">
        <v>5323</v>
      </c>
      <c r="I502" s="90"/>
      <c r="J502" s="89" t="s">
        <v>7094</v>
      </c>
      <c r="K502" s="91"/>
      <c r="L502" s="91"/>
      <c r="M502" s="91"/>
      <c r="N502" s="90" t="s">
        <v>7095</v>
      </c>
      <c r="O502" s="89" t="s">
        <v>5792</v>
      </c>
      <c r="P502" s="141" t="s">
        <v>5793</v>
      </c>
      <c r="Q502" s="89" t="e">
        <f t="shared" ca="1" si="7"/>
        <v>#NAME?</v>
      </c>
      <c r="R502" s="39" t="s">
        <v>112</v>
      </c>
      <c r="S502" s="94">
        <v>9849275248</v>
      </c>
      <c r="T502" s="90" t="s">
        <v>111</v>
      </c>
      <c r="U502" s="90">
        <v>1975</v>
      </c>
      <c r="V502" s="99">
        <v>-1</v>
      </c>
      <c r="W502" s="95">
        <v>-1</v>
      </c>
      <c r="X502" s="97">
        <v>-1</v>
      </c>
      <c r="Y502" s="97">
        <v>-1</v>
      </c>
      <c r="Z502" s="97">
        <v>-1</v>
      </c>
      <c r="AA502" s="97">
        <v>-1</v>
      </c>
      <c r="AB502" s="97">
        <v>-1</v>
      </c>
      <c r="AC502" s="99">
        <v>-1</v>
      </c>
      <c r="AD502" s="99">
        <v>-1</v>
      </c>
      <c r="AE502" s="99">
        <v>-1</v>
      </c>
      <c r="AF502" s="99">
        <v>-1</v>
      </c>
      <c r="AG502" s="99">
        <v>-1</v>
      </c>
      <c r="AH502" s="99">
        <v>-1</v>
      </c>
      <c r="AI502" s="96">
        <v>-1</v>
      </c>
      <c r="AJ502" s="97">
        <v>-1</v>
      </c>
      <c r="AK502" s="97">
        <v>-1</v>
      </c>
      <c r="AL502" s="97">
        <v>-1</v>
      </c>
      <c r="AM502" s="97">
        <v>-1</v>
      </c>
      <c r="AN502" s="97">
        <v>-1</v>
      </c>
      <c r="AO502" s="97">
        <v>-1</v>
      </c>
      <c r="AP502" s="95">
        <v>-1</v>
      </c>
      <c r="AQ502" s="95">
        <v>-1</v>
      </c>
      <c r="AR502" s="97">
        <v>-1</v>
      </c>
      <c r="AS502" s="95">
        <v>-1</v>
      </c>
      <c r="AT502" s="95">
        <v>-1</v>
      </c>
      <c r="AU502" s="95">
        <v>-1</v>
      </c>
      <c r="AV502" s="95">
        <v>-1</v>
      </c>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89"/>
      <c r="BS502" s="89"/>
      <c r="BT502" s="89"/>
      <c r="BU502" s="89"/>
      <c r="BV502" s="89"/>
      <c r="BW502" s="89"/>
      <c r="BX502" s="89"/>
      <c r="BY502" s="89"/>
      <c r="BZ502" s="89"/>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98"/>
      <c r="DA502" s="98"/>
      <c r="DB502" s="98"/>
      <c r="DC502" s="98"/>
      <c r="DD502" s="98"/>
      <c r="DE502" s="98"/>
      <c r="DF502" s="98"/>
      <c r="DG502" s="98"/>
      <c r="DH502" s="98"/>
      <c r="DI502" s="98"/>
      <c r="DJ502" s="98"/>
      <c r="DK502" s="98"/>
      <c r="DL502" s="98"/>
      <c r="DM502" s="98"/>
      <c r="DN502" s="98"/>
      <c r="DO502" s="98"/>
      <c r="DP502" s="98"/>
      <c r="DQ502" s="98"/>
      <c r="DR502" s="98"/>
      <c r="DS502" s="98"/>
      <c r="DT502" s="98"/>
      <c r="DU502" s="98"/>
      <c r="DV502" s="98"/>
      <c r="DW502" s="98"/>
      <c r="DX502" s="98"/>
      <c r="DY502" s="98"/>
      <c r="DZ502" s="98"/>
      <c r="EA502" s="98"/>
      <c r="EB502" s="98"/>
      <c r="EC502" s="98"/>
      <c r="ED502" s="98"/>
    </row>
    <row r="503" spans="1:134" ht="11.25" customHeight="1" x14ac:dyDescent="0.3">
      <c r="A503" s="28" t="e">
        <f t="array" aca="1" ref="A503" ca="1">_xludf.XLOOKUP(S503,Master_Registrations!P:P,Master_Registrations!A:A,"")</f>
        <v>#NAME?</v>
      </c>
      <c r="B503" s="89" t="s">
        <v>182</v>
      </c>
      <c r="C503" s="89">
        <v>2023</v>
      </c>
      <c r="D503" s="89" t="s">
        <v>4886</v>
      </c>
      <c r="E503" s="89">
        <v>2</v>
      </c>
      <c r="F503" s="90" t="str">
        <f t="shared" si="6"/>
        <v>VED-01-2023-GR-2</v>
      </c>
      <c r="G503" s="89" t="s">
        <v>4569</v>
      </c>
      <c r="H503" s="90" t="s">
        <v>5323</v>
      </c>
      <c r="I503" s="90"/>
      <c r="J503" s="89" t="s">
        <v>7094</v>
      </c>
      <c r="K503" s="91"/>
      <c r="L503" s="91"/>
      <c r="M503" s="91"/>
      <c r="N503" s="90" t="s">
        <v>7095</v>
      </c>
      <c r="O503" s="89" t="s">
        <v>5820</v>
      </c>
      <c r="P503" s="141" t="s">
        <v>5827</v>
      </c>
      <c r="Q503" s="89" t="e">
        <f t="shared" ca="1" si="7"/>
        <v>#NAME?</v>
      </c>
      <c r="R503" s="39" t="s">
        <v>112</v>
      </c>
      <c r="S503" s="94">
        <v>6374203658</v>
      </c>
      <c r="T503" s="90" t="s">
        <v>111</v>
      </c>
      <c r="U503" s="90">
        <v>2003</v>
      </c>
      <c r="V503" s="99">
        <v>-1</v>
      </c>
      <c r="W503" s="95">
        <v>-1</v>
      </c>
      <c r="X503" s="97">
        <v>-1</v>
      </c>
      <c r="Y503" s="97">
        <v>-1</v>
      </c>
      <c r="Z503" s="97">
        <v>-1</v>
      </c>
      <c r="AA503" s="97">
        <v>-1</v>
      </c>
      <c r="AB503" s="97">
        <v>-1</v>
      </c>
      <c r="AC503" s="99">
        <v>-1</v>
      </c>
      <c r="AD503" s="99">
        <v>-1</v>
      </c>
      <c r="AE503" s="99">
        <v>-1</v>
      </c>
      <c r="AF503" s="99">
        <v>-1</v>
      </c>
      <c r="AG503" s="99">
        <v>-1</v>
      </c>
      <c r="AH503" s="99">
        <v>-1</v>
      </c>
      <c r="AI503" s="96">
        <v>-1</v>
      </c>
      <c r="AJ503" s="97">
        <v>-1</v>
      </c>
      <c r="AK503" s="97">
        <v>-1</v>
      </c>
      <c r="AL503" s="97">
        <v>-1</v>
      </c>
      <c r="AM503" s="97">
        <v>-1</v>
      </c>
      <c r="AN503" s="97">
        <v>-1</v>
      </c>
      <c r="AO503" s="97">
        <v>-1</v>
      </c>
      <c r="AP503" s="95">
        <v>-1</v>
      </c>
      <c r="AQ503" s="95">
        <v>-1</v>
      </c>
      <c r="AR503" s="97">
        <v>-1</v>
      </c>
      <c r="AS503" s="95">
        <v>-1</v>
      </c>
      <c r="AT503" s="95">
        <v>-1</v>
      </c>
      <c r="AU503" s="95">
        <v>-1</v>
      </c>
      <c r="AV503" s="95">
        <v>-1</v>
      </c>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89"/>
      <c r="BY503" s="89"/>
      <c r="BZ503" s="89"/>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98"/>
      <c r="DA503" s="98"/>
      <c r="DB503" s="98"/>
      <c r="DC503" s="98"/>
      <c r="DD503" s="98"/>
      <c r="DE503" s="98"/>
      <c r="DF503" s="98"/>
      <c r="DG503" s="98"/>
      <c r="DH503" s="98"/>
      <c r="DI503" s="98"/>
      <c r="DJ503" s="98"/>
      <c r="DK503" s="98"/>
      <c r="DL503" s="98"/>
      <c r="DM503" s="98"/>
      <c r="DN503" s="98"/>
      <c r="DO503" s="98"/>
      <c r="DP503" s="98"/>
      <c r="DQ503" s="98"/>
      <c r="DR503" s="98"/>
      <c r="DS503" s="98"/>
      <c r="DT503" s="98"/>
      <c r="DU503" s="98"/>
      <c r="DV503" s="98"/>
      <c r="DW503" s="98"/>
      <c r="DX503" s="98"/>
      <c r="DY503" s="98"/>
      <c r="DZ503" s="98"/>
      <c r="EA503" s="98"/>
      <c r="EB503" s="98"/>
      <c r="EC503" s="98"/>
      <c r="ED503" s="98"/>
    </row>
    <row r="504" spans="1:134" ht="11.25" customHeight="1" x14ac:dyDescent="0.3">
      <c r="A504" s="28" t="e">
        <f t="array" aca="1" ref="A504" ca="1">_xludf.XLOOKUP(S504,Master_Registrations!P:P,Master_Registrations!A:A,"")</f>
        <v>#NAME?</v>
      </c>
      <c r="B504" s="89" t="s">
        <v>182</v>
      </c>
      <c r="C504" s="89">
        <v>2023</v>
      </c>
      <c r="D504" s="89" t="s">
        <v>4886</v>
      </c>
      <c r="E504" s="89">
        <v>2</v>
      </c>
      <c r="F504" s="90" t="str">
        <f t="shared" si="6"/>
        <v>VED-01-2023-GR-2</v>
      </c>
      <c r="G504" s="89" t="s">
        <v>4569</v>
      </c>
      <c r="H504" s="90" t="s">
        <v>5323</v>
      </c>
      <c r="I504" s="90"/>
      <c r="J504" s="89" t="s">
        <v>7094</v>
      </c>
      <c r="K504" s="91"/>
      <c r="L504" s="91"/>
      <c r="M504" s="91"/>
      <c r="N504" s="90" t="s">
        <v>7095</v>
      </c>
      <c r="O504" s="89" t="s">
        <v>5934</v>
      </c>
      <c r="P504" s="89" t="s">
        <v>5939</v>
      </c>
      <c r="Q504" s="89" t="e">
        <f t="shared" ca="1" si="7"/>
        <v>#NAME?</v>
      </c>
      <c r="R504" s="39" t="s">
        <v>112</v>
      </c>
      <c r="S504" s="94">
        <v>9959292224</v>
      </c>
      <c r="T504" s="90" t="s">
        <v>111</v>
      </c>
      <c r="U504" s="90">
        <v>1981</v>
      </c>
      <c r="V504" s="99">
        <v>-1</v>
      </c>
      <c r="W504" s="95">
        <v>-1</v>
      </c>
      <c r="X504" s="97">
        <v>-1</v>
      </c>
      <c r="Y504" s="97">
        <v>-1</v>
      </c>
      <c r="Z504" s="97">
        <v>-1</v>
      </c>
      <c r="AA504" s="97">
        <v>-1</v>
      </c>
      <c r="AB504" s="97">
        <v>-1</v>
      </c>
      <c r="AC504" s="95">
        <v>-1</v>
      </c>
      <c r="AD504" s="95">
        <v>-1</v>
      </c>
      <c r="AE504" s="99">
        <v>-1</v>
      </c>
      <c r="AF504" s="99">
        <v>-1</v>
      </c>
      <c r="AG504" s="99">
        <v>-1</v>
      </c>
      <c r="AH504" s="99">
        <v>-1</v>
      </c>
      <c r="AI504" s="96">
        <v>-1</v>
      </c>
      <c r="AJ504" s="89"/>
      <c r="AK504" s="89"/>
      <c r="AL504" s="89"/>
      <c r="AM504" s="89"/>
      <c r="AN504" s="89"/>
      <c r="AO504" s="89"/>
      <c r="AP504" s="89"/>
      <c r="AQ504" s="89"/>
      <c r="AR504" s="89"/>
      <c r="AS504" s="89"/>
      <c r="AT504" s="89"/>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89"/>
      <c r="BS504" s="89"/>
      <c r="BT504" s="89"/>
      <c r="BU504" s="89"/>
      <c r="BV504" s="89"/>
      <c r="BW504" s="89"/>
      <c r="BX504" s="89"/>
      <c r="BY504" s="89"/>
      <c r="BZ504" s="89"/>
      <c r="CA504" s="89"/>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98"/>
      <c r="DA504" s="98"/>
      <c r="DB504" s="98"/>
      <c r="DC504" s="98"/>
      <c r="DD504" s="98"/>
      <c r="DE504" s="98"/>
      <c r="DF504" s="98"/>
      <c r="DG504" s="98"/>
      <c r="DH504" s="98"/>
      <c r="DI504" s="98"/>
      <c r="DJ504" s="98"/>
      <c r="DK504" s="98"/>
      <c r="DL504" s="98"/>
      <c r="DM504" s="98"/>
      <c r="DN504" s="98"/>
      <c r="DO504" s="98"/>
      <c r="DP504" s="98"/>
      <c r="DQ504" s="98"/>
      <c r="DR504" s="98"/>
      <c r="DS504" s="98"/>
      <c r="DT504" s="98"/>
      <c r="DU504" s="98"/>
      <c r="DV504" s="98"/>
      <c r="DW504" s="98"/>
      <c r="DX504" s="98"/>
      <c r="DY504" s="98"/>
      <c r="DZ504" s="98"/>
      <c r="EA504" s="98"/>
      <c r="EB504" s="98"/>
      <c r="EC504" s="98"/>
      <c r="ED504" s="98"/>
    </row>
    <row r="505" spans="1:134" ht="11.25" customHeight="1" x14ac:dyDescent="0.3">
      <c r="A505" s="28" t="e">
        <f t="array" aca="1" ref="A505" ca="1">_xludf.XLOOKUP(S505,Master_Registrations!P:P,Master_Registrations!A:A,"")</f>
        <v>#NAME?</v>
      </c>
      <c r="B505" s="89" t="s">
        <v>182</v>
      </c>
      <c r="C505" s="89">
        <v>2023</v>
      </c>
      <c r="D505" s="89" t="s">
        <v>4886</v>
      </c>
      <c r="E505" s="89">
        <v>2</v>
      </c>
      <c r="F505" s="90" t="str">
        <f t="shared" si="6"/>
        <v>VED-01-2023-GR-2</v>
      </c>
      <c r="G505" s="89" t="s">
        <v>4569</v>
      </c>
      <c r="H505" s="90" t="s">
        <v>5323</v>
      </c>
      <c r="I505" s="90"/>
      <c r="J505" s="89" t="s">
        <v>7094</v>
      </c>
      <c r="K505" s="91"/>
      <c r="L505" s="91"/>
      <c r="M505" s="91"/>
      <c r="N505" s="90" t="s">
        <v>7095</v>
      </c>
      <c r="O505" s="89" t="s">
        <v>3618</v>
      </c>
      <c r="P505" s="89" t="s">
        <v>5918</v>
      </c>
      <c r="Q505" s="89" t="e">
        <f t="shared" ca="1" si="7"/>
        <v>#NAME?</v>
      </c>
      <c r="R505" s="39" t="s">
        <v>112</v>
      </c>
      <c r="S505" s="105">
        <v>9885493426</v>
      </c>
      <c r="T505" s="90" t="s">
        <v>111</v>
      </c>
      <c r="U505" s="89">
        <v>1969</v>
      </c>
      <c r="V505" s="95">
        <v>-1</v>
      </c>
      <c r="W505" s="95">
        <v>-1</v>
      </c>
      <c r="X505" s="96">
        <v>-1</v>
      </c>
      <c r="Y505" s="96">
        <v>-1</v>
      </c>
      <c r="Z505" s="96">
        <v>-1</v>
      </c>
      <c r="AA505" s="96">
        <v>-1</v>
      </c>
      <c r="AB505" s="96">
        <v>-1</v>
      </c>
      <c r="AC505" s="95">
        <v>-1</v>
      </c>
      <c r="AD505" s="95">
        <v>-1</v>
      </c>
      <c r="AE505" s="95">
        <v>-1</v>
      </c>
      <c r="AF505" s="95">
        <v>-1</v>
      </c>
      <c r="AG505" s="95">
        <v>-1</v>
      </c>
      <c r="AH505" s="95">
        <v>-1</v>
      </c>
      <c r="AI505" s="96">
        <v>-1</v>
      </c>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89"/>
      <c r="BY505" s="89"/>
      <c r="BZ505" s="89"/>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98"/>
      <c r="DA505" s="98"/>
      <c r="DB505" s="98"/>
      <c r="DC505" s="98"/>
      <c r="DD505" s="98"/>
      <c r="DE505" s="98"/>
      <c r="DF505" s="98"/>
      <c r="DG505" s="98"/>
      <c r="DH505" s="98"/>
      <c r="DI505" s="98"/>
      <c r="DJ505" s="98"/>
      <c r="DK505" s="98"/>
      <c r="DL505" s="98"/>
      <c r="DM505" s="98"/>
      <c r="DN505" s="98"/>
      <c r="DO505" s="98"/>
      <c r="DP505" s="98"/>
      <c r="DQ505" s="98"/>
      <c r="DR505" s="98"/>
      <c r="DS505" s="98"/>
      <c r="DT505" s="98"/>
      <c r="DU505" s="98"/>
      <c r="DV505" s="98"/>
      <c r="DW505" s="98"/>
      <c r="DX505" s="98"/>
      <c r="DY505" s="98"/>
      <c r="DZ505" s="98"/>
      <c r="EA505" s="98"/>
      <c r="EB505" s="98"/>
      <c r="EC505" s="98"/>
      <c r="ED505" s="98"/>
    </row>
    <row r="506" spans="1:134" ht="11.25" customHeight="1" x14ac:dyDescent="0.3">
      <c r="A506" s="28" t="e">
        <f t="array" aca="1" ref="A506" ca="1">_xludf.XLOOKUP(S506,Master_Registrations!P:P,Master_Registrations!A:A,"")</f>
        <v>#NAME?</v>
      </c>
      <c r="B506" s="89" t="s">
        <v>182</v>
      </c>
      <c r="C506" s="89">
        <v>2023</v>
      </c>
      <c r="D506" s="89" t="s">
        <v>4886</v>
      </c>
      <c r="E506" s="89">
        <v>2</v>
      </c>
      <c r="F506" s="90" t="str">
        <f t="shared" si="6"/>
        <v>VED-01-2023-GR-2</v>
      </c>
      <c r="G506" s="89" t="s">
        <v>4569</v>
      </c>
      <c r="H506" s="90" t="s">
        <v>5323</v>
      </c>
      <c r="I506" s="90"/>
      <c r="J506" s="89" t="s">
        <v>7094</v>
      </c>
      <c r="K506" s="91"/>
      <c r="L506" s="91"/>
      <c r="M506" s="91"/>
      <c r="N506" s="90" t="s">
        <v>7095</v>
      </c>
      <c r="O506" s="89" t="s">
        <v>5750</v>
      </c>
      <c r="P506" s="89" t="s">
        <v>3479</v>
      </c>
      <c r="Q506" s="89" t="e">
        <f t="shared" ca="1" si="7"/>
        <v>#NAME?</v>
      </c>
      <c r="R506" s="39" t="s">
        <v>112</v>
      </c>
      <c r="S506" s="94">
        <v>9966021190</v>
      </c>
      <c r="T506" s="90" t="s">
        <v>111</v>
      </c>
      <c r="U506" s="90">
        <v>1982</v>
      </c>
      <c r="V506" s="97">
        <v>-1</v>
      </c>
      <c r="W506" s="96">
        <v>-1</v>
      </c>
      <c r="X506" s="96">
        <v>-1</v>
      </c>
      <c r="Y506" s="96">
        <v>-1</v>
      </c>
      <c r="Z506" s="96">
        <v>-1</v>
      </c>
      <c r="AA506" s="96">
        <v>-1</v>
      </c>
      <c r="AB506" s="96">
        <v>-1</v>
      </c>
      <c r="AC506" s="96">
        <v>-1</v>
      </c>
      <c r="AD506" s="96">
        <v>-1</v>
      </c>
      <c r="AE506" s="96">
        <v>-1</v>
      </c>
      <c r="AF506" s="95">
        <v>-1</v>
      </c>
      <c r="AG506" s="96">
        <v>-1</v>
      </c>
      <c r="AH506" s="95">
        <v>-1</v>
      </c>
      <c r="AI506" s="96">
        <v>-1</v>
      </c>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89"/>
      <c r="BY506" s="89"/>
      <c r="BZ506" s="89"/>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98"/>
      <c r="DA506" s="98"/>
      <c r="DB506" s="98"/>
      <c r="DC506" s="98"/>
      <c r="DD506" s="98"/>
      <c r="DE506" s="98"/>
      <c r="DF506" s="98"/>
      <c r="DG506" s="98"/>
      <c r="DH506" s="98"/>
      <c r="DI506" s="98"/>
      <c r="DJ506" s="98"/>
      <c r="DK506" s="98"/>
      <c r="DL506" s="98"/>
      <c r="DM506" s="98"/>
      <c r="DN506" s="98"/>
      <c r="DO506" s="98"/>
      <c r="DP506" s="98"/>
      <c r="DQ506" s="98"/>
      <c r="DR506" s="98"/>
      <c r="DS506" s="98"/>
      <c r="DT506" s="98"/>
      <c r="DU506" s="98"/>
      <c r="DV506" s="98"/>
      <c r="DW506" s="98"/>
      <c r="DX506" s="98"/>
      <c r="DY506" s="98"/>
      <c r="DZ506" s="98"/>
      <c r="EA506" s="98"/>
      <c r="EB506" s="98"/>
      <c r="EC506" s="98"/>
      <c r="ED506" s="98"/>
    </row>
    <row r="507" spans="1:134" ht="11.25" customHeight="1" x14ac:dyDescent="0.3">
      <c r="A507" s="28" t="e">
        <f t="array" aca="1" ref="A507" ca="1">_xludf.XLOOKUP(S507,Master_Registrations!P:P,Master_Registrations!A:A,"")</f>
        <v>#NAME?</v>
      </c>
      <c r="B507" s="89" t="s">
        <v>182</v>
      </c>
      <c r="C507" s="89">
        <v>2023</v>
      </c>
      <c r="D507" s="89" t="s">
        <v>4886</v>
      </c>
      <c r="E507" s="89">
        <v>2</v>
      </c>
      <c r="F507" s="90" t="str">
        <f t="shared" si="6"/>
        <v>VED-01-2023-GR-2</v>
      </c>
      <c r="G507" s="89" t="s">
        <v>4569</v>
      </c>
      <c r="H507" s="90" t="s">
        <v>5323</v>
      </c>
      <c r="I507" s="90"/>
      <c r="J507" s="89" t="s">
        <v>7094</v>
      </c>
      <c r="K507" s="91"/>
      <c r="L507" s="91"/>
      <c r="M507" s="91"/>
      <c r="N507" s="90" t="s">
        <v>7095</v>
      </c>
      <c r="O507" s="89" t="s">
        <v>5750</v>
      </c>
      <c r="P507" s="89" t="s">
        <v>2717</v>
      </c>
      <c r="Q507" s="89" t="e">
        <f t="shared" ca="1" si="7"/>
        <v>#NAME?</v>
      </c>
      <c r="R507" s="39" t="s">
        <v>112</v>
      </c>
      <c r="S507" s="94">
        <v>9912343711</v>
      </c>
      <c r="T507" s="90" t="s">
        <v>111</v>
      </c>
      <c r="U507" s="90">
        <v>1984</v>
      </c>
      <c r="V507" s="99">
        <v>-1</v>
      </c>
      <c r="W507" s="95">
        <v>-1</v>
      </c>
      <c r="X507" s="96">
        <v>-1</v>
      </c>
      <c r="Y507" s="96">
        <v>-1</v>
      </c>
      <c r="Z507" s="96">
        <v>-1</v>
      </c>
      <c r="AA507" s="96">
        <v>-1</v>
      </c>
      <c r="AB507" s="96">
        <v>-1</v>
      </c>
      <c r="AC507" s="95">
        <v>-1</v>
      </c>
      <c r="AD507" s="95">
        <v>-1</v>
      </c>
      <c r="AE507" s="95">
        <v>-1</v>
      </c>
      <c r="AF507" s="95">
        <v>-1</v>
      </c>
      <c r="AG507" s="95">
        <v>-1</v>
      </c>
      <c r="AH507" s="95">
        <v>-1</v>
      </c>
      <c r="AI507" s="96">
        <v>-1</v>
      </c>
      <c r="AJ507" s="89"/>
      <c r="AK507" s="89"/>
      <c r="AL507" s="89"/>
      <c r="AM507" s="89"/>
      <c r="AN507" s="89"/>
      <c r="AO507" s="89"/>
      <c r="AP507" s="89"/>
      <c r="AQ507" s="89"/>
      <c r="AR507" s="89"/>
      <c r="AS507" s="89"/>
      <c r="AT507" s="89"/>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89"/>
      <c r="BS507" s="89"/>
      <c r="BT507" s="89"/>
      <c r="BU507" s="89"/>
      <c r="BV507" s="89"/>
      <c r="BW507" s="89"/>
      <c r="BX507" s="89"/>
      <c r="BY507" s="89"/>
      <c r="BZ507" s="89"/>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98"/>
      <c r="DA507" s="98"/>
      <c r="DB507" s="98"/>
      <c r="DC507" s="98"/>
      <c r="DD507" s="98"/>
      <c r="DE507" s="98"/>
      <c r="DF507" s="98"/>
      <c r="DG507" s="98"/>
      <c r="DH507" s="98"/>
      <c r="DI507" s="98"/>
      <c r="DJ507" s="98"/>
      <c r="DK507" s="98"/>
      <c r="DL507" s="98"/>
      <c r="DM507" s="98"/>
      <c r="DN507" s="98"/>
      <c r="DO507" s="98"/>
      <c r="DP507" s="98"/>
      <c r="DQ507" s="98"/>
      <c r="DR507" s="98"/>
      <c r="DS507" s="98"/>
      <c r="DT507" s="98"/>
      <c r="DU507" s="98"/>
      <c r="DV507" s="98"/>
      <c r="DW507" s="98"/>
      <c r="DX507" s="98"/>
      <c r="DY507" s="98"/>
      <c r="DZ507" s="98"/>
      <c r="EA507" s="98"/>
      <c r="EB507" s="98"/>
      <c r="EC507" s="98"/>
      <c r="ED507" s="98"/>
    </row>
    <row r="508" spans="1:134" ht="11.25" customHeight="1" x14ac:dyDescent="0.3">
      <c r="A508" s="28" t="e">
        <f t="array" aca="1" ref="A508" ca="1">_xludf.XLOOKUP(S508,Master_Registrations!P:P,Master_Registrations!A:A,"")</f>
        <v>#NAME?</v>
      </c>
      <c r="B508" s="89" t="s">
        <v>182</v>
      </c>
      <c r="C508" s="89">
        <v>2023</v>
      </c>
      <c r="D508" s="89" t="s">
        <v>4886</v>
      </c>
      <c r="E508" s="89">
        <v>2</v>
      </c>
      <c r="F508" s="90" t="str">
        <f t="shared" si="6"/>
        <v>VED-01-2023-GR-2</v>
      </c>
      <c r="G508" s="89" t="s">
        <v>4569</v>
      </c>
      <c r="H508" s="90" t="s">
        <v>5323</v>
      </c>
      <c r="I508" s="90"/>
      <c r="J508" s="89" t="s">
        <v>7094</v>
      </c>
      <c r="K508" s="91"/>
      <c r="L508" s="91"/>
      <c r="M508" s="91"/>
      <c r="N508" s="90" t="s">
        <v>7095</v>
      </c>
      <c r="O508" s="89" t="s">
        <v>6124</v>
      </c>
      <c r="P508" s="89" t="s">
        <v>6125</v>
      </c>
      <c r="Q508" s="89" t="e">
        <f t="shared" ca="1" si="7"/>
        <v>#NAME?</v>
      </c>
      <c r="R508" s="89">
        <v>971</v>
      </c>
      <c r="S508" s="94">
        <v>582523894</v>
      </c>
      <c r="T508" s="90" t="s">
        <v>260</v>
      </c>
      <c r="U508" s="90">
        <v>1983</v>
      </c>
      <c r="V508" s="99">
        <v>-1</v>
      </c>
      <c r="W508" s="95">
        <v>-1</v>
      </c>
      <c r="X508" s="96">
        <v>-1</v>
      </c>
      <c r="Y508" s="96">
        <v>-1</v>
      </c>
      <c r="Z508" s="96">
        <v>-1</v>
      </c>
      <c r="AA508" s="96">
        <v>-1</v>
      </c>
      <c r="AB508" s="96">
        <v>-1</v>
      </c>
      <c r="AC508" s="95">
        <v>-1</v>
      </c>
      <c r="AD508" s="95">
        <v>-1</v>
      </c>
      <c r="AE508" s="95">
        <v>-1</v>
      </c>
      <c r="AF508" s="95">
        <v>-1</v>
      </c>
      <c r="AG508" s="95">
        <v>-1</v>
      </c>
      <c r="AH508" s="95">
        <v>-1</v>
      </c>
      <c r="AI508" s="96">
        <v>-1</v>
      </c>
      <c r="AJ508" s="89"/>
      <c r="AK508" s="89"/>
      <c r="AL508" s="89"/>
      <c r="AM508" s="89"/>
      <c r="AN508" s="89"/>
      <c r="AO508" s="89"/>
      <c r="AP508" s="89"/>
      <c r="AQ508" s="89"/>
      <c r="AR508" s="89"/>
      <c r="AS508" s="89"/>
      <c r="AT508" s="89"/>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89"/>
      <c r="BS508" s="89"/>
      <c r="BT508" s="89"/>
      <c r="BU508" s="89"/>
      <c r="BV508" s="89"/>
      <c r="BW508" s="89"/>
      <c r="BX508" s="89"/>
      <c r="BY508" s="89"/>
      <c r="BZ508" s="89"/>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98"/>
      <c r="DA508" s="98"/>
      <c r="DB508" s="98"/>
      <c r="DC508" s="98"/>
      <c r="DD508" s="98"/>
      <c r="DE508" s="98"/>
      <c r="DF508" s="98"/>
      <c r="DG508" s="98"/>
      <c r="DH508" s="98"/>
      <c r="DI508" s="98"/>
      <c r="DJ508" s="98"/>
      <c r="DK508" s="98"/>
      <c r="DL508" s="98"/>
      <c r="DM508" s="98"/>
      <c r="DN508" s="98"/>
      <c r="DO508" s="98"/>
      <c r="DP508" s="98"/>
      <c r="DQ508" s="98"/>
      <c r="DR508" s="98"/>
      <c r="DS508" s="98"/>
      <c r="DT508" s="98"/>
      <c r="DU508" s="98"/>
      <c r="DV508" s="98"/>
      <c r="DW508" s="98"/>
      <c r="DX508" s="98"/>
      <c r="DY508" s="98"/>
      <c r="DZ508" s="98"/>
      <c r="EA508" s="98"/>
      <c r="EB508" s="98"/>
      <c r="EC508" s="98"/>
      <c r="ED508" s="98"/>
    </row>
    <row r="509" spans="1:134" ht="11.25" customHeight="1" x14ac:dyDescent="0.3">
      <c r="A509" s="28" t="e">
        <f t="array" aca="1" ref="A509" ca="1">_xludf.XLOOKUP(S509,Master_Registrations!P:P,Master_Registrations!A:A,"")</f>
        <v>#NAME?</v>
      </c>
      <c r="B509" s="89" t="s">
        <v>182</v>
      </c>
      <c r="C509" s="89">
        <v>2023</v>
      </c>
      <c r="D509" s="89" t="s">
        <v>4886</v>
      </c>
      <c r="E509" s="89">
        <v>2</v>
      </c>
      <c r="F509" s="90" t="str">
        <f t="shared" si="6"/>
        <v>VED-01-2023-GR-2</v>
      </c>
      <c r="G509" s="89" t="s">
        <v>4569</v>
      </c>
      <c r="H509" s="90" t="s">
        <v>5323</v>
      </c>
      <c r="I509" s="90"/>
      <c r="J509" s="89" t="s">
        <v>7094</v>
      </c>
      <c r="K509" s="91"/>
      <c r="L509" s="91"/>
      <c r="M509" s="91"/>
      <c r="N509" s="90" t="s">
        <v>7095</v>
      </c>
      <c r="O509" s="89" t="s">
        <v>224</v>
      </c>
      <c r="P509" s="89" t="s">
        <v>3625</v>
      </c>
      <c r="Q509" s="89" t="e">
        <f t="shared" ca="1" si="7"/>
        <v>#NAME?</v>
      </c>
      <c r="R509" s="39" t="s">
        <v>112</v>
      </c>
      <c r="S509" s="94">
        <v>9959536601</v>
      </c>
      <c r="T509" s="90" t="s">
        <v>111</v>
      </c>
      <c r="U509" s="90">
        <v>1986</v>
      </c>
      <c r="V509" s="99">
        <v>-1</v>
      </c>
      <c r="W509" s="95">
        <v>-1</v>
      </c>
      <c r="X509" s="96">
        <v>-1</v>
      </c>
      <c r="Y509" s="96">
        <v>-1</v>
      </c>
      <c r="Z509" s="96">
        <v>-1</v>
      </c>
      <c r="AA509" s="96">
        <v>-1</v>
      </c>
      <c r="AB509" s="96">
        <v>-1</v>
      </c>
      <c r="AC509" s="95">
        <v>-1</v>
      </c>
      <c r="AD509" s="95">
        <v>-1</v>
      </c>
      <c r="AE509" s="95">
        <v>-1</v>
      </c>
      <c r="AF509" s="95">
        <v>-1</v>
      </c>
      <c r="AG509" s="95">
        <v>-1</v>
      </c>
      <c r="AH509" s="95">
        <v>-1</v>
      </c>
      <c r="AI509" s="96">
        <v>-1</v>
      </c>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89"/>
      <c r="BY509" s="89"/>
      <c r="BZ509" s="89"/>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98"/>
      <c r="DA509" s="98"/>
      <c r="DB509" s="98"/>
      <c r="DC509" s="98"/>
      <c r="DD509" s="98"/>
      <c r="DE509" s="98"/>
      <c r="DF509" s="98"/>
      <c r="DG509" s="98"/>
      <c r="DH509" s="98"/>
      <c r="DI509" s="98"/>
      <c r="DJ509" s="98"/>
      <c r="DK509" s="98"/>
      <c r="DL509" s="98"/>
      <c r="DM509" s="98"/>
      <c r="DN509" s="98"/>
      <c r="DO509" s="98"/>
      <c r="DP509" s="98"/>
      <c r="DQ509" s="98"/>
      <c r="DR509" s="98"/>
      <c r="DS509" s="98"/>
      <c r="DT509" s="98"/>
      <c r="DU509" s="98"/>
      <c r="DV509" s="98"/>
      <c r="DW509" s="98"/>
      <c r="DX509" s="98"/>
      <c r="DY509" s="98"/>
      <c r="DZ509" s="98"/>
      <c r="EA509" s="98"/>
      <c r="EB509" s="98"/>
      <c r="EC509" s="98"/>
      <c r="ED509" s="98"/>
    </row>
    <row r="510" spans="1:134" ht="11.25" customHeight="1" x14ac:dyDescent="0.3">
      <c r="A510" s="28" t="e">
        <f t="array" aca="1" ref="A510" ca="1">_xludf.XLOOKUP(S510,Master_Registrations!P:P,Master_Registrations!A:A,"")</f>
        <v>#NAME?</v>
      </c>
      <c r="B510" s="89" t="s">
        <v>182</v>
      </c>
      <c r="C510" s="89">
        <v>2023</v>
      </c>
      <c r="D510" s="89" t="s">
        <v>4886</v>
      </c>
      <c r="E510" s="89">
        <v>2</v>
      </c>
      <c r="F510" s="90" t="str">
        <f t="shared" si="6"/>
        <v>VED-01-2023-GR-2</v>
      </c>
      <c r="G510" s="89" t="s">
        <v>4569</v>
      </c>
      <c r="H510" s="90" t="s">
        <v>5323</v>
      </c>
      <c r="I510" s="90"/>
      <c r="J510" s="89" t="s">
        <v>7094</v>
      </c>
      <c r="K510" s="91"/>
      <c r="L510" s="91"/>
      <c r="M510" s="91"/>
      <c r="N510" s="90" t="s">
        <v>7095</v>
      </c>
      <c r="O510" s="89" t="s">
        <v>6015</v>
      </c>
      <c r="P510" s="141" t="s">
        <v>6022</v>
      </c>
      <c r="Q510" s="89" t="e">
        <f t="shared" ca="1" si="7"/>
        <v>#NAME?</v>
      </c>
      <c r="R510" s="39" t="s">
        <v>112</v>
      </c>
      <c r="S510" s="94">
        <v>9032334245</v>
      </c>
      <c r="T510" s="90" t="s">
        <v>111</v>
      </c>
      <c r="U510" s="90">
        <v>1980</v>
      </c>
      <c r="V510" s="99">
        <v>-1</v>
      </c>
      <c r="W510" s="95">
        <v>-1</v>
      </c>
      <c r="X510" s="96">
        <v>-1</v>
      </c>
      <c r="Y510" s="96">
        <v>-1</v>
      </c>
      <c r="Z510" s="96">
        <v>-1</v>
      </c>
      <c r="AA510" s="96">
        <v>-1</v>
      </c>
      <c r="AB510" s="96">
        <v>-1</v>
      </c>
      <c r="AC510" s="95">
        <v>-1</v>
      </c>
      <c r="AD510" s="95">
        <v>-1</v>
      </c>
      <c r="AE510" s="95">
        <v>-1</v>
      </c>
      <c r="AF510" s="95">
        <v>-1</v>
      </c>
      <c r="AG510" s="95">
        <v>-1</v>
      </c>
      <c r="AH510" s="95">
        <v>-1</v>
      </c>
      <c r="AI510" s="96">
        <v>-1</v>
      </c>
      <c r="AJ510" s="89"/>
      <c r="AK510" s="89"/>
      <c r="AL510" s="89"/>
      <c r="AM510" s="89"/>
      <c r="AN510" s="89"/>
      <c r="AO510" s="89"/>
      <c r="AP510" s="89"/>
      <c r="AQ510" s="89"/>
      <c r="AR510" s="89"/>
      <c r="AS510" s="89"/>
      <c r="AT510" s="89"/>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89"/>
      <c r="BS510" s="89"/>
      <c r="BT510" s="89"/>
      <c r="BU510" s="89"/>
      <c r="BV510" s="89"/>
      <c r="BW510" s="89"/>
      <c r="BX510" s="89"/>
      <c r="BY510" s="89"/>
      <c r="BZ510" s="89"/>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98"/>
      <c r="DA510" s="98"/>
      <c r="DB510" s="98"/>
      <c r="DC510" s="98"/>
      <c r="DD510" s="98"/>
      <c r="DE510" s="98"/>
      <c r="DF510" s="98"/>
      <c r="DG510" s="98"/>
      <c r="DH510" s="98"/>
      <c r="DI510" s="98"/>
      <c r="DJ510" s="98"/>
      <c r="DK510" s="98"/>
      <c r="DL510" s="98"/>
      <c r="DM510" s="98"/>
      <c r="DN510" s="98"/>
      <c r="DO510" s="98"/>
      <c r="DP510" s="98"/>
      <c r="DQ510" s="98"/>
      <c r="DR510" s="98"/>
      <c r="DS510" s="98"/>
      <c r="DT510" s="98"/>
      <c r="DU510" s="98"/>
      <c r="DV510" s="98"/>
      <c r="DW510" s="98"/>
      <c r="DX510" s="98"/>
      <c r="DY510" s="98"/>
      <c r="DZ510" s="98"/>
      <c r="EA510" s="98"/>
      <c r="EB510" s="98"/>
      <c r="EC510" s="98"/>
      <c r="ED510" s="98"/>
    </row>
    <row r="511" spans="1:134" ht="11.25" customHeight="1" x14ac:dyDescent="0.3">
      <c r="A511" s="28" t="e">
        <f t="array" aca="1" ref="A511" ca="1">_xludf.XLOOKUP(S511,Master_Registrations!P:P,Master_Registrations!A:A,"")</f>
        <v>#NAME?</v>
      </c>
      <c r="B511" s="89" t="s">
        <v>182</v>
      </c>
      <c r="C511" s="89">
        <v>2023</v>
      </c>
      <c r="D511" s="89" t="s">
        <v>4886</v>
      </c>
      <c r="E511" s="89">
        <v>2</v>
      </c>
      <c r="F511" s="90" t="str">
        <f t="shared" ref="F511:F713" si="8">CONCATENATE(B511,"-",C511,"-",D511,"-",E511)</f>
        <v>VED-01-2023-GR-2</v>
      </c>
      <c r="G511" s="89" t="s">
        <v>4569</v>
      </c>
      <c r="H511" s="90" t="s">
        <v>5323</v>
      </c>
      <c r="I511" s="90"/>
      <c r="J511" s="89" t="s">
        <v>7094</v>
      </c>
      <c r="K511" s="91"/>
      <c r="L511" s="91"/>
      <c r="M511" s="91"/>
      <c r="N511" s="90" t="s">
        <v>7095</v>
      </c>
      <c r="O511" s="89" t="s">
        <v>6015</v>
      </c>
      <c r="P511" s="89" t="s">
        <v>6016</v>
      </c>
      <c r="Q511" s="89" t="e">
        <f t="shared" ca="1" si="7"/>
        <v>#NAME?</v>
      </c>
      <c r="R511" s="39" t="s">
        <v>112</v>
      </c>
      <c r="S511" s="94">
        <v>9247579233</v>
      </c>
      <c r="T511" s="90" t="s">
        <v>111</v>
      </c>
      <c r="U511" s="90">
        <v>1983</v>
      </c>
      <c r="V511" s="99">
        <v>-1</v>
      </c>
      <c r="W511" s="95">
        <v>-1</v>
      </c>
      <c r="X511" s="96">
        <v>-1</v>
      </c>
      <c r="Y511" s="96">
        <v>-1</v>
      </c>
      <c r="Z511" s="96">
        <v>-1</v>
      </c>
      <c r="AA511" s="96">
        <v>-1</v>
      </c>
      <c r="AB511" s="96">
        <v>-1</v>
      </c>
      <c r="AC511" s="95">
        <v>-1</v>
      </c>
      <c r="AD511" s="95">
        <v>-1</v>
      </c>
      <c r="AE511" s="95">
        <v>-1</v>
      </c>
      <c r="AF511" s="95">
        <v>-1</v>
      </c>
      <c r="AG511" s="95">
        <v>-1</v>
      </c>
      <c r="AH511" s="95">
        <v>-1</v>
      </c>
      <c r="AI511" s="96">
        <v>-1</v>
      </c>
      <c r="AJ511" s="89"/>
      <c r="AK511" s="89"/>
      <c r="AL511" s="89"/>
      <c r="AM511" s="89"/>
      <c r="AN511" s="89"/>
      <c r="AO511" s="89"/>
      <c r="AP511" s="89"/>
      <c r="AQ511" s="89"/>
      <c r="AR511" s="89"/>
      <c r="AS511" s="89"/>
      <c r="AT511" s="89"/>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89"/>
      <c r="BS511" s="89"/>
      <c r="BT511" s="89"/>
      <c r="BU511" s="89"/>
      <c r="BV511" s="89"/>
      <c r="BW511" s="89"/>
      <c r="BX511" s="89"/>
      <c r="BY511" s="89"/>
      <c r="BZ511" s="89"/>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98"/>
      <c r="DA511" s="98"/>
      <c r="DB511" s="98"/>
      <c r="DC511" s="98"/>
      <c r="DD511" s="98"/>
      <c r="DE511" s="98"/>
      <c r="DF511" s="98"/>
      <c r="DG511" s="98"/>
      <c r="DH511" s="98"/>
      <c r="DI511" s="98"/>
      <c r="DJ511" s="98"/>
      <c r="DK511" s="98"/>
      <c r="DL511" s="98"/>
      <c r="DM511" s="98"/>
      <c r="DN511" s="98"/>
      <c r="DO511" s="98"/>
      <c r="DP511" s="98"/>
      <c r="DQ511" s="98"/>
      <c r="DR511" s="98"/>
      <c r="DS511" s="98"/>
      <c r="DT511" s="98"/>
      <c r="DU511" s="98"/>
      <c r="DV511" s="98"/>
      <c r="DW511" s="98"/>
      <c r="DX511" s="98"/>
      <c r="DY511" s="98"/>
      <c r="DZ511" s="98"/>
      <c r="EA511" s="98"/>
      <c r="EB511" s="98"/>
      <c r="EC511" s="98"/>
      <c r="ED511" s="98"/>
    </row>
    <row r="512" spans="1:134" ht="11.25" customHeight="1" x14ac:dyDescent="0.3">
      <c r="A512" s="28" t="e">
        <f t="array" aca="1" ref="A512" ca="1">_xludf.XLOOKUP(S512,Master_Registrations!P:P,Master_Registrations!A:A,"")</f>
        <v>#NAME?</v>
      </c>
      <c r="B512" s="89" t="s">
        <v>182</v>
      </c>
      <c r="C512" s="89">
        <v>2023</v>
      </c>
      <c r="D512" s="89" t="s">
        <v>4886</v>
      </c>
      <c r="E512" s="89">
        <v>2</v>
      </c>
      <c r="F512" s="90" t="str">
        <f t="shared" si="8"/>
        <v>VED-01-2023-GR-2</v>
      </c>
      <c r="G512" s="89" t="s">
        <v>4569</v>
      </c>
      <c r="H512" s="90" t="s">
        <v>5323</v>
      </c>
      <c r="I512" s="90"/>
      <c r="J512" s="89" t="s">
        <v>7094</v>
      </c>
      <c r="K512" s="91"/>
      <c r="L512" s="91"/>
      <c r="M512" s="91"/>
      <c r="N512" s="90" t="s">
        <v>7095</v>
      </c>
      <c r="O512" s="89" t="s">
        <v>6067</v>
      </c>
      <c r="P512" s="89" t="s">
        <v>6068</v>
      </c>
      <c r="Q512" s="89" t="e">
        <f t="shared" ca="1" si="7"/>
        <v>#NAME?</v>
      </c>
      <c r="R512" s="39" t="s">
        <v>112</v>
      </c>
      <c r="S512" s="94">
        <v>9030711945</v>
      </c>
      <c r="T512" s="90" t="s">
        <v>111</v>
      </c>
      <c r="U512" s="90">
        <v>1972</v>
      </c>
      <c r="V512" s="95">
        <v>-1</v>
      </c>
      <c r="W512" s="95">
        <v>-1</v>
      </c>
      <c r="X512" s="96">
        <v>-1</v>
      </c>
      <c r="Y512" s="96">
        <v>-1</v>
      </c>
      <c r="Z512" s="96">
        <v>-1</v>
      </c>
      <c r="AA512" s="96">
        <v>-1</v>
      </c>
      <c r="AB512" s="96">
        <v>-1</v>
      </c>
      <c r="AC512" s="95">
        <v>-1</v>
      </c>
      <c r="AD512" s="95">
        <v>-1</v>
      </c>
      <c r="AE512" s="95">
        <v>-1</v>
      </c>
      <c r="AF512" s="95">
        <v>-1</v>
      </c>
      <c r="AG512" s="95">
        <v>-1</v>
      </c>
      <c r="AH512" s="95">
        <v>-1</v>
      </c>
      <c r="AI512" s="96">
        <v>-1</v>
      </c>
      <c r="AJ512" s="89"/>
      <c r="AK512" s="89"/>
      <c r="AL512" s="89"/>
      <c r="AM512" s="89"/>
      <c r="AN512" s="89"/>
      <c r="AO512" s="89"/>
      <c r="AP512" s="89"/>
      <c r="AQ512" s="89"/>
      <c r="AR512" s="89"/>
      <c r="AS512" s="89"/>
      <c r="AT512" s="89"/>
      <c r="AU512" s="89"/>
      <c r="AV512" s="89"/>
      <c r="AW512" s="89"/>
      <c r="AX512" s="89"/>
      <c r="AY512" s="89"/>
      <c r="AZ512" s="89"/>
      <c r="BA512" s="89"/>
      <c r="BB512" s="89"/>
      <c r="BC512" s="89"/>
      <c r="BD512" s="89"/>
      <c r="BE512" s="89"/>
      <c r="BF512" s="89"/>
      <c r="BG512" s="89"/>
      <c r="BH512" s="89"/>
      <c r="BI512" s="89"/>
      <c r="BJ512" s="89"/>
      <c r="BK512" s="89"/>
      <c r="BL512" s="89"/>
      <c r="BM512" s="89"/>
      <c r="BN512" s="89"/>
      <c r="BO512" s="89"/>
      <c r="BP512" s="89"/>
      <c r="BQ512" s="89"/>
      <c r="BR512" s="89"/>
      <c r="BS512" s="89"/>
      <c r="BT512" s="89"/>
      <c r="BU512" s="89"/>
      <c r="BV512" s="89"/>
      <c r="BW512" s="89"/>
      <c r="BX512" s="89"/>
      <c r="BY512" s="89"/>
      <c r="BZ512" s="89"/>
      <c r="CA512" s="89"/>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98"/>
      <c r="DA512" s="98"/>
      <c r="DB512" s="98"/>
      <c r="DC512" s="98"/>
      <c r="DD512" s="98"/>
      <c r="DE512" s="98"/>
      <c r="DF512" s="98"/>
      <c r="DG512" s="98"/>
      <c r="DH512" s="98"/>
      <c r="DI512" s="98"/>
      <c r="DJ512" s="98"/>
      <c r="DK512" s="98"/>
      <c r="DL512" s="98"/>
      <c r="DM512" s="98"/>
      <c r="DN512" s="98"/>
      <c r="DO512" s="98"/>
      <c r="DP512" s="98"/>
      <c r="DQ512" s="98"/>
      <c r="DR512" s="98"/>
      <c r="DS512" s="98"/>
      <c r="DT512" s="98"/>
      <c r="DU512" s="98"/>
      <c r="DV512" s="98"/>
      <c r="DW512" s="98"/>
      <c r="DX512" s="98"/>
      <c r="DY512" s="98"/>
      <c r="DZ512" s="98"/>
      <c r="EA512" s="98"/>
      <c r="EB512" s="98"/>
      <c r="EC512" s="98"/>
      <c r="ED512" s="98"/>
    </row>
    <row r="513" spans="1:134" ht="11.25" customHeight="1" x14ac:dyDescent="0.3">
      <c r="A513" s="28" t="e">
        <f t="array" aca="1" ref="A513" ca="1">_xludf.XLOOKUP(S513,Master_Registrations!P:P,Master_Registrations!A:A,"")</f>
        <v>#NAME?</v>
      </c>
      <c r="B513" s="89" t="s">
        <v>182</v>
      </c>
      <c r="C513" s="89">
        <v>2023</v>
      </c>
      <c r="D513" s="89" t="s">
        <v>4886</v>
      </c>
      <c r="E513" s="89">
        <v>2</v>
      </c>
      <c r="F513" s="90" t="str">
        <f t="shared" si="8"/>
        <v>VED-01-2023-GR-2</v>
      </c>
      <c r="G513" s="89" t="s">
        <v>4569</v>
      </c>
      <c r="H513" s="90" t="s">
        <v>5323</v>
      </c>
      <c r="I513" s="90"/>
      <c r="J513" s="89" t="s">
        <v>7094</v>
      </c>
      <c r="K513" s="91"/>
      <c r="L513" s="91"/>
      <c r="M513" s="91"/>
      <c r="N513" s="90" t="s">
        <v>7095</v>
      </c>
      <c r="O513" s="89" t="s">
        <v>6040</v>
      </c>
      <c r="P513" s="89" t="s">
        <v>6046</v>
      </c>
      <c r="Q513" s="89" t="e">
        <f t="shared" ca="1" si="7"/>
        <v>#NAME?</v>
      </c>
      <c r="R513" s="39" t="s">
        <v>112</v>
      </c>
      <c r="S513" s="94">
        <v>9885294314</v>
      </c>
      <c r="T513" s="90" t="s">
        <v>111</v>
      </c>
      <c r="U513" s="90">
        <v>1978</v>
      </c>
      <c r="V513" s="99">
        <v>-1</v>
      </c>
      <c r="W513" s="95">
        <v>-1</v>
      </c>
      <c r="X513" s="96">
        <v>-1</v>
      </c>
      <c r="Y513" s="96">
        <v>-1</v>
      </c>
      <c r="Z513" s="96">
        <v>-1</v>
      </c>
      <c r="AA513" s="96">
        <v>-1</v>
      </c>
      <c r="AB513" s="96">
        <v>-1</v>
      </c>
      <c r="AC513" s="95">
        <v>-1</v>
      </c>
      <c r="AD513" s="95">
        <v>-1</v>
      </c>
      <c r="AE513" s="95">
        <v>-1</v>
      </c>
      <c r="AF513" s="95">
        <v>-1</v>
      </c>
      <c r="AG513" s="95">
        <v>-1</v>
      </c>
      <c r="AH513" s="95">
        <v>-1</v>
      </c>
      <c r="AI513" s="96">
        <v>-1</v>
      </c>
      <c r="AJ513" s="89"/>
      <c r="AK513" s="89"/>
      <c r="AL513" s="89"/>
      <c r="AM513" s="89"/>
      <c r="AN513" s="89"/>
      <c r="AO513" s="89"/>
      <c r="AP513" s="89"/>
      <c r="AQ513" s="89"/>
      <c r="AR513" s="89"/>
      <c r="AS513" s="89"/>
      <c r="AT513" s="89"/>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89"/>
      <c r="BS513" s="89"/>
      <c r="BT513" s="89"/>
      <c r="BU513" s="89"/>
      <c r="BV513" s="89"/>
      <c r="BW513" s="89"/>
      <c r="BX513" s="89"/>
      <c r="BY513" s="89"/>
      <c r="BZ513" s="89"/>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98"/>
      <c r="DA513" s="98"/>
      <c r="DB513" s="98"/>
      <c r="DC513" s="98"/>
      <c r="DD513" s="98"/>
      <c r="DE513" s="98"/>
      <c r="DF513" s="98"/>
      <c r="DG513" s="98"/>
      <c r="DH513" s="98"/>
      <c r="DI513" s="98"/>
      <c r="DJ513" s="98"/>
      <c r="DK513" s="98"/>
      <c r="DL513" s="98"/>
      <c r="DM513" s="98"/>
      <c r="DN513" s="98"/>
      <c r="DO513" s="98"/>
      <c r="DP513" s="98"/>
      <c r="DQ513" s="98"/>
      <c r="DR513" s="98"/>
      <c r="DS513" s="98"/>
      <c r="DT513" s="98"/>
      <c r="DU513" s="98"/>
      <c r="DV513" s="98"/>
      <c r="DW513" s="98"/>
      <c r="DX513" s="98"/>
      <c r="DY513" s="98"/>
      <c r="DZ513" s="98"/>
      <c r="EA513" s="98"/>
      <c r="EB513" s="98"/>
      <c r="EC513" s="98"/>
      <c r="ED513" s="98"/>
    </row>
    <row r="514" spans="1:134" ht="11.25" customHeight="1" x14ac:dyDescent="0.3">
      <c r="A514" s="28" t="e">
        <f t="array" aca="1" ref="A514" ca="1">_xludf.XLOOKUP(S514,Master_Registrations!P:P,Master_Registrations!A:A,"")</f>
        <v>#NAME?</v>
      </c>
      <c r="B514" s="89" t="s">
        <v>182</v>
      </c>
      <c r="C514" s="89">
        <v>2023</v>
      </c>
      <c r="D514" s="89" t="s">
        <v>4886</v>
      </c>
      <c r="E514" s="89">
        <v>2</v>
      </c>
      <c r="F514" s="90" t="str">
        <f t="shared" si="8"/>
        <v>VED-01-2023-GR-2</v>
      </c>
      <c r="G514" s="89" t="s">
        <v>4569</v>
      </c>
      <c r="H514" s="91"/>
      <c r="I514" s="91"/>
      <c r="J514" s="89" t="s">
        <v>7094</v>
      </c>
      <c r="K514" s="91"/>
      <c r="L514" s="91"/>
      <c r="M514" s="91"/>
      <c r="N514" s="90" t="s">
        <v>7095</v>
      </c>
      <c r="O514" s="89" t="s">
        <v>3888</v>
      </c>
      <c r="P514" s="89" t="s">
        <v>5746</v>
      </c>
      <c r="Q514" s="89" t="e">
        <f t="shared" ca="1" si="7"/>
        <v>#NAME?</v>
      </c>
      <c r="R514" s="39" t="s">
        <v>112</v>
      </c>
      <c r="S514" s="94">
        <v>9966400372</v>
      </c>
      <c r="T514" s="90" t="s">
        <v>111</v>
      </c>
      <c r="U514" s="90">
        <v>1977</v>
      </c>
      <c r="V514" s="97">
        <v>1</v>
      </c>
      <c r="W514" s="96">
        <v>-1</v>
      </c>
      <c r="X514" s="96">
        <v>-1</v>
      </c>
      <c r="Y514" s="96">
        <v>-1</v>
      </c>
      <c r="Z514" s="96">
        <v>-1</v>
      </c>
      <c r="AA514" s="96">
        <v>-1</v>
      </c>
      <c r="AB514" s="96">
        <v>-1</v>
      </c>
      <c r="AC514" s="96">
        <v>-1</v>
      </c>
      <c r="AD514" s="96">
        <v>-1</v>
      </c>
      <c r="AE514" s="97">
        <v>-1</v>
      </c>
      <c r="AF514" s="97">
        <v>-1</v>
      </c>
      <c r="AG514" s="97">
        <v>-1</v>
      </c>
      <c r="AH514" s="97">
        <v>-1</v>
      </c>
      <c r="AI514" s="96">
        <v>-1</v>
      </c>
      <c r="AJ514" s="89"/>
      <c r="AK514" s="89"/>
      <c r="AL514" s="89"/>
      <c r="AM514" s="89"/>
      <c r="AN514" s="89"/>
      <c r="AO514" s="89"/>
      <c r="AP514" s="89"/>
      <c r="AQ514" s="89"/>
      <c r="AR514" s="89"/>
      <c r="AS514" s="89"/>
      <c r="AT514" s="89"/>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c r="BQ514" s="89"/>
      <c r="BR514" s="89"/>
      <c r="BS514" s="89"/>
      <c r="BT514" s="89"/>
      <c r="BU514" s="89"/>
      <c r="BV514" s="89"/>
      <c r="BW514" s="89"/>
      <c r="BX514" s="89"/>
      <c r="BY514" s="89"/>
      <c r="BZ514" s="89"/>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98"/>
      <c r="DA514" s="98"/>
      <c r="DB514" s="98"/>
      <c r="DC514" s="98"/>
      <c r="DD514" s="98"/>
      <c r="DE514" s="98"/>
      <c r="DF514" s="98"/>
      <c r="DG514" s="98"/>
      <c r="DH514" s="98"/>
      <c r="DI514" s="98"/>
      <c r="DJ514" s="98"/>
      <c r="DK514" s="98"/>
      <c r="DL514" s="98"/>
      <c r="DM514" s="98"/>
      <c r="DN514" s="98"/>
      <c r="DO514" s="98"/>
      <c r="DP514" s="98"/>
      <c r="DQ514" s="98"/>
      <c r="DR514" s="98"/>
      <c r="DS514" s="98"/>
      <c r="DT514" s="98"/>
      <c r="DU514" s="98"/>
      <c r="DV514" s="98"/>
      <c r="DW514" s="98"/>
      <c r="DX514" s="98"/>
      <c r="DY514" s="98"/>
      <c r="DZ514" s="98"/>
      <c r="EA514" s="98"/>
      <c r="EB514" s="98"/>
      <c r="EC514" s="98"/>
      <c r="ED514" s="98"/>
    </row>
    <row r="515" spans="1:134" ht="11.25" customHeight="1" x14ac:dyDescent="0.3">
      <c r="A515" s="28" t="e">
        <f t="array" aca="1" ref="A515" ca="1">_xludf.XLOOKUP(S515,Master_Registrations!P:P,Master_Registrations!A:A,"")</f>
        <v>#NAME?</v>
      </c>
      <c r="B515" s="89" t="s">
        <v>182</v>
      </c>
      <c r="C515" s="89">
        <v>2023</v>
      </c>
      <c r="D515" s="89" t="s">
        <v>4886</v>
      </c>
      <c r="E515" s="89">
        <v>2</v>
      </c>
      <c r="F515" s="90" t="str">
        <f t="shared" si="8"/>
        <v>VED-01-2023-GR-2</v>
      </c>
      <c r="G515" s="89" t="s">
        <v>4569</v>
      </c>
      <c r="H515" s="91"/>
      <c r="I515" s="91"/>
      <c r="J515" s="89" t="s">
        <v>7094</v>
      </c>
      <c r="K515" s="91"/>
      <c r="L515" s="91"/>
      <c r="M515" s="91"/>
      <c r="N515" s="90" t="s">
        <v>7095</v>
      </c>
      <c r="O515" s="89" t="s">
        <v>5858</v>
      </c>
      <c r="P515" s="89" t="s">
        <v>5859</v>
      </c>
      <c r="Q515" s="89" t="e">
        <f t="shared" ca="1" si="7"/>
        <v>#NAME?</v>
      </c>
      <c r="R515" s="39" t="s">
        <v>112</v>
      </c>
      <c r="S515" s="94">
        <v>9030807710</v>
      </c>
      <c r="T515" s="90" t="s">
        <v>111</v>
      </c>
      <c r="U515" s="90">
        <v>1986</v>
      </c>
      <c r="V515" s="99">
        <v>1</v>
      </c>
      <c r="W515" s="96">
        <v>-1</v>
      </c>
      <c r="X515" s="96">
        <v>-1</v>
      </c>
      <c r="Y515" s="96">
        <v>-1</v>
      </c>
      <c r="Z515" s="96">
        <v>-1</v>
      </c>
      <c r="AA515" s="96">
        <v>-1</v>
      </c>
      <c r="AB515" s="96">
        <v>-1</v>
      </c>
      <c r="AC515" s="96">
        <v>-1</v>
      </c>
      <c r="AD515" s="96">
        <v>-1</v>
      </c>
      <c r="AE515" s="96">
        <v>-1</v>
      </c>
      <c r="AF515" s="95">
        <v>-1</v>
      </c>
      <c r="AG515" s="95">
        <v>-1</v>
      </c>
      <c r="AH515" s="95">
        <v>-1</v>
      </c>
      <c r="AI515" s="96">
        <v>-1</v>
      </c>
      <c r="AJ515" s="89"/>
      <c r="AK515" s="89"/>
      <c r="AL515" s="89"/>
      <c r="AM515" s="89"/>
      <c r="AN515" s="89"/>
      <c r="AO515" s="89"/>
      <c r="AP515" s="89"/>
      <c r="AQ515" s="89"/>
      <c r="AR515" s="89"/>
      <c r="AS515" s="89"/>
      <c r="AT515" s="89"/>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c r="BQ515" s="89"/>
      <c r="BR515" s="89"/>
      <c r="BS515" s="89"/>
      <c r="BT515" s="89"/>
      <c r="BU515" s="89"/>
      <c r="BV515" s="89"/>
      <c r="BW515" s="89"/>
      <c r="BX515" s="89"/>
      <c r="BY515" s="89"/>
      <c r="BZ515" s="89"/>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98"/>
      <c r="DA515" s="98"/>
      <c r="DB515" s="98"/>
      <c r="DC515" s="98"/>
      <c r="DD515" s="98"/>
      <c r="DE515" s="98"/>
      <c r="DF515" s="98"/>
      <c r="DG515" s="98"/>
      <c r="DH515" s="98"/>
      <c r="DI515" s="98"/>
      <c r="DJ515" s="98"/>
      <c r="DK515" s="98"/>
      <c r="DL515" s="98"/>
      <c r="DM515" s="98"/>
      <c r="DN515" s="98"/>
      <c r="DO515" s="98"/>
      <c r="DP515" s="98"/>
      <c r="DQ515" s="98"/>
      <c r="DR515" s="98"/>
      <c r="DS515" s="98"/>
      <c r="DT515" s="98"/>
      <c r="DU515" s="98"/>
      <c r="DV515" s="98"/>
      <c r="DW515" s="98"/>
      <c r="DX515" s="98"/>
      <c r="DY515" s="98"/>
      <c r="DZ515" s="98"/>
      <c r="EA515" s="98"/>
      <c r="EB515" s="98"/>
      <c r="EC515" s="98"/>
      <c r="ED515" s="98"/>
    </row>
    <row r="516" spans="1:134" ht="11.25" customHeight="1" x14ac:dyDescent="0.3">
      <c r="A516" s="28" t="e">
        <f t="array" aca="1" ref="A516" ca="1">_xludf.XLOOKUP(S516,Master_Registrations!P:P,Master_Registrations!A:A,"")</f>
        <v>#NAME?</v>
      </c>
      <c r="B516" s="89" t="s">
        <v>182</v>
      </c>
      <c r="C516" s="89">
        <v>2023</v>
      </c>
      <c r="D516" s="89" t="s">
        <v>4886</v>
      </c>
      <c r="E516" s="89">
        <v>2</v>
      </c>
      <c r="F516" s="90" t="str">
        <f t="shared" si="8"/>
        <v>VED-01-2023-GR-2</v>
      </c>
      <c r="G516" s="89" t="s">
        <v>4569</v>
      </c>
      <c r="H516" s="91"/>
      <c r="I516" s="91"/>
      <c r="J516" s="89" t="s">
        <v>7094</v>
      </c>
      <c r="K516" s="91"/>
      <c r="L516" s="91"/>
      <c r="M516" s="91"/>
      <c r="N516" s="90" t="s">
        <v>7095</v>
      </c>
      <c r="O516" s="89" t="s">
        <v>5842</v>
      </c>
      <c r="P516" s="141" t="s">
        <v>5843</v>
      </c>
      <c r="Q516" s="89" t="e">
        <f t="shared" ca="1" si="7"/>
        <v>#NAME?</v>
      </c>
      <c r="R516" s="39" t="s">
        <v>112</v>
      </c>
      <c r="S516" s="94">
        <v>8608584776</v>
      </c>
      <c r="T516" s="90" t="s">
        <v>111</v>
      </c>
      <c r="U516" s="90">
        <v>1992</v>
      </c>
      <c r="V516" s="95">
        <v>-1</v>
      </c>
      <c r="W516" s="95">
        <v>-1</v>
      </c>
      <c r="X516" s="96">
        <v>-1</v>
      </c>
      <c r="Y516" s="96">
        <v>-1</v>
      </c>
      <c r="Z516" s="96">
        <v>-1</v>
      </c>
      <c r="AA516" s="96">
        <v>-1</v>
      </c>
      <c r="AB516" s="96">
        <v>-1</v>
      </c>
      <c r="AC516" s="95">
        <v>-1</v>
      </c>
      <c r="AD516" s="95">
        <v>-1</v>
      </c>
      <c r="AE516" s="95">
        <v>-1</v>
      </c>
      <c r="AF516" s="95">
        <v>-1</v>
      </c>
      <c r="AG516" s="95">
        <v>-1</v>
      </c>
      <c r="AH516" s="95">
        <v>-1</v>
      </c>
      <c r="AI516" s="96">
        <v>-1</v>
      </c>
      <c r="AJ516" s="89"/>
      <c r="AK516" s="89"/>
      <c r="AL516" s="89"/>
      <c r="AM516" s="89"/>
      <c r="AN516" s="89"/>
      <c r="AO516" s="89"/>
      <c r="AP516" s="89"/>
      <c r="AQ516" s="89"/>
      <c r="AR516" s="89"/>
      <c r="AS516" s="89"/>
      <c r="AT516" s="89"/>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c r="BQ516" s="89"/>
      <c r="BR516" s="89"/>
      <c r="BS516" s="89"/>
      <c r="BT516" s="89"/>
      <c r="BU516" s="89"/>
      <c r="BV516" s="89"/>
      <c r="BW516" s="89"/>
      <c r="BX516" s="89"/>
      <c r="BY516" s="89"/>
      <c r="BZ516" s="89"/>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98"/>
      <c r="DA516" s="98"/>
      <c r="DB516" s="98"/>
      <c r="DC516" s="98"/>
      <c r="DD516" s="98"/>
      <c r="DE516" s="98"/>
      <c r="DF516" s="98"/>
      <c r="DG516" s="98"/>
      <c r="DH516" s="98"/>
      <c r="DI516" s="98"/>
      <c r="DJ516" s="98"/>
      <c r="DK516" s="98"/>
      <c r="DL516" s="98"/>
      <c r="DM516" s="98"/>
      <c r="DN516" s="98"/>
      <c r="DO516" s="98"/>
      <c r="DP516" s="98"/>
      <c r="DQ516" s="98"/>
      <c r="DR516" s="98"/>
      <c r="DS516" s="98"/>
      <c r="DT516" s="98"/>
      <c r="DU516" s="98"/>
      <c r="DV516" s="98"/>
      <c r="DW516" s="98"/>
      <c r="DX516" s="98"/>
      <c r="DY516" s="98"/>
      <c r="DZ516" s="98"/>
      <c r="EA516" s="98"/>
      <c r="EB516" s="98"/>
      <c r="EC516" s="98"/>
      <c r="ED516" s="98"/>
    </row>
    <row r="517" spans="1:134" ht="11.25" customHeight="1" x14ac:dyDescent="0.3">
      <c r="A517" s="28" t="e">
        <f t="array" aca="1" ref="A517" ca="1">_xludf.XLOOKUP(S517,Master_Registrations!P:P,Master_Registrations!A:A,"")</f>
        <v>#NAME?</v>
      </c>
      <c r="B517" s="89" t="s">
        <v>182</v>
      </c>
      <c r="C517" s="89">
        <v>2023</v>
      </c>
      <c r="D517" s="89" t="s">
        <v>4886</v>
      </c>
      <c r="E517" s="89">
        <v>2</v>
      </c>
      <c r="F517" s="90" t="str">
        <f t="shared" si="8"/>
        <v>VED-01-2023-GR-2</v>
      </c>
      <c r="G517" s="89" t="s">
        <v>4569</v>
      </c>
      <c r="H517" s="91"/>
      <c r="I517" s="91"/>
      <c r="J517" s="89" t="s">
        <v>7094</v>
      </c>
      <c r="K517" s="91"/>
      <c r="L517" s="91"/>
      <c r="M517" s="91"/>
      <c r="N517" s="90" t="s">
        <v>7095</v>
      </c>
      <c r="O517" s="89" t="s">
        <v>2500</v>
      </c>
      <c r="P517" s="89" t="s">
        <v>5882</v>
      </c>
      <c r="Q517" s="89" t="e">
        <f t="shared" ca="1" si="7"/>
        <v>#NAME?</v>
      </c>
      <c r="R517" s="39" t="s">
        <v>112</v>
      </c>
      <c r="S517" s="94">
        <v>9866894526</v>
      </c>
      <c r="T517" s="90" t="s">
        <v>111</v>
      </c>
      <c r="U517" s="90">
        <v>1975</v>
      </c>
      <c r="V517" s="99">
        <v>-1</v>
      </c>
      <c r="W517" s="95">
        <v>-1</v>
      </c>
      <c r="X517" s="96">
        <v>-1</v>
      </c>
      <c r="Y517" s="96">
        <v>-1</v>
      </c>
      <c r="Z517" s="96">
        <v>-1</v>
      </c>
      <c r="AA517" s="96">
        <v>-1</v>
      </c>
      <c r="AB517" s="96">
        <v>-1</v>
      </c>
      <c r="AC517" s="95">
        <v>-1</v>
      </c>
      <c r="AD517" s="95">
        <v>-1</v>
      </c>
      <c r="AE517" s="95">
        <v>-1</v>
      </c>
      <c r="AF517" s="95">
        <v>-1</v>
      </c>
      <c r="AG517" s="95">
        <v>-1</v>
      </c>
      <c r="AH517" s="95">
        <v>-1</v>
      </c>
      <c r="AI517" s="96">
        <v>-1</v>
      </c>
      <c r="AJ517" s="89"/>
      <c r="AK517" s="89"/>
      <c r="AL517" s="89"/>
      <c r="AM517" s="89"/>
      <c r="AN517" s="89"/>
      <c r="AO517" s="89"/>
      <c r="AP517" s="89"/>
      <c r="AQ517" s="89"/>
      <c r="AR517" s="89"/>
      <c r="AS517" s="89"/>
      <c r="AT517" s="89"/>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89"/>
      <c r="BY517" s="89"/>
      <c r="BZ517" s="89"/>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98"/>
      <c r="DA517" s="98"/>
      <c r="DB517" s="98"/>
      <c r="DC517" s="98"/>
      <c r="DD517" s="98"/>
      <c r="DE517" s="98"/>
      <c r="DF517" s="98"/>
      <c r="DG517" s="98"/>
      <c r="DH517" s="98"/>
      <c r="DI517" s="98"/>
      <c r="DJ517" s="98"/>
      <c r="DK517" s="98"/>
      <c r="DL517" s="98"/>
      <c r="DM517" s="98"/>
      <c r="DN517" s="98"/>
      <c r="DO517" s="98"/>
      <c r="DP517" s="98"/>
      <c r="DQ517" s="98"/>
      <c r="DR517" s="98"/>
      <c r="DS517" s="98"/>
      <c r="DT517" s="98"/>
      <c r="DU517" s="98"/>
      <c r="DV517" s="98"/>
      <c r="DW517" s="98"/>
      <c r="DX517" s="98"/>
      <c r="DY517" s="98"/>
      <c r="DZ517" s="98"/>
      <c r="EA517" s="98"/>
      <c r="EB517" s="98"/>
      <c r="EC517" s="98"/>
      <c r="ED517" s="98"/>
    </row>
    <row r="518" spans="1:134" ht="11.25" customHeight="1" x14ac:dyDescent="0.3">
      <c r="A518" s="28" t="e">
        <f t="array" aca="1" ref="A518" ca="1">_xludf.XLOOKUP(S518,Master_Registrations!P:P,Master_Registrations!A:A,"")</f>
        <v>#NAME?</v>
      </c>
      <c r="B518" s="89" t="s">
        <v>182</v>
      </c>
      <c r="C518" s="89">
        <v>2023</v>
      </c>
      <c r="D518" s="89" t="s">
        <v>4886</v>
      </c>
      <c r="E518" s="89">
        <v>2</v>
      </c>
      <c r="F518" s="90" t="str">
        <f t="shared" si="8"/>
        <v>VED-01-2023-GR-2</v>
      </c>
      <c r="G518" s="89" t="s">
        <v>4569</v>
      </c>
      <c r="H518" s="91"/>
      <c r="I518" s="91"/>
      <c r="J518" s="89" t="s">
        <v>7094</v>
      </c>
      <c r="K518" s="91"/>
      <c r="L518" s="91"/>
      <c r="M518" s="91"/>
      <c r="N518" s="90" t="s">
        <v>7095</v>
      </c>
      <c r="O518" s="89" t="s">
        <v>5728</v>
      </c>
      <c r="P518" s="89" t="s">
        <v>5729</v>
      </c>
      <c r="Q518" s="89" t="e">
        <f t="shared" ca="1" si="7"/>
        <v>#NAME?</v>
      </c>
      <c r="R518" s="39" t="s">
        <v>112</v>
      </c>
      <c r="S518" s="94">
        <v>9912557437</v>
      </c>
      <c r="T518" s="90" t="s">
        <v>111</v>
      </c>
      <c r="U518" s="90">
        <v>1967</v>
      </c>
      <c r="V518" s="99">
        <v>-1</v>
      </c>
      <c r="W518" s="95">
        <v>-1</v>
      </c>
      <c r="X518" s="96">
        <v>-1</v>
      </c>
      <c r="Y518" s="96">
        <v>-1</v>
      </c>
      <c r="Z518" s="97">
        <v>-1</v>
      </c>
      <c r="AA518" s="96">
        <v>-1</v>
      </c>
      <c r="AB518" s="96">
        <v>-1</v>
      </c>
      <c r="AC518" s="95">
        <v>-1</v>
      </c>
      <c r="AD518" s="95">
        <v>-1</v>
      </c>
      <c r="AE518" s="99">
        <v>-1</v>
      </c>
      <c r="AF518" s="99">
        <v>-1</v>
      </c>
      <c r="AG518" s="99">
        <v>-1</v>
      </c>
      <c r="AH518" s="95">
        <v>-1</v>
      </c>
      <c r="AI518" s="96">
        <v>-1</v>
      </c>
      <c r="AJ518" s="89"/>
      <c r="AK518" s="89"/>
      <c r="AL518" s="89"/>
      <c r="AM518" s="89"/>
      <c r="AN518" s="89"/>
      <c r="AO518" s="89"/>
      <c r="AP518" s="89"/>
      <c r="AQ518" s="89"/>
      <c r="AR518" s="89"/>
      <c r="AS518" s="89"/>
      <c r="AT518" s="89"/>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c r="BQ518" s="89"/>
      <c r="BR518" s="89"/>
      <c r="BS518" s="89"/>
      <c r="BT518" s="89"/>
      <c r="BU518" s="89"/>
      <c r="BV518" s="89"/>
      <c r="BW518" s="89"/>
      <c r="BX518" s="89"/>
      <c r="BY518" s="89"/>
      <c r="BZ518" s="89"/>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98"/>
      <c r="DA518" s="98"/>
      <c r="DB518" s="98"/>
      <c r="DC518" s="98"/>
      <c r="DD518" s="98"/>
      <c r="DE518" s="98"/>
      <c r="DF518" s="98"/>
      <c r="DG518" s="98"/>
      <c r="DH518" s="98"/>
      <c r="DI518" s="98"/>
      <c r="DJ518" s="98"/>
      <c r="DK518" s="98"/>
      <c r="DL518" s="98"/>
      <c r="DM518" s="98"/>
      <c r="DN518" s="98"/>
      <c r="DO518" s="98"/>
      <c r="DP518" s="98"/>
      <c r="DQ518" s="98"/>
      <c r="DR518" s="98"/>
      <c r="DS518" s="98"/>
      <c r="DT518" s="98"/>
      <c r="DU518" s="98"/>
      <c r="DV518" s="98"/>
      <c r="DW518" s="98"/>
      <c r="DX518" s="98"/>
      <c r="DY518" s="98"/>
      <c r="DZ518" s="98"/>
      <c r="EA518" s="98"/>
      <c r="EB518" s="98"/>
      <c r="EC518" s="98"/>
      <c r="ED518" s="98"/>
    </row>
    <row r="519" spans="1:134" ht="11.25" customHeight="1" x14ac:dyDescent="0.3">
      <c r="A519" s="28" t="e">
        <f t="array" aca="1" ref="A519" ca="1">_xludf.XLOOKUP(S519,Master_Registrations!P:P,Master_Registrations!A:A,"")</f>
        <v>#NAME?</v>
      </c>
      <c r="B519" s="89" t="s">
        <v>182</v>
      </c>
      <c r="C519" s="89">
        <v>2023</v>
      </c>
      <c r="D519" s="89" t="s">
        <v>4886</v>
      </c>
      <c r="E519" s="89">
        <v>2</v>
      </c>
      <c r="F519" s="90" t="str">
        <f t="shared" si="8"/>
        <v>VED-01-2023-GR-2</v>
      </c>
      <c r="G519" s="89" t="s">
        <v>4569</v>
      </c>
      <c r="H519" s="91"/>
      <c r="I519" s="91"/>
      <c r="J519" s="89" t="s">
        <v>7094</v>
      </c>
      <c r="K519" s="91"/>
      <c r="L519" s="91"/>
      <c r="M519" s="91"/>
      <c r="N519" s="90" t="s">
        <v>7095</v>
      </c>
      <c r="O519" s="89" t="s">
        <v>6077</v>
      </c>
      <c r="P519" s="89" t="s">
        <v>2659</v>
      </c>
      <c r="Q519" s="89" t="e">
        <f t="shared" ca="1" si="7"/>
        <v>#NAME?</v>
      </c>
      <c r="R519" s="39" t="s">
        <v>112</v>
      </c>
      <c r="S519" s="94">
        <v>8985970546</v>
      </c>
      <c r="T519" s="90" t="s">
        <v>111</v>
      </c>
      <c r="U519" s="90">
        <v>1963</v>
      </c>
      <c r="V519" s="99">
        <v>-1</v>
      </c>
      <c r="W519" s="95">
        <v>-1</v>
      </c>
      <c r="X519" s="96">
        <v>-1</v>
      </c>
      <c r="Y519" s="96">
        <v>-1</v>
      </c>
      <c r="Z519" s="97">
        <v>-1</v>
      </c>
      <c r="AA519" s="96">
        <v>-1</v>
      </c>
      <c r="AB519" s="96">
        <v>-1</v>
      </c>
      <c r="AC519" s="99">
        <v>-1</v>
      </c>
      <c r="AD519" s="99">
        <v>-1</v>
      </c>
      <c r="AE519" s="99">
        <v>-1</v>
      </c>
      <c r="AF519" s="99">
        <v>-1</v>
      </c>
      <c r="AG519" s="99">
        <v>-1</v>
      </c>
      <c r="AH519" s="95">
        <v>-1</v>
      </c>
      <c r="AI519" s="96">
        <v>-1</v>
      </c>
      <c r="AJ519" s="89"/>
      <c r="AK519" s="89"/>
      <c r="AL519" s="89"/>
      <c r="AM519" s="89"/>
      <c r="AN519" s="89"/>
      <c r="AO519" s="89"/>
      <c r="AP519" s="89"/>
      <c r="AQ519" s="89"/>
      <c r="AR519" s="89"/>
      <c r="AS519" s="89"/>
      <c r="AT519" s="89"/>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89"/>
      <c r="BY519" s="89"/>
      <c r="BZ519" s="89"/>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98"/>
      <c r="DA519" s="98"/>
      <c r="DB519" s="98"/>
      <c r="DC519" s="98"/>
      <c r="DD519" s="98"/>
      <c r="DE519" s="98"/>
      <c r="DF519" s="98"/>
      <c r="DG519" s="98"/>
      <c r="DH519" s="98"/>
      <c r="DI519" s="98"/>
      <c r="DJ519" s="98"/>
      <c r="DK519" s="98"/>
      <c r="DL519" s="98"/>
      <c r="DM519" s="98"/>
      <c r="DN519" s="98"/>
      <c r="DO519" s="98"/>
      <c r="DP519" s="98"/>
      <c r="DQ519" s="98"/>
      <c r="DR519" s="98"/>
      <c r="DS519" s="98"/>
      <c r="DT519" s="98"/>
      <c r="DU519" s="98"/>
      <c r="DV519" s="98"/>
      <c r="DW519" s="98"/>
      <c r="DX519" s="98"/>
      <c r="DY519" s="98"/>
      <c r="DZ519" s="98"/>
      <c r="EA519" s="98"/>
      <c r="EB519" s="98"/>
      <c r="EC519" s="98"/>
      <c r="ED519" s="98"/>
    </row>
    <row r="520" spans="1:134" ht="11.25" customHeight="1" x14ac:dyDescent="0.3">
      <c r="A520" s="28" t="e">
        <f t="array" aca="1" ref="A520" ca="1">_xludf.XLOOKUP(S520,Master_Registrations!P:P,Master_Registrations!A:A,"")</f>
        <v>#NAME?</v>
      </c>
      <c r="B520" s="89" t="s">
        <v>182</v>
      </c>
      <c r="C520" s="89">
        <v>2023</v>
      </c>
      <c r="D520" s="89" t="s">
        <v>4886</v>
      </c>
      <c r="E520" s="89">
        <v>2</v>
      </c>
      <c r="F520" s="90" t="str">
        <f t="shared" si="8"/>
        <v>VED-01-2023-GR-2</v>
      </c>
      <c r="G520" s="89" t="s">
        <v>4569</v>
      </c>
      <c r="H520" s="91"/>
      <c r="I520" s="91"/>
      <c r="J520" s="89" t="s">
        <v>7094</v>
      </c>
      <c r="K520" s="91"/>
      <c r="L520" s="91"/>
      <c r="M520" s="91"/>
      <c r="N520" s="90" t="s">
        <v>7095</v>
      </c>
      <c r="O520" s="89" t="s">
        <v>3819</v>
      </c>
      <c r="P520" s="89" t="s">
        <v>6090</v>
      </c>
      <c r="Q520" s="89" t="e">
        <f t="shared" ca="1" si="7"/>
        <v>#NAME?</v>
      </c>
      <c r="R520" s="39" t="s">
        <v>112</v>
      </c>
      <c r="S520" s="94">
        <v>9282225300</v>
      </c>
      <c r="T520" s="90" t="s">
        <v>111</v>
      </c>
      <c r="U520" s="90">
        <v>1965</v>
      </c>
      <c r="V520" s="97">
        <v>-1</v>
      </c>
      <c r="W520" s="96">
        <v>-1</v>
      </c>
      <c r="X520" s="96">
        <v>-1</v>
      </c>
      <c r="Y520" s="96">
        <v>-1</v>
      </c>
      <c r="Z520" s="97">
        <v>-1</v>
      </c>
      <c r="AA520" s="96">
        <v>-1</v>
      </c>
      <c r="AB520" s="96">
        <v>-1</v>
      </c>
      <c r="AC520" s="96">
        <v>-1</v>
      </c>
      <c r="AD520" s="96">
        <v>-1</v>
      </c>
      <c r="AE520" s="97">
        <v>-1</v>
      </c>
      <c r="AF520" s="97">
        <v>-1</v>
      </c>
      <c r="AG520" s="97">
        <v>-1</v>
      </c>
      <c r="AH520" s="95">
        <v>-1</v>
      </c>
      <c r="AI520" s="96">
        <v>-1</v>
      </c>
      <c r="AJ520" s="89"/>
      <c r="AK520" s="89"/>
      <c r="AL520" s="89"/>
      <c r="AM520" s="89"/>
      <c r="AN520" s="89"/>
      <c r="AO520" s="89"/>
      <c r="AP520" s="89"/>
      <c r="AQ520" s="89"/>
      <c r="AR520" s="89"/>
      <c r="AS520" s="89"/>
      <c r="AT520" s="89"/>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c r="BQ520" s="89"/>
      <c r="BR520" s="89"/>
      <c r="BS520" s="89"/>
      <c r="BT520" s="89"/>
      <c r="BU520" s="89"/>
      <c r="BV520" s="89"/>
      <c r="BW520" s="89"/>
      <c r="BX520" s="89"/>
      <c r="BY520" s="89"/>
      <c r="BZ520" s="89"/>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98"/>
      <c r="DA520" s="98"/>
      <c r="DB520" s="98"/>
      <c r="DC520" s="98"/>
      <c r="DD520" s="98"/>
      <c r="DE520" s="98"/>
      <c r="DF520" s="98"/>
      <c r="DG520" s="98"/>
      <c r="DH520" s="98"/>
      <c r="DI520" s="98"/>
      <c r="DJ520" s="98"/>
      <c r="DK520" s="98"/>
      <c r="DL520" s="98"/>
      <c r="DM520" s="98"/>
      <c r="DN520" s="98"/>
      <c r="DO520" s="98"/>
      <c r="DP520" s="98"/>
      <c r="DQ520" s="98"/>
      <c r="DR520" s="98"/>
      <c r="DS520" s="98"/>
      <c r="DT520" s="98"/>
      <c r="DU520" s="98"/>
      <c r="DV520" s="98"/>
      <c r="DW520" s="98"/>
      <c r="DX520" s="98"/>
      <c r="DY520" s="98"/>
      <c r="DZ520" s="98"/>
      <c r="EA520" s="98"/>
      <c r="EB520" s="98"/>
      <c r="EC520" s="98"/>
      <c r="ED520" s="98"/>
    </row>
    <row r="521" spans="1:134" ht="11.25" customHeight="1" x14ac:dyDescent="0.3">
      <c r="A521" s="28" t="e">
        <f t="array" aca="1" ref="A521" ca="1">_xludf.XLOOKUP(S521,Master_Registrations!P:P,Master_Registrations!A:A,"")</f>
        <v>#NAME?</v>
      </c>
      <c r="B521" s="89" t="s">
        <v>182</v>
      </c>
      <c r="C521" s="89">
        <v>2023</v>
      </c>
      <c r="D521" s="89" t="s">
        <v>4886</v>
      </c>
      <c r="E521" s="89">
        <v>2</v>
      </c>
      <c r="F521" s="90" t="str">
        <f t="shared" si="8"/>
        <v>VED-01-2023-GR-2</v>
      </c>
      <c r="G521" s="89" t="s">
        <v>4569</v>
      </c>
      <c r="H521" s="91"/>
      <c r="I521" s="91"/>
      <c r="J521" s="89" t="s">
        <v>7094</v>
      </c>
      <c r="K521" s="91"/>
      <c r="L521" s="91"/>
      <c r="M521" s="91"/>
      <c r="N521" s="90" t="s">
        <v>7095</v>
      </c>
      <c r="O521" s="89" t="s">
        <v>1692</v>
      </c>
      <c r="P521" s="89" t="s">
        <v>6341</v>
      </c>
      <c r="Q521" s="89" t="e">
        <f t="shared" ca="1" si="7"/>
        <v>#NAME?</v>
      </c>
      <c r="R521" s="39" t="s">
        <v>316</v>
      </c>
      <c r="S521" s="94">
        <v>4042454833</v>
      </c>
      <c r="T521" s="90" t="s">
        <v>474</v>
      </c>
      <c r="U521" s="90">
        <v>1973</v>
      </c>
      <c r="V521" s="99">
        <v>-1</v>
      </c>
      <c r="W521" s="95">
        <v>-1</v>
      </c>
      <c r="X521" s="96">
        <v>-1</v>
      </c>
      <c r="Y521" s="96">
        <v>-1</v>
      </c>
      <c r="Z521" s="96">
        <v>-1</v>
      </c>
      <c r="AA521" s="96">
        <v>-1</v>
      </c>
      <c r="AB521" s="96">
        <v>-1</v>
      </c>
      <c r="AC521" s="95">
        <v>-1</v>
      </c>
      <c r="AD521" s="95">
        <v>-1</v>
      </c>
      <c r="AE521" s="95">
        <v>-1</v>
      </c>
      <c r="AF521" s="95">
        <v>-1</v>
      </c>
      <c r="AG521" s="95">
        <v>-1</v>
      </c>
      <c r="AH521" s="95">
        <v>-1</v>
      </c>
      <c r="AI521" s="96">
        <v>-1</v>
      </c>
      <c r="AJ521" s="89"/>
      <c r="AK521" s="89"/>
      <c r="AL521" s="89"/>
      <c r="AM521" s="89"/>
      <c r="AN521" s="89"/>
      <c r="AO521" s="89"/>
      <c r="AP521" s="89"/>
      <c r="AQ521" s="89"/>
      <c r="AR521" s="89"/>
      <c r="AS521" s="89"/>
      <c r="AT521" s="89"/>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c r="BQ521" s="89"/>
      <c r="BR521" s="89"/>
      <c r="BS521" s="89"/>
      <c r="BT521" s="89"/>
      <c r="BU521" s="89"/>
      <c r="BV521" s="89"/>
      <c r="BW521" s="89"/>
      <c r="BX521" s="89"/>
      <c r="BY521" s="89"/>
      <c r="BZ521" s="89"/>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98"/>
      <c r="DA521" s="98"/>
      <c r="DB521" s="98"/>
      <c r="DC521" s="98"/>
      <c r="DD521" s="98"/>
      <c r="DE521" s="98"/>
      <c r="DF521" s="98"/>
      <c r="DG521" s="98"/>
      <c r="DH521" s="98"/>
      <c r="DI521" s="98"/>
      <c r="DJ521" s="98"/>
      <c r="DK521" s="98"/>
      <c r="DL521" s="98"/>
      <c r="DM521" s="98"/>
      <c r="DN521" s="98"/>
      <c r="DO521" s="98"/>
      <c r="DP521" s="98"/>
      <c r="DQ521" s="98"/>
      <c r="DR521" s="98"/>
      <c r="DS521" s="98"/>
      <c r="DT521" s="98"/>
      <c r="DU521" s="98"/>
      <c r="DV521" s="98"/>
      <c r="DW521" s="98"/>
      <c r="DX521" s="98"/>
      <c r="DY521" s="98"/>
      <c r="DZ521" s="98"/>
      <c r="EA521" s="98"/>
      <c r="EB521" s="98"/>
      <c r="EC521" s="98"/>
      <c r="ED521" s="98"/>
    </row>
    <row r="522" spans="1:134" ht="11.25" customHeight="1" x14ac:dyDescent="0.3">
      <c r="A522" s="28" t="e">
        <f t="array" aca="1" ref="A522" ca="1">_xludf.XLOOKUP(S522,Master_Registrations!P:P,Master_Registrations!A:A,"")</f>
        <v>#NAME?</v>
      </c>
      <c r="B522" s="89" t="s">
        <v>182</v>
      </c>
      <c r="C522" s="89">
        <v>2023</v>
      </c>
      <c r="D522" s="89" t="s">
        <v>4886</v>
      </c>
      <c r="E522" s="89">
        <v>2</v>
      </c>
      <c r="F522" s="90" t="str">
        <f t="shared" si="8"/>
        <v>VED-01-2023-GR-2</v>
      </c>
      <c r="G522" s="89" t="s">
        <v>4569</v>
      </c>
      <c r="H522" s="91"/>
      <c r="I522" s="91"/>
      <c r="J522" s="89" t="s">
        <v>7094</v>
      </c>
      <c r="K522" s="91"/>
      <c r="L522" s="91"/>
      <c r="M522" s="91"/>
      <c r="N522" s="90" t="s">
        <v>7095</v>
      </c>
      <c r="O522" s="89" t="s">
        <v>6226</v>
      </c>
      <c r="P522" s="89" t="s">
        <v>1353</v>
      </c>
      <c r="Q522" s="89" t="e">
        <f t="shared" ca="1" si="7"/>
        <v>#NAME?</v>
      </c>
      <c r="R522" s="39" t="s">
        <v>316</v>
      </c>
      <c r="S522" s="94">
        <v>7176453422</v>
      </c>
      <c r="T522" s="90" t="s">
        <v>315</v>
      </c>
      <c r="U522" s="90">
        <v>1965</v>
      </c>
      <c r="V522" s="97">
        <v>-1</v>
      </c>
      <c r="W522" s="96">
        <v>-1</v>
      </c>
      <c r="X522" s="97">
        <v>1</v>
      </c>
      <c r="Y522" s="97">
        <v>1</v>
      </c>
      <c r="Z522" s="97">
        <v>1</v>
      </c>
      <c r="AA522" s="96">
        <v>-1</v>
      </c>
      <c r="AB522" s="96">
        <v>-1</v>
      </c>
      <c r="AC522" s="96">
        <v>-1</v>
      </c>
      <c r="AD522" s="96">
        <v>-1</v>
      </c>
      <c r="AE522" s="96">
        <v>-1</v>
      </c>
      <c r="AF522" s="95">
        <v>-1</v>
      </c>
      <c r="AG522" s="96">
        <v>-1</v>
      </c>
      <c r="AH522" s="95">
        <v>-1</v>
      </c>
      <c r="AI522" s="96">
        <v>-1</v>
      </c>
      <c r="AJ522" s="89"/>
      <c r="AK522" s="89"/>
      <c r="AL522" s="89"/>
      <c r="AM522" s="89"/>
      <c r="AN522" s="89"/>
      <c r="AO522" s="89"/>
      <c r="AP522" s="89"/>
      <c r="AQ522" s="89"/>
      <c r="AR522" s="89"/>
      <c r="AS522" s="89"/>
      <c r="AT522" s="89"/>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c r="BQ522" s="89"/>
      <c r="BR522" s="89"/>
      <c r="BS522" s="89"/>
      <c r="BT522" s="89"/>
      <c r="BU522" s="89"/>
      <c r="BV522" s="89"/>
      <c r="BW522" s="89"/>
      <c r="BX522" s="89"/>
      <c r="BY522" s="89"/>
      <c r="BZ522" s="89"/>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98"/>
      <c r="DA522" s="98"/>
      <c r="DB522" s="98"/>
      <c r="DC522" s="98"/>
      <c r="DD522" s="98"/>
      <c r="DE522" s="98"/>
      <c r="DF522" s="98"/>
      <c r="DG522" s="98"/>
      <c r="DH522" s="98"/>
      <c r="DI522" s="98"/>
      <c r="DJ522" s="98"/>
      <c r="DK522" s="98"/>
      <c r="DL522" s="98"/>
      <c r="DM522" s="98"/>
      <c r="DN522" s="98"/>
      <c r="DO522" s="98"/>
      <c r="DP522" s="98"/>
      <c r="DQ522" s="98"/>
      <c r="DR522" s="98"/>
      <c r="DS522" s="98"/>
      <c r="DT522" s="98"/>
      <c r="DU522" s="98"/>
      <c r="DV522" s="98"/>
      <c r="DW522" s="98"/>
      <c r="DX522" s="98"/>
      <c r="DY522" s="98"/>
      <c r="DZ522" s="98"/>
      <c r="EA522" s="98"/>
      <c r="EB522" s="98"/>
      <c r="EC522" s="98"/>
      <c r="ED522" s="98"/>
    </row>
    <row r="523" spans="1:134" ht="11.25" customHeight="1" x14ac:dyDescent="0.3">
      <c r="A523" s="28" t="e">
        <f t="array" aca="1" ref="A523" ca="1">_xludf.XLOOKUP(S523,Master_Registrations!P:P,Master_Registrations!A:A,"")</f>
        <v>#NAME?</v>
      </c>
      <c r="B523" s="89" t="s">
        <v>182</v>
      </c>
      <c r="C523" s="89">
        <v>2023</v>
      </c>
      <c r="D523" s="89" t="s">
        <v>4886</v>
      </c>
      <c r="E523" s="89">
        <v>2</v>
      </c>
      <c r="F523" s="90" t="str">
        <f t="shared" si="8"/>
        <v>VED-01-2023-GR-2</v>
      </c>
      <c r="G523" s="89" t="s">
        <v>4569</v>
      </c>
      <c r="H523" s="91"/>
      <c r="I523" s="91"/>
      <c r="J523" s="89" t="s">
        <v>7094</v>
      </c>
      <c r="K523" s="91"/>
      <c r="L523" s="91"/>
      <c r="M523" s="91"/>
      <c r="N523" s="90" t="s">
        <v>7095</v>
      </c>
      <c r="O523" s="89" t="s">
        <v>6250</v>
      </c>
      <c r="P523" s="89" t="s">
        <v>5076</v>
      </c>
      <c r="Q523" s="89" t="e">
        <f t="shared" ca="1" si="7"/>
        <v>#NAME?</v>
      </c>
      <c r="R523" s="39" t="s">
        <v>316</v>
      </c>
      <c r="S523" s="94">
        <v>2247037738</v>
      </c>
      <c r="T523" s="90" t="s">
        <v>402</v>
      </c>
      <c r="U523" s="90">
        <v>1983</v>
      </c>
      <c r="V523" s="99">
        <v>-1</v>
      </c>
      <c r="W523" s="95">
        <v>-1</v>
      </c>
      <c r="X523" s="96">
        <v>-1</v>
      </c>
      <c r="Y523" s="96">
        <v>-1</v>
      </c>
      <c r="Z523" s="96">
        <v>-1</v>
      </c>
      <c r="AA523" s="96">
        <v>-1</v>
      </c>
      <c r="AB523" s="96">
        <v>-1</v>
      </c>
      <c r="AC523" s="95">
        <v>-1</v>
      </c>
      <c r="AD523" s="95">
        <v>-1</v>
      </c>
      <c r="AE523" s="95">
        <v>-1</v>
      </c>
      <c r="AF523" s="95">
        <v>-1</v>
      </c>
      <c r="AG523" s="95">
        <v>-1</v>
      </c>
      <c r="AH523" s="95">
        <v>-1</v>
      </c>
      <c r="AI523" s="96">
        <v>-1</v>
      </c>
      <c r="AJ523" s="89"/>
      <c r="AK523" s="89"/>
      <c r="AL523" s="89"/>
      <c r="AM523" s="89"/>
      <c r="AN523" s="89"/>
      <c r="AO523" s="89"/>
      <c r="AP523" s="89"/>
      <c r="AQ523" s="89"/>
      <c r="AR523" s="89"/>
      <c r="AS523" s="89"/>
      <c r="AT523" s="89"/>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c r="BQ523" s="89"/>
      <c r="BR523" s="89"/>
      <c r="BS523" s="89"/>
      <c r="BT523" s="89"/>
      <c r="BU523" s="89"/>
      <c r="BV523" s="89"/>
      <c r="BW523" s="89"/>
      <c r="BX523" s="89"/>
      <c r="BY523" s="89"/>
      <c r="BZ523" s="89"/>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98"/>
      <c r="DA523" s="98"/>
      <c r="DB523" s="98"/>
      <c r="DC523" s="98"/>
      <c r="DD523" s="98"/>
      <c r="DE523" s="98"/>
      <c r="DF523" s="98"/>
      <c r="DG523" s="98"/>
      <c r="DH523" s="98"/>
      <c r="DI523" s="98"/>
      <c r="DJ523" s="98"/>
      <c r="DK523" s="98"/>
      <c r="DL523" s="98"/>
      <c r="DM523" s="98"/>
      <c r="DN523" s="98"/>
      <c r="DO523" s="98"/>
      <c r="DP523" s="98"/>
      <c r="DQ523" s="98"/>
      <c r="DR523" s="98"/>
      <c r="DS523" s="98"/>
      <c r="DT523" s="98"/>
      <c r="DU523" s="98"/>
      <c r="DV523" s="98"/>
      <c r="DW523" s="98"/>
      <c r="DX523" s="98"/>
      <c r="DY523" s="98"/>
      <c r="DZ523" s="98"/>
      <c r="EA523" s="98"/>
      <c r="EB523" s="98"/>
      <c r="EC523" s="98"/>
      <c r="ED523" s="98"/>
    </row>
    <row r="524" spans="1:134" ht="11.25" customHeight="1" x14ac:dyDescent="0.3">
      <c r="A524" s="28" t="e">
        <f t="array" aca="1" ref="A524" ca="1">_xludf.XLOOKUP(S524,Master_Registrations!P:P,Master_Registrations!A:A,"")</f>
        <v>#NAME?</v>
      </c>
      <c r="B524" s="89" t="s">
        <v>182</v>
      </c>
      <c r="C524" s="89">
        <v>2023</v>
      </c>
      <c r="D524" s="89" t="s">
        <v>4886</v>
      </c>
      <c r="E524" s="89">
        <v>2</v>
      </c>
      <c r="F524" s="90" t="str">
        <f t="shared" si="8"/>
        <v>VED-01-2023-GR-2</v>
      </c>
      <c r="G524" s="89" t="s">
        <v>4569</v>
      </c>
      <c r="H524" s="91"/>
      <c r="I524" s="91"/>
      <c r="J524" s="89" t="s">
        <v>7094</v>
      </c>
      <c r="K524" s="91"/>
      <c r="L524" s="91"/>
      <c r="M524" s="91"/>
      <c r="N524" s="90" t="s">
        <v>7095</v>
      </c>
      <c r="O524" s="89" t="s">
        <v>5943</v>
      </c>
      <c r="P524" s="89" t="s">
        <v>6130</v>
      </c>
      <c r="Q524" s="89" t="e">
        <f t="shared" ca="1" si="7"/>
        <v>#NAME?</v>
      </c>
      <c r="R524" s="89">
        <v>968</v>
      </c>
      <c r="S524" s="94">
        <v>98584651</v>
      </c>
      <c r="T524" s="90" t="s">
        <v>260</v>
      </c>
      <c r="U524" s="90">
        <v>1988</v>
      </c>
      <c r="V524" s="99">
        <v>-1</v>
      </c>
      <c r="W524" s="95">
        <v>-1</v>
      </c>
      <c r="X524" s="96">
        <v>-1</v>
      </c>
      <c r="Y524" s="96">
        <v>-1</v>
      </c>
      <c r="Z524" s="96">
        <v>-1</v>
      </c>
      <c r="AA524" s="96">
        <v>-1</v>
      </c>
      <c r="AB524" s="96">
        <v>-1</v>
      </c>
      <c r="AC524" s="95">
        <v>-1</v>
      </c>
      <c r="AD524" s="95">
        <v>-1</v>
      </c>
      <c r="AE524" s="95">
        <v>-1</v>
      </c>
      <c r="AF524" s="95">
        <v>-1</v>
      </c>
      <c r="AG524" s="95">
        <v>-1</v>
      </c>
      <c r="AH524" s="95">
        <v>-1</v>
      </c>
      <c r="AI524" s="96">
        <v>-1</v>
      </c>
      <c r="AJ524" s="89"/>
      <c r="AK524" s="89"/>
      <c r="AL524" s="89"/>
      <c r="AM524" s="89"/>
      <c r="AN524" s="89"/>
      <c r="AO524" s="89"/>
      <c r="AP524" s="89"/>
      <c r="AQ524" s="89"/>
      <c r="AR524" s="89"/>
      <c r="AS524" s="89"/>
      <c r="AT524" s="89"/>
      <c r="AU524" s="89"/>
      <c r="AV524" s="89"/>
      <c r="AW524" s="89"/>
      <c r="AX524" s="89"/>
      <c r="AY524" s="89"/>
      <c r="AZ524" s="89"/>
      <c r="BA524" s="89"/>
      <c r="BB524" s="89"/>
      <c r="BC524" s="89"/>
      <c r="BD524" s="89"/>
      <c r="BE524" s="89"/>
      <c r="BF524" s="89"/>
      <c r="BG524" s="89"/>
      <c r="BH524" s="89"/>
      <c r="BI524" s="89"/>
      <c r="BJ524" s="89"/>
      <c r="BK524" s="89"/>
      <c r="BL524" s="89"/>
      <c r="BM524" s="89"/>
      <c r="BN524" s="89"/>
      <c r="BO524" s="89"/>
      <c r="BP524" s="89"/>
      <c r="BQ524" s="89"/>
      <c r="BR524" s="89"/>
      <c r="BS524" s="89"/>
      <c r="BT524" s="89"/>
      <c r="BU524" s="89"/>
      <c r="BV524" s="89"/>
      <c r="BW524" s="89"/>
      <c r="BX524" s="89"/>
      <c r="BY524" s="89"/>
      <c r="BZ524" s="89"/>
      <c r="CA524" s="89"/>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98"/>
      <c r="DA524" s="98"/>
      <c r="DB524" s="98"/>
      <c r="DC524" s="98"/>
      <c r="DD524" s="98"/>
      <c r="DE524" s="98"/>
      <c r="DF524" s="98"/>
      <c r="DG524" s="98"/>
      <c r="DH524" s="98"/>
      <c r="DI524" s="98"/>
      <c r="DJ524" s="98"/>
      <c r="DK524" s="98"/>
      <c r="DL524" s="98"/>
      <c r="DM524" s="98"/>
      <c r="DN524" s="98"/>
      <c r="DO524" s="98"/>
      <c r="DP524" s="98"/>
      <c r="DQ524" s="98"/>
      <c r="DR524" s="98"/>
      <c r="DS524" s="98"/>
      <c r="DT524" s="98"/>
      <c r="DU524" s="98"/>
      <c r="DV524" s="98"/>
      <c r="DW524" s="98"/>
      <c r="DX524" s="98"/>
      <c r="DY524" s="98"/>
      <c r="DZ524" s="98"/>
      <c r="EA524" s="98"/>
      <c r="EB524" s="98"/>
      <c r="EC524" s="98"/>
      <c r="ED524" s="98"/>
    </row>
    <row r="525" spans="1:134" ht="11.25" customHeight="1" x14ac:dyDescent="0.3">
      <c r="A525" s="28" t="e">
        <f t="array" aca="1" ref="A525" ca="1">_xludf.XLOOKUP(S525,Master_Registrations!P:P,Master_Registrations!A:A,"")</f>
        <v>#NAME?</v>
      </c>
      <c r="B525" s="89" t="s">
        <v>182</v>
      </c>
      <c r="C525" s="89">
        <v>2023</v>
      </c>
      <c r="D525" s="89" t="s">
        <v>4886</v>
      </c>
      <c r="E525" s="89">
        <v>2</v>
      </c>
      <c r="F525" s="90" t="str">
        <f t="shared" si="8"/>
        <v>VED-01-2023-GR-2</v>
      </c>
      <c r="G525" s="89" t="s">
        <v>4569</v>
      </c>
      <c r="H525" s="91"/>
      <c r="I525" s="91"/>
      <c r="J525" s="89" t="s">
        <v>7094</v>
      </c>
      <c r="K525" s="91"/>
      <c r="L525" s="91"/>
      <c r="M525" s="91"/>
      <c r="N525" s="90" t="s">
        <v>7095</v>
      </c>
      <c r="O525" s="89" t="s">
        <v>6027</v>
      </c>
      <c r="P525" s="89" t="s">
        <v>1767</v>
      </c>
      <c r="Q525" s="89" t="e">
        <f t="shared" ca="1" si="7"/>
        <v>#NAME?</v>
      </c>
      <c r="R525" s="39" t="s">
        <v>112</v>
      </c>
      <c r="S525" s="94">
        <v>8008193838</v>
      </c>
      <c r="T525" s="90" t="s">
        <v>111</v>
      </c>
      <c r="U525" s="90">
        <v>1979</v>
      </c>
      <c r="V525" s="99">
        <v>-1</v>
      </c>
      <c r="W525" s="95">
        <v>-1</v>
      </c>
      <c r="X525" s="96">
        <v>-1</v>
      </c>
      <c r="Y525" s="96">
        <v>-1</v>
      </c>
      <c r="Z525" s="96">
        <v>-1</v>
      </c>
      <c r="AA525" s="96">
        <v>-1</v>
      </c>
      <c r="AB525" s="96">
        <v>-1</v>
      </c>
      <c r="AC525" s="95">
        <v>-1</v>
      </c>
      <c r="AD525" s="95">
        <v>-1</v>
      </c>
      <c r="AE525" s="95">
        <v>-1</v>
      </c>
      <c r="AF525" s="95">
        <v>-1</v>
      </c>
      <c r="AG525" s="95">
        <v>-1</v>
      </c>
      <c r="AH525" s="95">
        <v>-1</v>
      </c>
      <c r="AI525" s="96">
        <v>-1</v>
      </c>
      <c r="AJ525" s="89"/>
      <c r="AK525" s="89"/>
      <c r="AL525" s="89"/>
      <c r="AM525" s="89"/>
      <c r="AN525" s="89"/>
      <c r="AO525" s="89"/>
      <c r="AP525" s="89"/>
      <c r="AQ525" s="89"/>
      <c r="AR525" s="89"/>
      <c r="AS525" s="89"/>
      <c r="AT525" s="89"/>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c r="BQ525" s="89"/>
      <c r="BR525" s="89"/>
      <c r="BS525" s="89"/>
      <c r="BT525" s="89"/>
      <c r="BU525" s="89"/>
      <c r="BV525" s="89"/>
      <c r="BW525" s="89"/>
      <c r="BX525" s="89"/>
      <c r="BY525" s="89"/>
      <c r="BZ525" s="89"/>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98"/>
      <c r="DA525" s="98"/>
      <c r="DB525" s="98"/>
      <c r="DC525" s="98"/>
      <c r="DD525" s="98"/>
      <c r="DE525" s="98"/>
      <c r="DF525" s="98"/>
      <c r="DG525" s="98"/>
      <c r="DH525" s="98"/>
      <c r="DI525" s="98"/>
      <c r="DJ525" s="98"/>
      <c r="DK525" s="98"/>
      <c r="DL525" s="98"/>
      <c r="DM525" s="98"/>
      <c r="DN525" s="98"/>
      <c r="DO525" s="98"/>
      <c r="DP525" s="98"/>
      <c r="DQ525" s="98"/>
      <c r="DR525" s="98"/>
      <c r="DS525" s="98"/>
      <c r="DT525" s="98"/>
      <c r="DU525" s="98"/>
      <c r="DV525" s="98"/>
      <c r="DW525" s="98"/>
      <c r="DX525" s="98"/>
      <c r="DY525" s="98"/>
      <c r="DZ525" s="98"/>
      <c r="EA525" s="98"/>
      <c r="EB525" s="98"/>
      <c r="EC525" s="98"/>
      <c r="ED525" s="98"/>
    </row>
    <row r="526" spans="1:134" ht="11.25" customHeight="1" x14ac:dyDescent="0.3">
      <c r="A526" s="28" t="e">
        <f t="array" aca="1" ref="A526" ca="1">_xludf.XLOOKUP(S526,Master_Registrations!P:P,Master_Registrations!A:A,"")</f>
        <v>#NAME?</v>
      </c>
      <c r="B526" s="89" t="s">
        <v>182</v>
      </c>
      <c r="C526" s="89">
        <v>2023</v>
      </c>
      <c r="D526" s="89" t="s">
        <v>4886</v>
      </c>
      <c r="E526" s="89">
        <v>2</v>
      </c>
      <c r="F526" s="90" t="str">
        <f t="shared" si="8"/>
        <v>VED-01-2023-GR-2</v>
      </c>
      <c r="G526" s="89" t="s">
        <v>4569</v>
      </c>
      <c r="H526" s="91"/>
      <c r="I526" s="91"/>
      <c r="J526" s="89" t="s">
        <v>7094</v>
      </c>
      <c r="K526" s="91"/>
      <c r="L526" s="91"/>
      <c r="M526" s="91"/>
      <c r="N526" s="90" t="s">
        <v>7095</v>
      </c>
      <c r="O526" s="89" t="s">
        <v>1927</v>
      </c>
      <c r="P526" s="89" t="s">
        <v>6229</v>
      </c>
      <c r="Q526" s="89" t="e">
        <f t="shared" ca="1" si="7"/>
        <v>#NAME?</v>
      </c>
      <c r="R526" s="39" t="s">
        <v>316</v>
      </c>
      <c r="S526" s="94">
        <v>5126773730</v>
      </c>
      <c r="T526" s="90" t="s">
        <v>315</v>
      </c>
      <c r="U526" s="90">
        <v>1983</v>
      </c>
      <c r="V526" s="99">
        <v>-1</v>
      </c>
      <c r="W526" s="95">
        <v>-1</v>
      </c>
      <c r="X526" s="96">
        <v>-1</v>
      </c>
      <c r="Y526" s="96">
        <v>-1</v>
      </c>
      <c r="Z526" s="96">
        <v>-1</v>
      </c>
      <c r="AA526" s="96">
        <v>-1</v>
      </c>
      <c r="AB526" s="96">
        <v>-1</v>
      </c>
      <c r="AC526" s="95">
        <v>-1</v>
      </c>
      <c r="AD526" s="95">
        <v>-1</v>
      </c>
      <c r="AE526" s="95">
        <v>-1</v>
      </c>
      <c r="AF526" s="95">
        <v>-1</v>
      </c>
      <c r="AG526" s="95">
        <v>-1</v>
      </c>
      <c r="AH526" s="95">
        <v>-1</v>
      </c>
      <c r="AI526" s="96">
        <v>-1</v>
      </c>
      <c r="AJ526" s="89"/>
      <c r="AK526" s="89"/>
      <c r="AL526" s="89"/>
      <c r="AM526" s="89"/>
      <c r="AN526" s="89"/>
      <c r="AO526" s="89"/>
      <c r="AP526" s="89"/>
      <c r="AQ526" s="89"/>
      <c r="AR526" s="89"/>
      <c r="AS526" s="89"/>
      <c r="AT526" s="89"/>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c r="BQ526" s="89"/>
      <c r="BR526" s="89"/>
      <c r="BS526" s="89"/>
      <c r="BT526" s="89"/>
      <c r="BU526" s="89"/>
      <c r="BV526" s="89"/>
      <c r="BW526" s="89"/>
      <c r="BX526" s="89"/>
      <c r="BY526" s="89"/>
      <c r="BZ526" s="89"/>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98"/>
      <c r="DA526" s="98"/>
      <c r="DB526" s="98"/>
      <c r="DC526" s="98"/>
      <c r="DD526" s="98"/>
      <c r="DE526" s="98"/>
      <c r="DF526" s="98"/>
      <c r="DG526" s="98"/>
      <c r="DH526" s="98"/>
      <c r="DI526" s="98"/>
      <c r="DJ526" s="98"/>
      <c r="DK526" s="98"/>
      <c r="DL526" s="98"/>
      <c r="DM526" s="98"/>
      <c r="DN526" s="98"/>
      <c r="DO526" s="98"/>
      <c r="DP526" s="98"/>
      <c r="DQ526" s="98"/>
      <c r="DR526" s="98"/>
      <c r="DS526" s="98"/>
      <c r="DT526" s="98"/>
      <c r="DU526" s="98"/>
      <c r="DV526" s="98"/>
      <c r="DW526" s="98"/>
      <c r="DX526" s="98"/>
      <c r="DY526" s="98"/>
      <c r="DZ526" s="98"/>
      <c r="EA526" s="98"/>
      <c r="EB526" s="98"/>
      <c r="EC526" s="98"/>
      <c r="ED526" s="98"/>
    </row>
    <row r="527" spans="1:134" ht="11.25" customHeight="1" x14ac:dyDescent="0.3">
      <c r="A527" s="28" t="e">
        <f t="array" aca="1" ref="A527" ca="1">_xludf.XLOOKUP(S527,Master_Registrations!P:P,Master_Registrations!A:A,"")</f>
        <v>#NAME?</v>
      </c>
      <c r="B527" s="89" t="s">
        <v>182</v>
      </c>
      <c r="C527" s="89">
        <v>2023</v>
      </c>
      <c r="D527" s="89" t="s">
        <v>4886</v>
      </c>
      <c r="E527" s="89">
        <v>2</v>
      </c>
      <c r="F527" s="90" t="str">
        <f t="shared" si="8"/>
        <v>VED-01-2023-GR-2</v>
      </c>
      <c r="G527" s="89" t="s">
        <v>4569</v>
      </c>
      <c r="H527" s="91"/>
      <c r="I527" s="91"/>
      <c r="J527" s="89" t="s">
        <v>7094</v>
      </c>
      <c r="K527" s="91"/>
      <c r="L527" s="91"/>
      <c r="M527" s="91"/>
      <c r="N527" s="90" t="s">
        <v>7095</v>
      </c>
      <c r="O527" s="89" t="s">
        <v>1632</v>
      </c>
      <c r="P527" s="89" t="s">
        <v>5914</v>
      </c>
      <c r="Q527" s="89" t="e">
        <f t="shared" ca="1" si="7"/>
        <v>#NAME?</v>
      </c>
      <c r="R527" s="39" t="s">
        <v>112</v>
      </c>
      <c r="S527" s="94">
        <v>9949496355</v>
      </c>
      <c r="T527" s="90" t="s">
        <v>111</v>
      </c>
      <c r="U527" s="90">
        <v>1974</v>
      </c>
      <c r="V527" s="99">
        <v>-1</v>
      </c>
      <c r="W527" s="95">
        <v>-1</v>
      </c>
      <c r="X527" s="99">
        <v>-1</v>
      </c>
      <c r="Y527" s="99">
        <v>-1</v>
      </c>
      <c r="Z527" s="99">
        <v>1</v>
      </c>
      <c r="AA527" s="97">
        <v>-1</v>
      </c>
      <c r="AB527" s="97">
        <v>1</v>
      </c>
      <c r="AC527" s="95">
        <v>-1</v>
      </c>
      <c r="AD527" s="95">
        <v>-1</v>
      </c>
      <c r="AE527" s="95">
        <v>-1</v>
      </c>
      <c r="AF527" s="95">
        <v>-1</v>
      </c>
      <c r="AG527" s="95">
        <v>-1</v>
      </c>
      <c r="AH527" s="95">
        <v>-1</v>
      </c>
      <c r="AI527" s="96">
        <v>-1</v>
      </c>
      <c r="AJ527" s="96">
        <v>-1</v>
      </c>
      <c r="AK527" s="96">
        <v>-1</v>
      </c>
      <c r="AL527" s="96">
        <v>-1</v>
      </c>
      <c r="AM527" s="96">
        <v>-1</v>
      </c>
      <c r="AN527" s="96">
        <v>-1</v>
      </c>
      <c r="AO527" s="96">
        <v>-1</v>
      </c>
      <c r="AP527" s="96">
        <v>-1</v>
      </c>
      <c r="AQ527" s="96">
        <v>-1</v>
      </c>
      <c r="AR527" s="96">
        <v>-1</v>
      </c>
      <c r="AS527" s="96">
        <v>-1</v>
      </c>
      <c r="AT527" s="96">
        <v>-1</v>
      </c>
      <c r="AU527" s="96">
        <v>-1</v>
      </c>
      <c r="AV527" s="96">
        <v>-1</v>
      </c>
      <c r="AW527" s="89"/>
      <c r="AX527" s="89"/>
      <c r="AY527" s="89"/>
      <c r="AZ527" s="89"/>
      <c r="BA527" s="89"/>
      <c r="BB527" s="89"/>
      <c r="BC527" s="89"/>
      <c r="BD527" s="89"/>
      <c r="BE527" s="89"/>
      <c r="BF527" s="89"/>
      <c r="BG527" s="89"/>
      <c r="BH527" s="89"/>
      <c r="BI527" s="89"/>
      <c r="BJ527" s="89"/>
      <c r="BK527" s="89"/>
      <c r="BL527" s="89"/>
      <c r="BM527" s="89"/>
      <c r="BN527" s="89"/>
      <c r="BO527" s="89"/>
      <c r="BP527" s="89"/>
      <c r="BQ527" s="89"/>
      <c r="BR527" s="89"/>
      <c r="BS527" s="89"/>
      <c r="BT527" s="89"/>
      <c r="BU527" s="89"/>
      <c r="BV527" s="89"/>
      <c r="BW527" s="89"/>
      <c r="BX527" s="89"/>
      <c r="BY527" s="89"/>
      <c r="BZ527" s="89"/>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98"/>
      <c r="DA527" s="98"/>
      <c r="DB527" s="98"/>
      <c r="DC527" s="98"/>
      <c r="DD527" s="98"/>
      <c r="DE527" s="98"/>
      <c r="DF527" s="98"/>
      <c r="DG527" s="98"/>
      <c r="DH527" s="98"/>
      <c r="DI527" s="98"/>
      <c r="DJ527" s="98"/>
      <c r="DK527" s="98"/>
      <c r="DL527" s="98"/>
      <c r="DM527" s="98"/>
      <c r="DN527" s="98"/>
      <c r="DO527" s="98"/>
      <c r="DP527" s="98"/>
      <c r="DQ527" s="98"/>
      <c r="DR527" s="98"/>
      <c r="DS527" s="98"/>
      <c r="DT527" s="98"/>
      <c r="DU527" s="98"/>
      <c r="DV527" s="98"/>
      <c r="DW527" s="98"/>
      <c r="DX527" s="98"/>
      <c r="DY527" s="98"/>
      <c r="DZ527" s="98"/>
      <c r="EA527" s="98"/>
      <c r="EB527" s="98"/>
      <c r="EC527" s="98"/>
      <c r="ED527" s="98"/>
    </row>
    <row r="528" spans="1:134" ht="11.25" customHeight="1" x14ac:dyDescent="0.3">
      <c r="A528" s="28" t="e">
        <f t="array" aca="1" ref="A528" ca="1">_xludf.XLOOKUP(S528,Master_Registrations!P:P,Master_Registrations!A:A,"")</f>
        <v>#NAME?</v>
      </c>
      <c r="B528" s="89" t="s">
        <v>182</v>
      </c>
      <c r="C528" s="89">
        <v>2023</v>
      </c>
      <c r="D528" s="89" t="s">
        <v>4886</v>
      </c>
      <c r="E528" s="89">
        <v>2</v>
      </c>
      <c r="F528" s="90" t="str">
        <f t="shared" si="8"/>
        <v>VED-01-2023-GR-2</v>
      </c>
      <c r="G528" s="89" t="s">
        <v>4569</v>
      </c>
      <c r="H528" s="91"/>
      <c r="I528" s="91"/>
      <c r="J528" s="89" t="s">
        <v>7094</v>
      </c>
      <c r="K528" s="91"/>
      <c r="L528" s="91"/>
      <c r="M528" s="91"/>
      <c r="N528" s="90" t="s">
        <v>7095</v>
      </c>
      <c r="O528" s="89" t="s">
        <v>6201</v>
      </c>
      <c r="P528" s="89" t="s">
        <v>3684</v>
      </c>
      <c r="Q528" s="89" t="e">
        <f t="shared" ca="1" si="7"/>
        <v>#NAME?</v>
      </c>
      <c r="R528" s="39" t="s">
        <v>316</v>
      </c>
      <c r="S528" s="94">
        <v>2489524095</v>
      </c>
      <c r="T528" s="90" t="s">
        <v>315</v>
      </c>
      <c r="U528" s="90">
        <v>1984</v>
      </c>
      <c r="V528" s="95">
        <v>-1</v>
      </c>
      <c r="W528" s="95">
        <v>-1</v>
      </c>
      <c r="X528" s="96">
        <v>-1</v>
      </c>
      <c r="Y528" s="96">
        <v>-1</v>
      </c>
      <c r="Z528" s="96">
        <v>-1</v>
      </c>
      <c r="AA528" s="96">
        <v>-1</v>
      </c>
      <c r="AB528" s="96">
        <v>-1</v>
      </c>
      <c r="AC528" s="95">
        <v>-1</v>
      </c>
      <c r="AD528" s="95">
        <v>-1</v>
      </c>
      <c r="AE528" s="95">
        <v>-1</v>
      </c>
      <c r="AF528" s="95">
        <v>-1</v>
      </c>
      <c r="AG528" s="95">
        <v>-1</v>
      </c>
      <c r="AH528" s="95">
        <v>-1</v>
      </c>
      <c r="AI528" s="96">
        <v>-1</v>
      </c>
      <c r="AJ528" s="89"/>
      <c r="AK528" s="89"/>
      <c r="AL528" s="89"/>
      <c r="AM528" s="89"/>
      <c r="AN528" s="89"/>
      <c r="AO528" s="89"/>
      <c r="AP528" s="89"/>
      <c r="AQ528" s="89"/>
      <c r="AR528" s="89"/>
      <c r="AS528" s="89"/>
      <c r="AT528" s="89"/>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c r="BQ528" s="89"/>
      <c r="BR528" s="89"/>
      <c r="BS528" s="89"/>
      <c r="BT528" s="89"/>
      <c r="BU528" s="89"/>
      <c r="BV528" s="89"/>
      <c r="BW528" s="89"/>
      <c r="BX528" s="89"/>
      <c r="BY528" s="89"/>
      <c r="BZ528" s="89"/>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98"/>
      <c r="DA528" s="98"/>
      <c r="DB528" s="98"/>
      <c r="DC528" s="98"/>
      <c r="DD528" s="98"/>
      <c r="DE528" s="98"/>
      <c r="DF528" s="98"/>
      <c r="DG528" s="98"/>
      <c r="DH528" s="98"/>
      <c r="DI528" s="98"/>
      <c r="DJ528" s="98"/>
      <c r="DK528" s="98"/>
      <c r="DL528" s="98"/>
      <c r="DM528" s="98"/>
      <c r="DN528" s="98"/>
      <c r="DO528" s="98"/>
      <c r="DP528" s="98"/>
      <c r="DQ528" s="98"/>
      <c r="DR528" s="98"/>
      <c r="DS528" s="98"/>
      <c r="DT528" s="98"/>
      <c r="DU528" s="98"/>
      <c r="DV528" s="98"/>
      <c r="DW528" s="98"/>
      <c r="DX528" s="98"/>
      <c r="DY528" s="98"/>
      <c r="DZ528" s="98"/>
      <c r="EA528" s="98"/>
      <c r="EB528" s="98"/>
      <c r="EC528" s="98"/>
      <c r="ED528" s="98"/>
    </row>
    <row r="529" spans="1:134" ht="11.25" customHeight="1" x14ac:dyDescent="0.3">
      <c r="A529" s="28" t="e">
        <f t="array" aca="1" ref="A529" ca="1">_xludf.XLOOKUP(S529,Master_Registrations!P:P,Master_Registrations!A:A,"")</f>
        <v>#NAME?</v>
      </c>
      <c r="B529" s="89" t="s">
        <v>182</v>
      </c>
      <c r="C529" s="89">
        <v>2023</v>
      </c>
      <c r="D529" s="89" t="s">
        <v>4886</v>
      </c>
      <c r="E529" s="89">
        <v>3</v>
      </c>
      <c r="F529" s="90" t="str">
        <f t="shared" si="8"/>
        <v>VED-01-2023-GR-3</v>
      </c>
      <c r="G529" s="89" t="s">
        <v>4750</v>
      </c>
      <c r="H529" s="89" t="s">
        <v>5188</v>
      </c>
      <c r="I529" s="89"/>
      <c r="J529" s="89" t="s">
        <v>7094</v>
      </c>
      <c r="K529" s="107"/>
      <c r="L529" s="107"/>
      <c r="M529" s="107"/>
      <c r="N529" s="90" t="s">
        <v>7095</v>
      </c>
      <c r="O529" s="89" t="s">
        <v>6104</v>
      </c>
      <c r="P529" s="89" t="s">
        <v>281</v>
      </c>
      <c r="Q529" s="89" t="e">
        <f t="shared" ca="1" si="7"/>
        <v>#NAME?</v>
      </c>
      <c r="R529" s="39" t="s">
        <v>112</v>
      </c>
      <c r="S529" s="105">
        <v>9880483235</v>
      </c>
      <c r="T529" s="90" t="s">
        <v>111</v>
      </c>
      <c r="U529" s="89">
        <v>1968</v>
      </c>
      <c r="V529" s="99">
        <v>2</v>
      </c>
      <c r="W529" s="99">
        <v>2</v>
      </c>
      <c r="X529" s="99">
        <v>2</v>
      </c>
      <c r="Y529" s="99">
        <v>2</v>
      </c>
      <c r="Z529" s="99">
        <v>2</v>
      </c>
      <c r="AA529" s="99">
        <v>2</v>
      </c>
      <c r="AB529" s="99">
        <v>2</v>
      </c>
      <c r="AC529" s="99">
        <v>2</v>
      </c>
      <c r="AD529" s="99">
        <v>2</v>
      </c>
      <c r="AE529" s="99">
        <v>2</v>
      </c>
      <c r="AF529" s="99">
        <v>2</v>
      </c>
      <c r="AG529" s="99">
        <v>2</v>
      </c>
      <c r="AH529" s="99">
        <v>2</v>
      </c>
      <c r="AI529" s="99">
        <v>4</v>
      </c>
      <c r="AJ529" s="97">
        <v>2</v>
      </c>
      <c r="AK529" s="97">
        <v>2</v>
      </c>
      <c r="AL529" s="97">
        <v>2</v>
      </c>
      <c r="AM529" s="97">
        <v>2</v>
      </c>
      <c r="AN529" s="97">
        <v>2</v>
      </c>
      <c r="AO529" s="97">
        <v>2</v>
      </c>
      <c r="AP529" s="99">
        <v>-1</v>
      </c>
      <c r="AQ529" s="99">
        <v>1</v>
      </c>
      <c r="AR529" s="97">
        <v>2</v>
      </c>
      <c r="AS529" s="99">
        <v>1</v>
      </c>
      <c r="AT529" s="99">
        <v>1</v>
      </c>
      <c r="AU529" s="97">
        <v>2</v>
      </c>
      <c r="AV529" s="95">
        <v>-1</v>
      </c>
      <c r="AW529" s="99">
        <v>1</v>
      </c>
      <c r="AX529" s="99">
        <v>-1</v>
      </c>
      <c r="AY529" s="95">
        <v>-1</v>
      </c>
      <c r="AZ529" s="95">
        <v>-1</v>
      </c>
      <c r="BA529" s="99">
        <v>1</v>
      </c>
      <c r="BB529" s="99">
        <v>1</v>
      </c>
      <c r="BC529" s="99">
        <v>1</v>
      </c>
      <c r="BD529" s="99">
        <v>1</v>
      </c>
      <c r="BE529" s="99">
        <v>1</v>
      </c>
      <c r="BF529" s="95">
        <v>-1</v>
      </c>
      <c r="BG529" s="89"/>
      <c r="BH529" s="89"/>
      <c r="BI529" s="89"/>
      <c r="BJ529" s="89"/>
      <c r="BK529" s="89"/>
      <c r="BL529" s="89"/>
      <c r="BM529" s="89"/>
      <c r="BN529" s="89"/>
      <c r="BO529" s="89"/>
      <c r="BP529" s="89"/>
      <c r="BQ529" s="89"/>
      <c r="BR529" s="89"/>
      <c r="BS529" s="89"/>
      <c r="BT529" s="89"/>
      <c r="BU529" s="89"/>
      <c r="BV529" s="89"/>
      <c r="BW529" s="89"/>
      <c r="BX529" s="89"/>
      <c r="BY529" s="89"/>
      <c r="BZ529" s="89"/>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98"/>
      <c r="DA529" s="98"/>
      <c r="DB529" s="98"/>
      <c r="DC529" s="98"/>
      <c r="DD529" s="98"/>
      <c r="DE529" s="98"/>
      <c r="DF529" s="98"/>
      <c r="DG529" s="98"/>
      <c r="DH529" s="98"/>
      <c r="DI529" s="98"/>
      <c r="DJ529" s="98"/>
      <c r="DK529" s="98"/>
      <c r="DL529" s="98"/>
      <c r="DM529" s="98"/>
      <c r="DN529" s="98"/>
      <c r="DO529" s="98"/>
      <c r="DP529" s="98"/>
      <c r="DQ529" s="98"/>
      <c r="DR529" s="98"/>
      <c r="DS529" s="98"/>
      <c r="DT529" s="98"/>
      <c r="DU529" s="98"/>
      <c r="DV529" s="98"/>
      <c r="DW529" s="98"/>
      <c r="DX529" s="98"/>
      <c r="DY529" s="98"/>
      <c r="DZ529" s="98"/>
      <c r="EA529" s="98"/>
      <c r="EB529" s="98"/>
      <c r="EC529" s="98"/>
      <c r="ED529" s="98"/>
    </row>
    <row r="530" spans="1:134" ht="11.25" customHeight="1" x14ac:dyDescent="0.3">
      <c r="A530" s="28" t="e">
        <f t="array" aca="1" ref="A530" ca="1">_xludf.XLOOKUP(S530,Master_Registrations!P:P,Master_Registrations!A:A,"")</f>
        <v>#NAME?</v>
      </c>
      <c r="B530" s="89" t="s">
        <v>182</v>
      </c>
      <c r="C530" s="89">
        <v>2023</v>
      </c>
      <c r="D530" s="89" t="s">
        <v>4886</v>
      </c>
      <c r="E530" s="89">
        <v>3</v>
      </c>
      <c r="F530" s="90" t="str">
        <f t="shared" si="8"/>
        <v>VED-01-2023-GR-3</v>
      </c>
      <c r="G530" s="89" t="s">
        <v>4750</v>
      </c>
      <c r="H530" s="89" t="s">
        <v>5188</v>
      </c>
      <c r="I530" s="89"/>
      <c r="J530" s="89" t="s">
        <v>7094</v>
      </c>
      <c r="K530" s="108"/>
      <c r="L530" s="93"/>
      <c r="M530" s="101"/>
      <c r="N530" s="90" t="s">
        <v>7095</v>
      </c>
      <c r="O530" s="89" t="s">
        <v>5369</v>
      </c>
      <c r="P530" s="89" t="s">
        <v>2083</v>
      </c>
      <c r="Q530" s="89" t="e">
        <f t="shared" ca="1" si="7"/>
        <v>#NAME?</v>
      </c>
      <c r="R530" s="39" t="s">
        <v>316</v>
      </c>
      <c r="S530" s="94">
        <v>4256285454</v>
      </c>
      <c r="T530" s="90" t="s">
        <v>474</v>
      </c>
      <c r="U530" s="89">
        <v>1978</v>
      </c>
      <c r="V530" s="99">
        <v>1</v>
      </c>
      <c r="W530" s="99">
        <v>1</v>
      </c>
      <c r="X530" s="97">
        <v>1</v>
      </c>
      <c r="Y530" s="97">
        <v>1</v>
      </c>
      <c r="Z530" s="97">
        <v>1</v>
      </c>
      <c r="AA530" s="97">
        <v>1</v>
      </c>
      <c r="AB530" s="97">
        <v>1</v>
      </c>
      <c r="AC530" s="99">
        <v>1</v>
      </c>
      <c r="AD530" s="99">
        <v>1</v>
      </c>
      <c r="AE530" s="99">
        <v>1</v>
      </c>
      <c r="AF530" s="99">
        <v>1</v>
      </c>
      <c r="AG530" s="99">
        <v>1</v>
      </c>
      <c r="AH530" s="97">
        <v>1</v>
      </c>
      <c r="AI530" s="96">
        <v>-1</v>
      </c>
      <c r="AJ530" s="97">
        <v>1</v>
      </c>
      <c r="AK530" s="97">
        <v>1</v>
      </c>
      <c r="AL530" s="97">
        <v>1</v>
      </c>
      <c r="AM530" s="97">
        <v>1</v>
      </c>
      <c r="AN530" s="97">
        <v>1</v>
      </c>
      <c r="AO530" s="97">
        <v>1</v>
      </c>
      <c r="AP530" s="96">
        <v>-1</v>
      </c>
      <c r="AQ530" s="96">
        <v>-1</v>
      </c>
      <c r="AR530" s="97">
        <v>-1</v>
      </c>
      <c r="AS530" s="96">
        <v>-1</v>
      </c>
      <c r="AT530" s="96">
        <v>-1</v>
      </c>
      <c r="AU530" s="97">
        <v>-1</v>
      </c>
      <c r="AV530" s="95">
        <v>-1</v>
      </c>
      <c r="AW530" s="95">
        <v>-1</v>
      </c>
      <c r="AX530" s="95">
        <v>-1</v>
      </c>
      <c r="AY530" s="95">
        <v>-1</v>
      </c>
      <c r="AZ530" s="95">
        <v>-1</v>
      </c>
      <c r="BA530" s="95">
        <v>-1</v>
      </c>
      <c r="BB530" s="95">
        <v>-1</v>
      </c>
      <c r="BC530" s="95">
        <v>-1</v>
      </c>
      <c r="BD530" s="95">
        <v>-1</v>
      </c>
      <c r="BE530" s="95">
        <v>-1</v>
      </c>
      <c r="BF530" s="95">
        <v>-1</v>
      </c>
      <c r="BG530" s="95">
        <v>-1</v>
      </c>
      <c r="BH530" s="95">
        <v>-1</v>
      </c>
      <c r="BI530" s="95">
        <v>-1</v>
      </c>
      <c r="BJ530" s="95">
        <v>-1</v>
      </c>
      <c r="BK530" s="95">
        <v>-1</v>
      </c>
      <c r="BL530" s="95">
        <v>-1</v>
      </c>
      <c r="BM530" s="95">
        <v>-1</v>
      </c>
      <c r="BN530" s="89"/>
      <c r="BO530" s="89"/>
      <c r="BP530" s="89"/>
      <c r="BQ530" s="89"/>
      <c r="BR530" s="89"/>
      <c r="BS530" s="89"/>
      <c r="BT530" s="89"/>
      <c r="BU530" s="89"/>
      <c r="BV530" s="89"/>
      <c r="BW530" s="89"/>
      <c r="BX530" s="89"/>
      <c r="BY530" s="89"/>
      <c r="BZ530" s="89"/>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98"/>
      <c r="DA530" s="98"/>
      <c r="DB530" s="98"/>
      <c r="DC530" s="98"/>
      <c r="DD530" s="98"/>
      <c r="DE530" s="98"/>
      <c r="DF530" s="98"/>
      <c r="DG530" s="98"/>
      <c r="DH530" s="98"/>
      <c r="DI530" s="98"/>
      <c r="DJ530" s="98"/>
      <c r="DK530" s="98"/>
      <c r="DL530" s="98"/>
      <c r="DM530" s="98"/>
      <c r="DN530" s="98"/>
      <c r="DO530" s="98"/>
      <c r="DP530" s="98"/>
      <c r="DQ530" s="98"/>
      <c r="DR530" s="98"/>
      <c r="DS530" s="98"/>
      <c r="DT530" s="98"/>
      <c r="DU530" s="98"/>
      <c r="DV530" s="98"/>
      <c r="DW530" s="98"/>
      <c r="DX530" s="98"/>
      <c r="DY530" s="98"/>
      <c r="DZ530" s="98"/>
      <c r="EA530" s="98"/>
      <c r="EB530" s="98"/>
      <c r="EC530" s="98"/>
      <c r="ED530" s="98"/>
    </row>
    <row r="531" spans="1:134" ht="11.25" customHeight="1" x14ac:dyDescent="0.3">
      <c r="A531" s="28" t="e">
        <f t="array" aca="1" ref="A531" ca="1">_xludf.XLOOKUP(S531,Master_Registrations!P:P,Master_Registrations!A:A,"")</f>
        <v>#NAME?</v>
      </c>
      <c r="B531" s="89" t="s">
        <v>182</v>
      </c>
      <c r="C531" s="89">
        <v>2023</v>
      </c>
      <c r="D531" s="89" t="s">
        <v>4886</v>
      </c>
      <c r="E531" s="89">
        <v>3</v>
      </c>
      <c r="F531" s="90" t="str">
        <f t="shared" si="8"/>
        <v>VED-01-2023-GR-3</v>
      </c>
      <c r="G531" s="89" t="s">
        <v>7092</v>
      </c>
      <c r="H531" s="89" t="s">
        <v>5188</v>
      </c>
      <c r="I531" s="89"/>
      <c r="J531" s="89" t="s">
        <v>7094</v>
      </c>
      <c r="K531" s="107"/>
      <c r="L531" s="107"/>
      <c r="M531" s="107"/>
      <c r="N531" s="90" t="s">
        <v>7095</v>
      </c>
      <c r="O531" s="89" t="s">
        <v>6328</v>
      </c>
      <c r="P531" s="89" t="s">
        <v>6329</v>
      </c>
      <c r="Q531" s="89" t="e">
        <f t="shared" ca="1" si="7"/>
        <v>#NAME?</v>
      </c>
      <c r="R531" s="39" t="s">
        <v>316</v>
      </c>
      <c r="S531" s="94">
        <v>2165770675</v>
      </c>
      <c r="T531" s="90" t="s">
        <v>474</v>
      </c>
      <c r="U531" s="90">
        <v>1977</v>
      </c>
      <c r="V531" s="97">
        <v>2</v>
      </c>
      <c r="W531" s="97">
        <v>2</v>
      </c>
      <c r="X531" s="97">
        <v>2</v>
      </c>
      <c r="Y531" s="97">
        <v>2</v>
      </c>
      <c r="Z531" s="97">
        <v>2</v>
      </c>
      <c r="AA531" s="97">
        <v>2</v>
      </c>
      <c r="AB531" s="97">
        <v>2</v>
      </c>
      <c r="AC531" s="97">
        <v>2</v>
      </c>
      <c r="AD531" s="97">
        <v>2</v>
      </c>
      <c r="AE531" s="97">
        <v>2</v>
      </c>
      <c r="AF531" s="97">
        <v>2</v>
      </c>
      <c r="AG531" s="97">
        <v>2</v>
      </c>
      <c r="AH531" s="97">
        <v>2</v>
      </c>
      <c r="AI531" s="97">
        <v>3</v>
      </c>
      <c r="AJ531" s="99">
        <v>2</v>
      </c>
      <c r="AK531" s="99">
        <v>2</v>
      </c>
      <c r="AL531" s="99">
        <v>2</v>
      </c>
      <c r="AM531" s="99">
        <v>2</v>
      </c>
      <c r="AN531" s="99">
        <v>2</v>
      </c>
      <c r="AO531" s="99">
        <v>2</v>
      </c>
      <c r="AP531" s="99">
        <v>2</v>
      </c>
      <c r="AQ531" s="99">
        <v>2</v>
      </c>
      <c r="AR531" s="99">
        <v>2</v>
      </c>
      <c r="AS531" s="99">
        <v>2</v>
      </c>
      <c r="AT531" s="99">
        <v>2</v>
      </c>
      <c r="AU531" s="99">
        <v>2</v>
      </c>
      <c r="AV531" s="99">
        <v>3</v>
      </c>
      <c r="AW531" s="97">
        <v>2</v>
      </c>
      <c r="AX531" s="97">
        <v>2</v>
      </c>
      <c r="AY531" s="97">
        <v>2</v>
      </c>
      <c r="AZ531" s="97">
        <v>2</v>
      </c>
      <c r="BA531" s="97">
        <v>2</v>
      </c>
      <c r="BB531" s="97">
        <v>2</v>
      </c>
      <c r="BC531" s="97">
        <v>2</v>
      </c>
      <c r="BD531" s="97">
        <v>2</v>
      </c>
      <c r="BE531" s="97">
        <v>2</v>
      </c>
      <c r="BF531" s="97">
        <v>3</v>
      </c>
      <c r="BG531" s="99">
        <v>2</v>
      </c>
      <c r="BH531" s="99">
        <v>2</v>
      </c>
      <c r="BI531" s="99">
        <v>2</v>
      </c>
      <c r="BJ531" s="99">
        <v>2</v>
      </c>
      <c r="BK531" s="99">
        <v>1</v>
      </c>
      <c r="BL531" s="99">
        <v>1</v>
      </c>
      <c r="BM531" s="95">
        <v>-1</v>
      </c>
      <c r="BN531" s="89"/>
      <c r="BO531" s="89"/>
      <c r="BP531" s="89"/>
      <c r="BQ531" s="89"/>
      <c r="BR531" s="89"/>
      <c r="BS531" s="89"/>
      <c r="BT531" s="89"/>
      <c r="BU531" s="89"/>
      <c r="BV531" s="89"/>
      <c r="BW531" s="89"/>
      <c r="BX531" s="89"/>
      <c r="BY531" s="89"/>
      <c r="BZ531" s="89"/>
      <c r="CA531" s="89"/>
      <c r="CB531" s="89"/>
      <c r="CC531" s="89"/>
      <c r="CD531" s="89"/>
      <c r="CE531" s="89"/>
      <c r="CF531" s="89"/>
      <c r="CG531" s="89"/>
      <c r="CH531" s="89"/>
      <c r="CI531" s="89"/>
      <c r="CJ531" s="89"/>
      <c r="CK531" s="89"/>
      <c r="CL531" s="89"/>
      <c r="CM531" s="89"/>
      <c r="CN531" s="99">
        <v>1</v>
      </c>
      <c r="CO531" s="99">
        <v>1</v>
      </c>
      <c r="CP531" s="99">
        <v>1</v>
      </c>
      <c r="CQ531" s="95">
        <v>-1</v>
      </c>
      <c r="CR531" s="95">
        <v>-1</v>
      </c>
      <c r="CS531" s="95">
        <v>-1</v>
      </c>
      <c r="CT531" s="95">
        <v>-1</v>
      </c>
      <c r="CU531" s="95">
        <v>-1</v>
      </c>
      <c r="CV531" s="95">
        <v>-1</v>
      </c>
      <c r="CW531" s="95">
        <v>-1</v>
      </c>
      <c r="CX531" s="95">
        <v>-1</v>
      </c>
      <c r="CY531" s="95">
        <v>-1</v>
      </c>
      <c r="CZ531" s="98"/>
      <c r="DA531" s="98"/>
      <c r="DB531" s="98"/>
      <c r="DC531" s="98"/>
      <c r="DD531" s="98"/>
      <c r="DE531" s="98"/>
      <c r="DF531" s="98"/>
      <c r="DG531" s="98"/>
      <c r="DH531" s="98"/>
      <c r="DI531" s="98"/>
      <c r="DJ531" s="98"/>
      <c r="DK531" s="98"/>
      <c r="DL531" s="98"/>
      <c r="DM531" s="98"/>
      <c r="DN531" s="98"/>
      <c r="DO531" s="98"/>
      <c r="DP531" s="98"/>
      <c r="DQ531" s="98"/>
      <c r="DR531" s="98"/>
      <c r="DS531" s="98"/>
      <c r="DT531" s="98"/>
      <c r="DU531" s="98"/>
      <c r="DV531" s="98"/>
      <c r="DW531" s="98"/>
      <c r="DX531" s="98"/>
      <c r="DY531" s="98"/>
      <c r="DZ531" s="98"/>
      <c r="EA531" s="98"/>
      <c r="EB531" s="98"/>
      <c r="EC531" s="98"/>
      <c r="ED531" s="98"/>
    </row>
    <row r="532" spans="1:134" ht="11.25" customHeight="1" x14ac:dyDescent="0.3">
      <c r="A532" s="28" t="e">
        <f t="array" aca="1" ref="A532" ca="1">_xludf.XLOOKUP(S532,Master_Registrations!P:P,Master_Registrations!A:A,"")</f>
        <v>#NAME?</v>
      </c>
      <c r="B532" s="89" t="s">
        <v>182</v>
      </c>
      <c r="C532" s="89">
        <v>2023</v>
      </c>
      <c r="D532" s="89" t="s">
        <v>4886</v>
      </c>
      <c r="E532" s="89">
        <v>4</v>
      </c>
      <c r="F532" s="90" t="str">
        <f t="shared" si="8"/>
        <v>VED-01-2023-GR-4</v>
      </c>
      <c r="G532" s="89" t="s">
        <v>7078</v>
      </c>
      <c r="H532" s="89" t="s">
        <v>7108</v>
      </c>
      <c r="I532" s="89"/>
      <c r="J532" s="89" t="s">
        <v>7094</v>
      </c>
      <c r="K532" s="99"/>
      <c r="L532" s="99"/>
      <c r="M532" s="99"/>
      <c r="N532" s="90" t="s">
        <v>7095</v>
      </c>
      <c r="O532" s="89" t="s">
        <v>6009</v>
      </c>
      <c r="P532" s="89" t="s">
        <v>1767</v>
      </c>
      <c r="Q532" s="89" t="e">
        <f t="shared" ca="1" si="7"/>
        <v>#NAME?</v>
      </c>
      <c r="R532" s="39" t="s">
        <v>112</v>
      </c>
      <c r="S532" s="105">
        <v>9948417126</v>
      </c>
      <c r="T532" s="90" t="s">
        <v>111</v>
      </c>
      <c r="U532" s="89">
        <v>1985</v>
      </c>
      <c r="V532" s="99">
        <v>1</v>
      </c>
      <c r="W532" s="99">
        <v>1</v>
      </c>
      <c r="X532" s="99">
        <v>1</v>
      </c>
      <c r="Y532" s="99">
        <v>1</v>
      </c>
      <c r="Z532" s="99">
        <v>1</v>
      </c>
      <c r="AA532" s="99">
        <v>1</v>
      </c>
      <c r="AB532" s="99">
        <v>1</v>
      </c>
      <c r="AC532" s="99">
        <v>1</v>
      </c>
      <c r="AD532" s="99">
        <v>1</v>
      </c>
      <c r="AE532" s="99">
        <v>1</v>
      </c>
      <c r="AF532" s="99">
        <v>1</v>
      </c>
      <c r="AG532" s="99">
        <v>1</v>
      </c>
      <c r="AH532" s="99">
        <v>-1</v>
      </c>
      <c r="AI532" s="95">
        <v>-1</v>
      </c>
      <c r="AJ532" s="96">
        <v>-1</v>
      </c>
      <c r="AK532" s="96">
        <v>-1</v>
      </c>
      <c r="AL532" s="96">
        <v>-1</v>
      </c>
      <c r="AM532" s="96">
        <v>-1</v>
      </c>
      <c r="AN532" s="96">
        <v>-1</v>
      </c>
      <c r="AO532" s="96">
        <v>-1</v>
      </c>
      <c r="AP532" s="96">
        <v>-1</v>
      </c>
      <c r="AQ532" s="96">
        <v>-1</v>
      </c>
      <c r="AR532" s="96">
        <v>-1</v>
      </c>
      <c r="AS532" s="96">
        <v>-1</v>
      </c>
      <c r="AT532" s="96">
        <v>-1</v>
      </c>
      <c r="AU532" s="96">
        <v>-1</v>
      </c>
      <c r="AV532" s="96">
        <v>-1</v>
      </c>
      <c r="AW532" s="89"/>
      <c r="AX532" s="89"/>
      <c r="AY532" s="89"/>
      <c r="AZ532" s="89"/>
      <c r="BA532" s="89"/>
      <c r="BB532" s="89"/>
      <c r="BC532" s="89"/>
      <c r="BD532" s="89"/>
      <c r="BE532" s="89"/>
      <c r="BF532" s="89"/>
      <c r="BG532" s="89"/>
      <c r="BH532" s="89"/>
      <c r="BI532" s="89"/>
      <c r="BJ532" s="89"/>
      <c r="BK532" s="89"/>
      <c r="BL532" s="89"/>
      <c r="BM532" s="89"/>
      <c r="BN532" s="89"/>
      <c r="BO532" s="89"/>
      <c r="BP532" s="89"/>
      <c r="BQ532" s="89"/>
      <c r="BR532" s="89"/>
      <c r="BS532" s="89"/>
      <c r="BT532" s="89"/>
      <c r="BU532" s="89"/>
      <c r="BV532" s="89"/>
      <c r="BW532" s="89"/>
      <c r="BX532" s="89"/>
      <c r="BY532" s="89"/>
      <c r="BZ532" s="89"/>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98"/>
      <c r="DA532" s="98"/>
      <c r="DB532" s="98"/>
      <c r="DC532" s="98"/>
      <c r="DD532" s="98"/>
      <c r="DE532" s="98"/>
      <c r="DF532" s="98"/>
      <c r="DG532" s="98"/>
      <c r="DH532" s="98"/>
      <c r="DI532" s="98"/>
      <c r="DJ532" s="98"/>
      <c r="DK532" s="98"/>
      <c r="DL532" s="98"/>
      <c r="DM532" s="98"/>
      <c r="DN532" s="98"/>
      <c r="DO532" s="98"/>
      <c r="DP532" s="98"/>
      <c r="DQ532" s="98"/>
      <c r="DR532" s="98"/>
      <c r="DS532" s="98"/>
      <c r="DT532" s="98"/>
      <c r="DU532" s="98"/>
      <c r="DV532" s="98"/>
      <c r="DW532" s="98"/>
      <c r="DX532" s="98"/>
      <c r="DY532" s="98"/>
      <c r="DZ532" s="98"/>
      <c r="EA532" s="98"/>
      <c r="EB532" s="98"/>
      <c r="EC532" s="98"/>
      <c r="ED532" s="98"/>
    </row>
    <row r="533" spans="1:134" ht="11.25" customHeight="1" x14ac:dyDescent="0.3">
      <c r="A533" s="28" t="e">
        <f t="array" aca="1" ref="A533" ca="1">_xludf.XLOOKUP(S533,Master_Registrations!P:P,Master_Registrations!A:A,"")</f>
        <v>#NAME?</v>
      </c>
      <c r="B533" s="89" t="s">
        <v>182</v>
      </c>
      <c r="C533" s="89">
        <v>2023</v>
      </c>
      <c r="D533" s="89" t="s">
        <v>4886</v>
      </c>
      <c r="E533" s="89">
        <v>7</v>
      </c>
      <c r="F533" s="90" t="str">
        <f t="shared" si="8"/>
        <v>VED-01-2023-GR-7</v>
      </c>
      <c r="G533" s="89" t="s">
        <v>5323</v>
      </c>
      <c r="H533" s="89" t="s">
        <v>7086</v>
      </c>
      <c r="I533" s="89"/>
      <c r="J533" s="89" t="s">
        <v>7094</v>
      </c>
      <c r="K533" s="99">
        <v>1</v>
      </c>
      <c r="L533" s="99">
        <v>1</v>
      </c>
      <c r="M533" s="109"/>
      <c r="N533" s="90" t="s">
        <v>7095</v>
      </c>
      <c r="O533" s="89" t="s">
        <v>6349</v>
      </c>
      <c r="P533" s="89" t="s">
        <v>6350</v>
      </c>
      <c r="Q533" s="89" t="e">
        <f t="shared" ca="1" si="7"/>
        <v>#NAME?</v>
      </c>
      <c r="R533" s="39" t="s">
        <v>316</v>
      </c>
      <c r="S533" s="94">
        <v>4082014637</v>
      </c>
      <c r="T533" s="90" t="s">
        <v>474</v>
      </c>
      <c r="U533" s="90">
        <v>1984</v>
      </c>
      <c r="V533" s="99">
        <v>1</v>
      </c>
      <c r="W533" s="99">
        <v>1</v>
      </c>
      <c r="X533" s="99">
        <v>1</v>
      </c>
      <c r="Y533" s="99">
        <v>1</v>
      </c>
      <c r="Z533" s="99">
        <v>1</v>
      </c>
      <c r="AA533" s="99">
        <v>-1</v>
      </c>
      <c r="AB533" s="99">
        <v>-1</v>
      </c>
      <c r="AC533" s="95">
        <v>-1</v>
      </c>
      <c r="AD533" s="95">
        <v>-1</v>
      </c>
      <c r="AE533" s="99">
        <v>1</v>
      </c>
      <c r="AF533" s="99">
        <v>1</v>
      </c>
      <c r="AG533" s="99">
        <v>1</v>
      </c>
      <c r="AH533" s="95">
        <v>-1</v>
      </c>
      <c r="AI533" s="95">
        <v>-1</v>
      </c>
      <c r="AJ533" s="89"/>
      <c r="AK533" s="89"/>
      <c r="AL533" s="89"/>
      <c r="AM533" s="89"/>
      <c r="AN533" s="89"/>
      <c r="AO533" s="89"/>
      <c r="AP533" s="89"/>
      <c r="AQ533" s="89"/>
      <c r="AR533" s="89"/>
      <c r="AS533" s="89"/>
      <c r="AT533" s="89"/>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c r="BQ533" s="89"/>
      <c r="BR533" s="89"/>
      <c r="BS533" s="89"/>
      <c r="BT533" s="89"/>
      <c r="BU533" s="89"/>
      <c r="BV533" s="89"/>
      <c r="BW533" s="89"/>
      <c r="BX533" s="89"/>
      <c r="BY533" s="89"/>
      <c r="BZ533" s="89"/>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98"/>
      <c r="DA533" s="98"/>
      <c r="DB533" s="98"/>
      <c r="DC533" s="98"/>
      <c r="DD533" s="98"/>
      <c r="DE533" s="98"/>
      <c r="DF533" s="98"/>
      <c r="DG533" s="98"/>
      <c r="DH533" s="98"/>
      <c r="DI533" s="98"/>
      <c r="DJ533" s="98"/>
      <c r="DK533" s="98"/>
      <c r="DL533" s="98"/>
      <c r="DM533" s="98"/>
      <c r="DN533" s="98"/>
      <c r="DO533" s="98"/>
      <c r="DP533" s="98"/>
      <c r="DQ533" s="98"/>
      <c r="DR533" s="98"/>
      <c r="DS533" s="98"/>
      <c r="DT533" s="98"/>
      <c r="DU533" s="98"/>
      <c r="DV533" s="98"/>
      <c r="DW533" s="98"/>
      <c r="DX533" s="98"/>
      <c r="DY533" s="98"/>
      <c r="DZ533" s="98"/>
      <c r="EA533" s="98"/>
      <c r="EB533" s="98"/>
      <c r="EC533" s="98"/>
      <c r="ED533" s="98"/>
    </row>
    <row r="534" spans="1:134" ht="11.25" customHeight="1" x14ac:dyDescent="0.3">
      <c r="A534" s="28" t="e">
        <f t="array" aca="1" ref="A534" ca="1">_xludf.XLOOKUP(S534,Master_Registrations!P:P,Master_Registrations!A:A,"")</f>
        <v>#NAME?</v>
      </c>
      <c r="B534" s="89" t="s">
        <v>182</v>
      </c>
      <c r="C534" s="89">
        <v>2024</v>
      </c>
      <c r="D534" s="89" t="s">
        <v>184</v>
      </c>
      <c r="E534" s="89">
        <v>2</v>
      </c>
      <c r="F534" s="90" t="str">
        <f t="shared" si="8"/>
        <v>VED-01-2024-BR-2</v>
      </c>
      <c r="G534" s="89" t="s">
        <v>4569</v>
      </c>
      <c r="H534" s="90" t="s">
        <v>7096</v>
      </c>
      <c r="I534" s="90"/>
      <c r="J534" s="89" t="s">
        <v>7094</v>
      </c>
      <c r="K534" s="99"/>
      <c r="L534" s="104"/>
      <c r="M534" s="104"/>
      <c r="N534" s="90" t="s">
        <v>7095</v>
      </c>
      <c r="O534" s="89" t="s">
        <v>634</v>
      </c>
      <c r="P534" s="89" t="s">
        <v>635</v>
      </c>
      <c r="Q534" s="89" t="e">
        <f t="shared" ca="1" si="7"/>
        <v>#NAME?</v>
      </c>
      <c r="R534" s="39" t="s">
        <v>112</v>
      </c>
      <c r="S534" s="94">
        <v>9440149494</v>
      </c>
      <c r="T534" s="90" t="s">
        <v>111</v>
      </c>
      <c r="U534" s="94">
        <v>2014</v>
      </c>
      <c r="V534" s="99">
        <v>1</v>
      </c>
      <c r="W534" s="99">
        <v>1</v>
      </c>
      <c r="X534" s="99">
        <v>1</v>
      </c>
      <c r="Y534" s="99">
        <v>1</v>
      </c>
      <c r="Z534" s="99">
        <v>1</v>
      </c>
      <c r="AA534" s="99">
        <v>-1</v>
      </c>
      <c r="AB534" s="95">
        <v>-1</v>
      </c>
      <c r="AC534" s="95">
        <v>-1</v>
      </c>
      <c r="AD534" s="95">
        <v>-1</v>
      </c>
      <c r="AE534" s="99">
        <v>1</v>
      </c>
      <c r="AF534" s="99">
        <v>-1</v>
      </c>
      <c r="AG534" s="99">
        <v>-1</v>
      </c>
      <c r="AH534" s="99">
        <v>-1</v>
      </c>
      <c r="AI534" s="96">
        <v>-1</v>
      </c>
      <c r="AJ534" s="89"/>
      <c r="AK534" s="89"/>
      <c r="AL534" s="89"/>
      <c r="AM534" s="89"/>
      <c r="AN534" s="89"/>
      <c r="AO534" s="89"/>
      <c r="AP534" s="89"/>
      <c r="AQ534" s="89"/>
      <c r="AR534" s="89"/>
      <c r="AS534" s="89"/>
      <c r="AT534" s="89"/>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c r="BQ534" s="89"/>
      <c r="BR534" s="89"/>
      <c r="BS534" s="89"/>
      <c r="BT534" s="89"/>
      <c r="BU534" s="89"/>
      <c r="BV534" s="89"/>
      <c r="BW534" s="89"/>
      <c r="BX534" s="89"/>
      <c r="BY534" s="89"/>
      <c r="BZ534" s="89"/>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98"/>
      <c r="DA534" s="98"/>
      <c r="DB534" s="98"/>
      <c r="DC534" s="98"/>
      <c r="DD534" s="98"/>
      <c r="DE534" s="98"/>
      <c r="DF534" s="98"/>
      <c r="DG534" s="98"/>
      <c r="DH534" s="98"/>
      <c r="DI534" s="98"/>
      <c r="DJ534" s="98"/>
      <c r="DK534" s="98"/>
      <c r="DL534" s="98"/>
      <c r="DM534" s="98"/>
      <c r="DN534" s="98"/>
      <c r="DO534" s="98"/>
      <c r="DP534" s="98"/>
      <c r="DQ534" s="98"/>
      <c r="DR534" s="98"/>
      <c r="DS534" s="98"/>
      <c r="DT534" s="98"/>
      <c r="DU534" s="98"/>
      <c r="DV534" s="98"/>
      <c r="DW534" s="98"/>
      <c r="DX534" s="98"/>
      <c r="DY534" s="98"/>
      <c r="DZ534" s="98"/>
      <c r="EA534" s="98"/>
      <c r="EB534" s="98"/>
      <c r="EC534" s="98"/>
      <c r="ED534" s="98"/>
    </row>
    <row r="535" spans="1:134" ht="11.25" customHeight="1" x14ac:dyDescent="0.3">
      <c r="A535" s="28" t="e">
        <f t="array" aca="1" ref="A535" ca="1">_xludf.XLOOKUP(S535,Master_Registrations!P:P,Master_Registrations!A:A,"")</f>
        <v>#NAME?</v>
      </c>
      <c r="B535" s="89" t="s">
        <v>182</v>
      </c>
      <c r="C535" s="89">
        <v>2024</v>
      </c>
      <c r="D535" s="89" t="s">
        <v>184</v>
      </c>
      <c r="E535" s="89">
        <v>2</v>
      </c>
      <c r="F535" s="90" t="str">
        <f t="shared" si="8"/>
        <v>VED-01-2024-BR-2</v>
      </c>
      <c r="G535" s="89" t="s">
        <v>4569</v>
      </c>
      <c r="H535" s="90" t="s">
        <v>7096</v>
      </c>
      <c r="I535" s="90"/>
      <c r="J535" s="89" t="s">
        <v>7094</v>
      </c>
      <c r="K535" s="93"/>
      <c r="L535" s="92"/>
      <c r="M535" s="92"/>
      <c r="N535" s="90" t="s">
        <v>7095</v>
      </c>
      <c r="O535" s="89" t="s">
        <v>7109</v>
      </c>
      <c r="P535" s="89" t="s">
        <v>401</v>
      </c>
      <c r="Q535" s="89" t="e">
        <f t="shared" ca="1" si="7"/>
        <v>#NAME?</v>
      </c>
      <c r="R535" s="39" t="s">
        <v>316</v>
      </c>
      <c r="S535" s="94">
        <v>9492728342</v>
      </c>
      <c r="T535" s="90" t="s">
        <v>402</v>
      </c>
      <c r="U535" s="94">
        <v>2014</v>
      </c>
      <c r="V535" s="99">
        <v>1</v>
      </c>
      <c r="W535" s="99">
        <v>1</v>
      </c>
      <c r="X535" s="97">
        <v>1</v>
      </c>
      <c r="Y535" s="97">
        <v>1</v>
      </c>
      <c r="Z535" s="97">
        <v>-1</v>
      </c>
      <c r="AA535" s="97">
        <v>-1</v>
      </c>
      <c r="AB535" s="96">
        <v>-1</v>
      </c>
      <c r="AC535" s="95">
        <v>-1</v>
      </c>
      <c r="AD535" s="95">
        <v>-1</v>
      </c>
      <c r="AE535" s="99">
        <v>1</v>
      </c>
      <c r="AF535" s="99">
        <v>-1</v>
      </c>
      <c r="AG535" s="99">
        <v>1</v>
      </c>
      <c r="AH535" s="99">
        <v>-1</v>
      </c>
      <c r="AI535" s="96">
        <v>-1</v>
      </c>
      <c r="AJ535" s="89"/>
      <c r="AK535" s="89"/>
      <c r="AL535" s="89"/>
      <c r="AM535" s="89"/>
      <c r="AN535" s="89"/>
      <c r="AO535" s="89"/>
      <c r="AP535" s="89"/>
      <c r="AQ535" s="89"/>
      <c r="AR535" s="89"/>
      <c r="AS535" s="89"/>
      <c r="AT535" s="89"/>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c r="BQ535" s="89"/>
      <c r="BR535" s="89"/>
      <c r="BS535" s="89"/>
      <c r="BT535" s="89"/>
      <c r="BU535" s="89"/>
      <c r="BV535" s="89"/>
      <c r="BW535" s="89"/>
      <c r="BX535" s="89"/>
      <c r="BY535" s="89"/>
      <c r="BZ535" s="89"/>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98"/>
      <c r="DA535" s="98"/>
      <c r="DB535" s="98"/>
      <c r="DC535" s="98"/>
      <c r="DD535" s="98"/>
      <c r="DE535" s="98"/>
      <c r="DF535" s="98"/>
      <c r="DG535" s="98"/>
      <c r="DH535" s="98"/>
      <c r="DI535" s="98"/>
      <c r="DJ535" s="98"/>
      <c r="DK535" s="98"/>
      <c r="DL535" s="98"/>
      <c r="DM535" s="98"/>
      <c r="DN535" s="98"/>
      <c r="DO535" s="98"/>
      <c r="DP535" s="98"/>
      <c r="DQ535" s="98"/>
      <c r="DR535" s="98"/>
      <c r="DS535" s="98"/>
      <c r="DT535" s="98"/>
      <c r="DU535" s="98"/>
      <c r="DV535" s="98"/>
      <c r="DW535" s="98"/>
      <c r="DX535" s="98"/>
      <c r="DY535" s="98"/>
      <c r="DZ535" s="98"/>
      <c r="EA535" s="98"/>
      <c r="EB535" s="98"/>
      <c r="EC535" s="98"/>
      <c r="ED535" s="98"/>
    </row>
    <row r="536" spans="1:134" ht="11.25" customHeight="1" x14ac:dyDescent="0.3">
      <c r="A536" s="28" t="e">
        <f t="array" aca="1" ref="A536" ca="1">_xludf.XLOOKUP(S536,Master_Registrations!P:P,Master_Registrations!A:A,"")</f>
        <v>#NAME?</v>
      </c>
      <c r="B536" s="89" t="s">
        <v>182</v>
      </c>
      <c r="C536" s="89">
        <v>2024</v>
      </c>
      <c r="D536" s="89" t="s">
        <v>184</v>
      </c>
      <c r="E536" s="89">
        <v>2</v>
      </c>
      <c r="F536" s="90" t="str">
        <f t="shared" si="8"/>
        <v>VED-01-2024-BR-2</v>
      </c>
      <c r="G536" s="89" t="s">
        <v>4569</v>
      </c>
      <c r="H536" s="90" t="s">
        <v>7096</v>
      </c>
      <c r="I536" s="90"/>
      <c r="J536" s="89" t="s">
        <v>7094</v>
      </c>
      <c r="K536" s="99"/>
      <c r="L536" s="99"/>
      <c r="M536" s="104"/>
      <c r="N536" s="90" t="s">
        <v>7095</v>
      </c>
      <c r="O536" s="89" t="s">
        <v>1471</v>
      </c>
      <c r="P536" s="89" t="s">
        <v>7110</v>
      </c>
      <c r="Q536" s="89" t="e">
        <f t="shared" ca="1" si="7"/>
        <v>#NAME?</v>
      </c>
      <c r="R536" s="39" t="s">
        <v>112</v>
      </c>
      <c r="S536" s="94">
        <v>7730834444</v>
      </c>
      <c r="T536" s="90" t="s">
        <v>111</v>
      </c>
      <c r="U536" s="94">
        <v>2012</v>
      </c>
      <c r="V536" s="99">
        <v>-1</v>
      </c>
      <c r="W536" s="99">
        <v>-1</v>
      </c>
      <c r="X536" s="99">
        <v>1</v>
      </c>
      <c r="Y536" s="99">
        <v>1</v>
      </c>
      <c r="Z536" s="99">
        <v>-1</v>
      </c>
      <c r="AA536" s="99">
        <v>-1</v>
      </c>
      <c r="AB536" s="95">
        <v>-1</v>
      </c>
      <c r="AC536" s="95">
        <v>-1</v>
      </c>
      <c r="AD536" s="95">
        <v>-1</v>
      </c>
      <c r="AE536" s="99">
        <v>1</v>
      </c>
      <c r="AF536" s="99">
        <v>-1</v>
      </c>
      <c r="AG536" s="99">
        <v>1</v>
      </c>
      <c r="AH536" s="99">
        <v>-1</v>
      </c>
      <c r="AI536" s="96">
        <v>-1</v>
      </c>
      <c r="AJ536" s="89"/>
      <c r="AK536" s="89"/>
      <c r="AL536" s="89"/>
      <c r="AM536" s="89"/>
      <c r="AN536" s="89"/>
      <c r="AO536" s="89"/>
      <c r="AP536" s="89"/>
      <c r="AQ536" s="89"/>
      <c r="AR536" s="89"/>
      <c r="AS536" s="89"/>
      <c r="AT536" s="89"/>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c r="BQ536" s="89"/>
      <c r="BR536" s="89"/>
      <c r="BS536" s="89"/>
      <c r="BT536" s="89"/>
      <c r="BU536" s="89"/>
      <c r="BV536" s="89"/>
      <c r="BW536" s="89"/>
      <c r="BX536" s="89"/>
      <c r="BY536" s="89"/>
      <c r="BZ536" s="89"/>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98"/>
      <c r="DA536" s="98"/>
      <c r="DB536" s="98"/>
      <c r="DC536" s="98"/>
      <c r="DD536" s="98"/>
      <c r="DE536" s="98"/>
      <c r="DF536" s="98"/>
      <c r="DG536" s="98"/>
      <c r="DH536" s="98"/>
      <c r="DI536" s="98"/>
      <c r="DJ536" s="98"/>
      <c r="DK536" s="98"/>
      <c r="DL536" s="98"/>
      <c r="DM536" s="98"/>
      <c r="DN536" s="98"/>
      <c r="DO536" s="98"/>
      <c r="DP536" s="98"/>
      <c r="DQ536" s="98"/>
      <c r="DR536" s="98"/>
      <c r="DS536" s="98"/>
      <c r="DT536" s="98"/>
      <c r="DU536" s="98"/>
      <c r="DV536" s="98"/>
      <c r="DW536" s="98"/>
      <c r="DX536" s="98"/>
      <c r="DY536" s="98"/>
      <c r="DZ536" s="98"/>
      <c r="EA536" s="98"/>
      <c r="EB536" s="98"/>
      <c r="EC536" s="98"/>
      <c r="ED536" s="98"/>
    </row>
    <row r="537" spans="1:134" ht="11.25" customHeight="1" x14ac:dyDescent="0.3">
      <c r="A537" s="28" t="e">
        <f t="array" aca="1" ref="A537" ca="1">_xludf.XLOOKUP(S537,Master_Registrations!P:P,Master_Registrations!A:A,"")</f>
        <v>#NAME?</v>
      </c>
      <c r="B537" s="89" t="s">
        <v>182</v>
      </c>
      <c r="C537" s="89">
        <v>2024</v>
      </c>
      <c r="D537" s="89" t="s">
        <v>184</v>
      </c>
      <c r="E537" s="89">
        <v>2</v>
      </c>
      <c r="F537" s="90" t="str">
        <f t="shared" si="8"/>
        <v>VED-01-2024-BR-2</v>
      </c>
      <c r="G537" s="89" t="s">
        <v>4569</v>
      </c>
      <c r="H537" s="90" t="s">
        <v>7096</v>
      </c>
      <c r="I537" s="90"/>
      <c r="J537" s="89" t="s">
        <v>7094</v>
      </c>
      <c r="K537" s="99"/>
      <c r="L537" s="104"/>
      <c r="M537" s="99"/>
      <c r="N537" s="90" t="s">
        <v>7095</v>
      </c>
      <c r="O537" s="141" t="s">
        <v>7148</v>
      </c>
      <c r="P537" s="141" t="s">
        <v>557</v>
      </c>
      <c r="Q537" s="89" t="e">
        <f t="shared" ca="1" si="7"/>
        <v>#NAME?</v>
      </c>
      <c r="R537" s="39" t="s">
        <v>112</v>
      </c>
      <c r="S537" s="94">
        <v>9701055200</v>
      </c>
      <c r="T537" s="90" t="s">
        <v>111</v>
      </c>
      <c r="U537" s="94">
        <v>2012</v>
      </c>
      <c r="V537" s="99">
        <v>-1</v>
      </c>
      <c r="W537" s="95">
        <v>-1</v>
      </c>
      <c r="X537" s="95">
        <v>-1</v>
      </c>
      <c r="Y537" s="95">
        <v>-1</v>
      </c>
      <c r="Z537" s="95">
        <v>-1</v>
      </c>
      <c r="AA537" s="95">
        <v>-1</v>
      </c>
      <c r="AB537" s="95">
        <v>-1</v>
      </c>
      <c r="AC537" s="95">
        <v>-1</v>
      </c>
      <c r="AD537" s="95">
        <v>-1</v>
      </c>
      <c r="AE537" s="99">
        <v>-1</v>
      </c>
      <c r="AF537" s="99">
        <v>-1</v>
      </c>
      <c r="AG537" s="99">
        <v>-1</v>
      </c>
      <c r="AH537" s="95">
        <v>-1</v>
      </c>
      <c r="AI537" s="96">
        <v>-1</v>
      </c>
      <c r="AJ537" s="89"/>
      <c r="AK537" s="89"/>
      <c r="AL537" s="89"/>
      <c r="AM537" s="89"/>
      <c r="AN537" s="89"/>
      <c r="AO537" s="89"/>
      <c r="AP537" s="89"/>
      <c r="AQ537" s="89"/>
      <c r="AR537" s="89"/>
      <c r="AS537" s="89"/>
      <c r="AT537" s="89"/>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89"/>
      <c r="BS537" s="89"/>
      <c r="BT537" s="89"/>
      <c r="BU537" s="89"/>
      <c r="BV537" s="89"/>
      <c r="BW537" s="89"/>
      <c r="BX537" s="89"/>
      <c r="BY537" s="89"/>
      <c r="BZ537" s="89"/>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98"/>
      <c r="DA537" s="98"/>
      <c r="DB537" s="98"/>
      <c r="DC537" s="98"/>
      <c r="DD537" s="98"/>
      <c r="DE537" s="98"/>
      <c r="DF537" s="98"/>
      <c r="DG537" s="98"/>
      <c r="DH537" s="98"/>
      <c r="DI537" s="98"/>
      <c r="DJ537" s="98"/>
      <c r="DK537" s="98"/>
      <c r="DL537" s="98"/>
      <c r="DM537" s="98"/>
      <c r="DN537" s="98"/>
      <c r="DO537" s="98"/>
      <c r="DP537" s="98"/>
      <c r="DQ537" s="98"/>
      <c r="DR537" s="98"/>
      <c r="DS537" s="98"/>
      <c r="DT537" s="98"/>
      <c r="DU537" s="98"/>
      <c r="DV537" s="98"/>
      <c r="DW537" s="98"/>
      <c r="DX537" s="98"/>
      <c r="DY537" s="98"/>
      <c r="DZ537" s="98"/>
      <c r="EA537" s="98"/>
      <c r="EB537" s="98"/>
      <c r="EC537" s="98"/>
      <c r="ED537" s="98"/>
    </row>
    <row r="538" spans="1:134" ht="11.25" customHeight="1" x14ac:dyDescent="0.3">
      <c r="A538" s="28" t="e">
        <f t="array" aca="1" ref="A538" ca="1">_xludf.XLOOKUP(S538,Master_Registrations!P:P,Master_Registrations!A:A,"")</f>
        <v>#NAME?</v>
      </c>
      <c r="B538" s="89" t="s">
        <v>182</v>
      </c>
      <c r="C538" s="89">
        <v>2024</v>
      </c>
      <c r="D538" s="89" t="s">
        <v>184</v>
      </c>
      <c r="E538" s="89">
        <v>2</v>
      </c>
      <c r="F538" s="90" t="str">
        <f t="shared" si="8"/>
        <v>VED-01-2024-BR-2</v>
      </c>
      <c r="G538" s="89" t="s">
        <v>4569</v>
      </c>
      <c r="H538" s="90" t="s">
        <v>7096</v>
      </c>
      <c r="I538" s="90"/>
      <c r="J538" s="89" t="s">
        <v>7094</v>
      </c>
      <c r="K538" s="109"/>
      <c r="L538" s="99"/>
      <c r="M538" s="99"/>
      <c r="N538" s="90" t="s">
        <v>7095</v>
      </c>
      <c r="O538" s="89" t="s">
        <v>1001</v>
      </c>
      <c r="P538" s="89" t="s">
        <v>1002</v>
      </c>
      <c r="Q538" s="89" t="e">
        <f t="shared" ca="1" si="7"/>
        <v>#NAME?</v>
      </c>
      <c r="R538" s="39" t="s">
        <v>112</v>
      </c>
      <c r="S538" s="89">
        <v>7981631827</v>
      </c>
      <c r="T538" s="90" t="s">
        <v>111</v>
      </c>
      <c r="U538" s="89">
        <v>2013</v>
      </c>
      <c r="V538" s="99">
        <v>-1</v>
      </c>
      <c r="W538" s="95">
        <v>-1</v>
      </c>
      <c r="X538" s="95">
        <v>-1</v>
      </c>
      <c r="Y538" s="95">
        <v>-1</v>
      </c>
      <c r="Z538" s="95">
        <v>-1</v>
      </c>
      <c r="AA538" s="95">
        <v>-1</v>
      </c>
      <c r="AB538" s="95">
        <v>-1</v>
      </c>
      <c r="AC538" s="95">
        <v>-1</v>
      </c>
      <c r="AD538" s="95">
        <v>-1</v>
      </c>
      <c r="AE538" s="95">
        <v>-1</v>
      </c>
      <c r="AF538" s="95">
        <v>-1</v>
      </c>
      <c r="AG538" s="95">
        <v>-1</v>
      </c>
      <c r="AH538" s="95">
        <v>-1</v>
      </c>
      <c r="AI538" s="96">
        <v>-1</v>
      </c>
      <c r="AJ538" s="89"/>
      <c r="AK538" s="89"/>
      <c r="AL538" s="89"/>
      <c r="AM538" s="89"/>
      <c r="AN538" s="89"/>
      <c r="AO538" s="89"/>
      <c r="AP538" s="89"/>
      <c r="AQ538" s="89"/>
      <c r="AR538" s="89"/>
      <c r="AS538" s="89"/>
      <c r="AT538" s="89"/>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89"/>
      <c r="BS538" s="89"/>
      <c r="BT538" s="89"/>
      <c r="BU538" s="89"/>
      <c r="BV538" s="89"/>
      <c r="BW538" s="89"/>
      <c r="BX538" s="89"/>
      <c r="BY538" s="89"/>
      <c r="BZ538" s="89"/>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98"/>
      <c r="DA538" s="98"/>
      <c r="DB538" s="98"/>
      <c r="DC538" s="98"/>
      <c r="DD538" s="98"/>
      <c r="DE538" s="98"/>
      <c r="DF538" s="98"/>
      <c r="DG538" s="98"/>
      <c r="DH538" s="98"/>
      <c r="DI538" s="98"/>
      <c r="DJ538" s="98"/>
      <c r="DK538" s="98"/>
      <c r="DL538" s="98"/>
      <c r="DM538" s="98"/>
      <c r="DN538" s="98"/>
      <c r="DO538" s="98"/>
      <c r="DP538" s="98"/>
      <c r="DQ538" s="98"/>
      <c r="DR538" s="98"/>
      <c r="DS538" s="98"/>
      <c r="DT538" s="98"/>
      <c r="DU538" s="98"/>
      <c r="DV538" s="98"/>
      <c r="DW538" s="98"/>
      <c r="DX538" s="98"/>
      <c r="DY538" s="98"/>
      <c r="DZ538" s="98"/>
      <c r="EA538" s="98"/>
      <c r="EB538" s="98"/>
      <c r="EC538" s="98"/>
      <c r="ED538" s="98"/>
    </row>
    <row r="539" spans="1:134" ht="11.25" customHeight="1" x14ac:dyDescent="0.3">
      <c r="A539" s="28" t="e">
        <f t="array" aca="1" ref="A539" ca="1">_xludf.XLOOKUP(S539,Master_Registrations!P:P,Master_Registrations!A:A,"")</f>
        <v>#NAME?</v>
      </c>
      <c r="B539" s="89" t="s">
        <v>182</v>
      </c>
      <c r="C539" s="89">
        <v>2024</v>
      </c>
      <c r="D539" s="89" t="s">
        <v>184</v>
      </c>
      <c r="E539" s="89">
        <v>2</v>
      </c>
      <c r="F539" s="90" t="str">
        <f t="shared" si="8"/>
        <v>VED-01-2024-BR-2</v>
      </c>
      <c r="G539" s="89" t="s">
        <v>4569</v>
      </c>
      <c r="H539" s="90" t="s">
        <v>7096</v>
      </c>
      <c r="I539" s="90"/>
      <c r="J539" s="89" t="s">
        <v>7094</v>
      </c>
      <c r="K539" s="99"/>
      <c r="L539" s="104"/>
      <c r="M539" s="99"/>
      <c r="N539" s="90" t="s">
        <v>7095</v>
      </c>
      <c r="O539" s="89" t="s">
        <v>7111</v>
      </c>
      <c r="P539" s="89" t="s">
        <v>7112</v>
      </c>
      <c r="Q539" s="89" t="e">
        <f t="shared" ca="1" si="7"/>
        <v>#NAME?</v>
      </c>
      <c r="R539" s="39" t="s">
        <v>112</v>
      </c>
      <c r="S539" s="94">
        <v>9642433663</v>
      </c>
      <c r="T539" s="90" t="s">
        <v>111</v>
      </c>
      <c r="U539" s="94">
        <v>2010</v>
      </c>
      <c r="V539" s="99">
        <v>-1</v>
      </c>
      <c r="W539" s="95">
        <v>-1</v>
      </c>
      <c r="X539" s="95">
        <v>-1</v>
      </c>
      <c r="Y539" s="95">
        <v>-1</v>
      </c>
      <c r="Z539" s="95">
        <v>-1</v>
      </c>
      <c r="AA539" s="95">
        <v>-1</v>
      </c>
      <c r="AB539" s="95">
        <v>-1</v>
      </c>
      <c r="AC539" s="95">
        <v>-1</v>
      </c>
      <c r="AD539" s="95">
        <v>-1</v>
      </c>
      <c r="AE539" s="99">
        <v>-1</v>
      </c>
      <c r="AF539" s="99">
        <v>-1</v>
      </c>
      <c r="AG539" s="99">
        <v>-1</v>
      </c>
      <c r="AH539" s="95">
        <v>-1</v>
      </c>
      <c r="AI539" s="96">
        <v>-1</v>
      </c>
      <c r="AJ539" s="89"/>
      <c r="AK539" s="89"/>
      <c r="AL539" s="89"/>
      <c r="AM539" s="89"/>
      <c r="AN539" s="89"/>
      <c r="AO539" s="89"/>
      <c r="AP539" s="89"/>
      <c r="AQ539" s="89"/>
      <c r="AR539" s="89"/>
      <c r="AS539" s="89"/>
      <c r="AT539" s="89"/>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c r="BQ539" s="89"/>
      <c r="BR539" s="89"/>
      <c r="BS539" s="89"/>
      <c r="BT539" s="89"/>
      <c r="BU539" s="89"/>
      <c r="BV539" s="89"/>
      <c r="BW539" s="89"/>
      <c r="BX539" s="89"/>
      <c r="BY539" s="89"/>
      <c r="BZ539" s="89"/>
      <c r="CA539" s="89"/>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98"/>
      <c r="DA539" s="98"/>
      <c r="DB539" s="98"/>
      <c r="DC539" s="98"/>
      <c r="DD539" s="98"/>
      <c r="DE539" s="98"/>
      <c r="DF539" s="98"/>
      <c r="DG539" s="98"/>
      <c r="DH539" s="98"/>
      <c r="DI539" s="98"/>
      <c r="DJ539" s="98"/>
      <c r="DK539" s="98"/>
      <c r="DL539" s="98"/>
      <c r="DM539" s="98"/>
      <c r="DN539" s="98"/>
      <c r="DO539" s="98"/>
      <c r="DP539" s="98"/>
      <c r="DQ539" s="98"/>
      <c r="DR539" s="98"/>
      <c r="DS539" s="98"/>
      <c r="DT539" s="98"/>
      <c r="DU539" s="98"/>
      <c r="DV539" s="98"/>
      <c r="DW539" s="98"/>
      <c r="DX539" s="98"/>
      <c r="DY539" s="98"/>
      <c r="DZ539" s="98"/>
      <c r="EA539" s="98"/>
      <c r="EB539" s="98"/>
      <c r="EC539" s="98"/>
      <c r="ED539" s="98"/>
    </row>
    <row r="540" spans="1:134" ht="11.25" customHeight="1" x14ac:dyDescent="0.3">
      <c r="A540" s="28" t="e">
        <f t="array" aca="1" ref="A540" ca="1">_xludf.XLOOKUP(S540,Master_Registrations!P:P,Master_Registrations!A:A,"")</f>
        <v>#NAME?</v>
      </c>
      <c r="B540" s="89" t="s">
        <v>182</v>
      </c>
      <c r="C540" s="89">
        <v>2024</v>
      </c>
      <c r="D540" s="89" t="s">
        <v>184</v>
      </c>
      <c r="E540" s="89">
        <v>2</v>
      </c>
      <c r="F540" s="90" t="str">
        <f t="shared" si="8"/>
        <v>VED-01-2024-BR-2</v>
      </c>
      <c r="G540" s="89" t="s">
        <v>4569</v>
      </c>
      <c r="H540" s="90" t="s">
        <v>7096</v>
      </c>
      <c r="I540" s="90"/>
      <c r="J540" s="89" t="s">
        <v>7094</v>
      </c>
      <c r="K540" s="109"/>
      <c r="L540" s="99"/>
      <c r="M540" s="99"/>
      <c r="N540" s="90" t="s">
        <v>7095</v>
      </c>
      <c r="O540" s="89" t="s">
        <v>880</v>
      </c>
      <c r="P540" s="89" t="s">
        <v>881</v>
      </c>
      <c r="Q540" s="89" t="e">
        <f t="shared" ca="1" si="7"/>
        <v>#NAME?</v>
      </c>
      <c r="R540" s="39" t="s">
        <v>112</v>
      </c>
      <c r="S540" s="89">
        <v>9908321918</v>
      </c>
      <c r="T540" s="90" t="s">
        <v>111</v>
      </c>
      <c r="U540" s="89">
        <v>2015</v>
      </c>
      <c r="V540" s="99">
        <v>-1</v>
      </c>
      <c r="W540" s="95">
        <v>-1</v>
      </c>
      <c r="X540" s="95">
        <v>-1</v>
      </c>
      <c r="Y540" s="95">
        <v>-1</v>
      </c>
      <c r="Z540" s="95">
        <v>-1</v>
      </c>
      <c r="AA540" s="95">
        <v>-1</v>
      </c>
      <c r="AB540" s="95">
        <v>-1</v>
      </c>
      <c r="AC540" s="95">
        <v>-1</v>
      </c>
      <c r="AD540" s="95">
        <v>-1</v>
      </c>
      <c r="AE540" s="95">
        <v>-1</v>
      </c>
      <c r="AF540" s="95">
        <v>-1</v>
      </c>
      <c r="AG540" s="95">
        <v>-1</v>
      </c>
      <c r="AH540" s="95">
        <v>-1</v>
      </c>
      <c r="AI540" s="96">
        <v>-1</v>
      </c>
      <c r="AJ540" s="89"/>
      <c r="AK540" s="89"/>
      <c r="AL540" s="89"/>
      <c r="AM540" s="89"/>
      <c r="AN540" s="89"/>
      <c r="AO540" s="89"/>
      <c r="AP540" s="89"/>
      <c r="AQ540" s="89"/>
      <c r="AR540" s="89"/>
      <c r="AS540" s="89"/>
      <c r="AT540" s="89"/>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c r="BQ540" s="89"/>
      <c r="BR540" s="89"/>
      <c r="BS540" s="89"/>
      <c r="BT540" s="89"/>
      <c r="BU540" s="89"/>
      <c r="BV540" s="89"/>
      <c r="BW540" s="89"/>
      <c r="BX540" s="89"/>
      <c r="BY540" s="89"/>
      <c r="BZ540" s="89"/>
      <c r="CA540" s="89"/>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98"/>
      <c r="DA540" s="98"/>
      <c r="DB540" s="98"/>
      <c r="DC540" s="98"/>
      <c r="DD540" s="98"/>
      <c r="DE540" s="98"/>
      <c r="DF540" s="98"/>
      <c r="DG540" s="98"/>
      <c r="DH540" s="98"/>
      <c r="DI540" s="98"/>
      <c r="DJ540" s="98"/>
      <c r="DK540" s="98"/>
      <c r="DL540" s="98"/>
      <c r="DM540" s="98"/>
      <c r="DN540" s="98"/>
      <c r="DO540" s="98"/>
      <c r="DP540" s="98"/>
      <c r="DQ540" s="98"/>
      <c r="DR540" s="98"/>
      <c r="DS540" s="98"/>
      <c r="DT540" s="98"/>
      <c r="DU540" s="98"/>
      <c r="DV540" s="98"/>
      <c r="DW540" s="98"/>
      <c r="DX540" s="98"/>
      <c r="DY540" s="98"/>
      <c r="DZ540" s="98"/>
      <c r="EA540" s="98"/>
      <c r="EB540" s="98"/>
      <c r="EC540" s="98"/>
      <c r="ED540" s="98"/>
    </row>
    <row r="541" spans="1:134" ht="11.25" customHeight="1" x14ac:dyDescent="0.3">
      <c r="A541" s="28" t="e">
        <f t="array" aca="1" ref="A541" ca="1">_xludf.XLOOKUP(S541,Master_Registrations!P:P,Master_Registrations!A:A,"")</f>
        <v>#NAME?</v>
      </c>
      <c r="B541" s="89" t="s">
        <v>182</v>
      </c>
      <c r="C541" s="89">
        <v>2024</v>
      </c>
      <c r="D541" s="89" t="s">
        <v>184</v>
      </c>
      <c r="E541" s="89">
        <v>2</v>
      </c>
      <c r="F541" s="90" t="str">
        <f t="shared" si="8"/>
        <v>VED-01-2024-BR-2</v>
      </c>
      <c r="G541" s="89" t="s">
        <v>4569</v>
      </c>
      <c r="H541" s="90" t="s">
        <v>7096</v>
      </c>
      <c r="I541" s="90"/>
      <c r="J541" s="89" t="s">
        <v>7094</v>
      </c>
      <c r="K541" s="109"/>
      <c r="L541" s="99"/>
      <c r="M541" s="99"/>
      <c r="N541" s="90" t="s">
        <v>7095</v>
      </c>
      <c r="O541" s="89" t="s">
        <v>703</v>
      </c>
      <c r="P541" s="89" t="s">
        <v>704</v>
      </c>
      <c r="Q541" s="89" t="e">
        <f t="shared" ca="1" si="7"/>
        <v>#NAME?</v>
      </c>
      <c r="R541" s="39" t="s">
        <v>112</v>
      </c>
      <c r="S541" s="89">
        <v>7569238056</v>
      </c>
      <c r="T541" s="90" t="s">
        <v>111</v>
      </c>
      <c r="U541" s="89">
        <v>2013</v>
      </c>
      <c r="V541" s="99">
        <v>-1</v>
      </c>
      <c r="W541" s="95">
        <v>-1</v>
      </c>
      <c r="X541" s="95">
        <v>-1</v>
      </c>
      <c r="Y541" s="95">
        <v>-1</v>
      </c>
      <c r="Z541" s="95">
        <v>-1</v>
      </c>
      <c r="AA541" s="95">
        <v>-1</v>
      </c>
      <c r="AB541" s="95">
        <v>-1</v>
      </c>
      <c r="AC541" s="95">
        <v>-1</v>
      </c>
      <c r="AD541" s="95">
        <v>-1</v>
      </c>
      <c r="AE541" s="95">
        <v>-1</v>
      </c>
      <c r="AF541" s="95">
        <v>-1</v>
      </c>
      <c r="AG541" s="95">
        <v>-1</v>
      </c>
      <c r="AH541" s="95">
        <v>-1</v>
      </c>
      <c r="AI541" s="96">
        <v>-1</v>
      </c>
      <c r="AJ541" s="89"/>
      <c r="AK541" s="89"/>
      <c r="AL541" s="89"/>
      <c r="AM541" s="89"/>
      <c r="AN541" s="89"/>
      <c r="AO541" s="89"/>
      <c r="AP541" s="89"/>
      <c r="AQ541" s="89"/>
      <c r="AR541" s="89"/>
      <c r="AS541" s="89"/>
      <c r="AT541" s="89"/>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c r="BQ541" s="89"/>
      <c r="BR541" s="89"/>
      <c r="BS541" s="89"/>
      <c r="BT541" s="89"/>
      <c r="BU541" s="89"/>
      <c r="BV541" s="89"/>
      <c r="BW541" s="89"/>
      <c r="BX541" s="89"/>
      <c r="BY541" s="89"/>
      <c r="BZ541" s="89"/>
      <c r="CA541" s="89"/>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98"/>
      <c r="DA541" s="98"/>
      <c r="DB541" s="98"/>
      <c r="DC541" s="98"/>
      <c r="DD541" s="98"/>
      <c r="DE541" s="98"/>
      <c r="DF541" s="98"/>
      <c r="DG541" s="98"/>
      <c r="DH541" s="98"/>
      <c r="DI541" s="98"/>
      <c r="DJ541" s="98"/>
      <c r="DK541" s="98"/>
      <c r="DL541" s="98"/>
      <c r="DM541" s="98"/>
      <c r="DN541" s="98"/>
      <c r="DO541" s="98"/>
      <c r="DP541" s="98"/>
      <c r="DQ541" s="98"/>
      <c r="DR541" s="98"/>
      <c r="DS541" s="98"/>
      <c r="DT541" s="98"/>
      <c r="DU541" s="98"/>
      <c r="DV541" s="98"/>
      <c r="DW541" s="98"/>
      <c r="DX541" s="98"/>
      <c r="DY541" s="98"/>
      <c r="DZ541" s="98"/>
      <c r="EA541" s="98"/>
      <c r="EB541" s="98"/>
      <c r="EC541" s="98"/>
      <c r="ED541" s="98"/>
    </row>
    <row r="542" spans="1:134" ht="11.25" customHeight="1" x14ac:dyDescent="0.3">
      <c r="A542" s="28" t="e">
        <f t="array" aca="1" ref="A542" ca="1">_xludf.XLOOKUP(S542,Master_Registrations!P:P,Master_Registrations!A:A,"")</f>
        <v>#NAME?</v>
      </c>
      <c r="B542" s="89" t="s">
        <v>182</v>
      </c>
      <c r="C542" s="89">
        <v>2024</v>
      </c>
      <c r="D542" s="89" t="s">
        <v>184</v>
      </c>
      <c r="E542" s="89">
        <v>2</v>
      </c>
      <c r="F542" s="90" t="str">
        <f t="shared" si="8"/>
        <v>VED-01-2024-BR-2</v>
      </c>
      <c r="G542" s="89" t="s">
        <v>4569</v>
      </c>
      <c r="H542" s="90" t="s">
        <v>7096</v>
      </c>
      <c r="I542" s="90"/>
      <c r="J542" s="89" t="s">
        <v>7094</v>
      </c>
      <c r="K542" s="99"/>
      <c r="L542" s="104"/>
      <c r="M542" s="99"/>
      <c r="N542" s="90" t="s">
        <v>7095</v>
      </c>
      <c r="O542" s="89" t="s">
        <v>1081</v>
      </c>
      <c r="P542" s="89" t="s">
        <v>7113</v>
      </c>
      <c r="Q542" s="89" t="e">
        <f t="shared" ca="1" si="7"/>
        <v>#NAME?</v>
      </c>
      <c r="R542" s="39" t="s">
        <v>112</v>
      </c>
      <c r="S542" s="94">
        <v>9966190739</v>
      </c>
      <c r="T542" s="90" t="s">
        <v>111</v>
      </c>
      <c r="U542" s="94">
        <v>2016</v>
      </c>
      <c r="V542" s="99">
        <v>1</v>
      </c>
      <c r="W542" s="95">
        <v>-1</v>
      </c>
      <c r="X542" s="95">
        <v>-1</v>
      </c>
      <c r="Y542" s="95">
        <v>-1</v>
      </c>
      <c r="Z542" s="95">
        <v>-1</v>
      </c>
      <c r="AA542" s="95">
        <v>-1</v>
      </c>
      <c r="AB542" s="95">
        <v>-1</v>
      </c>
      <c r="AC542" s="95">
        <v>-1</v>
      </c>
      <c r="AD542" s="95">
        <v>-1</v>
      </c>
      <c r="AE542" s="99">
        <v>-1</v>
      </c>
      <c r="AF542" s="99">
        <v>-1</v>
      </c>
      <c r="AG542" s="99">
        <v>-1</v>
      </c>
      <c r="AH542" s="95">
        <v>-1</v>
      </c>
      <c r="AI542" s="96">
        <v>-1</v>
      </c>
      <c r="AJ542" s="89"/>
      <c r="AK542" s="89"/>
      <c r="AL542" s="89"/>
      <c r="AM542" s="89"/>
      <c r="AN542" s="89"/>
      <c r="AO542" s="89"/>
      <c r="AP542" s="89"/>
      <c r="AQ542" s="89"/>
      <c r="AR542" s="89"/>
      <c r="AS542" s="89"/>
      <c r="AT542" s="89"/>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c r="BQ542" s="89"/>
      <c r="BR542" s="89"/>
      <c r="BS542" s="89"/>
      <c r="BT542" s="89"/>
      <c r="BU542" s="89"/>
      <c r="BV542" s="89"/>
      <c r="BW542" s="89"/>
      <c r="BX542" s="89"/>
      <c r="BY542" s="89"/>
      <c r="BZ542" s="89"/>
      <c r="CA542" s="89"/>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98"/>
      <c r="DA542" s="98"/>
      <c r="DB542" s="98"/>
      <c r="DC542" s="98"/>
      <c r="DD542" s="98"/>
      <c r="DE542" s="98"/>
      <c r="DF542" s="98"/>
      <c r="DG542" s="98"/>
      <c r="DH542" s="98"/>
      <c r="DI542" s="98"/>
      <c r="DJ542" s="98"/>
      <c r="DK542" s="98"/>
      <c r="DL542" s="98"/>
      <c r="DM542" s="98"/>
      <c r="DN542" s="98"/>
      <c r="DO542" s="98"/>
      <c r="DP542" s="98"/>
      <c r="DQ542" s="98"/>
      <c r="DR542" s="98"/>
      <c r="DS542" s="98"/>
      <c r="DT542" s="98"/>
      <c r="DU542" s="98"/>
      <c r="DV542" s="98"/>
      <c r="DW542" s="98"/>
      <c r="DX542" s="98"/>
      <c r="DY542" s="98"/>
      <c r="DZ542" s="98"/>
      <c r="EA542" s="98"/>
      <c r="EB542" s="98"/>
      <c r="EC542" s="98"/>
      <c r="ED542" s="98"/>
    </row>
    <row r="543" spans="1:134" ht="11.25" customHeight="1" x14ac:dyDescent="0.3">
      <c r="A543" s="28" t="e">
        <f t="array" aca="1" ref="A543" ca="1">_xludf.XLOOKUP(S543,Master_Registrations!P:P,Master_Registrations!A:A,"")</f>
        <v>#NAME?</v>
      </c>
      <c r="B543" s="89" t="s">
        <v>182</v>
      </c>
      <c r="C543" s="89">
        <v>2024</v>
      </c>
      <c r="D543" s="89" t="s">
        <v>184</v>
      </c>
      <c r="E543" s="89">
        <v>2</v>
      </c>
      <c r="F543" s="90" t="str">
        <f t="shared" si="8"/>
        <v>VED-01-2024-BR-2</v>
      </c>
      <c r="G543" s="89" t="s">
        <v>4569</v>
      </c>
      <c r="H543" s="90" t="s">
        <v>7096</v>
      </c>
      <c r="I543" s="90"/>
      <c r="J543" s="89" t="s">
        <v>7094</v>
      </c>
      <c r="K543" s="109"/>
      <c r="L543" s="109"/>
      <c r="M543" s="109"/>
      <c r="N543" s="90" t="s">
        <v>7095</v>
      </c>
      <c r="O543" s="89" t="s">
        <v>758</v>
      </c>
      <c r="P543" s="89" t="s">
        <v>765</v>
      </c>
      <c r="Q543" s="89" t="e">
        <f t="shared" ca="1" si="7"/>
        <v>#NAME?</v>
      </c>
      <c r="R543" s="39" t="s">
        <v>112</v>
      </c>
      <c r="S543" s="89">
        <v>9133099933</v>
      </c>
      <c r="T543" s="90" t="s">
        <v>111</v>
      </c>
      <c r="U543" s="89">
        <v>2010</v>
      </c>
      <c r="V543" s="95">
        <v>-1</v>
      </c>
      <c r="W543" s="95">
        <v>-1</v>
      </c>
      <c r="X543" s="95">
        <v>-1</v>
      </c>
      <c r="Y543" s="95">
        <v>-1</v>
      </c>
      <c r="Z543" s="95">
        <v>-1</v>
      </c>
      <c r="AA543" s="95">
        <v>-1</v>
      </c>
      <c r="AB543" s="95">
        <v>-1</v>
      </c>
      <c r="AC543" s="95">
        <v>-1</v>
      </c>
      <c r="AD543" s="95">
        <v>-1</v>
      </c>
      <c r="AE543" s="95">
        <v>-1</v>
      </c>
      <c r="AF543" s="95">
        <v>-1</v>
      </c>
      <c r="AG543" s="95">
        <v>-1</v>
      </c>
      <c r="AH543" s="95">
        <v>-1</v>
      </c>
      <c r="AI543" s="96">
        <v>-1</v>
      </c>
      <c r="AJ543" s="89"/>
      <c r="AK543" s="89"/>
      <c r="AL543" s="89"/>
      <c r="AM543" s="89"/>
      <c r="AN543" s="89"/>
      <c r="AO543" s="89"/>
      <c r="AP543" s="89"/>
      <c r="AQ543" s="89"/>
      <c r="AR543" s="89"/>
      <c r="AS543" s="89"/>
      <c r="AT543" s="89"/>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c r="BQ543" s="89"/>
      <c r="BR543" s="89"/>
      <c r="BS543" s="89"/>
      <c r="BT543" s="89"/>
      <c r="BU543" s="89"/>
      <c r="BV543" s="89"/>
      <c r="BW543" s="89"/>
      <c r="BX543" s="89"/>
      <c r="BY543" s="89"/>
      <c r="BZ543" s="89"/>
      <c r="CA543" s="89"/>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98"/>
      <c r="DA543" s="98"/>
      <c r="DB543" s="98"/>
      <c r="DC543" s="98"/>
      <c r="DD543" s="98"/>
      <c r="DE543" s="98"/>
      <c r="DF543" s="98"/>
      <c r="DG543" s="98"/>
      <c r="DH543" s="98"/>
      <c r="DI543" s="98"/>
      <c r="DJ543" s="98"/>
      <c r="DK543" s="98"/>
      <c r="DL543" s="98"/>
      <c r="DM543" s="98"/>
      <c r="DN543" s="98"/>
      <c r="DO543" s="98"/>
      <c r="DP543" s="98"/>
      <c r="DQ543" s="98"/>
      <c r="DR543" s="98"/>
      <c r="DS543" s="98"/>
      <c r="DT543" s="98"/>
      <c r="DU543" s="98"/>
      <c r="DV543" s="98"/>
      <c r="DW543" s="98"/>
      <c r="DX543" s="98"/>
      <c r="DY543" s="98"/>
      <c r="DZ543" s="98"/>
      <c r="EA543" s="98"/>
      <c r="EB543" s="98"/>
      <c r="EC543" s="98"/>
      <c r="ED543" s="98"/>
    </row>
    <row r="544" spans="1:134" ht="11.25" customHeight="1" x14ac:dyDescent="0.3">
      <c r="A544" s="28" t="e">
        <f t="array" aca="1" ref="A544" ca="1">_xludf.XLOOKUP(S544,Master_Registrations!P:P,Master_Registrations!A:A,"")</f>
        <v>#NAME?</v>
      </c>
      <c r="B544" s="89" t="s">
        <v>182</v>
      </c>
      <c r="C544" s="89">
        <v>2024</v>
      </c>
      <c r="D544" s="89" t="s">
        <v>184</v>
      </c>
      <c r="E544" s="89">
        <v>2</v>
      </c>
      <c r="F544" s="90" t="str">
        <f t="shared" si="8"/>
        <v>VED-01-2024-BR-2</v>
      </c>
      <c r="G544" s="89" t="s">
        <v>4569</v>
      </c>
      <c r="H544" s="90" t="s">
        <v>7096</v>
      </c>
      <c r="I544" s="90"/>
      <c r="J544" s="89" t="s">
        <v>7094</v>
      </c>
      <c r="K544" s="99"/>
      <c r="L544" s="104"/>
      <c r="M544" s="99"/>
      <c r="N544" s="90" t="s">
        <v>7095</v>
      </c>
      <c r="O544" s="89" t="s">
        <v>695</v>
      </c>
      <c r="P544" s="89" t="s">
        <v>7114</v>
      </c>
      <c r="Q544" s="89" t="e">
        <f t="shared" ca="1" si="7"/>
        <v>#NAME?</v>
      </c>
      <c r="R544" s="39" t="s">
        <v>112</v>
      </c>
      <c r="S544" s="94">
        <v>9885096301</v>
      </c>
      <c r="T544" s="90" t="s">
        <v>111</v>
      </c>
      <c r="U544" s="94">
        <v>2017</v>
      </c>
      <c r="V544" s="99">
        <v>1</v>
      </c>
      <c r="W544" s="95">
        <v>-1</v>
      </c>
      <c r="X544" s="95">
        <v>-1</v>
      </c>
      <c r="Y544" s="95">
        <v>-1</v>
      </c>
      <c r="Z544" s="95">
        <v>-1</v>
      </c>
      <c r="AA544" s="95">
        <v>-1</v>
      </c>
      <c r="AB544" s="95">
        <v>-1</v>
      </c>
      <c r="AC544" s="95">
        <v>-1</v>
      </c>
      <c r="AD544" s="95">
        <v>-1</v>
      </c>
      <c r="AE544" s="99">
        <v>-1</v>
      </c>
      <c r="AF544" s="99">
        <v>-1</v>
      </c>
      <c r="AG544" s="99">
        <v>-1</v>
      </c>
      <c r="AH544" s="95">
        <v>-1</v>
      </c>
      <c r="AI544" s="96">
        <v>-1</v>
      </c>
      <c r="AJ544" s="89"/>
      <c r="AK544" s="89"/>
      <c r="AL544" s="89"/>
      <c r="AM544" s="89"/>
      <c r="AN544" s="89"/>
      <c r="AO544" s="89"/>
      <c r="AP544" s="89"/>
      <c r="AQ544" s="89"/>
      <c r="AR544" s="89"/>
      <c r="AS544" s="89"/>
      <c r="AT544" s="89"/>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c r="BQ544" s="89"/>
      <c r="BR544" s="89"/>
      <c r="BS544" s="89"/>
      <c r="BT544" s="89"/>
      <c r="BU544" s="89"/>
      <c r="BV544" s="89"/>
      <c r="BW544" s="89"/>
      <c r="BX544" s="89"/>
      <c r="BY544" s="89"/>
      <c r="BZ544" s="89"/>
      <c r="CA544" s="89"/>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98"/>
      <c r="DA544" s="98"/>
      <c r="DB544" s="98"/>
      <c r="DC544" s="98"/>
      <c r="DD544" s="98"/>
      <c r="DE544" s="98"/>
      <c r="DF544" s="98"/>
      <c r="DG544" s="98"/>
      <c r="DH544" s="98"/>
      <c r="DI544" s="98"/>
      <c r="DJ544" s="98"/>
      <c r="DK544" s="98"/>
      <c r="DL544" s="98"/>
      <c r="DM544" s="98"/>
      <c r="DN544" s="98"/>
      <c r="DO544" s="98"/>
      <c r="DP544" s="98"/>
      <c r="DQ544" s="98"/>
      <c r="DR544" s="98"/>
      <c r="DS544" s="98"/>
      <c r="DT544" s="98"/>
      <c r="DU544" s="98"/>
      <c r="DV544" s="98"/>
      <c r="DW544" s="98"/>
      <c r="DX544" s="98"/>
      <c r="DY544" s="98"/>
      <c r="DZ544" s="98"/>
      <c r="EA544" s="98"/>
      <c r="EB544" s="98"/>
      <c r="EC544" s="98"/>
      <c r="ED544" s="98"/>
    </row>
    <row r="545" spans="1:134" ht="11.25" customHeight="1" x14ac:dyDescent="0.3">
      <c r="A545" s="28" t="e">
        <f t="array" aca="1" ref="A545" ca="1">_xludf.XLOOKUP(S545,Master_Registrations!P:P,Master_Registrations!A:A,"")</f>
        <v>#NAME?</v>
      </c>
      <c r="B545" s="89" t="s">
        <v>182</v>
      </c>
      <c r="C545" s="89">
        <v>2024</v>
      </c>
      <c r="D545" s="89" t="s">
        <v>184</v>
      </c>
      <c r="E545" s="89">
        <v>2</v>
      </c>
      <c r="F545" s="90" t="str">
        <f t="shared" si="8"/>
        <v>VED-01-2024-BR-2</v>
      </c>
      <c r="G545" s="89" t="s">
        <v>4569</v>
      </c>
      <c r="H545" s="90" t="s">
        <v>7096</v>
      </c>
      <c r="I545" s="90"/>
      <c r="J545" s="89" t="s">
        <v>7094</v>
      </c>
      <c r="K545" s="109"/>
      <c r="L545" s="109"/>
      <c r="M545" s="109"/>
      <c r="N545" s="90" t="s">
        <v>7095</v>
      </c>
      <c r="O545" s="89" t="s">
        <v>6504</v>
      </c>
      <c r="P545" s="89" t="s">
        <v>1190</v>
      </c>
      <c r="Q545" s="89" t="e">
        <f t="shared" ca="1" si="7"/>
        <v>#NAME?</v>
      </c>
      <c r="R545" s="39" t="s">
        <v>112</v>
      </c>
      <c r="S545" s="89">
        <v>9848789953</v>
      </c>
      <c r="T545" s="90" t="s">
        <v>111</v>
      </c>
      <c r="U545" s="89">
        <v>2011</v>
      </c>
      <c r="V545" s="95">
        <v>-1</v>
      </c>
      <c r="W545" s="95">
        <v>-1</v>
      </c>
      <c r="X545" s="95">
        <v>-1</v>
      </c>
      <c r="Y545" s="95">
        <v>-1</v>
      </c>
      <c r="Z545" s="95">
        <v>-1</v>
      </c>
      <c r="AA545" s="95">
        <v>-1</v>
      </c>
      <c r="AB545" s="95">
        <v>-1</v>
      </c>
      <c r="AC545" s="95">
        <v>-1</v>
      </c>
      <c r="AD545" s="95">
        <v>-1</v>
      </c>
      <c r="AE545" s="95">
        <v>-1</v>
      </c>
      <c r="AF545" s="95">
        <v>-1</v>
      </c>
      <c r="AG545" s="95">
        <v>-1</v>
      </c>
      <c r="AH545" s="95">
        <v>-1</v>
      </c>
      <c r="AI545" s="96">
        <v>-1</v>
      </c>
      <c r="AJ545" s="89"/>
      <c r="AK545" s="89"/>
      <c r="AL545" s="89"/>
      <c r="AM545" s="89"/>
      <c r="AN545" s="89"/>
      <c r="AO545" s="89"/>
      <c r="AP545" s="89"/>
      <c r="AQ545" s="89"/>
      <c r="AR545" s="89"/>
      <c r="AS545" s="89"/>
      <c r="AT545" s="89"/>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c r="BQ545" s="89"/>
      <c r="BR545" s="89"/>
      <c r="BS545" s="89"/>
      <c r="BT545" s="89"/>
      <c r="BU545" s="89"/>
      <c r="BV545" s="89"/>
      <c r="BW545" s="89"/>
      <c r="BX545" s="89"/>
      <c r="BY545" s="89"/>
      <c r="BZ545" s="89"/>
      <c r="CA545" s="89"/>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98"/>
      <c r="DA545" s="98"/>
      <c r="DB545" s="98"/>
      <c r="DC545" s="98"/>
      <c r="DD545" s="98"/>
      <c r="DE545" s="98"/>
      <c r="DF545" s="98"/>
      <c r="DG545" s="98"/>
      <c r="DH545" s="98"/>
      <c r="DI545" s="98"/>
      <c r="DJ545" s="98"/>
      <c r="DK545" s="98"/>
      <c r="DL545" s="98"/>
      <c r="DM545" s="98"/>
      <c r="DN545" s="98"/>
      <c r="DO545" s="98"/>
      <c r="DP545" s="98"/>
      <c r="DQ545" s="98"/>
      <c r="DR545" s="98"/>
      <c r="DS545" s="98"/>
      <c r="DT545" s="98"/>
      <c r="DU545" s="98"/>
      <c r="DV545" s="98"/>
      <c r="DW545" s="98"/>
      <c r="DX545" s="98"/>
      <c r="DY545" s="98"/>
      <c r="DZ545" s="98"/>
      <c r="EA545" s="98"/>
      <c r="EB545" s="98"/>
      <c r="EC545" s="98"/>
      <c r="ED545" s="98"/>
    </row>
    <row r="546" spans="1:134" ht="11.25" customHeight="1" x14ac:dyDescent="0.3">
      <c r="A546" s="28" t="e">
        <f t="array" aca="1" ref="A546" ca="1">_xludf.XLOOKUP(S546,Master_Registrations!P:P,Master_Registrations!A:A,"")</f>
        <v>#NAME?</v>
      </c>
      <c r="B546" s="89" t="s">
        <v>182</v>
      </c>
      <c r="C546" s="89">
        <v>2024</v>
      </c>
      <c r="D546" s="89" t="s">
        <v>184</v>
      </c>
      <c r="E546" s="89">
        <v>2</v>
      </c>
      <c r="F546" s="90" t="str">
        <f t="shared" si="8"/>
        <v>VED-01-2024-BR-2</v>
      </c>
      <c r="G546" s="89" t="s">
        <v>4569</v>
      </c>
      <c r="H546" s="90" t="s">
        <v>7096</v>
      </c>
      <c r="I546" s="90"/>
      <c r="J546" s="89" t="s">
        <v>7094</v>
      </c>
      <c r="K546" s="109"/>
      <c r="L546" s="99"/>
      <c r="M546" s="99"/>
      <c r="N546" s="90" t="s">
        <v>7095</v>
      </c>
      <c r="O546" s="89" t="s">
        <v>1044</v>
      </c>
      <c r="P546" s="89" t="s">
        <v>718</v>
      </c>
      <c r="Q546" s="89" t="e">
        <f t="shared" ca="1" si="7"/>
        <v>#NAME?</v>
      </c>
      <c r="R546" s="39" t="s">
        <v>112</v>
      </c>
      <c r="S546" s="89">
        <v>9491340827</v>
      </c>
      <c r="T546" s="90" t="s">
        <v>111</v>
      </c>
      <c r="U546" s="89">
        <v>2015</v>
      </c>
      <c r="V546" s="99">
        <v>-1</v>
      </c>
      <c r="W546" s="95">
        <v>-1</v>
      </c>
      <c r="X546" s="95">
        <v>-1</v>
      </c>
      <c r="Y546" s="95">
        <v>-1</v>
      </c>
      <c r="Z546" s="95">
        <v>-1</v>
      </c>
      <c r="AA546" s="95">
        <v>-1</v>
      </c>
      <c r="AB546" s="95">
        <v>-1</v>
      </c>
      <c r="AC546" s="95">
        <v>-1</v>
      </c>
      <c r="AD546" s="95">
        <v>-1</v>
      </c>
      <c r="AE546" s="95">
        <v>-1</v>
      </c>
      <c r="AF546" s="95">
        <v>-1</v>
      </c>
      <c r="AG546" s="95">
        <v>-1</v>
      </c>
      <c r="AH546" s="95">
        <v>-1</v>
      </c>
      <c r="AI546" s="96">
        <v>-1</v>
      </c>
      <c r="AJ546" s="89"/>
      <c r="AK546" s="89"/>
      <c r="AL546" s="89"/>
      <c r="AM546" s="89"/>
      <c r="AN546" s="89"/>
      <c r="AO546" s="89"/>
      <c r="AP546" s="89"/>
      <c r="AQ546" s="89"/>
      <c r="AR546" s="89"/>
      <c r="AS546" s="89"/>
      <c r="AT546" s="89"/>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89"/>
      <c r="BS546" s="89"/>
      <c r="BT546" s="89"/>
      <c r="BU546" s="89"/>
      <c r="BV546" s="89"/>
      <c r="BW546" s="89"/>
      <c r="BX546" s="89"/>
      <c r="BY546" s="89"/>
      <c r="BZ546" s="89"/>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98"/>
      <c r="DA546" s="98"/>
      <c r="DB546" s="98"/>
      <c r="DC546" s="98"/>
      <c r="DD546" s="98"/>
      <c r="DE546" s="98"/>
      <c r="DF546" s="98"/>
      <c r="DG546" s="98"/>
      <c r="DH546" s="98"/>
      <c r="DI546" s="98"/>
      <c r="DJ546" s="98"/>
      <c r="DK546" s="98"/>
      <c r="DL546" s="98"/>
      <c r="DM546" s="98"/>
      <c r="DN546" s="98"/>
      <c r="DO546" s="98"/>
      <c r="DP546" s="98"/>
      <c r="DQ546" s="98"/>
      <c r="DR546" s="98"/>
      <c r="DS546" s="98"/>
      <c r="DT546" s="98"/>
      <c r="DU546" s="98"/>
      <c r="DV546" s="98"/>
      <c r="DW546" s="98"/>
      <c r="DX546" s="98"/>
      <c r="DY546" s="98"/>
      <c r="DZ546" s="98"/>
      <c r="EA546" s="98"/>
      <c r="EB546" s="98"/>
      <c r="EC546" s="98"/>
      <c r="ED546" s="98"/>
    </row>
    <row r="547" spans="1:134" ht="11.25" customHeight="1" x14ac:dyDescent="0.3">
      <c r="A547" s="28" t="e">
        <f t="array" aca="1" ref="A547" ca="1">_xludf.XLOOKUP(S547,Master_Registrations!P:P,Master_Registrations!A:A,"")</f>
        <v>#NAME?</v>
      </c>
      <c r="B547" s="89" t="s">
        <v>182</v>
      </c>
      <c r="C547" s="89">
        <v>2024</v>
      </c>
      <c r="D547" s="89" t="s">
        <v>184</v>
      </c>
      <c r="E547" s="89">
        <v>2</v>
      </c>
      <c r="F547" s="90" t="str">
        <f t="shared" si="8"/>
        <v>VED-01-2024-BR-2</v>
      </c>
      <c r="G547" s="89" t="s">
        <v>4569</v>
      </c>
      <c r="H547" s="90" t="s">
        <v>7096</v>
      </c>
      <c r="I547" s="90"/>
      <c r="J547" s="89" t="s">
        <v>7094</v>
      </c>
      <c r="K547" s="101"/>
      <c r="L547" s="101"/>
      <c r="M547" s="101"/>
      <c r="N547" s="90" t="s">
        <v>7095</v>
      </c>
      <c r="O547" s="89" t="s">
        <v>1053</v>
      </c>
      <c r="P547" s="89" t="s">
        <v>1054</v>
      </c>
      <c r="Q547" s="89" t="e">
        <f t="shared" ca="1" si="7"/>
        <v>#NAME?</v>
      </c>
      <c r="R547" s="39" t="s">
        <v>316</v>
      </c>
      <c r="S547" s="94">
        <v>3653557220</v>
      </c>
      <c r="T547" s="90" t="s">
        <v>402</v>
      </c>
      <c r="U547" s="94">
        <v>2010</v>
      </c>
      <c r="V547" s="99">
        <v>-1</v>
      </c>
      <c r="W547" s="95">
        <v>-1</v>
      </c>
      <c r="X547" s="96">
        <v>-1</v>
      </c>
      <c r="Y547" s="96">
        <v>-1</v>
      </c>
      <c r="Z547" s="96">
        <v>-1</v>
      </c>
      <c r="AA547" s="96">
        <v>-1</v>
      </c>
      <c r="AB547" s="96">
        <v>-1</v>
      </c>
      <c r="AC547" s="95">
        <v>-1</v>
      </c>
      <c r="AD547" s="95">
        <v>-1</v>
      </c>
      <c r="AE547" s="95">
        <v>-1</v>
      </c>
      <c r="AF547" s="95">
        <v>-1</v>
      </c>
      <c r="AG547" s="95">
        <v>-1</v>
      </c>
      <c r="AH547" s="95">
        <v>-1</v>
      </c>
      <c r="AI547" s="96">
        <v>-1</v>
      </c>
      <c r="AJ547" s="89"/>
      <c r="AK547" s="89"/>
      <c r="AL547" s="89"/>
      <c r="AM547" s="89"/>
      <c r="AN547" s="89"/>
      <c r="AO547" s="89"/>
      <c r="AP547" s="89"/>
      <c r="AQ547" s="89"/>
      <c r="AR547" s="89"/>
      <c r="AS547" s="89"/>
      <c r="AT547" s="89"/>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c r="BQ547" s="89"/>
      <c r="BR547" s="89"/>
      <c r="BS547" s="89"/>
      <c r="BT547" s="89"/>
      <c r="BU547" s="89"/>
      <c r="BV547" s="89"/>
      <c r="BW547" s="89"/>
      <c r="BX547" s="89"/>
      <c r="BY547" s="89"/>
      <c r="BZ547" s="89"/>
      <c r="CA547" s="89"/>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98"/>
      <c r="DA547" s="98"/>
      <c r="DB547" s="98"/>
      <c r="DC547" s="98"/>
      <c r="DD547" s="98"/>
      <c r="DE547" s="98"/>
      <c r="DF547" s="98"/>
      <c r="DG547" s="98"/>
      <c r="DH547" s="98"/>
      <c r="DI547" s="98"/>
      <c r="DJ547" s="98"/>
      <c r="DK547" s="98"/>
      <c r="DL547" s="98"/>
      <c r="DM547" s="98"/>
      <c r="DN547" s="98"/>
      <c r="DO547" s="98"/>
      <c r="DP547" s="98"/>
      <c r="DQ547" s="98"/>
      <c r="DR547" s="98"/>
      <c r="DS547" s="98"/>
      <c r="DT547" s="98"/>
      <c r="DU547" s="98"/>
      <c r="DV547" s="98"/>
      <c r="DW547" s="98"/>
      <c r="DX547" s="98"/>
      <c r="DY547" s="98"/>
      <c r="DZ547" s="98"/>
      <c r="EA547" s="98"/>
      <c r="EB547" s="98"/>
      <c r="EC547" s="98"/>
      <c r="ED547" s="98"/>
    </row>
    <row r="548" spans="1:134" ht="11.25" customHeight="1" x14ac:dyDescent="0.3">
      <c r="A548" s="28" t="e">
        <f t="array" aca="1" ref="A548" ca="1">_xludf.XLOOKUP(S548,Master_Registrations!P:P,Master_Registrations!A:A,"")</f>
        <v>#NAME?</v>
      </c>
      <c r="B548" s="89" t="s">
        <v>182</v>
      </c>
      <c r="C548" s="89">
        <v>2024</v>
      </c>
      <c r="D548" s="89" t="s">
        <v>184</v>
      </c>
      <c r="E548" s="89">
        <v>2</v>
      </c>
      <c r="F548" s="90" t="str">
        <f t="shared" si="8"/>
        <v>VED-01-2024-BR-2</v>
      </c>
      <c r="G548" s="89" t="s">
        <v>4569</v>
      </c>
      <c r="H548" s="90" t="s">
        <v>7096</v>
      </c>
      <c r="I548" s="90"/>
      <c r="J548" s="89" t="s">
        <v>7094</v>
      </c>
      <c r="K548" s="109"/>
      <c r="L548" s="99"/>
      <c r="M548" s="99"/>
      <c r="N548" s="90" t="s">
        <v>7095</v>
      </c>
      <c r="O548" s="89" t="s">
        <v>7115</v>
      </c>
      <c r="P548" s="89" t="s">
        <v>7116</v>
      </c>
      <c r="Q548" s="89" t="e">
        <f t="shared" ca="1" si="7"/>
        <v>#NAME?</v>
      </c>
      <c r="R548" s="39" t="s">
        <v>112</v>
      </c>
      <c r="S548" s="89">
        <v>9573826562</v>
      </c>
      <c r="T548" s="90" t="s">
        <v>111</v>
      </c>
      <c r="U548" s="89">
        <v>2015</v>
      </c>
      <c r="V548" s="99">
        <v>-1</v>
      </c>
      <c r="W548" s="95">
        <v>-1</v>
      </c>
      <c r="X548" s="95">
        <v>-1</v>
      </c>
      <c r="Y548" s="95">
        <v>-1</v>
      </c>
      <c r="Z548" s="95">
        <v>-1</v>
      </c>
      <c r="AA548" s="95">
        <v>-1</v>
      </c>
      <c r="AB548" s="95">
        <v>-1</v>
      </c>
      <c r="AC548" s="95">
        <v>-1</v>
      </c>
      <c r="AD548" s="95">
        <v>-1</v>
      </c>
      <c r="AE548" s="95">
        <v>-1</v>
      </c>
      <c r="AF548" s="95">
        <v>-1</v>
      </c>
      <c r="AG548" s="95">
        <v>-1</v>
      </c>
      <c r="AH548" s="95">
        <v>-1</v>
      </c>
      <c r="AI548" s="96">
        <v>-1</v>
      </c>
      <c r="AJ548" s="89"/>
      <c r="AK548" s="89"/>
      <c r="AL548" s="89"/>
      <c r="AM548" s="89"/>
      <c r="AN548" s="89"/>
      <c r="AO548" s="89"/>
      <c r="AP548" s="89"/>
      <c r="AQ548" s="89"/>
      <c r="AR548" s="89"/>
      <c r="AS548" s="89"/>
      <c r="AT548" s="89"/>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c r="BQ548" s="89"/>
      <c r="BR548" s="89"/>
      <c r="BS548" s="89"/>
      <c r="BT548" s="89"/>
      <c r="BU548" s="89"/>
      <c r="BV548" s="89"/>
      <c r="BW548" s="89"/>
      <c r="BX548" s="89"/>
      <c r="BY548" s="89"/>
      <c r="BZ548" s="89"/>
      <c r="CA548" s="89"/>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98"/>
      <c r="DA548" s="98"/>
      <c r="DB548" s="98"/>
      <c r="DC548" s="98"/>
      <c r="DD548" s="98"/>
      <c r="DE548" s="98"/>
      <c r="DF548" s="98"/>
      <c r="DG548" s="98"/>
      <c r="DH548" s="98"/>
      <c r="DI548" s="98"/>
      <c r="DJ548" s="98"/>
      <c r="DK548" s="98"/>
      <c r="DL548" s="98"/>
      <c r="DM548" s="98"/>
      <c r="DN548" s="98"/>
      <c r="DO548" s="98"/>
      <c r="DP548" s="98"/>
      <c r="DQ548" s="98"/>
      <c r="DR548" s="98"/>
      <c r="DS548" s="98"/>
      <c r="DT548" s="98"/>
      <c r="DU548" s="98"/>
      <c r="DV548" s="98"/>
      <c r="DW548" s="98"/>
      <c r="DX548" s="98"/>
      <c r="DY548" s="98"/>
      <c r="DZ548" s="98"/>
      <c r="EA548" s="98"/>
      <c r="EB548" s="98"/>
      <c r="EC548" s="98"/>
      <c r="ED548" s="98"/>
    </row>
    <row r="549" spans="1:134" ht="11.25" customHeight="1" x14ac:dyDescent="0.3">
      <c r="A549" s="28" t="e">
        <f t="array" aca="1" ref="A549" ca="1">_xludf.XLOOKUP(S549,Master_Registrations!P:P,Master_Registrations!A:A,"")</f>
        <v>#NAME?</v>
      </c>
      <c r="B549" s="89" t="s">
        <v>182</v>
      </c>
      <c r="C549" s="89">
        <v>2024</v>
      </c>
      <c r="D549" s="89" t="s">
        <v>4886</v>
      </c>
      <c r="E549" s="89">
        <v>1</v>
      </c>
      <c r="F549" s="90" t="str">
        <f t="shared" si="8"/>
        <v>VED-01-2024-GR-1</v>
      </c>
      <c r="G549" s="89" t="s">
        <v>7073</v>
      </c>
      <c r="H549" s="89" t="s">
        <v>7117</v>
      </c>
      <c r="I549" s="89"/>
      <c r="J549" s="89" t="s">
        <v>7094</v>
      </c>
      <c r="K549" s="99"/>
      <c r="L549" s="104"/>
      <c r="M549" s="99"/>
      <c r="N549" s="90" t="s">
        <v>7095</v>
      </c>
      <c r="O549" s="89" t="s">
        <v>695</v>
      </c>
      <c r="P549" s="89" t="s">
        <v>696</v>
      </c>
      <c r="Q549" s="89" t="e">
        <f t="shared" ca="1" si="7"/>
        <v>#NAME?</v>
      </c>
      <c r="R549" s="39" t="s">
        <v>112</v>
      </c>
      <c r="S549" s="105">
        <v>9100402750</v>
      </c>
      <c r="T549" s="90" t="s">
        <v>111</v>
      </c>
      <c r="U549" s="89">
        <v>1982</v>
      </c>
      <c r="V549" s="99">
        <v>1</v>
      </c>
      <c r="W549" s="99">
        <v>1</v>
      </c>
      <c r="X549" s="99">
        <v>-1</v>
      </c>
      <c r="Y549" s="99">
        <v>-1</v>
      </c>
      <c r="Z549" s="99">
        <v>-1</v>
      </c>
      <c r="AA549" s="99">
        <v>-1</v>
      </c>
      <c r="AB549" s="99">
        <v>-1</v>
      </c>
      <c r="AC549" s="95">
        <v>-1</v>
      </c>
      <c r="AD549" s="95">
        <v>-1</v>
      </c>
      <c r="AE549" s="99">
        <v>1</v>
      </c>
      <c r="AF549" s="99">
        <v>-1</v>
      </c>
      <c r="AG549" s="99">
        <v>-1</v>
      </c>
      <c r="AH549" s="99">
        <v>-1</v>
      </c>
      <c r="AI549" s="95">
        <v>-1</v>
      </c>
      <c r="AJ549" s="99">
        <v>-1</v>
      </c>
      <c r="AK549" s="99">
        <v>-1</v>
      </c>
      <c r="AL549" s="99">
        <v>-1</v>
      </c>
      <c r="AM549" s="99">
        <v>-1</v>
      </c>
      <c r="AN549" s="99">
        <v>-1</v>
      </c>
      <c r="AO549" s="99">
        <v>-1</v>
      </c>
      <c r="AP549" s="95">
        <v>-1</v>
      </c>
      <c r="AQ549" s="99">
        <v>-1</v>
      </c>
      <c r="AR549" s="99">
        <v>-1</v>
      </c>
      <c r="AS549" s="99">
        <v>-1</v>
      </c>
      <c r="AT549" s="99">
        <v>-1</v>
      </c>
      <c r="AU549" s="99">
        <v>-1</v>
      </c>
      <c r="AV549" s="95">
        <v>-1</v>
      </c>
      <c r="AW549" s="89"/>
      <c r="AX549" s="89"/>
      <c r="AY549" s="89"/>
      <c r="AZ549" s="89"/>
      <c r="BA549" s="89"/>
      <c r="BB549" s="89"/>
      <c r="BC549" s="89"/>
      <c r="BD549" s="89"/>
      <c r="BE549" s="89"/>
      <c r="BF549" s="89"/>
      <c r="BG549" s="95">
        <v>-1</v>
      </c>
      <c r="BH549" s="95">
        <v>-1</v>
      </c>
      <c r="BI549" s="95">
        <v>-1</v>
      </c>
      <c r="BJ549" s="95">
        <v>-1</v>
      </c>
      <c r="BK549" s="95">
        <v>-1</v>
      </c>
      <c r="BL549" s="95">
        <v>-1</v>
      </c>
      <c r="BM549" s="95">
        <v>-1</v>
      </c>
      <c r="BN549" s="89"/>
      <c r="BO549" s="89"/>
      <c r="BP549" s="89"/>
      <c r="BQ549" s="89"/>
      <c r="BR549" s="89"/>
      <c r="BS549" s="89"/>
      <c r="BT549" s="89"/>
      <c r="BU549" s="89"/>
      <c r="BV549" s="89"/>
      <c r="BW549" s="89"/>
      <c r="BX549" s="89"/>
      <c r="BY549" s="89"/>
      <c r="BZ549" s="89"/>
      <c r="CA549" s="89"/>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98"/>
      <c r="DA549" s="98"/>
      <c r="DB549" s="98"/>
      <c r="DC549" s="98"/>
      <c r="DD549" s="98"/>
      <c r="DE549" s="98"/>
      <c r="DF549" s="98"/>
      <c r="DG549" s="98"/>
      <c r="DH549" s="98"/>
      <c r="DI549" s="98"/>
      <c r="DJ549" s="98"/>
      <c r="DK549" s="98"/>
      <c r="DL549" s="98"/>
      <c r="DM549" s="98"/>
      <c r="DN549" s="98"/>
      <c r="DO549" s="98"/>
      <c r="DP549" s="98"/>
      <c r="DQ549" s="98"/>
      <c r="DR549" s="98"/>
      <c r="DS549" s="98"/>
      <c r="DT549" s="98"/>
      <c r="DU549" s="98"/>
      <c r="DV549" s="98"/>
      <c r="DW549" s="98"/>
      <c r="DX549" s="98"/>
      <c r="DY549" s="98"/>
      <c r="DZ549" s="98"/>
      <c r="EA549" s="98"/>
      <c r="EB549" s="98"/>
      <c r="EC549" s="98"/>
      <c r="ED549" s="98"/>
    </row>
    <row r="550" spans="1:134" ht="11.25" customHeight="1" x14ac:dyDescent="0.3">
      <c r="A550" s="28" t="e">
        <f t="array" aca="1" ref="A550" ca="1">_xludf.XLOOKUP(S550,Master_Registrations!P:P,Master_Registrations!A:A,"")</f>
        <v>#NAME?</v>
      </c>
      <c r="B550" s="89" t="s">
        <v>182</v>
      </c>
      <c r="C550" s="89">
        <v>2024</v>
      </c>
      <c r="D550" s="89" t="s">
        <v>4886</v>
      </c>
      <c r="E550" s="89">
        <v>1</v>
      </c>
      <c r="F550" s="90" t="str">
        <f t="shared" si="8"/>
        <v>VED-01-2024-GR-1</v>
      </c>
      <c r="G550" s="89" t="s">
        <v>7073</v>
      </c>
      <c r="H550" s="89" t="s">
        <v>5323</v>
      </c>
      <c r="I550" s="89"/>
      <c r="J550" s="89" t="s">
        <v>7094</v>
      </c>
      <c r="K550" s="104"/>
      <c r="L550" s="104"/>
      <c r="M550" s="99"/>
      <c r="N550" s="90" t="s">
        <v>7095</v>
      </c>
      <c r="O550" s="89" t="s">
        <v>957</v>
      </c>
      <c r="P550" s="89" t="s">
        <v>958</v>
      </c>
      <c r="Q550" s="89" t="e">
        <f t="shared" ca="1" si="7"/>
        <v>#NAME?</v>
      </c>
      <c r="R550" s="39" t="s">
        <v>112</v>
      </c>
      <c r="S550" s="105">
        <v>9490366695</v>
      </c>
      <c r="T550" s="90" t="s">
        <v>111</v>
      </c>
      <c r="U550" s="89">
        <v>1963</v>
      </c>
      <c r="V550" s="99">
        <v>1</v>
      </c>
      <c r="W550" s="99">
        <v>1</v>
      </c>
      <c r="X550" s="99">
        <v>-1</v>
      </c>
      <c r="Y550" s="99">
        <v>-1</v>
      </c>
      <c r="Z550" s="99">
        <v>-1</v>
      </c>
      <c r="AA550" s="99">
        <v>-1</v>
      </c>
      <c r="AB550" s="99">
        <v>-1</v>
      </c>
      <c r="AC550" s="95">
        <v>-1</v>
      </c>
      <c r="AD550" s="95">
        <v>-1</v>
      </c>
      <c r="AE550" s="99">
        <v>1</v>
      </c>
      <c r="AF550" s="99">
        <v>1</v>
      </c>
      <c r="AG550" s="99">
        <v>1</v>
      </c>
      <c r="AH550" s="99">
        <v>-1</v>
      </c>
      <c r="AI550" s="95">
        <v>-1</v>
      </c>
      <c r="AJ550" s="99">
        <v>-1</v>
      </c>
      <c r="AK550" s="99">
        <v>-1</v>
      </c>
      <c r="AL550" s="99">
        <v>-1</v>
      </c>
      <c r="AM550" s="99">
        <v>-1</v>
      </c>
      <c r="AN550" s="99">
        <v>-1</v>
      </c>
      <c r="AO550" s="99">
        <v>-1</v>
      </c>
      <c r="AP550" s="99">
        <v>-1</v>
      </c>
      <c r="AQ550" s="99">
        <v>-1</v>
      </c>
      <c r="AR550" s="99">
        <v>-1</v>
      </c>
      <c r="AS550" s="99">
        <v>-1</v>
      </c>
      <c r="AT550" s="99">
        <v>-1</v>
      </c>
      <c r="AU550" s="99">
        <v>-1</v>
      </c>
      <c r="AV550" s="95">
        <v>-1</v>
      </c>
      <c r="AW550" s="89"/>
      <c r="AX550" s="89"/>
      <c r="AY550" s="89"/>
      <c r="AZ550" s="89"/>
      <c r="BA550" s="89"/>
      <c r="BB550" s="89"/>
      <c r="BC550" s="89"/>
      <c r="BD550" s="89"/>
      <c r="BE550" s="89"/>
      <c r="BF550" s="89"/>
      <c r="BG550" s="89"/>
      <c r="BH550" s="89"/>
      <c r="BI550" s="89"/>
      <c r="BJ550" s="89"/>
      <c r="BK550" s="89"/>
      <c r="BL550" s="89"/>
      <c r="BM550" s="89"/>
      <c r="BN550" s="89"/>
      <c r="BO550" s="89"/>
      <c r="BP550" s="89"/>
      <c r="BQ550" s="89"/>
      <c r="BR550" s="89"/>
      <c r="BS550" s="89"/>
      <c r="BT550" s="89"/>
      <c r="BU550" s="89"/>
      <c r="BV550" s="89"/>
      <c r="BW550" s="89"/>
      <c r="BX550" s="89"/>
      <c r="BY550" s="89"/>
      <c r="BZ550" s="89"/>
      <c r="CA550" s="89"/>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98"/>
      <c r="DA550" s="98"/>
      <c r="DB550" s="98"/>
      <c r="DC550" s="98"/>
      <c r="DD550" s="98"/>
      <c r="DE550" s="98"/>
      <c r="DF550" s="98"/>
      <c r="DG550" s="98"/>
      <c r="DH550" s="98"/>
      <c r="DI550" s="98"/>
      <c r="DJ550" s="98"/>
      <c r="DK550" s="98"/>
      <c r="DL550" s="98"/>
      <c r="DM550" s="98"/>
      <c r="DN550" s="98"/>
      <c r="DO550" s="98"/>
      <c r="DP550" s="98"/>
      <c r="DQ550" s="98"/>
      <c r="DR550" s="98"/>
      <c r="DS550" s="98"/>
      <c r="DT550" s="98"/>
      <c r="DU550" s="98"/>
      <c r="DV550" s="98"/>
      <c r="DW550" s="98"/>
      <c r="DX550" s="98"/>
      <c r="DY550" s="98"/>
      <c r="DZ550" s="98"/>
      <c r="EA550" s="98"/>
      <c r="EB550" s="98"/>
      <c r="EC550" s="98"/>
      <c r="ED550" s="98"/>
    </row>
    <row r="551" spans="1:134" ht="11.25" customHeight="1" x14ac:dyDescent="0.3">
      <c r="A551" s="28" t="e">
        <f t="array" aca="1" ref="A551" ca="1">_xludf.XLOOKUP(S551,Master_Registrations!P:P,Master_Registrations!A:A,"")</f>
        <v>#NAME?</v>
      </c>
      <c r="B551" s="89" t="s">
        <v>182</v>
      </c>
      <c r="C551" s="89">
        <v>2024</v>
      </c>
      <c r="D551" s="89" t="s">
        <v>4886</v>
      </c>
      <c r="E551" s="89">
        <v>12</v>
      </c>
      <c r="F551" s="90" t="str">
        <f t="shared" si="8"/>
        <v>VED-01-2024-GR-12</v>
      </c>
      <c r="G551" s="89" t="s">
        <v>7066</v>
      </c>
      <c r="H551" s="89" t="s">
        <v>2109</v>
      </c>
      <c r="I551" s="89"/>
      <c r="J551" s="89" t="s">
        <v>7094</v>
      </c>
      <c r="K551" s="104">
        <v>-1</v>
      </c>
      <c r="L551" s="99">
        <v>1</v>
      </c>
      <c r="M551" s="110">
        <v>-1</v>
      </c>
      <c r="N551" s="90" t="s">
        <v>7095</v>
      </c>
      <c r="O551" s="89" t="s">
        <v>679</v>
      </c>
      <c r="P551" s="89" t="s">
        <v>688</v>
      </c>
      <c r="Q551" s="89" t="e">
        <f t="shared" ca="1" si="7"/>
        <v>#NAME?</v>
      </c>
      <c r="R551" s="39" t="s">
        <v>112</v>
      </c>
      <c r="S551" s="105">
        <v>9885571274</v>
      </c>
      <c r="T551" s="90" t="s">
        <v>111</v>
      </c>
      <c r="U551" s="89">
        <v>1974</v>
      </c>
      <c r="V551" s="95">
        <v>-1</v>
      </c>
      <c r="W551" s="95">
        <v>-1</v>
      </c>
      <c r="X551" s="99">
        <v>-1</v>
      </c>
      <c r="Y551" s="99">
        <v>-1</v>
      </c>
      <c r="Z551" s="99">
        <v>-1</v>
      </c>
      <c r="AA551" s="95">
        <v>-1</v>
      </c>
      <c r="AB551" s="99">
        <v>-1</v>
      </c>
      <c r="AC551" s="95">
        <v>-1</v>
      </c>
      <c r="AD551" s="95">
        <v>-1</v>
      </c>
      <c r="AE551" s="95">
        <v>-1</v>
      </c>
      <c r="AF551" s="95">
        <v>-1</v>
      </c>
      <c r="AG551" s="95">
        <v>-1</v>
      </c>
      <c r="AH551" s="95">
        <v>-1</v>
      </c>
      <c r="AI551" s="95">
        <v>-1</v>
      </c>
      <c r="AJ551" s="95">
        <v>-1</v>
      </c>
      <c r="AK551" s="95">
        <v>-1</v>
      </c>
      <c r="AL551" s="95">
        <v>-1</v>
      </c>
      <c r="AM551" s="95">
        <v>-1</v>
      </c>
      <c r="AN551" s="95">
        <v>-1</v>
      </c>
      <c r="AO551" s="95">
        <v>-1</v>
      </c>
      <c r="AP551" s="95">
        <v>-1</v>
      </c>
      <c r="AQ551" s="95">
        <v>-1</v>
      </c>
      <c r="AR551" s="95">
        <v>-1</v>
      </c>
      <c r="AS551" s="95">
        <v>-1</v>
      </c>
      <c r="AT551" s="95">
        <v>-1</v>
      </c>
      <c r="AU551" s="95">
        <v>-1</v>
      </c>
      <c r="AV551" s="95">
        <v>-1</v>
      </c>
      <c r="AW551" s="95">
        <v>-1</v>
      </c>
      <c r="AX551" s="95">
        <v>-1</v>
      </c>
      <c r="AY551" s="95">
        <v>-1</v>
      </c>
      <c r="AZ551" s="95">
        <v>-1</v>
      </c>
      <c r="BA551" s="95">
        <v>-1</v>
      </c>
      <c r="BB551" s="95">
        <v>-1</v>
      </c>
      <c r="BC551" s="95">
        <v>-1</v>
      </c>
      <c r="BD551" s="95">
        <v>-1</v>
      </c>
      <c r="BE551" s="95">
        <v>-1</v>
      </c>
      <c r="BF551" s="95">
        <v>-1</v>
      </c>
      <c r="BG551" s="95">
        <v>-1</v>
      </c>
      <c r="BH551" s="95">
        <v>-1</v>
      </c>
      <c r="BI551" s="95">
        <v>-1</v>
      </c>
      <c r="BJ551" s="95">
        <v>-1</v>
      </c>
      <c r="BK551" s="95">
        <v>-1</v>
      </c>
      <c r="BL551" s="95">
        <v>-1</v>
      </c>
      <c r="BM551" s="95">
        <v>-1</v>
      </c>
      <c r="BN551" s="89"/>
      <c r="BO551" s="89"/>
      <c r="BP551" s="89"/>
      <c r="BQ551" s="89"/>
      <c r="BR551" s="89"/>
      <c r="BS551" s="89"/>
      <c r="BT551" s="89"/>
      <c r="BU551" s="89"/>
      <c r="BV551" s="89"/>
      <c r="BW551" s="89"/>
      <c r="BX551" s="89"/>
      <c r="BY551" s="89"/>
      <c r="BZ551" s="89"/>
      <c r="CA551" s="89"/>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98"/>
      <c r="DA551" s="98"/>
      <c r="DB551" s="98"/>
      <c r="DC551" s="98"/>
      <c r="DD551" s="98"/>
      <c r="DE551" s="98"/>
      <c r="DF551" s="98"/>
      <c r="DG551" s="98"/>
      <c r="DH551" s="98"/>
      <c r="DI551" s="98"/>
      <c r="DJ551" s="98"/>
      <c r="DK551" s="98"/>
      <c r="DL551" s="98"/>
      <c r="DM551" s="98"/>
      <c r="DN551" s="98"/>
      <c r="DO551" s="98"/>
      <c r="DP551" s="98"/>
      <c r="DQ551" s="98"/>
      <c r="DR551" s="98"/>
      <c r="DS551" s="98"/>
      <c r="DT551" s="98"/>
      <c r="DU551" s="98"/>
      <c r="DV551" s="98"/>
      <c r="DW551" s="98"/>
      <c r="DX551" s="98"/>
      <c r="DY551" s="98"/>
      <c r="DZ551" s="98"/>
      <c r="EA551" s="98"/>
      <c r="EB551" s="98"/>
      <c r="EC551" s="98"/>
      <c r="ED551" s="98"/>
    </row>
    <row r="552" spans="1:134" ht="11.25" customHeight="1" x14ac:dyDescent="0.3">
      <c r="A552" s="28" t="e">
        <f t="array" aca="1" ref="A552" ca="1">_xludf.XLOOKUP(S552,Master_Registrations!P:P,Master_Registrations!A:A,"")</f>
        <v>#NAME?</v>
      </c>
      <c r="B552" s="89" t="s">
        <v>182</v>
      </c>
      <c r="C552" s="89">
        <v>2024</v>
      </c>
      <c r="D552" s="89" t="s">
        <v>4886</v>
      </c>
      <c r="E552" s="89">
        <v>2</v>
      </c>
      <c r="F552" s="90" t="str">
        <f t="shared" si="8"/>
        <v>VED-01-2024-GR-2</v>
      </c>
      <c r="G552" s="89" t="s">
        <v>4569</v>
      </c>
      <c r="H552" s="89" t="s">
        <v>7099</v>
      </c>
      <c r="I552" s="89"/>
      <c r="J552" s="89" t="s">
        <v>7094</v>
      </c>
      <c r="K552" s="109"/>
      <c r="L552" s="109"/>
      <c r="M552" s="109"/>
      <c r="N552" s="90" t="s">
        <v>7095</v>
      </c>
      <c r="O552" s="89" t="s">
        <v>679</v>
      </c>
      <c r="P552" s="89" t="s">
        <v>680</v>
      </c>
      <c r="Q552" s="89" t="e">
        <f t="shared" ca="1" si="7"/>
        <v>#NAME?</v>
      </c>
      <c r="R552" s="39" t="s">
        <v>112</v>
      </c>
      <c r="S552" s="105">
        <v>7981517172</v>
      </c>
      <c r="T552" s="90" t="s">
        <v>111</v>
      </c>
      <c r="U552" s="89">
        <v>1957</v>
      </c>
      <c r="V552" s="99">
        <v>-1</v>
      </c>
      <c r="W552" s="95">
        <v>-1</v>
      </c>
      <c r="X552" s="95">
        <v>-1</v>
      </c>
      <c r="Y552" s="95">
        <v>-1</v>
      </c>
      <c r="Z552" s="95">
        <v>-1</v>
      </c>
      <c r="AA552" s="95">
        <v>-1</v>
      </c>
      <c r="AB552" s="95">
        <v>-1</v>
      </c>
      <c r="AC552" s="95">
        <v>-1</v>
      </c>
      <c r="AD552" s="95">
        <v>-1</v>
      </c>
      <c r="AE552" s="95">
        <v>-1</v>
      </c>
      <c r="AF552" s="95">
        <v>-1</v>
      </c>
      <c r="AG552" s="95">
        <v>-1</v>
      </c>
      <c r="AH552" s="95">
        <v>-1</v>
      </c>
      <c r="AI552" s="95">
        <v>-1</v>
      </c>
      <c r="AJ552" s="89"/>
      <c r="AK552" s="89"/>
      <c r="AL552" s="89"/>
      <c r="AM552" s="89"/>
      <c r="AN552" s="89"/>
      <c r="AO552" s="89"/>
      <c r="AP552" s="89"/>
      <c r="AQ552" s="89"/>
      <c r="AR552" s="89"/>
      <c r="AS552" s="89"/>
      <c r="AT552" s="89"/>
      <c r="AU552" s="89"/>
      <c r="AV552" s="89"/>
      <c r="AW552" s="89"/>
      <c r="AX552" s="89"/>
      <c r="AY552" s="89"/>
      <c r="AZ552" s="89"/>
      <c r="BA552" s="89"/>
      <c r="BB552" s="89"/>
      <c r="BC552" s="89"/>
      <c r="BD552" s="89"/>
      <c r="BE552" s="89"/>
      <c r="BF552" s="89"/>
      <c r="BG552" s="95">
        <v>-1</v>
      </c>
      <c r="BH552" s="95">
        <v>-1</v>
      </c>
      <c r="BI552" s="95">
        <v>-1</v>
      </c>
      <c r="BJ552" s="95">
        <v>-1</v>
      </c>
      <c r="BK552" s="95">
        <v>-1</v>
      </c>
      <c r="BL552" s="95">
        <v>-1</v>
      </c>
      <c r="BM552" s="95">
        <v>-1</v>
      </c>
      <c r="BN552" s="89"/>
      <c r="BO552" s="89"/>
      <c r="BP552" s="89"/>
      <c r="BQ552" s="89"/>
      <c r="BR552" s="89"/>
      <c r="BS552" s="89"/>
      <c r="BT552" s="89"/>
      <c r="BU552" s="89"/>
      <c r="BV552" s="89"/>
      <c r="BW552" s="89"/>
      <c r="BX552" s="89"/>
      <c r="BY552" s="89"/>
      <c r="BZ552" s="89"/>
      <c r="CA552" s="89"/>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98"/>
      <c r="DA552" s="98"/>
      <c r="DB552" s="98"/>
      <c r="DC552" s="98"/>
      <c r="DD552" s="98"/>
      <c r="DE552" s="98"/>
      <c r="DF552" s="98"/>
      <c r="DG552" s="98"/>
      <c r="DH552" s="98"/>
      <c r="DI552" s="98"/>
      <c r="DJ552" s="98"/>
      <c r="DK552" s="98"/>
      <c r="DL552" s="98"/>
      <c r="DM552" s="98"/>
      <c r="DN552" s="98"/>
      <c r="DO552" s="98"/>
      <c r="DP552" s="98"/>
      <c r="DQ552" s="98"/>
      <c r="DR552" s="98"/>
      <c r="DS552" s="98"/>
      <c r="DT552" s="98"/>
      <c r="DU552" s="98"/>
      <c r="DV552" s="98"/>
      <c r="DW552" s="98"/>
      <c r="DX552" s="98"/>
      <c r="DY552" s="98"/>
      <c r="DZ552" s="98"/>
      <c r="EA552" s="98"/>
      <c r="EB552" s="98"/>
      <c r="EC552" s="98"/>
      <c r="ED552" s="98"/>
    </row>
    <row r="553" spans="1:134" ht="11.25" customHeight="1" x14ac:dyDescent="0.3">
      <c r="A553" s="28" t="e">
        <f t="array" aca="1" ref="A553" ca="1">_xludf.XLOOKUP(S553,Master_Registrations!P:P,Master_Registrations!A:A,"")</f>
        <v>#NAME?</v>
      </c>
      <c r="B553" s="89" t="s">
        <v>182</v>
      </c>
      <c r="C553" s="89">
        <v>2024</v>
      </c>
      <c r="D553" s="89" t="s">
        <v>4886</v>
      </c>
      <c r="E553" s="89">
        <v>2</v>
      </c>
      <c r="F553" s="90" t="str">
        <f t="shared" si="8"/>
        <v>VED-01-2024-GR-2</v>
      </c>
      <c r="G553" s="89" t="s">
        <v>4569</v>
      </c>
      <c r="H553" s="89" t="s">
        <v>7108</v>
      </c>
      <c r="I553" s="89"/>
      <c r="J553" s="89" t="s">
        <v>7094</v>
      </c>
      <c r="K553" s="99"/>
      <c r="L553" s="99"/>
      <c r="M553" s="99"/>
      <c r="N553" s="90" t="s">
        <v>7095</v>
      </c>
      <c r="O553" s="89" t="s">
        <v>445</v>
      </c>
      <c r="P553" s="89" t="s">
        <v>446</v>
      </c>
      <c r="Q553" s="89" t="e">
        <f t="shared" ca="1" si="7"/>
        <v>#NAME?</v>
      </c>
      <c r="R553" s="39" t="s">
        <v>112</v>
      </c>
      <c r="S553" s="105">
        <v>7207128428</v>
      </c>
      <c r="T553" s="90" t="s">
        <v>111</v>
      </c>
      <c r="U553" s="89">
        <v>1995</v>
      </c>
      <c r="V553" s="99">
        <v>1</v>
      </c>
      <c r="W553" s="99">
        <v>1</v>
      </c>
      <c r="X553" s="95">
        <v>-1</v>
      </c>
      <c r="Y553" s="95">
        <v>-1</v>
      </c>
      <c r="Z553" s="95">
        <v>-1</v>
      </c>
      <c r="AA553" s="95">
        <v>-1</v>
      </c>
      <c r="AB553" s="95">
        <v>-1</v>
      </c>
      <c r="AC553" s="95">
        <v>-1</v>
      </c>
      <c r="AD553" s="95">
        <v>-1</v>
      </c>
      <c r="AE553" s="99">
        <v>-1</v>
      </c>
      <c r="AF553" s="99">
        <v>-1</v>
      </c>
      <c r="AG553" s="99">
        <v>-1</v>
      </c>
      <c r="AH553" s="99">
        <v>-1</v>
      </c>
      <c r="AI553" s="95">
        <v>-1</v>
      </c>
      <c r="AJ553" s="89"/>
      <c r="AK553" s="89"/>
      <c r="AL553" s="89"/>
      <c r="AM553" s="89"/>
      <c r="AN553" s="89"/>
      <c r="AO553" s="89"/>
      <c r="AP553" s="89"/>
      <c r="AQ553" s="89"/>
      <c r="AR553" s="89"/>
      <c r="AS553" s="89"/>
      <c r="AT553" s="89"/>
      <c r="AU553" s="89"/>
      <c r="AV553" s="89"/>
      <c r="AW553" s="89"/>
      <c r="AX553" s="89"/>
      <c r="AY553" s="89"/>
      <c r="AZ553" s="89"/>
      <c r="BA553" s="89"/>
      <c r="BB553" s="89"/>
      <c r="BC553" s="89"/>
      <c r="BD553" s="89"/>
      <c r="BE553" s="89"/>
      <c r="BF553" s="89"/>
      <c r="BG553" s="95">
        <v>-1</v>
      </c>
      <c r="BH553" s="95">
        <v>-1</v>
      </c>
      <c r="BI553" s="95">
        <v>-1</v>
      </c>
      <c r="BJ553" s="95">
        <v>-1</v>
      </c>
      <c r="BK553" s="95">
        <v>-1</v>
      </c>
      <c r="BL553" s="95">
        <v>-1</v>
      </c>
      <c r="BM553" s="95">
        <v>-1</v>
      </c>
      <c r="BN553" s="89"/>
      <c r="BO553" s="89"/>
      <c r="BP553" s="89"/>
      <c r="BQ553" s="89"/>
      <c r="BR553" s="89"/>
      <c r="BS553" s="89"/>
      <c r="BT553" s="89"/>
      <c r="BU553" s="89"/>
      <c r="BV553" s="89"/>
      <c r="BW553" s="89"/>
      <c r="BX553" s="89"/>
      <c r="BY553" s="89"/>
      <c r="BZ553" s="89"/>
      <c r="CA553" s="89"/>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98"/>
      <c r="DA553" s="98"/>
      <c r="DB553" s="98"/>
      <c r="DC553" s="98"/>
      <c r="DD553" s="98"/>
      <c r="DE553" s="98"/>
      <c r="DF553" s="98"/>
      <c r="DG553" s="98"/>
      <c r="DH553" s="98"/>
      <c r="DI553" s="98"/>
      <c r="DJ553" s="98"/>
      <c r="DK553" s="98"/>
      <c r="DL553" s="98"/>
      <c r="DM553" s="98"/>
      <c r="DN553" s="98"/>
      <c r="DO553" s="98"/>
      <c r="DP553" s="98"/>
      <c r="DQ553" s="98"/>
      <c r="DR553" s="98"/>
      <c r="DS553" s="98"/>
      <c r="DT553" s="98"/>
      <c r="DU553" s="98"/>
      <c r="DV553" s="98"/>
      <c r="DW553" s="98"/>
      <c r="DX553" s="98"/>
      <c r="DY553" s="98"/>
      <c r="DZ553" s="98"/>
      <c r="EA553" s="98"/>
      <c r="EB553" s="98"/>
      <c r="EC553" s="98"/>
      <c r="ED553" s="98"/>
    </row>
    <row r="554" spans="1:134" ht="11.25" customHeight="1" x14ac:dyDescent="0.3">
      <c r="A554" s="28" t="e">
        <f t="array" aca="1" ref="A554" ca="1">_xludf.XLOOKUP(S554,Master_Registrations!P:P,Master_Registrations!A:A,"")</f>
        <v>#NAME?</v>
      </c>
      <c r="B554" s="89" t="s">
        <v>182</v>
      </c>
      <c r="C554" s="89">
        <v>2024</v>
      </c>
      <c r="D554" s="89" t="s">
        <v>4886</v>
      </c>
      <c r="E554" s="89">
        <v>2</v>
      </c>
      <c r="F554" s="90" t="str">
        <f t="shared" si="8"/>
        <v>VED-01-2024-GR-2</v>
      </c>
      <c r="G554" s="89" t="s">
        <v>4569</v>
      </c>
      <c r="H554" s="89" t="s">
        <v>7118</v>
      </c>
      <c r="I554" s="89"/>
      <c r="J554" s="89" t="s">
        <v>7094</v>
      </c>
      <c r="K554" s="99"/>
      <c r="L554" s="99"/>
      <c r="M554" s="99"/>
      <c r="N554" s="90" t="s">
        <v>7095</v>
      </c>
      <c r="O554" s="89" t="s">
        <v>1442</v>
      </c>
      <c r="P554" s="89" t="s">
        <v>1443</v>
      </c>
      <c r="Q554" s="89" t="e">
        <f t="shared" ca="1" si="7"/>
        <v>#NAME?</v>
      </c>
      <c r="R554" s="39" t="s">
        <v>112</v>
      </c>
      <c r="S554" s="105">
        <v>9701405128</v>
      </c>
      <c r="T554" s="90" t="s">
        <v>111</v>
      </c>
      <c r="U554" s="89">
        <v>1981</v>
      </c>
      <c r="V554" s="95">
        <v>-1</v>
      </c>
      <c r="W554" s="95">
        <v>-1</v>
      </c>
      <c r="X554" s="99">
        <v>-1</v>
      </c>
      <c r="Y554" s="95">
        <v>-1</v>
      </c>
      <c r="Z554" s="95">
        <v>-1</v>
      </c>
      <c r="AA554" s="95">
        <v>-1</v>
      </c>
      <c r="AB554" s="95">
        <v>-1</v>
      </c>
      <c r="AC554" s="95">
        <v>-1</v>
      </c>
      <c r="AD554" s="95">
        <v>-1</v>
      </c>
      <c r="AE554" s="95">
        <v>-1</v>
      </c>
      <c r="AF554" s="95">
        <v>-1</v>
      </c>
      <c r="AG554" s="95">
        <v>-1</v>
      </c>
      <c r="AH554" s="95">
        <v>-1</v>
      </c>
      <c r="AI554" s="95">
        <v>-1</v>
      </c>
      <c r="AJ554" s="89"/>
      <c r="AK554" s="89"/>
      <c r="AL554" s="89"/>
      <c r="AM554" s="89"/>
      <c r="AN554" s="89"/>
      <c r="AO554" s="89"/>
      <c r="AP554" s="89"/>
      <c r="AQ554" s="89"/>
      <c r="AR554" s="89"/>
      <c r="AS554" s="89"/>
      <c r="AT554" s="89"/>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c r="BQ554" s="89"/>
      <c r="BR554" s="89"/>
      <c r="BS554" s="89"/>
      <c r="BT554" s="89"/>
      <c r="BU554" s="89"/>
      <c r="BV554" s="89"/>
      <c r="BW554" s="89"/>
      <c r="BX554" s="89"/>
      <c r="BY554" s="89"/>
      <c r="BZ554" s="89"/>
      <c r="CA554" s="89"/>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98"/>
      <c r="DA554" s="98"/>
      <c r="DB554" s="98"/>
      <c r="DC554" s="98"/>
      <c r="DD554" s="98"/>
      <c r="DE554" s="98"/>
      <c r="DF554" s="98"/>
      <c r="DG554" s="98"/>
      <c r="DH554" s="98"/>
      <c r="DI554" s="98"/>
      <c r="DJ554" s="98"/>
      <c r="DK554" s="98"/>
      <c r="DL554" s="98"/>
      <c r="DM554" s="98"/>
      <c r="DN554" s="98"/>
      <c r="DO554" s="98"/>
      <c r="DP554" s="98"/>
      <c r="DQ554" s="98"/>
      <c r="DR554" s="98"/>
      <c r="DS554" s="98"/>
      <c r="DT554" s="98"/>
      <c r="DU554" s="98"/>
      <c r="DV554" s="98"/>
      <c r="DW554" s="98"/>
      <c r="DX554" s="98"/>
      <c r="DY554" s="98"/>
      <c r="DZ554" s="98"/>
      <c r="EA554" s="98"/>
      <c r="EB554" s="98"/>
      <c r="EC554" s="98"/>
      <c r="ED554" s="98"/>
    </row>
    <row r="555" spans="1:134" ht="11.25" customHeight="1" x14ac:dyDescent="0.3">
      <c r="A555" s="28" t="e">
        <f t="array" aca="1" ref="A555" ca="1">_xludf.XLOOKUP(S555,Master_Registrations!P:P,Master_Registrations!A:A,"")</f>
        <v>#NAME?</v>
      </c>
      <c r="B555" s="89" t="s">
        <v>182</v>
      </c>
      <c r="C555" s="89">
        <v>2024</v>
      </c>
      <c r="D555" s="89" t="s">
        <v>4886</v>
      </c>
      <c r="E555" s="89">
        <v>2</v>
      </c>
      <c r="F555" s="90" t="str">
        <f t="shared" si="8"/>
        <v>VED-01-2024-GR-2</v>
      </c>
      <c r="G555" s="89" t="s">
        <v>4569</v>
      </c>
      <c r="H555" s="89" t="s">
        <v>7119</v>
      </c>
      <c r="I555" s="89"/>
      <c r="J555" s="89" t="s">
        <v>7094</v>
      </c>
      <c r="K555" s="99"/>
      <c r="L555" s="99"/>
      <c r="M555" s="104"/>
      <c r="N555" s="90" t="s">
        <v>7095</v>
      </c>
      <c r="O555" s="89" t="s">
        <v>509</v>
      </c>
      <c r="P555" s="89" t="s">
        <v>7120</v>
      </c>
      <c r="Q555" s="89" t="e">
        <f t="shared" ca="1" si="7"/>
        <v>#NAME?</v>
      </c>
      <c r="R555" s="39" t="s">
        <v>316</v>
      </c>
      <c r="S555" s="105">
        <v>5412231699</v>
      </c>
      <c r="T555" s="90" t="s">
        <v>474</v>
      </c>
      <c r="U555" s="89">
        <v>1980</v>
      </c>
      <c r="V555" s="99">
        <v>1</v>
      </c>
      <c r="W555" s="99">
        <v>1</v>
      </c>
      <c r="X555" s="99">
        <v>1</v>
      </c>
      <c r="Y555" s="99">
        <v>1</v>
      </c>
      <c r="Z555" s="99">
        <v>-1</v>
      </c>
      <c r="AA555" s="99">
        <v>-1</v>
      </c>
      <c r="AB555" s="99">
        <v>1</v>
      </c>
      <c r="AC555" s="95">
        <v>-1</v>
      </c>
      <c r="AD555" s="95">
        <v>-1</v>
      </c>
      <c r="AE555" s="99">
        <v>1</v>
      </c>
      <c r="AF555" s="99">
        <v>1</v>
      </c>
      <c r="AG555" s="99">
        <v>1</v>
      </c>
      <c r="AH555" s="99">
        <v>1</v>
      </c>
      <c r="AI555" s="95">
        <v>-1</v>
      </c>
      <c r="AJ555" s="99">
        <v>-1</v>
      </c>
      <c r="AK555" s="99">
        <v>1</v>
      </c>
      <c r="AL555" s="99">
        <v>-1</v>
      </c>
      <c r="AM555" s="99">
        <v>-1</v>
      </c>
      <c r="AN555" s="99">
        <v>1</v>
      </c>
      <c r="AO555" s="99">
        <v>1</v>
      </c>
      <c r="AP555" s="99">
        <v>-1</v>
      </c>
      <c r="AQ555" s="99">
        <v>-1</v>
      </c>
      <c r="AR555" s="99">
        <v>-1</v>
      </c>
      <c r="AS555" s="99">
        <v>-1</v>
      </c>
      <c r="AT555" s="99">
        <v>-1</v>
      </c>
      <c r="AU555" s="99">
        <v>-1</v>
      </c>
      <c r="AV555" s="95">
        <v>-1</v>
      </c>
      <c r="AW555" s="95">
        <v>-1</v>
      </c>
      <c r="AX555" s="99">
        <v>-1</v>
      </c>
      <c r="AY555" s="95">
        <v>-1</v>
      </c>
      <c r="AZ555" s="95">
        <v>-1</v>
      </c>
      <c r="BA555" s="99">
        <v>-1</v>
      </c>
      <c r="BB555" s="99">
        <v>-1</v>
      </c>
      <c r="BC555" s="99">
        <v>-1</v>
      </c>
      <c r="BD555" s="95">
        <v>-1</v>
      </c>
      <c r="BE555" s="95">
        <v>-1</v>
      </c>
      <c r="BF555" s="95">
        <v>-1</v>
      </c>
      <c r="BG555" s="89"/>
      <c r="BH555" s="89"/>
      <c r="BI555" s="89"/>
      <c r="BJ555" s="89"/>
      <c r="BK555" s="89"/>
      <c r="BL555" s="89"/>
      <c r="BM555" s="89"/>
      <c r="BN555" s="89"/>
      <c r="BO555" s="89"/>
      <c r="BP555" s="89"/>
      <c r="BQ555" s="89"/>
      <c r="BR555" s="89"/>
      <c r="BS555" s="89"/>
      <c r="BT555" s="89"/>
      <c r="BU555" s="89"/>
      <c r="BV555" s="89"/>
      <c r="BW555" s="89"/>
      <c r="BX555" s="89"/>
      <c r="BY555" s="89"/>
      <c r="BZ555" s="89"/>
      <c r="CA555" s="89"/>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98"/>
      <c r="DA555" s="98"/>
      <c r="DB555" s="98"/>
      <c r="DC555" s="98"/>
      <c r="DD555" s="98"/>
      <c r="DE555" s="98"/>
      <c r="DF555" s="98"/>
      <c r="DG555" s="98"/>
      <c r="DH555" s="98"/>
      <c r="DI555" s="98"/>
      <c r="DJ555" s="98"/>
      <c r="DK555" s="98"/>
      <c r="DL555" s="98"/>
      <c r="DM555" s="98"/>
      <c r="DN555" s="98"/>
      <c r="DO555" s="98"/>
      <c r="DP555" s="98"/>
      <c r="DQ555" s="98"/>
      <c r="DR555" s="98"/>
      <c r="DS555" s="98"/>
      <c r="DT555" s="98"/>
      <c r="DU555" s="98"/>
      <c r="DV555" s="98"/>
      <c r="DW555" s="98"/>
      <c r="DX555" s="98"/>
      <c r="DY555" s="98"/>
      <c r="DZ555" s="98"/>
      <c r="EA555" s="98"/>
      <c r="EB555" s="98"/>
      <c r="EC555" s="98"/>
      <c r="ED555" s="98"/>
    </row>
    <row r="556" spans="1:134" ht="11.25" customHeight="1" x14ac:dyDescent="0.3">
      <c r="A556" s="28" t="e">
        <f t="array" aca="1" ref="A556" ca="1">_xludf.XLOOKUP(S556,Master_Registrations!P:P,Master_Registrations!A:A,"")</f>
        <v>#NAME?</v>
      </c>
      <c r="B556" s="89" t="s">
        <v>182</v>
      </c>
      <c r="C556" s="89">
        <v>2024</v>
      </c>
      <c r="D556" s="89" t="s">
        <v>4886</v>
      </c>
      <c r="E556" s="89">
        <v>2</v>
      </c>
      <c r="F556" s="90" t="str">
        <f t="shared" si="8"/>
        <v>VED-01-2024-GR-2</v>
      </c>
      <c r="G556" s="89" t="s">
        <v>4569</v>
      </c>
      <c r="H556" s="89" t="s">
        <v>7119</v>
      </c>
      <c r="I556" s="89"/>
      <c r="J556" s="89" t="s">
        <v>7094</v>
      </c>
      <c r="K556" s="107"/>
      <c r="L556" s="107"/>
      <c r="M556" s="107"/>
      <c r="N556" s="90" t="s">
        <v>7095</v>
      </c>
      <c r="O556" s="89" t="s">
        <v>971</v>
      </c>
      <c r="P556" s="89" t="s">
        <v>972</v>
      </c>
      <c r="Q556" s="89" t="e">
        <f t="shared" ca="1" si="7"/>
        <v>#NAME?</v>
      </c>
      <c r="R556" s="39" t="s">
        <v>316</v>
      </c>
      <c r="S556" s="105">
        <v>9723421582</v>
      </c>
      <c r="T556" s="90" t="s">
        <v>315</v>
      </c>
      <c r="U556" s="89">
        <v>1975</v>
      </c>
      <c r="V556" s="99">
        <v>2</v>
      </c>
      <c r="W556" s="99">
        <v>2</v>
      </c>
      <c r="X556" s="99">
        <v>2</v>
      </c>
      <c r="Y556" s="99">
        <v>2</v>
      </c>
      <c r="Z556" s="99">
        <v>2</v>
      </c>
      <c r="AA556" s="99">
        <v>2</v>
      </c>
      <c r="AB556" s="99">
        <v>2</v>
      </c>
      <c r="AC556" s="99">
        <v>2</v>
      </c>
      <c r="AD556" s="99">
        <v>2</v>
      </c>
      <c r="AE556" s="99">
        <v>2</v>
      </c>
      <c r="AF556" s="99">
        <v>2</v>
      </c>
      <c r="AG556" s="99">
        <v>2</v>
      </c>
      <c r="AH556" s="99">
        <v>2</v>
      </c>
      <c r="AI556" s="99">
        <v>4</v>
      </c>
      <c r="AJ556" s="99">
        <v>2</v>
      </c>
      <c r="AK556" s="99">
        <v>2</v>
      </c>
      <c r="AL556" s="99">
        <v>2</v>
      </c>
      <c r="AM556" s="99">
        <v>2</v>
      </c>
      <c r="AN556" s="99">
        <v>2</v>
      </c>
      <c r="AO556" s="99">
        <v>2</v>
      </c>
      <c r="AP556" s="99">
        <v>2</v>
      </c>
      <c r="AQ556" s="99">
        <v>2</v>
      </c>
      <c r="AR556" s="99">
        <v>2</v>
      </c>
      <c r="AS556" s="99">
        <v>2</v>
      </c>
      <c r="AT556" s="99">
        <v>2</v>
      </c>
      <c r="AU556" s="99">
        <v>2</v>
      </c>
      <c r="AV556" s="95">
        <v>-1</v>
      </c>
      <c r="AW556" s="95">
        <v>-1</v>
      </c>
      <c r="AX556" s="99">
        <v>-1</v>
      </c>
      <c r="AY556" s="95">
        <v>-1</v>
      </c>
      <c r="AZ556" s="95">
        <v>-1</v>
      </c>
      <c r="BA556" s="99">
        <v>-1</v>
      </c>
      <c r="BB556" s="99">
        <v>-1</v>
      </c>
      <c r="BC556" s="99">
        <v>-1</v>
      </c>
      <c r="BD556" s="95">
        <v>-1</v>
      </c>
      <c r="BE556" s="95">
        <v>-1</v>
      </c>
      <c r="BF556" s="95">
        <v>-1</v>
      </c>
      <c r="BG556" s="89"/>
      <c r="BH556" s="89"/>
      <c r="BI556" s="89"/>
      <c r="BJ556" s="89"/>
      <c r="BK556" s="89"/>
      <c r="BL556" s="89"/>
      <c r="BM556" s="89"/>
      <c r="BN556" s="89"/>
      <c r="BO556" s="89"/>
      <c r="BP556" s="89"/>
      <c r="BQ556" s="89"/>
      <c r="BR556" s="89"/>
      <c r="BS556" s="89"/>
      <c r="BT556" s="89"/>
      <c r="BU556" s="89"/>
      <c r="BV556" s="89"/>
      <c r="BW556" s="89"/>
      <c r="BX556" s="89"/>
      <c r="BY556" s="89"/>
      <c r="BZ556" s="89"/>
      <c r="CA556" s="89"/>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98"/>
      <c r="DA556" s="98"/>
      <c r="DB556" s="98"/>
      <c r="DC556" s="98"/>
      <c r="DD556" s="98"/>
      <c r="DE556" s="98"/>
      <c r="DF556" s="98"/>
      <c r="DG556" s="98"/>
      <c r="DH556" s="98"/>
      <c r="DI556" s="98"/>
      <c r="DJ556" s="98"/>
      <c r="DK556" s="98"/>
      <c r="DL556" s="98"/>
      <c r="DM556" s="98"/>
      <c r="DN556" s="98"/>
      <c r="DO556" s="98"/>
      <c r="DP556" s="98"/>
      <c r="DQ556" s="98"/>
      <c r="DR556" s="98"/>
      <c r="DS556" s="98"/>
      <c r="DT556" s="98"/>
      <c r="DU556" s="98"/>
      <c r="DV556" s="98"/>
      <c r="DW556" s="98"/>
      <c r="DX556" s="98"/>
      <c r="DY556" s="98"/>
      <c r="DZ556" s="98"/>
      <c r="EA556" s="98"/>
      <c r="EB556" s="98"/>
      <c r="EC556" s="98"/>
      <c r="ED556" s="98"/>
    </row>
    <row r="557" spans="1:134" ht="11.25" customHeight="1" x14ac:dyDescent="0.3">
      <c r="A557" s="28" t="e">
        <f t="array" aca="1" ref="A557" ca="1">_xludf.XLOOKUP(S557,Master_Registrations!P:P,Master_Registrations!A:A,"")</f>
        <v>#NAME?</v>
      </c>
      <c r="B557" s="89" t="s">
        <v>182</v>
      </c>
      <c r="C557" s="89">
        <v>2024</v>
      </c>
      <c r="D557" s="89" t="s">
        <v>4886</v>
      </c>
      <c r="E557" s="89">
        <v>2</v>
      </c>
      <c r="F557" s="90" t="str">
        <f t="shared" si="8"/>
        <v>VED-01-2024-GR-2</v>
      </c>
      <c r="G557" s="89" t="s">
        <v>4569</v>
      </c>
      <c r="H557" s="89" t="s">
        <v>7119</v>
      </c>
      <c r="I557" s="89"/>
      <c r="J557" s="89" t="s">
        <v>7094</v>
      </c>
      <c r="K557" s="107"/>
      <c r="L557" s="107"/>
      <c r="M557" s="107"/>
      <c r="N557" s="90" t="s">
        <v>7095</v>
      </c>
      <c r="O557" s="89" t="s">
        <v>957</v>
      </c>
      <c r="P557" s="89" t="s">
        <v>7121</v>
      </c>
      <c r="Q557" s="89" t="e">
        <f t="shared" ca="1" si="7"/>
        <v>#NAME?</v>
      </c>
      <c r="R557" s="39" t="s">
        <v>316</v>
      </c>
      <c r="S557" s="105">
        <v>9802503602</v>
      </c>
      <c r="T557" s="90" t="s">
        <v>474</v>
      </c>
      <c r="U557" s="89">
        <v>1996</v>
      </c>
      <c r="V557" s="99">
        <v>2</v>
      </c>
      <c r="W557" s="99">
        <v>2</v>
      </c>
      <c r="X557" s="99">
        <v>2</v>
      </c>
      <c r="Y557" s="99">
        <v>2</v>
      </c>
      <c r="Z557" s="99">
        <v>2</v>
      </c>
      <c r="AA557" s="99">
        <v>2</v>
      </c>
      <c r="AB557" s="99">
        <v>2</v>
      </c>
      <c r="AC557" s="95">
        <v>-1</v>
      </c>
      <c r="AD557" s="95">
        <v>-1</v>
      </c>
      <c r="AE557" s="99">
        <v>2</v>
      </c>
      <c r="AF557" s="99">
        <v>2</v>
      </c>
      <c r="AG557" s="99">
        <v>2</v>
      </c>
      <c r="AH557" s="99">
        <v>2</v>
      </c>
      <c r="AI557" s="95">
        <v>-1</v>
      </c>
      <c r="AJ557" s="99">
        <v>-1</v>
      </c>
      <c r="AK557" s="99">
        <v>1</v>
      </c>
      <c r="AL557" s="99">
        <v>1</v>
      </c>
      <c r="AM557" s="99">
        <v>-1</v>
      </c>
      <c r="AN557" s="99">
        <v>1</v>
      </c>
      <c r="AO557" s="99">
        <v>1</v>
      </c>
      <c r="AP557" s="99">
        <v>-1</v>
      </c>
      <c r="AQ557" s="99">
        <v>-1</v>
      </c>
      <c r="AR557" s="99">
        <v>-1</v>
      </c>
      <c r="AS557" s="99">
        <v>-1</v>
      </c>
      <c r="AT557" s="99">
        <v>-1</v>
      </c>
      <c r="AU557" s="99">
        <v>-1</v>
      </c>
      <c r="AV557" s="95">
        <v>-1</v>
      </c>
      <c r="AW557" s="89"/>
      <c r="AX557" s="89"/>
      <c r="AY557" s="89"/>
      <c r="AZ557" s="89"/>
      <c r="BA557" s="89"/>
      <c r="BB557" s="89"/>
      <c r="BC557" s="89"/>
      <c r="BD557" s="89"/>
      <c r="BE557" s="89"/>
      <c r="BF557" s="89"/>
      <c r="BG557" s="89"/>
      <c r="BH557" s="89"/>
      <c r="BI557" s="89"/>
      <c r="BJ557" s="89"/>
      <c r="BK557" s="89"/>
      <c r="BL557" s="89"/>
      <c r="BM557" s="89"/>
      <c r="BN557" s="89"/>
      <c r="BO557" s="89"/>
      <c r="BP557" s="89"/>
      <c r="BQ557" s="89"/>
      <c r="BR557" s="89"/>
      <c r="BS557" s="89"/>
      <c r="BT557" s="89"/>
      <c r="BU557" s="89"/>
      <c r="BV557" s="89"/>
      <c r="BW557" s="89"/>
      <c r="BX557" s="89"/>
      <c r="BY557" s="89"/>
      <c r="BZ557" s="89"/>
      <c r="CA557" s="89"/>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98"/>
      <c r="DA557" s="98"/>
      <c r="DB557" s="98"/>
      <c r="DC557" s="98"/>
      <c r="DD557" s="98"/>
      <c r="DE557" s="98"/>
      <c r="DF557" s="98"/>
      <c r="DG557" s="98"/>
      <c r="DH557" s="98"/>
      <c r="DI557" s="98"/>
      <c r="DJ557" s="98"/>
      <c r="DK557" s="98"/>
      <c r="DL557" s="98"/>
      <c r="DM557" s="98"/>
      <c r="DN557" s="98"/>
      <c r="DO557" s="98"/>
      <c r="DP557" s="98"/>
      <c r="DQ557" s="98"/>
      <c r="DR557" s="98"/>
      <c r="DS557" s="98"/>
      <c r="DT557" s="98"/>
      <c r="DU557" s="98"/>
      <c r="DV557" s="98"/>
      <c r="DW557" s="98"/>
      <c r="DX557" s="98"/>
      <c r="DY557" s="98"/>
      <c r="DZ557" s="98"/>
      <c r="EA557" s="98"/>
      <c r="EB557" s="98"/>
      <c r="EC557" s="98"/>
      <c r="ED557" s="98"/>
    </row>
    <row r="558" spans="1:134" ht="11.25" customHeight="1" x14ac:dyDescent="0.3">
      <c r="A558" s="28" t="e">
        <f t="array" aca="1" ref="A558" ca="1">_xludf.XLOOKUP(S558,Master_Registrations!P:P,Master_Registrations!A:A,"")</f>
        <v>#NAME?</v>
      </c>
      <c r="B558" s="89" t="s">
        <v>182</v>
      </c>
      <c r="C558" s="89">
        <v>2024</v>
      </c>
      <c r="D558" s="89" t="s">
        <v>4886</v>
      </c>
      <c r="E558" s="89">
        <v>2</v>
      </c>
      <c r="F558" s="90" t="str">
        <f t="shared" si="8"/>
        <v>VED-01-2024-GR-2</v>
      </c>
      <c r="G558" s="89" t="s">
        <v>4569</v>
      </c>
      <c r="H558" s="89" t="s">
        <v>7119</v>
      </c>
      <c r="I558" s="89"/>
      <c r="J558" s="89" t="s">
        <v>7094</v>
      </c>
      <c r="K558" s="99"/>
      <c r="L558" s="99"/>
      <c r="M558" s="104"/>
      <c r="N558" s="90" t="s">
        <v>7095</v>
      </c>
      <c r="O558" s="89" t="s">
        <v>6581</v>
      </c>
      <c r="P558" s="89" t="s">
        <v>6582</v>
      </c>
      <c r="Q558" s="89" t="e">
        <f t="shared" ca="1" si="7"/>
        <v>#NAME?</v>
      </c>
      <c r="R558" s="39" t="s">
        <v>316</v>
      </c>
      <c r="S558" s="105">
        <v>4087053003</v>
      </c>
      <c r="T558" s="90" t="s">
        <v>474</v>
      </c>
      <c r="U558" s="89">
        <v>1986</v>
      </c>
      <c r="V558" s="99">
        <v>1</v>
      </c>
      <c r="W558" s="99">
        <v>1</v>
      </c>
      <c r="X558" s="99">
        <v>1</v>
      </c>
      <c r="Y558" s="99">
        <v>-1</v>
      </c>
      <c r="Z558" s="99">
        <v>1</v>
      </c>
      <c r="AA558" s="99">
        <v>-1</v>
      </c>
      <c r="AB558" s="99">
        <v>1</v>
      </c>
      <c r="AC558" s="95">
        <v>-1</v>
      </c>
      <c r="AD558" s="95">
        <v>-1</v>
      </c>
      <c r="AE558" s="99">
        <v>1</v>
      </c>
      <c r="AF558" s="99">
        <v>1</v>
      </c>
      <c r="AG558" s="99">
        <v>1</v>
      </c>
      <c r="AH558" s="99">
        <v>-1</v>
      </c>
      <c r="AI558" s="95">
        <v>-1</v>
      </c>
      <c r="AJ558" s="99">
        <v>-1</v>
      </c>
      <c r="AK558" s="99">
        <v>-1</v>
      </c>
      <c r="AL558" s="99">
        <v>-1</v>
      </c>
      <c r="AM558" s="99">
        <v>-1</v>
      </c>
      <c r="AN558" s="99">
        <v>-1</v>
      </c>
      <c r="AO558" s="99">
        <v>-1</v>
      </c>
      <c r="AP558" s="95">
        <v>-1</v>
      </c>
      <c r="AQ558" s="99">
        <v>-1</v>
      </c>
      <c r="AR558" s="99">
        <v>-1</v>
      </c>
      <c r="AS558" s="95">
        <v>-1</v>
      </c>
      <c r="AT558" s="99">
        <v>-1</v>
      </c>
      <c r="AU558" s="99">
        <v>-1</v>
      </c>
      <c r="AV558" s="95">
        <v>-1</v>
      </c>
      <c r="AW558" s="89"/>
      <c r="AX558" s="89"/>
      <c r="AY558" s="89"/>
      <c r="AZ558" s="89"/>
      <c r="BA558" s="89"/>
      <c r="BB558" s="89"/>
      <c r="BC558" s="89"/>
      <c r="BD558" s="89"/>
      <c r="BE558" s="89"/>
      <c r="BF558" s="89"/>
      <c r="BG558" s="89"/>
      <c r="BH558" s="89"/>
      <c r="BI558" s="89"/>
      <c r="BJ558" s="89"/>
      <c r="BK558" s="89"/>
      <c r="BL558" s="89"/>
      <c r="BM558" s="89"/>
      <c r="BN558" s="89"/>
      <c r="BO558" s="89"/>
      <c r="BP558" s="89"/>
      <c r="BQ558" s="89"/>
      <c r="BR558" s="89"/>
      <c r="BS558" s="89"/>
      <c r="BT558" s="89"/>
      <c r="BU558" s="89"/>
      <c r="BV558" s="89"/>
      <c r="BW558" s="89"/>
      <c r="BX558" s="89"/>
      <c r="BY558" s="89"/>
      <c r="BZ558" s="89"/>
      <c r="CA558" s="89"/>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98"/>
      <c r="DA558" s="98"/>
      <c r="DB558" s="98"/>
      <c r="DC558" s="98"/>
      <c r="DD558" s="98"/>
      <c r="DE558" s="98"/>
      <c r="DF558" s="98"/>
      <c r="DG558" s="98"/>
      <c r="DH558" s="98"/>
      <c r="DI558" s="98"/>
      <c r="DJ558" s="98"/>
      <c r="DK558" s="98"/>
      <c r="DL558" s="98"/>
      <c r="DM558" s="98"/>
      <c r="DN558" s="98"/>
      <c r="DO558" s="98"/>
      <c r="DP558" s="98"/>
      <c r="DQ558" s="98"/>
      <c r="DR558" s="98"/>
      <c r="DS558" s="98"/>
      <c r="DT558" s="98"/>
      <c r="DU558" s="98"/>
      <c r="DV558" s="98"/>
      <c r="DW558" s="98"/>
      <c r="DX558" s="98"/>
      <c r="DY558" s="98"/>
      <c r="DZ558" s="98"/>
      <c r="EA558" s="98"/>
      <c r="EB558" s="98"/>
      <c r="EC558" s="98"/>
      <c r="ED558" s="98"/>
    </row>
    <row r="559" spans="1:134" ht="11.25" customHeight="1" x14ac:dyDescent="0.3">
      <c r="A559" s="28" t="e">
        <f t="array" aca="1" ref="A559" ca="1">_xludf.XLOOKUP(S559,Master_Registrations!P:P,Master_Registrations!A:A,"")</f>
        <v>#NAME?</v>
      </c>
      <c r="B559" s="89" t="s">
        <v>182</v>
      </c>
      <c r="C559" s="89">
        <v>2024</v>
      </c>
      <c r="D559" s="89" t="s">
        <v>4886</v>
      </c>
      <c r="E559" s="89">
        <v>2</v>
      </c>
      <c r="F559" s="90" t="str">
        <f t="shared" si="8"/>
        <v>VED-01-2024-GR-2</v>
      </c>
      <c r="G559" s="89" t="s">
        <v>4569</v>
      </c>
      <c r="H559" s="89" t="s">
        <v>4750</v>
      </c>
      <c r="I559" s="89"/>
      <c r="J559" s="89" t="s">
        <v>7094</v>
      </c>
      <c r="K559" s="99"/>
      <c r="L559" s="99"/>
      <c r="M559" s="99"/>
      <c r="N559" s="90" t="s">
        <v>7095</v>
      </c>
      <c r="O559" s="89" t="s">
        <v>6586</v>
      </c>
      <c r="P559" s="141" t="s">
        <v>6587</v>
      </c>
      <c r="Q559" s="89" t="e">
        <f t="shared" ca="1" si="7"/>
        <v>#NAME?</v>
      </c>
      <c r="R559" s="39" t="s">
        <v>316</v>
      </c>
      <c r="S559" s="105">
        <v>4255154023</v>
      </c>
      <c r="T559" s="90" t="s">
        <v>474</v>
      </c>
      <c r="U559" s="89">
        <v>1988</v>
      </c>
      <c r="V559" s="99">
        <v>1</v>
      </c>
      <c r="W559" s="99">
        <v>1</v>
      </c>
      <c r="X559" s="99">
        <v>1</v>
      </c>
      <c r="Y559" s="99">
        <v>1</v>
      </c>
      <c r="Z559" s="99">
        <v>1</v>
      </c>
      <c r="AA559" s="99">
        <v>1</v>
      </c>
      <c r="AB559" s="99">
        <v>1</v>
      </c>
      <c r="AC559" s="95">
        <v>-1</v>
      </c>
      <c r="AD559" s="95">
        <v>-1</v>
      </c>
      <c r="AE559" s="99">
        <v>1</v>
      </c>
      <c r="AF559" s="99">
        <v>1</v>
      </c>
      <c r="AG559" s="99">
        <v>1</v>
      </c>
      <c r="AH559" s="99">
        <v>1</v>
      </c>
      <c r="AI559" s="95">
        <v>-1</v>
      </c>
      <c r="AJ559" s="99">
        <v>-1</v>
      </c>
      <c r="AK559" s="99">
        <v>-1</v>
      </c>
      <c r="AL559" s="99">
        <v>1</v>
      </c>
      <c r="AM559" s="99">
        <v>-1</v>
      </c>
      <c r="AN559" s="99">
        <v>-1</v>
      </c>
      <c r="AO559" s="99">
        <v>-1</v>
      </c>
      <c r="AP559" s="95">
        <v>-1</v>
      </c>
      <c r="AQ559" s="99">
        <v>-1</v>
      </c>
      <c r="AR559" s="99">
        <v>-1</v>
      </c>
      <c r="AS559" s="99">
        <v>-1</v>
      </c>
      <c r="AT559" s="99">
        <v>-1</v>
      </c>
      <c r="AU559" s="99">
        <v>-1</v>
      </c>
      <c r="AV559" s="95">
        <v>-1</v>
      </c>
      <c r="AW559" s="89"/>
      <c r="AX559" s="89"/>
      <c r="AY559" s="89"/>
      <c r="AZ559" s="89"/>
      <c r="BA559" s="89"/>
      <c r="BB559" s="89"/>
      <c r="BC559" s="89"/>
      <c r="BD559" s="89"/>
      <c r="BE559" s="89"/>
      <c r="BF559" s="89"/>
      <c r="BG559" s="89"/>
      <c r="BH559" s="89"/>
      <c r="BI559" s="89"/>
      <c r="BJ559" s="89"/>
      <c r="BK559" s="89"/>
      <c r="BL559" s="89"/>
      <c r="BM559" s="89"/>
      <c r="BN559" s="89"/>
      <c r="BO559" s="89"/>
      <c r="BP559" s="89"/>
      <c r="BQ559" s="89"/>
      <c r="BR559" s="89"/>
      <c r="BS559" s="89"/>
      <c r="BT559" s="89"/>
      <c r="BU559" s="89"/>
      <c r="BV559" s="89"/>
      <c r="BW559" s="89"/>
      <c r="BX559" s="89"/>
      <c r="BY559" s="89"/>
      <c r="BZ559" s="89"/>
      <c r="CA559" s="89"/>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98"/>
      <c r="DA559" s="98"/>
      <c r="DB559" s="98"/>
      <c r="DC559" s="98"/>
      <c r="DD559" s="98"/>
      <c r="DE559" s="98"/>
      <c r="DF559" s="98"/>
      <c r="DG559" s="98"/>
      <c r="DH559" s="98"/>
      <c r="DI559" s="98"/>
      <c r="DJ559" s="98"/>
      <c r="DK559" s="98"/>
      <c r="DL559" s="98"/>
      <c r="DM559" s="98"/>
      <c r="DN559" s="98"/>
      <c r="DO559" s="98"/>
      <c r="DP559" s="98"/>
      <c r="DQ559" s="98"/>
      <c r="DR559" s="98"/>
      <c r="DS559" s="98"/>
      <c r="DT559" s="98"/>
      <c r="DU559" s="98"/>
      <c r="DV559" s="98"/>
      <c r="DW559" s="98"/>
      <c r="DX559" s="98"/>
      <c r="DY559" s="98"/>
      <c r="DZ559" s="98"/>
      <c r="EA559" s="98"/>
      <c r="EB559" s="98"/>
      <c r="EC559" s="98"/>
      <c r="ED559" s="98"/>
    </row>
    <row r="560" spans="1:134" ht="11.25" customHeight="1" x14ac:dyDescent="0.3">
      <c r="A560" s="28" t="e">
        <f t="array" aca="1" ref="A560" ca="1">_xludf.XLOOKUP(S560,Master_Registrations!P:P,Master_Registrations!A:A,"")</f>
        <v>#NAME?</v>
      </c>
      <c r="B560" s="89" t="s">
        <v>182</v>
      </c>
      <c r="C560" s="89">
        <v>2024</v>
      </c>
      <c r="D560" s="89" t="s">
        <v>4886</v>
      </c>
      <c r="E560" s="89">
        <v>2</v>
      </c>
      <c r="F560" s="90" t="str">
        <f t="shared" si="8"/>
        <v>VED-01-2024-GR-2</v>
      </c>
      <c r="G560" s="89" t="s">
        <v>4569</v>
      </c>
      <c r="H560" s="89" t="s">
        <v>4750</v>
      </c>
      <c r="I560" s="89"/>
      <c r="J560" s="89" t="s">
        <v>7094</v>
      </c>
      <c r="K560" s="104"/>
      <c r="L560" s="99"/>
      <c r="M560" s="99"/>
      <c r="N560" s="90" t="s">
        <v>7095</v>
      </c>
      <c r="O560" s="89" t="s">
        <v>937</v>
      </c>
      <c r="P560" s="89" t="s">
        <v>6601</v>
      </c>
      <c r="Q560" s="89" t="e">
        <f t="shared" ca="1" si="7"/>
        <v>#NAME?</v>
      </c>
      <c r="R560" s="39" t="s">
        <v>316</v>
      </c>
      <c r="S560" s="105">
        <v>5107356684</v>
      </c>
      <c r="T560" s="90" t="s">
        <v>474</v>
      </c>
      <c r="U560" s="89">
        <v>1979</v>
      </c>
      <c r="V560" s="99">
        <v>1</v>
      </c>
      <c r="W560" s="99">
        <v>1</v>
      </c>
      <c r="X560" s="99">
        <v>1</v>
      </c>
      <c r="Y560" s="99">
        <v>-1</v>
      </c>
      <c r="Z560" s="99">
        <v>-1</v>
      </c>
      <c r="AA560" s="99">
        <v>-1</v>
      </c>
      <c r="AB560" s="99">
        <v>-1</v>
      </c>
      <c r="AC560" s="95">
        <v>-1</v>
      </c>
      <c r="AD560" s="95">
        <v>-1</v>
      </c>
      <c r="AE560" s="99">
        <v>1</v>
      </c>
      <c r="AF560" s="99">
        <v>1</v>
      </c>
      <c r="AG560" s="99">
        <v>1</v>
      </c>
      <c r="AH560" s="99">
        <v>1</v>
      </c>
      <c r="AI560" s="95">
        <v>-1</v>
      </c>
      <c r="AJ560" s="99">
        <v>-1</v>
      </c>
      <c r="AK560" s="99">
        <v>-1</v>
      </c>
      <c r="AL560" s="99">
        <v>-1</v>
      </c>
      <c r="AM560" s="99">
        <v>-1</v>
      </c>
      <c r="AN560" s="99">
        <v>-1</v>
      </c>
      <c r="AO560" s="99">
        <v>-1</v>
      </c>
      <c r="AP560" s="95">
        <v>-1</v>
      </c>
      <c r="AQ560" s="99">
        <v>-1</v>
      </c>
      <c r="AR560" s="99">
        <v>-1</v>
      </c>
      <c r="AS560" s="95">
        <v>-1</v>
      </c>
      <c r="AT560" s="95">
        <v>-1</v>
      </c>
      <c r="AU560" s="99">
        <v>-1</v>
      </c>
      <c r="AV560" s="95">
        <v>-1</v>
      </c>
      <c r="AW560" s="89"/>
      <c r="AX560" s="89"/>
      <c r="AY560" s="89"/>
      <c r="AZ560" s="89"/>
      <c r="BA560" s="89"/>
      <c r="BB560" s="89"/>
      <c r="BC560" s="89"/>
      <c r="BD560" s="89"/>
      <c r="BE560" s="89"/>
      <c r="BF560" s="89"/>
      <c r="BG560" s="95">
        <v>-1</v>
      </c>
      <c r="BH560" s="95">
        <v>-1</v>
      </c>
      <c r="BI560" s="95">
        <v>-1</v>
      </c>
      <c r="BJ560" s="95">
        <v>-1</v>
      </c>
      <c r="BK560" s="95">
        <v>-1</v>
      </c>
      <c r="BL560" s="95">
        <v>-1</v>
      </c>
      <c r="BM560" s="95">
        <v>-1</v>
      </c>
      <c r="BN560" s="89"/>
      <c r="BO560" s="89"/>
      <c r="BP560" s="89"/>
      <c r="BQ560" s="89"/>
      <c r="BR560" s="89"/>
      <c r="BS560" s="89"/>
      <c r="BT560" s="89"/>
      <c r="BU560" s="89"/>
      <c r="BV560" s="89"/>
      <c r="BW560" s="89"/>
      <c r="BX560" s="89"/>
      <c r="BY560" s="89"/>
      <c r="BZ560" s="89"/>
      <c r="CA560" s="89"/>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98"/>
      <c r="DA560" s="98"/>
      <c r="DB560" s="98"/>
      <c r="DC560" s="98"/>
      <c r="DD560" s="98"/>
      <c r="DE560" s="98"/>
      <c r="DF560" s="98"/>
      <c r="DG560" s="98"/>
      <c r="DH560" s="98"/>
      <c r="DI560" s="98"/>
      <c r="DJ560" s="98"/>
      <c r="DK560" s="98"/>
      <c r="DL560" s="98"/>
      <c r="DM560" s="98"/>
      <c r="DN560" s="98"/>
      <c r="DO560" s="98"/>
      <c r="DP560" s="98"/>
      <c r="DQ560" s="98"/>
      <c r="DR560" s="98"/>
      <c r="DS560" s="98"/>
      <c r="DT560" s="98"/>
      <c r="DU560" s="98"/>
      <c r="DV560" s="98"/>
      <c r="DW560" s="98"/>
      <c r="DX560" s="98"/>
      <c r="DY560" s="98"/>
      <c r="DZ560" s="98"/>
      <c r="EA560" s="98"/>
      <c r="EB560" s="98"/>
      <c r="EC560" s="98"/>
      <c r="ED560" s="98"/>
    </row>
    <row r="561" spans="1:134" ht="11.25" customHeight="1" x14ac:dyDescent="0.3">
      <c r="A561" s="28" t="e">
        <f t="array" aca="1" ref="A561" ca="1">_xludf.XLOOKUP(S561,Master_Registrations!P:P,Master_Registrations!A:A,"")</f>
        <v>#NAME?</v>
      </c>
      <c r="B561" s="89" t="s">
        <v>182</v>
      </c>
      <c r="C561" s="89">
        <v>2024</v>
      </c>
      <c r="D561" s="89" t="s">
        <v>4886</v>
      </c>
      <c r="E561" s="89">
        <v>2</v>
      </c>
      <c r="F561" s="90" t="str">
        <f t="shared" si="8"/>
        <v>VED-01-2024-GR-2</v>
      </c>
      <c r="G561" s="89" t="s">
        <v>4569</v>
      </c>
      <c r="H561" s="89" t="s">
        <v>7062</v>
      </c>
      <c r="I561" s="89"/>
      <c r="J561" s="89" t="s">
        <v>7094</v>
      </c>
      <c r="K561" s="99"/>
      <c r="L561" s="104"/>
      <c r="M561" s="99"/>
      <c r="N561" s="90" t="s">
        <v>7095</v>
      </c>
      <c r="O561" s="89" t="s">
        <v>6409</v>
      </c>
      <c r="P561" s="89" t="s">
        <v>862</v>
      </c>
      <c r="Q561" s="89" t="e">
        <f t="shared" ca="1" si="7"/>
        <v>#NAME?</v>
      </c>
      <c r="R561" s="39" t="s">
        <v>112</v>
      </c>
      <c r="S561" s="105">
        <v>8639461060</v>
      </c>
      <c r="T561" s="90" t="s">
        <v>111</v>
      </c>
      <c r="U561" s="89">
        <v>1976</v>
      </c>
      <c r="V561" s="99">
        <v>-1</v>
      </c>
      <c r="W561" s="99">
        <v>-1</v>
      </c>
      <c r="X561" s="99">
        <v>-1</v>
      </c>
      <c r="Y561" s="99">
        <v>-1</v>
      </c>
      <c r="Z561" s="99">
        <v>-1</v>
      </c>
      <c r="AA561" s="95">
        <v>-1</v>
      </c>
      <c r="AB561" s="95">
        <v>-1</v>
      </c>
      <c r="AC561" s="95">
        <v>-1</v>
      </c>
      <c r="AD561" s="95">
        <v>-1</v>
      </c>
      <c r="AE561" s="99">
        <v>-1</v>
      </c>
      <c r="AF561" s="99">
        <v>-1</v>
      </c>
      <c r="AG561" s="99">
        <v>-1</v>
      </c>
      <c r="AH561" s="95">
        <v>-1</v>
      </c>
      <c r="AI561" s="95">
        <v>-1</v>
      </c>
      <c r="AJ561" s="89"/>
      <c r="AK561" s="89"/>
      <c r="AL561" s="89"/>
      <c r="AM561" s="89"/>
      <c r="AN561" s="89"/>
      <c r="AO561" s="89"/>
      <c r="AP561" s="89"/>
      <c r="AQ561" s="89"/>
      <c r="AR561" s="89"/>
      <c r="AS561" s="89"/>
      <c r="AT561" s="89"/>
      <c r="AU561" s="89"/>
      <c r="AV561" s="89"/>
      <c r="AW561" s="89"/>
      <c r="AX561" s="89"/>
      <c r="AY561" s="89"/>
      <c r="AZ561" s="89"/>
      <c r="BA561" s="89"/>
      <c r="BB561" s="89"/>
      <c r="BC561" s="89"/>
      <c r="BD561" s="89"/>
      <c r="BE561" s="89"/>
      <c r="BF561" s="89"/>
      <c r="BG561" s="95">
        <v>-1</v>
      </c>
      <c r="BH561" s="95">
        <v>-1</v>
      </c>
      <c r="BI561" s="95">
        <v>-1</v>
      </c>
      <c r="BJ561" s="95">
        <v>-1</v>
      </c>
      <c r="BK561" s="95">
        <v>-1</v>
      </c>
      <c r="BL561" s="95">
        <v>-1</v>
      </c>
      <c r="BM561" s="95">
        <v>-1</v>
      </c>
      <c r="BN561" s="89"/>
      <c r="BO561" s="89"/>
      <c r="BP561" s="89"/>
      <c r="BQ561" s="89"/>
      <c r="BR561" s="89"/>
      <c r="BS561" s="89"/>
      <c r="BT561" s="89"/>
      <c r="BU561" s="89"/>
      <c r="BV561" s="89"/>
      <c r="BW561" s="89"/>
      <c r="BX561" s="89"/>
      <c r="BY561" s="89"/>
      <c r="BZ561" s="89"/>
      <c r="CA561" s="89"/>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98"/>
      <c r="DA561" s="98"/>
      <c r="DB561" s="98"/>
      <c r="DC561" s="98"/>
      <c r="DD561" s="98"/>
      <c r="DE561" s="98"/>
      <c r="DF561" s="98"/>
      <c r="DG561" s="98"/>
      <c r="DH561" s="98"/>
      <c r="DI561" s="98"/>
      <c r="DJ561" s="98"/>
      <c r="DK561" s="98"/>
      <c r="DL561" s="98"/>
      <c r="DM561" s="98"/>
      <c r="DN561" s="98"/>
      <c r="DO561" s="98"/>
      <c r="DP561" s="98"/>
      <c r="DQ561" s="98"/>
      <c r="DR561" s="98"/>
      <c r="DS561" s="98"/>
      <c r="DT561" s="98"/>
      <c r="DU561" s="98"/>
      <c r="DV561" s="98"/>
      <c r="DW561" s="98"/>
      <c r="DX561" s="98"/>
      <c r="DY561" s="98"/>
      <c r="DZ561" s="98"/>
      <c r="EA561" s="98"/>
      <c r="EB561" s="98"/>
      <c r="EC561" s="98"/>
      <c r="ED561" s="98"/>
    </row>
    <row r="562" spans="1:134" ht="11.25" customHeight="1" x14ac:dyDescent="0.3">
      <c r="A562" s="28" t="e">
        <f t="array" aca="1" ref="A562" ca="1">_xludf.XLOOKUP(S562,Master_Registrations!P:P,Master_Registrations!A:A,"")</f>
        <v>#NAME?</v>
      </c>
      <c r="B562" s="89" t="s">
        <v>182</v>
      </c>
      <c r="C562" s="89">
        <v>2024</v>
      </c>
      <c r="D562" s="89" t="s">
        <v>4886</v>
      </c>
      <c r="E562" s="89">
        <v>2</v>
      </c>
      <c r="F562" s="90" t="str">
        <f t="shared" si="8"/>
        <v>VED-01-2024-GR-2</v>
      </c>
      <c r="G562" s="89" t="s">
        <v>4569</v>
      </c>
      <c r="H562" s="89" t="s">
        <v>7062</v>
      </c>
      <c r="I562" s="89"/>
      <c r="J562" s="89" t="s">
        <v>7094</v>
      </c>
      <c r="K562" s="109"/>
      <c r="L562" s="99"/>
      <c r="M562" s="109"/>
      <c r="N562" s="90" t="s">
        <v>7095</v>
      </c>
      <c r="O562" s="89" t="s">
        <v>758</v>
      </c>
      <c r="P562" s="89" t="s">
        <v>281</v>
      </c>
      <c r="Q562" s="89" t="e">
        <f t="shared" ca="1" si="7"/>
        <v>#NAME?</v>
      </c>
      <c r="R562" s="39" t="s">
        <v>112</v>
      </c>
      <c r="S562" s="105">
        <v>8886665546</v>
      </c>
      <c r="T562" s="90" t="s">
        <v>111</v>
      </c>
      <c r="U562" s="89">
        <v>1975</v>
      </c>
      <c r="V562" s="99">
        <v>-1</v>
      </c>
      <c r="W562" s="95">
        <v>-1</v>
      </c>
      <c r="X562" s="95">
        <v>-1</v>
      </c>
      <c r="Y562" s="95">
        <v>-1</v>
      </c>
      <c r="Z562" s="95">
        <v>-1</v>
      </c>
      <c r="AA562" s="95">
        <v>-1</v>
      </c>
      <c r="AB562" s="95">
        <v>-1</v>
      </c>
      <c r="AC562" s="95">
        <v>-1</v>
      </c>
      <c r="AD562" s="95">
        <v>-1</v>
      </c>
      <c r="AE562" s="95">
        <v>-1</v>
      </c>
      <c r="AF562" s="95">
        <v>-1</v>
      </c>
      <c r="AG562" s="95">
        <v>-1</v>
      </c>
      <c r="AH562" s="95">
        <v>-1</v>
      </c>
      <c r="AI562" s="95">
        <v>-1</v>
      </c>
      <c r="AJ562" s="89"/>
      <c r="AK562" s="89"/>
      <c r="AL562" s="89"/>
      <c r="AM562" s="89"/>
      <c r="AN562" s="89"/>
      <c r="AO562" s="89"/>
      <c r="AP562" s="89"/>
      <c r="AQ562" s="89"/>
      <c r="AR562" s="89"/>
      <c r="AS562" s="89"/>
      <c r="AT562" s="89"/>
      <c r="AU562" s="89"/>
      <c r="AV562" s="89"/>
      <c r="AW562" s="89"/>
      <c r="AX562" s="89"/>
      <c r="AY562" s="89"/>
      <c r="AZ562" s="89"/>
      <c r="BA562" s="89"/>
      <c r="BB562" s="89"/>
      <c r="BC562" s="89"/>
      <c r="BD562" s="89"/>
      <c r="BE562" s="89"/>
      <c r="BF562" s="89"/>
      <c r="BG562" s="95">
        <v>-1</v>
      </c>
      <c r="BH562" s="95">
        <v>-1</v>
      </c>
      <c r="BI562" s="95">
        <v>-1</v>
      </c>
      <c r="BJ562" s="95">
        <v>-1</v>
      </c>
      <c r="BK562" s="95">
        <v>-1</v>
      </c>
      <c r="BL562" s="95">
        <v>-1</v>
      </c>
      <c r="BM562" s="95">
        <v>-1</v>
      </c>
      <c r="BN562" s="89"/>
      <c r="BO562" s="89"/>
      <c r="BP562" s="89"/>
      <c r="BQ562" s="89"/>
      <c r="BR562" s="89"/>
      <c r="BS562" s="89"/>
      <c r="BT562" s="89"/>
      <c r="BU562" s="89"/>
      <c r="BV562" s="89"/>
      <c r="BW562" s="89"/>
      <c r="BX562" s="89"/>
      <c r="BY562" s="89"/>
      <c r="BZ562" s="89"/>
      <c r="CA562" s="89"/>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98"/>
      <c r="DA562" s="98"/>
      <c r="DB562" s="98"/>
      <c r="DC562" s="98"/>
      <c r="DD562" s="98"/>
      <c r="DE562" s="98"/>
      <c r="DF562" s="98"/>
      <c r="DG562" s="98"/>
      <c r="DH562" s="98"/>
      <c r="DI562" s="98"/>
      <c r="DJ562" s="98"/>
      <c r="DK562" s="98"/>
      <c r="DL562" s="98"/>
      <c r="DM562" s="98"/>
      <c r="DN562" s="98"/>
      <c r="DO562" s="98"/>
      <c r="DP562" s="98"/>
      <c r="DQ562" s="98"/>
      <c r="DR562" s="98"/>
      <c r="DS562" s="98"/>
      <c r="DT562" s="98"/>
      <c r="DU562" s="98"/>
      <c r="DV562" s="98"/>
      <c r="DW562" s="98"/>
      <c r="DX562" s="98"/>
      <c r="DY562" s="98"/>
      <c r="DZ562" s="98"/>
      <c r="EA562" s="98"/>
      <c r="EB562" s="98"/>
      <c r="EC562" s="98"/>
      <c r="ED562" s="98"/>
    </row>
    <row r="563" spans="1:134" ht="11.25" customHeight="1" x14ac:dyDescent="0.3">
      <c r="A563" s="28" t="e">
        <f t="array" aca="1" ref="A563" ca="1">_xludf.XLOOKUP(S563,Master_Registrations!P:P,Master_Registrations!A:A,"")</f>
        <v>#NAME?</v>
      </c>
      <c r="B563" s="89" t="s">
        <v>182</v>
      </c>
      <c r="C563" s="89">
        <v>2024</v>
      </c>
      <c r="D563" s="89" t="s">
        <v>4886</v>
      </c>
      <c r="E563" s="89">
        <v>2</v>
      </c>
      <c r="F563" s="90" t="str">
        <f t="shared" si="8"/>
        <v>VED-01-2024-GR-2</v>
      </c>
      <c r="G563" s="89" t="s">
        <v>4569</v>
      </c>
      <c r="H563" s="89" t="s">
        <v>7062</v>
      </c>
      <c r="I563" s="89"/>
      <c r="J563" s="89" t="s">
        <v>7094</v>
      </c>
      <c r="K563" s="104"/>
      <c r="L563" s="104"/>
      <c r="M563" s="104"/>
      <c r="N563" s="90" t="s">
        <v>7095</v>
      </c>
      <c r="O563" s="89" t="s">
        <v>900</v>
      </c>
      <c r="P563" s="141" t="s">
        <v>901</v>
      </c>
      <c r="Q563" s="89" t="e">
        <f t="shared" ca="1" si="7"/>
        <v>#NAME?</v>
      </c>
      <c r="R563" s="39" t="s">
        <v>112</v>
      </c>
      <c r="S563" s="105">
        <v>9866296512</v>
      </c>
      <c r="T563" s="90" t="s">
        <v>111</v>
      </c>
      <c r="U563" s="89">
        <v>1974</v>
      </c>
      <c r="V563" s="99">
        <v>-1</v>
      </c>
      <c r="W563" s="95">
        <v>-1</v>
      </c>
      <c r="X563" s="95">
        <v>-1</v>
      </c>
      <c r="Y563" s="95">
        <v>-1</v>
      </c>
      <c r="Z563" s="95">
        <v>-1</v>
      </c>
      <c r="AA563" s="95">
        <v>-1</v>
      </c>
      <c r="AB563" s="95">
        <v>-1</v>
      </c>
      <c r="AC563" s="95">
        <v>-1</v>
      </c>
      <c r="AD563" s="95">
        <v>-1</v>
      </c>
      <c r="AE563" s="95">
        <v>-1</v>
      </c>
      <c r="AF563" s="95">
        <v>-1</v>
      </c>
      <c r="AG563" s="95">
        <v>-1</v>
      </c>
      <c r="AH563" s="95">
        <v>-1</v>
      </c>
      <c r="AI563" s="95">
        <v>-1</v>
      </c>
      <c r="AJ563" s="89"/>
      <c r="AK563" s="89"/>
      <c r="AL563" s="89"/>
      <c r="AM563" s="89"/>
      <c r="AN563" s="89"/>
      <c r="AO563" s="89"/>
      <c r="AP563" s="89"/>
      <c r="AQ563" s="89"/>
      <c r="AR563" s="89"/>
      <c r="AS563" s="89"/>
      <c r="AT563" s="89"/>
      <c r="AU563" s="89"/>
      <c r="AV563" s="89"/>
      <c r="AW563" s="89"/>
      <c r="AX563" s="89"/>
      <c r="AY563" s="89"/>
      <c r="AZ563" s="89"/>
      <c r="BA563" s="89"/>
      <c r="BB563" s="89"/>
      <c r="BC563" s="89"/>
      <c r="BD563" s="89"/>
      <c r="BE563" s="89"/>
      <c r="BF563" s="89"/>
      <c r="BG563" s="95">
        <v>-1</v>
      </c>
      <c r="BH563" s="95">
        <v>-1</v>
      </c>
      <c r="BI563" s="95">
        <v>-1</v>
      </c>
      <c r="BJ563" s="95">
        <v>-1</v>
      </c>
      <c r="BK563" s="95">
        <v>-1</v>
      </c>
      <c r="BL563" s="95">
        <v>-1</v>
      </c>
      <c r="BM563" s="95">
        <v>-1</v>
      </c>
      <c r="BN563" s="89"/>
      <c r="BO563" s="89"/>
      <c r="BP563" s="89"/>
      <c r="BQ563" s="89"/>
      <c r="BR563" s="89"/>
      <c r="BS563" s="89"/>
      <c r="BT563" s="89"/>
      <c r="BU563" s="89"/>
      <c r="BV563" s="89"/>
      <c r="BW563" s="89"/>
      <c r="BX563" s="89"/>
      <c r="BY563" s="89"/>
      <c r="BZ563" s="89"/>
      <c r="CA563" s="89"/>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98"/>
      <c r="DA563" s="98"/>
      <c r="DB563" s="98"/>
      <c r="DC563" s="98"/>
      <c r="DD563" s="98"/>
      <c r="DE563" s="98"/>
      <c r="DF563" s="98"/>
      <c r="DG563" s="98"/>
      <c r="DH563" s="98"/>
      <c r="DI563" s="98"/>
      <c r="DJ563" s="98"/>
      <c r="DK563" s="98"/>
      <c r="DL563" s="98"/>
      <c r="DM563" s="98"/>
      <c r="DN563" s="98"/>
      <c r="DO563" s="98"/>
      <c r="DP563" s="98"/>
      <c r="DQ563" s="98"/>
      <c r="DR563" s="98"/>
      <c r="DS563" s="98"/>
      <c r="DT563" s="98"/>
      <c r="DU563" s="98"/>
      <c r="DV563" s="98"/>
      <c r="DW563" s="98"/>
      <c r="DX563" s="98"/>
      <c r="DY563" s="98"/>
      <c r="DZ563" s="98"/>
      <c r="EA563" s="98"/>
      <c r="EB563" s="98"/>
      <c r="EC563" s="98"/>
      <c r="ED563" s="98"/>
    </row>
    <row r="564" spans="1:134" ht="11.25" customHeight="1" x14ac:dyDescent="0.3">
      <c r="A564" s="28" t="e">
        <f t="array" aca="1" ref="A564" ca="1">_xludf.XLOOKUP(S564,Master_Registrations!P:P,Master_Registrations!A:A,"")</f>
        <v>#NAME?</v>
      </c>
      <c r="B564" s="89" t="s">
        <v>182</v>
      </c>
      <c r="C564" s="89">
        <v>2024</v>
      </c>
      <c r="D564" s="89" t="s">
        <v>4886</v>
      </c>
      <c r="E564" s="89">
        <v>2</v>
      </c>
      <c r="F564" s="90" t="str">
        <f t="shared" si="8"/>
        <v>VED-01-2024-GR-2</v>
      </c>
      <c r="G564" s="89" t="s">
        <v>4569</v>
      </c>
      <c r="H564" s="89" t="s">
        <v>7122</v>
      </c>
      <c r="I564" s="89"/>
      <c r="J564" s="89" t="s">
        <v>7094</v>
      </c>
      <c r="K564" s="99"/>
      <c r="L564" s="99"/>
      <c r="M564" s="104"/>
      <c r="N564" s="90" t="s">
        <v>7095</v>
      </c>
      <c r="O564" s="89" t="s">
        <v>6531</v>
      </c>
      <c r="P564" s="89" t="s">
        <v>6532</v>
      </c>
      <c r="Q564" s="89" t="e">
        <f t="shared" ca="1" si="7"/>
        <v>#NAME?</v>
      </c>
      <c r="R564" s="39" t="s">
        <v>316</v>
      </c>
      <c r="S564" s="94">
        <v>8327885136</v>
      </c>
      <c r="T564" s="90" t="s">
        <v>315</v>
      </c>
      <c r="U564" s="89">
        <v>1983</v>
      </c>
      <c r="V564" s="99">
        <v>1</v>
      </c>
      <c r="W564" s="99">
        <v>1</v>
      </c>
      <c r="X564" s="99">
        <v>1</v>
      </c>
      <c r="Y564" s="99">
        <v>1</v>
      </c>
      <c r="Z564" s="99">
        <v>1</v>
      </c>
      <c r="AA564" s="99">
        <v>-1</v>
      </c>
      <c r="AB564" s="99">
        <v>-1</v>
      </c>
      <c r="AC564" s="95">
        <v>-1</v>
      </c>
      <c r="AD564" s="95">
        <v>-1</v>
      </c>
      <c r="AE564" s="99">
        <v>-1</v>
      </c>
      <c r="AF564" s="99">
        <v>-1</v>
      </c>
      <c r="AG564" s="99">
        <v>-1</v>
      </c>
      <c r="AH564" s="99">
        <v>-1</v>
      </c>
      <c r="AI564" s="95">
        <v>-1</v>
      </c>
      <c r="AJ564" s="99">
        <v>-1</v>
      </c>
      <c r="AK564" s="99">
        <v>-1</v>
      </c>
      <c r="AL564" s="99">
        <v>-1</v>
      </c>
      <c r="AM564" s="99">
        <v>-1</v>
      </c>
      <c r="AN564" s="99">
        <v>-1</v>
      </c>
      <c r="AO564" s="99">
        <v>-1</v>
      </c>
      <c r="AP564" s="95">
        <v>-1</v>
      </c>
      <c r="AQ564" s="95">
        <v>-1</v>
      </c>
      <c r="AR564" s="95">
        <v>-1</v>
      </c>
      <c r="AS564" s="95">
        <v>-1</v>
      </c>
      <c r="AT564" s="95">
        <v>-1</v>
      </c>
      <c r="AU564" s="95">
        <v>-1</v>
      </c>
      <c r="AV564" s="95">
        <v>-1</v>
      </c>
      <c r="AW564" s="89"/>
      <c r="AX564" s="89"/>
      <c r="AY564" s="89"/>
      <c r="AZ564" s="89"/>
      <c r="BA564" s="89"/>
      <c r="BB564" s="89"/>
      <c r="BC564" s="89"/>
      <c r="BD564" s="89"/>
      <c r="BE564" s="89"/>
      <c r="BF564" s="89"/>
      <c r="BG564" s="89"/>
      <c r="BH564" s="89"/>
      <c r="BI564" s="89"/>
      <c r="BJ564" s="89"/>
      <c r="BK564" s="89"/>
      <c r="BL564" s="89"/>
      <c r="BM564" s="89"/>
      <c r="BN564" s="89"/>
      <c r="BO564" s="89"/>
      <c r="BP564" s="89"/>
      <c r="BQ564" s="89"/>
      <c r="BR564" s="89"/>
      <c r="BS564" s="89"/>
      <c r="BT564" s="89"/>
      <c r="BU564" s="89"/>
      <c r="BV564" s="89"/>
      <c r="BW564" s="89"/>
      <c r="BX564" s="89"/>
      <c r="BY564" s="89"/>
      <c r="BZ564" s="89"/>
      <c r="CA564" s="89"/>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98"/>
      <c r="DA564" s="98"/>
      <c r="DB564" s="98"/>
      <c r="DC564" s="98"/>
      <c r="DD564" s="98"/>
      <c r="DE564" s="98"/>
      <c r="DF564" s="98"/>
      <c r="DG564" s="98"/>
      <c r="DH564" s="98"/>
      <c r="DI564" s="98"/>
      <c r="DJ564" s="98"/>
      <c r="DK564" s="98"/>
      <c r="DL564" s="98"/>
      <c r="DM564" s="98"/>
      <c r="DN564" s="98"/>
      <c r="DO564" s="98"/>
      <c r="DP564" s="98"/>
      <c r="DQ564" s="98"/>
      <c r="DR564" s="98"/>
      <c r="DS564" s="98"/>
      <c r="DT564" s="98"/>
      <c r="DU564" s="98"/>
      <c r="DV564" s="98"/>
      <c r="DW564" s="98"/>
      <c r="DX564" s="98"/>
      <c r="DY564" s="98"/>
      <c r="DZ564" s="98"/>
      <c r="EA564" s="98"/>
      <c r="EB564" s="98"/>
      <c r="EC564" s="98"/>
      <c r="ED564" s="98"/>
    </row>
    <row r="565" spans="1:134" ht="11.25" customHeight="1" x14ac:dyDescent="0.3">
      <c r="A565" s="28" t="e">
        <f t="array" aca="1" ref="A565" ca="1">_xludf.XLOOKUP(S565,Master_Registrations!P:P,Master_Registrations!A:A,"")</f>
        <v>#NAME?</v>
      </c>
      <c r="B565" s="89" t="s">
        <v>182</v>
      </c>
      <c r="C565" s="89">
        <v>2024</v>
      </c>
      <c r="D565" s="89" t="s">
        <v>4886</v>
      </c>
      <c r="E565" s="89">
        <v>2</v>
      </c>
      <c r="F565" s="90" t="str">
        <f t="shared" si="8"/>
        <v>VED-01-2024-GR-2</v>
      </c>
      <c r="G565" s="89" t="s">
        <v>4569</v>
      </c>
      <c r="H565" s="89" t="s">
        <v>7098</v>
      </c>
      <c r="I565" s="89"/>
      <c r="J565" s="89" t="s">
        <v>7094</v>
      </c>
      <c r="K565" s="104"/>
      <c r="L565" s="99"/>
      <c r="M565" s="104"/>
      <c r="N565" s="90" t="s">
        <v>7095</v>
      </c>
      <c r="O565" s="89" t="s">
        <v>411</v>
      </c>
      <c r="P565" s="89" t="s">
        <v>412</v>
      </c>
      <c r="Q565" s="89" t="e">
        <f t="shared" ca="1" si="7"/>
        <v>#NAME?</v>
      </c>
      <c r="R565" s="39" t="s">
        <v>316</v>
      </c>
      <c r="S565" s="105">
        <v>2487676387</v>
      </c>
      <c r="T565" s="90" t="s">
        <v>402</v>
      </c>
      <c r="U565" s="89">
        <v>1960</v>
      </c>
      <c r="V565" s="99">
        <v>1</v>
      </c>
      <c r="W565" s="99">
        <v>1</v>
      </c>
      <c r="X565" s="99">
        <v>1</v>
      </c>
      <c r="Y565" s="99">
        <v>-1</v>
      </c>
      <c r="Z565" s="99">
        <v>-1</v>
      </c>
      <c r="AA565" s="99">
        <v>-1</v>
      </c>
      <c r="AB565" s="99">
        <v>-1</v>
      </c>
      <c r="AC565" s="95">
        <v>-1</v>
      </c>
      <c r="AD565" s="95">
        <v>-1</v>
      </c>
      <c r="AE565" s="99">
        <v>1</v>
      </c>
      <c r="AF565" s="99">
        <v>1</v>
      </c>
      <c r="AG565" s="99">
        <v>1</v>
      </c>
      <c r="AH565" s="99">
        <v>1</v>
      </c>
      <c r="AI565" s="95">
        <v>-1</v>
      </c>
      <c r="AJ565" s="99">
        <v>-1</v>
      </c>
      <c r="AK565" s="99">
        <v>-1</v>
      </c>
      <c r="AL565" s="99">
        <v>-1</v>
      </c>
      <c r="AM565" s="99">
        <v>-1</v>
      </c>
      <c r="AN565" s="99">
        <v>-1</v>
      </c>
      <c r="AO565" s="99">
        <v>-1</v>
      </c>
      <c r="AP565" s="95">
        <v>-1</v>
      </c>
      <c r="AQ565" s="95">
        <v>-1</v>
      </c>
      <c r="AR565" s="99">
        <v>-1</v>
      </c>
      <c r="AS565" s="95">
        <v>-1</v>
      </c>
      <c r="AT565" s="95">
        <v>-1</v>
      </c>
      <c r="AU565" s="99">
        <v>-1</v>
      </c>
      <c r="AV565" s="95">
        <v>-1</v>
      </c>
      <c r="AW565" s="89"/>
      <c r="AX565" s="89"/>
      <c r="AY565" s="89"/>
      <c r="AZ565" s="89"/>
      <c r="BA565" s="89"/>
      <c r="BB565" s="89"/>
      <c r="BC565" s="89"/>
      <c r="BD565" s="89"/>
      <c r="BE565" s="89"/>
      <c r="BF565" s="89"/>
      <c r="BG565" s="95">
        <v>-1</v>
      </c>
      <c r="BH565" s="95">
        <v>-1</v>
      </c>
      <c r="BI565" s="95">
        <v>-1</v>
      </c>
      <c r="BJ565" s="95">
        <v>-1</v>
      </c>
      <c r="BK565" s="95">
        <v>-1</v>
      </c>
      <c r="BL565" s="95">
        <v>-1</v>
      </c>
      <c r="BM565" s="95">
        <v>-1</v>
      </c>
      <c r="BN565" s="89"/>
      <c r="BO565" s="89"/>
      <c r="BP565" s="89"/>
      <c r="BQ565" s="89"/>
      <c r="BR565" s="89"/>
      <c r="BS565" s="89"/>
      <c r="BT565" s="89"/>
      <c r="BU565" s="89"/>
      <c r="BV565" s="89"/>
      <c r="BW565" s="89"/>
      <c r="BX565" s="89"/>
      <c r="BY565" s="89"/>
      <c r="BZ565" s="89"/>
      <c r="CA565" s="89"/>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98"/>
      <c r="DA565" s="98"/>
      <c r="DB565" s="98"/>
      <c r="DC565" s="98"/>
      <c r="DD565" s="98"/>
      <c r="DE565" s="98"/>
      <c r="DF565" s="98"/>
      <c r="DG565" s="98"/>
      <c r="DH565" s="98"/>
      <c r="DI565" s="98"/>
      <c r="DJ565" s="98"/>
      <c r="DK565" s="98"/>
      <c r="DL565" s="98"/>
      <c r="DM565" s="98"/>
      <c r="DN565" s="98"/>
      <c r="DO565" s="98"/>
      <c r="DP565" s="98"/>
      <c r="DQ565" s="98"/>
      <c r="DR565" s="98"/>
      <c r="DS565" s="98"/>
      <c r="DT565" s="98"/>
      <c r="DU565" s="98"/>
      <c r="DV565" s="98"/>
      <c r="DW565" s="98"/>
      <c r="DX565" s="98"/>
      <c r="DY565" s="98"/>
      <c r="DZ565" s="98"/>
      <c r="EA565" s="98"/>
      <c r="EB565" s="98"/>
      <c r="EC565" s="98"/>
      <c r="ED565" s="98"/>
    </row>
    <row r="566" spans="1:134" ht="11.25" customHeight="1" x14ac:dyDescent="0.3">
      <c r="A566" s="28" t="e">
        <f t="array" aca="1" ref="A566" ca="1">_xludf.XLOOKUP(S566,Master_Registrations!P:P,Master_Registrations!A:A,"")</f>
        <v>#NAME?</v>
      </c>
      <c r="B566" s="89" t="s">
        <v>182</v>
      </c>
      <c r="C566" s="89">
        <v>2024</v>
      </c>
      <c r="D566" s="89" t="s">
        <v>4886</v>
      </c>
      <c r="E566" s="89">
        <v>2</v>
      </c>
      <c r="F566" s="90" t="str">
        <f t="shared" si="8"/>
        <v>VED-01-2024-GR-2</v>
      </c>
      <c r="G566" s="89" t="s">
        <v>4569</v>
      </c>
      <c r="H566" s="89" t="s">
        <v>7123</v>
      </c>
      <c r="I566" s="89"/>
      <c r="J566" s="89" t="s">
        <v>7094</v>
      </c>
      <c r="K566" s="99">
        <v>-1</v>
      </c>
      <c r="L566" s="109"/>
      <c r="M566" s="109"/>
      <c r="N566" s="90" t="s">
        <v>7095</v>
      </c>
      <c r="O566" s="89" t="s">
        <v>1123</v>
      </c>
      <c r="P566" s="89" t="s">
        <v>713</v>
      </c>
      <c r="Q566" s="89" t="e">
        <f t="shared" ca="1" si="7"/>
        <v>#NAME?</v>
      </c>
      <c r="R566" s="39" t="s">
        <v>112</v>
      </c>
      <c r="S566" s="105">
        <v>9789649477</v>
      </c>
      <c r="T566" s="90" t="s">
        <v>111</v>
      </c>
      <c r="U566" s="89">
        <v>1994</v>
      </c>
      <c r="V566" s="99">
        <v>-1</v>
      </c>
      <c r="W566" s="95">
        <v>-1</v>
      </c>
      <c r="X566" s="95">
        <v>-1</v>
      </c>
      <c r="Y566" s="95">
        <v>-1</v>
      </c>
      <c r="Z566" s="95">
        <v>-1</v>
      </c>
      <c r="AA566" s="95">
        <v>-1</v>
      </c>
      <c r="AB566" s="95">
        <v>-1</v>
      </c>
      <c r="AC566" s="95">
        <v>-1</v>
      </c>
      <c r="AD566" s="95">
        <v>-1</v>
      </c>
      <c r="AE566" s="95">
        <v>-1</v>
      </c>
      <c r="AF566" s="95">
        <v>-1</v>
      </c>
      <c r="AG566" s="95">
        <v>-1</v>
      </c>
      <c r="AH566" s="95">
        <v>-1</v>
      </c>
      <c r="AI566" s="95">
        <v>-1</v>
      </c>
      <c r="AJ566" s="89"/>
      <c r="AK566" s="89"/>
      <c r="AL566" s="89"/>
      <c r="AM566" s="89"/>
      <c r="AN566" s="89"/>
      <c r="AO566" s="89"/>
      <c r="AP566" s="89"/>
      <c r="AQ566" s="89"/>
      <c r="AR566" s="89"/>
      <c r="AS566" s="89"/>
      <c r="AT566" s="89"/>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c r="BQ566" s="89"/>
      <c r="BR566" s="89"/>
      <c r="BS566" s="89"/>
      <c r="BT566" s="89"/>
      <c r="BU566" s="89"/>
      <c r="BV566" s="89"/>
      <c r="BW566" s="89"/>
      <c r="BX566" s="89"/>
      <c r="BY566" s="89"/>
      <c r="BZ566" s="89"/>
      <c r="CA566" s="89"/>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98"/>
      <c r="DA566" s="98"/>
      <c r="DB566" s="98"/>
      <c r="DC566" s="98"/>
      <c r="DD566" s="98"/>
      <c r="DE566" s="98"/>
      <c r="DF566" s="98"/>
      <c r="DG566" s="98"/>
      <c r="DH566" s="98"/>
      <c r="DI566" s="98"/>
      <c r="DJ566" s="98"/>
      <c r="DK566" s="98"/>
      <c r="DL566" s="98"/>
      <c r="DM566" s="98"/>
      <c r="DN566" s="98"/>
      <c r="DO566" s="98"/>
      <c r="DP566" s="98"/>
      <c r="DQ566" s="98"/>
      <c r="DR566" s="98"/>
      <c r="DS566" s="98"/>
      <c r="DT566" s="98"/>
      <c r="DU566" s="98"/>
      <c r="DV566" s="98"/>
      <c r="DW566" s="98"/>
      <c r="DX566" s="98"/>
      <c r="DY566" s="98"/>
      <c r="DZ566" s="98"/>
      <c r="EA566" s="98"/>
      <c r="EB566" s="98"/>
      <c r="EC566" s="98"/>
      <c r="ED566" s="98"/>
    </row>
    <row r="567" spans="1:134" ht="11.25" customHeight="1" x14ac:dyDescent="0.3">
      <c r="A567" s="28" t="e">
        <f t="array" aca="1" ref="A567" ca="1">_xludf.XLOOKUP(S567,Master_Registrations!P:P,Master_Registrations!A:A,"")</f>
        <v>#NAME?</v>
      </c>
      <c r="B567" s="89" t="s">
        <v>182</v>
      </c>
      <c r="C567" s="89">
        <v>2024</v>
      </c>
      <c r="D567" s="89" t="s">
        <v>4886</v>
      </c>
      <c r="E567" s="89">
        <v>2</v>
      </c>
      <c r="F567" s="90" t="str">
        <f t="shared" si="8"/>
        <v>VED-01-2024-GR-2</v>
      </c>
      <c r="G567" s="89" t="s">
        <v>4569</v>
      </c>
      <c r="H567" s="89" t="s">
        <v>7123</v>
      </c>
      <c r="I567" s="89"/>
      <c r="J567" s="89" t="s">
        <v>7094</v>
      </c>
      <c r="K567" s="104"/>
      <c r="L567" s="104"/>
      <c r="M567" s="99"/>
      <c r="N567" s="90" t="s">
        <v>7095</v>
      </c>
      <c r="O567" s="89" t="s">
        <v>6376</v>
      </c>
      <c r="P567" s="89" t="s">
        <v>4051</v>
      </c>
      <c r="Q567" s="89" t="e">
        <f t="shared" ca="1" si="7"/>
        <v>#NAME?</v>
      </c>
      <c r="R567" s="39" t="s">
        <v>112</v>
      </c>
      <c r="S567" s="105">
        <v>9849314915</v>
      </c>
      <c r="T567" s="90" t="s">
        <v>111</v>
      </c>
      <c r="U567" s="89">
        <v>1978</v>
      </c>
      <c r="V567" s="99">
        <v>-1</v>
      </c>
      <c r="W567" s="99">
        <v>-1</v>
      </c>
      <c r="X567" s="99">
        <v>1</v>
      </c>
      <c r="Y567" s="99">
        <v>1</v>
      </c>
      <c r="Z567" s="99">
        <v>-1</v>
      </c>
      <c r="AA567" s="95">
        <v>-1</v>
      </c>
      <c r="AB567" s="99">
        <v>-1</v>
      </c>
      <c r="AC567" s="95">
        <v>-1</v>
      </c>
      <c r="AD567" s="95">
        <v>-1</v>
      </c>
      <c r="AE567" s="99">
        <v>-1</v>
      </c>
      <c r="AF567" s="99">
        <v>-1</v>
      </c>
      <c r="AG567" s="99">
        <v>-1</v>
      </c>
      <c r="AH567" s="95">
        <v>-1</v>
      </c>
      <c r="AI567" s="95">
        <v>-1</v>
      </c>
      <c r="AJ567" s="89"/>
      <c r="AK567" s="89"/>
      <c r="AL567" s="89"/>
      <c r="AM567" s="89"/>
      <c r="AN567" s="89"/>
      <c r="AO567" s="89"/>
      <c r="AP567" s="89"/>
      <c r="AQ567" s="89"/>
      <c r="AR567" s="89"/>
      <c r="AS567" s="89"/>
      <c r="AT567" s="89"/>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c r="BQ567" s="89"/>
      <c r="BR567" s="89"/>
      <c r="BS567" s="89"/>
      <c r="BT567" s="89"/>
      <c r="BU567" s="89"/>
      <c r="BV567" s="89"/>
      <c r="BW567" s="89"/>
      <c r="BX567" s="89"/>
      <c r="BY567" s="89"/>
      <c r="BZ567" s="89"/>
      <c r="CA567" s="89"/>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98"/>
      <c r="DA567" s="98"/>
      <c r="DB567" s="98"/>
      <c r="DC567" s="98"/>
      <c r="DD567" s="98"/>
      <c r="DE567" s="98"/>
      <c r="DF567" s="98"/>
      <c r="DG567" s="98"/>
      <c r="DH567" s="98"/>
      <c r="DI567" s="98"/>
      <c r="DJ567" s="98"/>
      <c r="DK567" s="98"/>
      <c r="DL567" s="98"/>
      <c r="DM567" s="98"/>
      <c r="DN567" s="98"/>
      <c r="DO567" s="98"/>
      <c r="DP567" s="98"/>
      <c r="DQ567" s="98"/>
      <c r="DR567" s="98"/>
      <c r="DS567" s="98"/>
      <c r="DT567" s="98"/>
      <c r="DU567" s="98"/>
      <c r="DV567" s="98"/>
      <c r="DW567" s="98"/>
      <c r="DX567" s="98"/>
      <c r="DY567" s="98"/>
      <c r="DZ567" s="98"/>
      <c r="EA567" s="98"/>
      <c r="EB567" s="98"/>
      <c r="EC567" s="98"/>
      <c r="ED567" s="98"/>
    </row>
    <row r="568" spans="1:134" ht="11.25" customHeight="1" x14ac:dyDescent="0.3">
      <c r="A568" s="28" t="e">
        <f t="array" aca="1" ref="A568" ca="1">_xludf.XLOOKUP(S568,Master_Registrations!P:P,Master_Registrations!A:A,"")</f>
        <v>#NAME?</v>
      </c>
      <c r="B568" s="89" t="s">
        <v>182</v>
      </c>
      <c r="C568" s="89">
        <v>2024</v>
      </c>
      <c r="D568" s="89" t="s">
        <v>4886</v>
      </c>
      <c r="E568" s="89">
        <v>2</v>
      </c>
      <c r="F568" s="90" t="str">
        <f t="shared" si="8"/>
        <v>VED-01-2024-GR-2</v>
      </c>
      <c r="G568" s="89" t="s">
        <v>4569</v>
      </c>
      <c r="H568" s="89" t="s">
        <v>7123</v>
      </c>
      <c r="I568" s="89"/>
      <c r="J568" s="89" t="s">
        <v>7094</v>
      </c>
      <c r="K568" s="99"/>
      <c r="L568" s="99"/>
      <c r="M568" s="104"/>
      <c r="N568" s="90" t="s">
        <v>7095</v>
      </c>
      <c r="O568" s="89" t="s">
        <v>1357</v>
      </c>
      <c r="P568" s="141" t="s">
        <v>1358</v>
      </c>
      <c r="Q568" s="89" t="e">
        <f t="shared" ca="1" si="7"/>
        <v>#NAME?</v>
      </c>
      <c r="R568" s="39" t="s">
        <v>112</v>
      </c>
      <c r="S568" s="105">
        <v>9849143016</v>
      </c>
      <c r="T568" s="90" t="s">
        <v>111</v>
      </c>
      <c r="U568" s="89">
        <v>2011</v>
      </c>
      <c r="V568" s="99">
        <v>1</v>
      </c>
      <c r="W568" s="99">
        <v>1</v>
      </c>
      <c r="X568" s="99">
        <v>1</v>
      </c>
      <c r="Y568" s="99">
        <v>-1</v>
      </c>
      <c r="Z568" s="99">
        <v>-1</v>
      </c>
      <c r="AA568" s="95">
        <v>-1</v>
      </c>
      <c r="AB568" s="99">
        <v>-1</v>
      </c>
      <c r="AC568" s="95">
        <v>-1</v>
      </c>
      <c r="AD568" s="95">
        <v>-1</v>
      </c>
      <c r="AE568" s="99">
        <v>-1</v>
      </c>
      <c r="AF568" s="99">
        <v>-1</v>
      </c>
      <c r="AG568" s="99">
        <v>-1</v>
      </c>
      <c r="AH568" s="95">
        <v>-1</v>
      </c>
      <c r="AI568" s="95">
        <v>-1</v>
      </c>
      <c r="AJ568" s="99">
        <v>-1</v>
      </c>
      <c r="AK568" s="99">
        <v>-1</v>
      </c>
      <c r="AL568" s="95">
        <v>-1</v>
      </c>
      <c r="AM568" s="95">
        <v>-1</v>
      </c>
      <c r="AN568" s="95">
        <v>-1</v>
      </c>
      <c r="AO568" s="95">
        <v>-1</v>
      </c>
      <c r="AP568" s="95">
        <v>-1</v>
      </c>
      <c r="AQ568" s="95">
        <v>-1</v>
      </c>
      <c r="AR568" s="95">
        <v>-1</v>
      </c>
      <c r="AS568" s="95">
        <v>-1</v>
      </c>
      <c r="AT568" s="95">
        <v>-1</v>
      </c>
      <c r="AU568" s="95">
        <v>-1</v>
      </c>
      <c r="AV568" s="95">
        <v>-1</v>
      </c>
      <c r="AW568" s="89"/>
      <c r="AX568" s="89"/>
      <c r="AY568" s="89"/>
      <c r="AZ568" s="89"/>
      <c r="BA568" s="89"/>
      <c r="BB568" s="89"/>
      <c r="BC568" s="89"/>
      <c r="BD568" s="89"/>
      <c r="BE568" s="89"/>
      <c r="BF568" s="89"/>
      <c r="BG568" s="89"/>
      <c r="BH568" s="89"/>
      <c r="BI568" s="89"/>
      <c r="BJ568" s="89"/>
      <c r="BK568" s="89"/>
      <c r="BL568" s="89"/>
      <c r="BM568" s="89"/>
      <c r="BN568" s="89"/>
      <c r="BO568" s="89"/>
      <c r="BP568" s="89"/>
      <c r="BQ568" s="89"/>
      <c r="BR568" s="89"/>
      <c r="BS568" s="89"/>
      <c r="BT568" s="89"/>
      <c r="BU568" s="89"/>
      <c r="BV568" s="89"/>
      <c r="BW568" s="89"/>
      <c r="BX568" s="89"/>
      <c r="BY568" s="89"/>
      <c r="BZ568" s="89"/>
      <c r="CA568" s="89"/>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98"/>
      <c r="DA568" s="98"/>
      <c r="DB568" s="98"/>
      <c r="DC568" s="98"/>
      <c r="DD568" s="98"/>
      <c r="DE568" s="98"/>
      <c r="DF568" s="98"/>
      <c r="DG568" s="98"/>
      <c r="DH568" s="98"/>
      <c r="DI568" s="98"/>
      <c r="DJ568" s="98"/>
      <c r="DK568" s="98"/>
      <c r="DL568" s="98"/>
      <c r="DM568" s="98"/>
      <c r="DN568" s="98"/>
      <c r="DO568" s="98"/>
      <c r="DP568" s="98"/>
      <c r="DQ568" s="98"/>
      <c r="DR568" s="98"/>
      <c r="DS568" s="98"/>
      <c r="DT568" s="98"/>
      <c r="DU568" s="98"/>
      <c r="DV568" s="98"/>
      <c r="DW568" s="98"/>
      <c r="DX568" s="98"/>
      <c r="DY568" s="98"/>
      <c r="DZ568" s="98"/>
      <c r="EA568" s="98"/>
      <c r="EB568" s="98"/>
      <c r="EC568" s="98"/>
      <c r="ED568" s="98"/>
    </row>
    <row r="569" spans="1:134" ht="11.25" customHeight="1" x14ac:dyDescent="0.3">
      <c r="A569" s="28" t="e">
        <f t="array" aca="1" ref="A569" ca="1">_xludf.XLOOKUP(S569,Master_Registrations!P:P,Master_Registrations!A:A,"")</f>
        <v>#NAME?</v>
      </c>
      <c r="B569" s="89" t="s">
        <v>182</v>
      </c>
      <c r="C569" s="89">
        <v>2024</v>
      </c>
      <c r="D569" s="89" t="s">
        <v>4886</v>
      </c>
      <c r="E569" s="89">
        <v>2</v>
      </c>
      <c r="F569" s="90" t="str">
        <f t="shared" si="8"/>
        <v>VED-01-2024-GR-2</v>
      </c>
      <c r="G569" s="89" t="s">
        <v>4569</v>
      </c>
      <c r="H569" s="89" t="s">
        <v>7123</v>
      </c>
      <c r="I569" s="89"/>
      <c r="J569" s="89" t="s">
        <v>7094</v>
      </c>
      <c r="K569" s="104"/>
      <c r="L569" s="99"/>
      <c r="M569" s="104"/>
      <c r="N569" s="90" t="s">
        <v>7095</v>
      </c>
      <c r="O569" s="89" t="s">
        <v>541</v>
      </c>
      <c r="P569" s="89" t="s">
        <v>542</v>
      </c>
      <c r="Q569" s="89" t="e">
        <f t="shared" ca="1" si="7"/>
        <v>#NAME?</v>
      </c>
      <c r="R569" s="39" t="s">
        <v>112</v>
      </c>
      <c r="S569" s="105">
        <v>9962557438</v>
      </c>
      <c r="T569" s="90" t="s">
        <v>111</v>
      </c>
      <c r="U569" s="89">
        <v>1973</v>
      </c>
      <c r="V569" s="99">
        <v>-1</v>
      </c>
      <c r="W569" s="99">
        <v>-1</v>
      </c>
      <c r="X569" s="99">
        <v>1</v>
      </c>
      <c r="Y569" s="99">
        <v>1</v>
      </c>
      <c r="Z569" s="99">
        <v>-1</v>
      </c>
      <c r="AA569" s="95">
        <v>-1</v>
      </c>
      <c r="AB569" s="99">
        <v>-1</v>
      </c>
      <c r="AC569" s="95">
        <v>-1</v>
      </c>
      <c r="AD569" s="95">
        <v>-1</v>
      </c>
      <c r="AE569" s="99">
        <v>-1</v>
      </c>
      <c r="AF569" s="99">
        <v>-1</v>
      </c>
      <c r="AG569" s="99">
        <v>-1</v>
      </c>
      <c r="AH569" s="95">
        <v>-1</v>
      </c>
      <c r="AI569" s="95">
        <v>-1</v>
      </c>
      <c r="AJ569" s="89"/>
      <c r="AK569" s="89"/>
      <c r="AL569" s="89"/>
      <c r="AM569" s="89"/>
      <c r="AN569" s="89"/>
      <c r="AO569" s="89"/>
      <c r="AP569" s="89"/>
      <c r="AQ569" s="89"/>
      <c r="AR569" s="89"/>
      <c r="AS569" s="89"/>
      <c r="AT569" s="89"/>
      <c r="AU569" s="89"/>
      <c r="AV569" s="89"/>
      <c r="AW569" s="89"/>
      <c r="AX569" s="89"/>
      <c r="AY569" s="89"/>
      <c r="AZ569" s="89"/>
      <c r="BA569" s="89"/>
      <c r="BB569" s="89"/>
      <c r="BC569" s="89"/>
      <c r="BD569" s="89"/>
      <c r="BE569" s="89"/>
      <c r="BF569" s="89"/>
      <c r="BG569" s="95">
        <v>-1</v>
      </c>
      <c r="BH569" s="95">
        <v>-1</v>
      </c>
      <c r="BI569" s="95">
        <v>-1</v>
      </c>
      <c r="BJ569" s="95">
        <v>-1</v>
      </c>
      <c r="BK569" s="95">
        <v>-1</v>
      </c>
      <c r="BL569" s="95">
        <v>-1</v>
      </c>
      <c r="BM569" s="95">
        <v>-1</v>
      </c>
      <c r="BN569" s="89"/>
      <c r="BO569" s="89"/>
      <c r="BP569" s="89"/>
      <c r="BQ569" s="89"/>
      <c r="BR569" s="89"/>
      <c r="BS569" s="89"/>
      <c r="BT569" s="89"/>
      <c r="BU569" s="89"/>
      <c r="BV569" s="89"/>
      <c r="BW569" s="89"/>
      <c r="BX569" s="89"/>
      <c r="BY569" s="89"/>
      <c r="BZ569" s="89"/>
      <c r="CA569" s="89"/>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98"/>
      <c r="DA569" s="98"/>
      <c r="DB569" s="98"/>
      <c r="DC569" s="98"/>
      <c r="DD569" s="98"/>
      <c r="DE569" s="98"/>
      <c r="DF569" s="98"/>
      <c r="DG569" s="98"/>
      <c r="DH569" s="98"/>
      <c r="DI569" s="98"/>
      <c r="DJ569" s="98"/>
      <c r="DK569" s="98"/>
      <c r="DL569" s="98"/>
      <c r="DM569" s="98"/>
      <c r="DN569" s="98"/>
      <c r="DO569" s="98"/>
      <c r="DP569" s="98"/>
      <c r="DQ569" s="98"/>
      <c r="DR569" s="98"/>
      <c r="DS569" s="98"/>
      <c r="DT569" s="98"/>
      <c r="DU569" s="98"/>
      <c r="DV569" s="98"/>
      <c r="DW569" s="98"/>
      <c r="DX569" s="98"/>
      <c r="DY569" s="98"/>
      <c r="DZ569" s="98"/>
      <c r="EA569" s="98"/>
      <c r="EB569" s="98"/>
      <c r="EC569" s="98"/>
      <c r="ED569" s="98"/>
    </row>
    <row r="570" spans="1:134" ht="11.25" customHeight="1" x14ac:dyDescent="0.3">
      <c r="A570" s="28" t="e">
        <f t="array" aca="1" ref="A570" ca="1">_xludf.XLOOKUP(S570,Master_Registrations!P:P,Master_Registrations!A:A,"")</f>
        <v>#NAME?</v>
      </c>
      <c r="B570" s="89" t="s">
        <v>182</v>
      </c>
      <c r="C570" s="89">
        <v>2024</v>
      </c>
      <c r="D570" s="89" t="s">
        <v>4886</v>
      </c>
      <c r="E570" s="89">
        <v>2</v>
      </c>
      <c r="F570" s="90" t="str">
        <f t="shared" si="8"/>
        <v>VED-01-2024-GR-2</v>
      </c>
      <c r="G570" s="89" t="s">
        <v>4569</v>
      </c>
      <c r="H570" s="89" t="s">
        <v>7123</v>
      </c>
      <c r="I570" s="89"/>
      <c r="J570" s="89" t="s">
        <v>7094</v>
      </c>
      <c r="K570" s="99"/>
      <c r="L570" s="104"/>
      <c r="M570" s="99"/>
      <c r="N570" s="90" t="s">
        <v>7095</v>
      </c>
      <c r="O570" s="89" t="s">
        <v>576</v>
      </c>
      <c r="P570" s="89" t="s">
        <v>586</v>
      </c>
      <c r="Q570" s="89" t="e">
        <f t="shared" ca="1" si="7"/>
        <v>#NAME?</v>
      </c>
      <c r="R570" s="39" t="s">
        <v>112</v>
      </c>
      <c r="S570" s="105">
        <v>9346834357</v>
      </c>
      <c r="T570" s="90" t="s">
        <v>111</v>
      </c>
      <c r="U570" s="89">
        <v>1962</v>
      </c>
      <c r="V570" s="99">
        <v>1</v>
      </c>
      <c r="W570" s="99">
        <v>1</v>
      </c>
      <c r="X570" s="95">
        <v>-1</v>
      </c>
      <c r="Y570" s="95">
        <v>-1</v>
      </c>
      <c r="Z570" s="95">
        <v>-1</v>
      </c>
      <c r="AA570" s="95">
        <v>-1</v>
      </c>
      <c r="AB570" s="95">
        <v>-1</v>
      </c>
      <c r="AC570" s="95">
        <v>-1</v>
      </c>
      <c r="AD570" s="95">
        <v>-1</v>
      </c>
      <c r="AE570" s="99">
        <v>-1</v>
      </c>
      <c r="AF570" s="99">
        <v>-1</v>
      </c>
      <c r="AG570" s="99">
        <v>-1</v>
      </c>
      <c r="AH570" s="95">
        <v>-1</v>
      </c>
      <c r="AI570" s="95">
        <v>-1</v>
      </c>
      <c r="AJ570" s="89"/>
      <c r="AK570" s="89"/>
      <c r="AL570" s="89"/>
      <c r="AM570" s="89"/>
      <c r="AN570" s="89"/>
      <c r="AO570" s="89"/>
      <c r="AP570" s="89"/>
      <c r="AQ570" s="89"/>
      <c r="AR570" s="89"/>
      <c r="AS570" s="89"/>
      <c r="AT570" s="89"/>
      <c r="AU570" s="89"/>
      <c r="AV570" s="89"/>
      <c r="AW570" s="89"/>
      <c r="AX570" s="89"/>
      <c r="AY570" s="89"/>
      <c r="AZ570" s="89"/>
      <c r="BA570" s="89"/>
      <c r="BB570" s="89"/>
      <c r="BC570" s="89"/>
      <c r="BD570" s="89"/>
      <c r="BE570" s="89"/>
      <c r="BF570" s="89"/>
      <c r="BG570" s="95">
        <v>-1</v>
      </c>
      <c r="BH570" s="95">
        <v>-1</v>
      </c>
      <c r="BI570" s="95">
        <v>-1</v>
      </c>
      <c r="BJ570" s="95">
        <v>-1</v>
      </c>
      <c r="BK570" s="95">
        <v>-1</v>
      </c>
      <c r="BL570" s="95">
        <v>-1</v>
      </c>
      <c r="BM570" s="95">
        <v>-1</v>
      </c>
      <c r="BN570" s="89"/>
      <c r="BO570" s="89"/>
      <c r="BP570" s="89"/>
      <c r="BQ570" s="89"/>
      <c r="BR570" s="89"/>
      <c r="BS570" s="89"/>
      <c r="BT570" s="89"/>
      <c r="BU570" s="89"/>
      <c r="BV570" s="89"/>
      <c r="BW570" s="89"/>
      <c r="BX570" s="89"/>
      <c r="BY570" s="89"/>
      <c r="BZ570" s="89"/>
      <c r="CA570" s="89"/>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98"/>
      <c r="DA570" s="98"/>
      <c r="DB570" s="98"/>
      <c r="DC570" s="98"/>
      <c r="DD570" s="98"/>
      <c r="DE570" s="98"/>
      <c r="DF570" s="98"/>
      <c r="DG570" s="98"/>
      <c r="DH570" s="98"/>
      <c r="DI570" s="98"/>
      <c r="DJ570" s="98"/>
      <c r="DK570" s="98"/>
      <c r="DL570" s="98"/>
      <c r="DM570" s="98"/>
      <c r="DN570" s="98"/>
      <c r="DO570" s="98"/>
      <c r="DP570" s="98"/>
      <c r="DQ570" s="98"/>
      <c r="DR570" s="98"/>
      <c r="DS570" s="98"/>
      <c r="DT570" s="98"/>
      <c r="DU570" s="98"/>
      <c r="DV570" s="98"/>
      <c r="DW570" s="98"/>
      <c r="DX570" s="98"/>
      <c r="DY570" s="98"/>
      <c r="DZ570" s="98"/>
      <c r="EA570" s="98"/>
      <c r="EB570" s="98"/>
      <c r="EC570" s="98"/>
      <c r="ED570" s="98"/>
    </row>
    <row r="571" spans="1:134" ht="11.25" customHeight="1" x14ac:dyDescent="0.3">
      <c r="A571" s="28" t="e">
        <f t="array" aca="1" ref="A571" ca="1">_xludf.XLOOKUP(S571,Master_Registrations!P:P,Master_Registrations!A:A,"")</f>
        <v>#NAME?</v>
      </c>
      <c r="B571" s="89" t="s">
        <v>182</v>
      </c>
      <c r="C571" s="89">
        <v>2024</v>
      </c>
      <c r="D571" s="89" t="s">
        <v>4886</v>
      </c>
      <c r="E571" s="89">
        <v>2</v>
      </c>
      <c r="F571" s="90" t="str">
        <f t="shared" si="8"/>
        <v>VED-01-2024-GR-2</v>
      </c>
      <c r="G571" s="89" t="s">
        <v>4569</v>
      </c>
      <c r="H571" s="89" t="s">
        <v>7123</v>
      </c>
      <c r="I571" s="89"/>
      <c r="J571" s="89" t="s">
        <v>7094</v>
      </c>
      <c r="K571" s="99"/>
      <c r="L571" s="104"/>
      <c r="M571" s="99"/>
      <c r="N571" s="90" t="s">
        <v>7095</v>
      </c>
      <c r="O571" s="89" t="s">
        <v>928</v>
      </c>
      <c r="P571" s="89" t="s">
        <v>929</v>
      </c>
      <c r="Q571" s="89" t="e">
        <f t="shared" ca="1" si="7"/>
        <v>#NAME?</v>
      </c>
      <c r="R571" s="39" t="s">
        <v>112</v>
      </c>
      <c r="S571" s="105">
        <v>8790358319</v>
      </c>
      <c r="T571" s="90" t="s">
        <v>111</v>
      </c>
      <c r="U571" s="89">
        <v>1981</v>
      </c>
      <c r="V571" s="99">
        <v>1</v>
      </c>
      <c r="W571" s="95">
        <v>-1</v>
      </c>
      <c r="X571" s="95">
        <v>-1</v>
      </c>
      <c r="Y571" s="95">
        <v>-1</v>
      </c>
      <c r="Z571" s="95">
        <v>-1</v>
      </c>
      <c r="AA571" s="95">
        <v>-1</v>
      </c>
      <c r="AB571" s="95">
        <v>-1</v>
      </c>
      <c r="AC571" s="95">
        <v>-1</v>
      </c>
      <c r="AD571" s="95">
        <v>-1</v>
      </c>
      <c r="AE571" s="95">
        <v>-1</v>
      </c>
      <c r="AF571" s="95">
        <v>-1</v>
      </c>
      <c r="AG571" s="95">
        <v>-1</v>
      </c>
      <c r="AH571" s="95">
        <v>-1</v>
      </c>
      <c r="AI571" s="95">
        <v>-1</v>
      </c>
      <c r="AJ571" s="89"/>
      <c r="AK571" s="89"/>
      <c r="AL571" s="89"/>
      <c r="AM571" s="89"/>
      <c r="AN571" s="89"/>
      <c r="AO571" s="89"/>
      <c r="AP571" s="89"/>
      <c r="AQ571" s="89"/>
      <c r="AR571" s="89"/>
      <c r="AS571" s="89"/>
      <c r="AT571" s="89"/>
      <c r="AU571" s="89"/>
      <c r="AV571" s="89"/>
      <c r="AW571" s="89"/>
      <c r="AX571" s="89"/>
      <c r="AY571" s="89"/>
      <c r="AZ571" s="89"/>
      <c r="BA571" s="89"/>
      <c r="BB571" s="89"/>
      <c r="BC571" s="89"/>
      <c r="BD571" s="89"/>
      <c r="BE571" s="89"/>
      <c r="BF571" s="89"/>
      <c r="BG571" s="95">
        <v>-1</v>
      </c>
      <c r="BH571" s="95">
        <v>-1</v>
      </c>
      <c r="BI571" s="95">
        <v>-1</v>
      </c>
      <c r="BJ571" s="95">
        <v>-1</v>
      </c>
      <c r="BK571" s="95">
        <v>-1</v>
      </c>
      <c r="BL571" s="95">
        <v>-1</v>
      </c>
      <c r="BM571" s="95">
        <v>-1</v>
      </c>
      <c r="BN571" s="89"/>
      <c r="BO571" s="89"/>
      <c r="BP571" s="89"/>
      <c r="BQ571" s="89"/>
      <c r="BR571" s="89"/>
      <c r="BS571" s="89"/>
      <c r="BT571" s="89"/>
      <c r="BU571" s="89"/>
      <c r="BV571" s="89"/>
      <c r="BW571" s="89"/>
      <c r="BX571" s="89"/>
      <c r="BY571" s="89"/>
      <c r="BZ571" s="89"/>
      <c r="CA571" s="89"/>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98"/>
      <c r="DA571" s="98"/>
      <c r="DB571" s="98"/>
      <c r="DC571" s="98"/>
      <c r="DD571" s="98"/>
      <c r="DE571" s="98"/>
      <c r="DF571" s="98"/>
      <c r="DG571" s="98"/>
      <c r="DH571" s="98"/>
      <c r="DI571" s="98"/>
      <c r="DJ571" s="98"/>
      <c r="DK571" s="98"/>
      <c r="DL571" s="98"/>
      <c r="DM571" s="98"/>
      <c r="DN571" s="98"/>
      <c r="DO571" s="98"/>
      <c r="DP571" s="98"/>
      <c r="DQ571" s="98"/>
      <c r="DR571" s="98"/>
      <c r="DS571" s="98"/>
      <c r="DT571" s="98"/>
      <c r="DU571" s="98"/>
      <c r="DV571" s="98"/>
      <c r="DW571" s="98"/>
      <c r="DX571" s="98"/>
      <c r="DY571" s="98"/>
      <c r="DZ571" s="98"/>
      <c r="EA571" s="98"/>
      <c r="EB571" s="98"/>
      <c r="EC571" s="98"/>
      <c r="ED571" s="98"/>
    </row>
    <row r="572" spans="1:134" ht="11.25" customHeight="1" x14ac:dyDescent="0.3">
      <c r="A572" s="28" t="e">
        <f t="array" aca="1" ref="A572" ca="1">_xludf.XLOOKUP(S572,Master_Registrations!P:P,Master_Registrations!A:A,"")</f>
        <v>#NAME?</v>
      </c>
      <c r="B572" s="89" t="s">
        <v>182</v>
      </c>
      <c r="C572" s="89">
        <v>2024</v>
      </c>
      <c r="D572" s="89" t="s">
        <v>4886</v>
      </c>
      <c r="E572" s="89">
        <v>2</v>
      </c>
      <c r="F572" s="90" t="str">
        <f t="shared" si="8"/>
        <v>VED-01-2024-GR-2</v>
      </c>
      <c r="G572" s="89" t="s">
        <v>4569</v>
      </c>
      <c r="H572" s="89" t="s">
        <v>7123</v>
      </c>
      <c r="I572" s="89"/>
      <c r="J572" s="89" t="s">
        <v>7094</v>
      </c>
      <c r="K572" s="99"/>
      <c r="L572" s="99"/>
      <c r="M572" s="99"/>
      <c r="N572" s="90" t="s">
        <v>7095</v>
      </c>
      <c r="O572" s="89" t="s">
        <v>2016</v>
      </c>
      <c r="P572" s="89" t="s">
        <v>6396</v>
      </c>
      <c r="Q572" s="89" t="e">
        <f t="shared" ca="1" si="7"/>
        <v>#NAME?</v>
      </c>
      <c r="R572" s="39" t="s">
        <v>112</v>
      </c>
      <c r="S572" s="105">
        <v>8978818182</v>
      </c>
      <c r="T572" s="90" t="s">
        <v>111</v>
      </c>
      <c r="U572" s="89">
        <v>1991</v>
      </c>
      <c r="V572" s="99">
        <v>-1</v>
      </c>
      <c r="W572" s="95">
        <v>-1</v>
      </c>
      <c r="X572" s="95">
        <v>-1</v>
      </c>
      <c r="Y572" s="95">
        <v>-1</v>
      </c>
      <c r="Z572" s="95">
        <v>-1</v>
      </c>
      <c r="AA572" s="95">
        <v>-1</v>
      </c>
      <c r="AB572" s="95">
        <v>-1</v>
      </c>
      <c r="AC572" s="95">
        <v>-1</v>
      </c>
      <c r="AD572" s="95">
        <v>-1</v>
      </c>
      <c r="AE572" s="95">
        <v>-1</v>
      </c>
      <c r="AF572" s="95">
        <v>-1</v>
      </c>
      <c r="AG572" s="95">
        <v>-1</v>
      </c>
      <c r="AH572" s="95">
        <v>-1</v>
      </c>
      <c r="AI572" s="95">
        <v>-1</v>
      </c>
      <c r="AJ572" s="89"/>
      <c r="AK572" s="89"/>
      <c r="AL572" s="89"/>
      <c r="AM572" s="89"/>
      <c r="AN572" s="89"/>
      <c r="AO572" s="89"/>
      <c r="AP572" s="89"/>
      <c r="AQ572" s="89"/>
      <c r="AR572" s="89"/>
      <c r="AS572" s="89"/>
      <c r="AT572" s="89"/>
      <c r="AU572" s="89"/>
      <c r="AV572" s="89"/>
      <c r="AW572" s="89"/>
      <c r="AX572" s="89"/>
      <c r="AY572" s="89"/>
      <c r="AZ572" s="89"/>
      <c r="BA572" s="89"/>
      <c r="BB572" s="89"/>
      <c r="BC572" s="89"/>
      <c r="BD572" s="89"/>
      <c r="BE572" s="89"/>
      <c r="BF572" s="89"/>
      <c r="BG572" s="95">
        <v>-1</v>
      </c>
      <c r="BH572" s="95">
        <v>-1</v>
      </c>
      <c r="BI572" s="95">
        <v>-1</v>
      </c>
      <c r="BJ572" s="95">
        <v>-1</v>
      </c>
      <c r="BK572" s="95">
        <v>-1</v>
      </c>
      <c r="BL572" s="95">
        <v>-1</v>
      </c>
      <c r="BM572" s="95">
        <v>-1</v>
      </c>
      <c r="BN572" s="89"/>
      <c r="BO572" s="89"/>
      <c r="BP572" s="89"/>
      <c r="BQ572" s="89"/>
      <c r="BR572" s="89"/>
      <c r="BS572" s="89"/>
      <c r="BT572" s="89"/>
      <c r="BU572" s="89"/>
      <c r="BV572" s="89"/>
      <c r="BW572" s="89"/>
      <c r="BX572" s="89"/>
      <c r="BY572" s="89"/>
      <c r="BZ572" s="89"/>
      <c r="CA572" s="89"/>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98"/>
      <c r="DA572" s="98"/>
      <c r="DB572" s="98"/>
      <c r="DC572" s="98"/>
      <c r="DD572" s="98"/>
      <c r="DE572" s="98"/>
      <c r="DF572" s="98"/>
      <c r="DG572" s="98"/>
      <c r="DH572" s="98"/>
      <c r="DI572" s="98"/>
      <c r="DJ572" s="98"/>
      <c r="DK572" s="98"/>
      <c r="DL572" s="98"/>
      <c r="DM572" s="98"/>
      <c r="DN572" s="98"/>
      <c r="DO572" s="98"/>
      <c r="DP572" s="98"/>
      <c r="DQ572" s="98"/>
      <c r="DR572" s="98"/>
      <c r="DS572" s="98"/>
      <c r="DT572" s="98"/>
      <c r="DU572" s="98"/>
      <c r="DV572" s="98"/>
      <c r="DW572" s="98"/>
      <c r="DX572" s="98"/>
      <c r="DY572" s="98"/>
      <c r="DZ572" s="98"/>
      <c r="EA572" s="98"/>
      <c r="EB572" s="98"/>
      <c r="EC572" s="98"/>
      <c r="ED572" s="98"/>
    </row>
    <row r="573" spans="1:134" ht="11.25" customHeight="1" x14ac:dyDescent="0.3">
      <c r="A573" s="28" t="e">
        <f t="array" aca="1" ref="A573" ca="1">_xludf.XLOOKUP(S573,Master_Registrations!P:P,Master_Registrations!A:A,"")</f>
        <v>#NAME?</v>
      </c>
      <c r="B573" s="89" t="s">
        <v>182</v>
      </c>
      <c r="C573" s="89">
        <v>2024</v>
      </c>
      <c r="D573" s="89" t="s">
        <v>4886</v>
      </c>
      <c r="E573" s="89">
        <v>2</v>
      </c>
      <c r="F573" s="90" t="str">
        <f t="shared" si="8"/>
        <v>VED-01-2024-GR-2</v>
      </c>
      <c r="G573" s="89" t="s">
        <v>4569</v>
      </c>
      <c r="H573" s="89" t="s">
        <v>7123</v>
      </c>
      <c r="I573" s="89"/>
      <c r="J573" s="89" t="s">
        <v>7094</v>
      </c>
      <c r="K573" s="99"/>
      <c r="L573" s="99"/>
      <c r="M573" s="99"/>
      <c r="N573" s="90" t="s">
        <v>7095</v>
      </c>
      <c r="O573" s="89" t="s">
        <v>367</v>
      </c>
      <c r="P573" s="89" t="s">
        <v>723</v>
      </c>
      <c r="Q573" s="89" t="e">
        <f t="shared" ca="1" si="7"/>
        <v>#NAME?</v>
      </c>
      <c r="R573" s="39" t="s">
        <v>112</v>
      </c>
      <c r="S573" s="105">
        <v>9059397397</v>
      </c>
      <c r="T573" s="90" t="s">
        <v>111</v>
      </c>
      <c r="U573" s="89">
        <v>1989</v>
      </c>
      <c r="V573" s="99">
        <v>1</v>
      </c>
      <c r="W573" s="95">
        <v>-1</v>
      </c>
      <c r="X573" s="95">
        <v>-1</v>
      </c>
      <c r="Y573" s="95">
        <v>-1</v>
      </c>
      <c r="Z573" s="95">
        <v>-1</v>
      </c>
      <c r="AA573" s="95">
        <v>-1</v>
      </c>
      <c r="AB573" s="95">
        <v>-1</v>
      </c>
      <c r="AC573" s="95">
        <v>-1</v>
      </c>
      <c r="AD573" s="95">
        <v>-1</v>
      </c>
      <c r="AE573" s="95">
        <v>-1</v>
      </c>
      <c r="AF573" s="95">
        <v>-1</v>
      </c>
      <c r="AG573" s="95">
        <v>-1</v>
      </c>
      <c r="AH573" s="95">
        <v>-1</v>
      </c>
      <c r="AI573" s="95">
        <v>-1</v>
      </c>
      <c r="AJ573" s="89"/>
      <c r="AK573" s="89"/>
      <c r="AL573" s="89"/>
      <c r="AM573" s="89"/>
      <c r="AN573" s="89"/>
      <c r="AO573" s="89"/>
      <c r="AP573" s="89"/>
      <c r="AQ573" s="89"/>
      <c r="AR573" s="89"/>
      <c r="AS573" s="89"/>
      <c r="AT573" s="89"/>
      <c r="AU573" s="89"/>
      <c r="AV573" s="89"/>
      <c r="AW573" s="89"/>
      <c r="AX573" s="89"/>
      <c r="AY573" s="89"/>
      <c r="AZ573" s="89"/>
      <c r="BA573" s="89"/>
      <c r="BB573" s="89"/>
      <c r="BC573" s="89"/>
      <c r="BD573" s="89"/>
      <c r="BE573" s="89"/>
      <c r="BF573" s="89"/>
      <c r="BG573" s="95">
        <v>-1</v>
      </c>
      <c r="BH573" s="95">
        <v>-1</v>
      </c>
      <c r="BI573" s="95">
        <v>-1</v>
      </c>
      <c r="BJ573" s="95">
        <v>-1</v>
      </c>
      <c r="BK573" s="95">
        <v>-1</v>
      </c>
      <c r="BL573" s="95">
        <v>-1</v>
      </c>
      <c r="BM573" s="95">
        <v>-1</v>
      </c>
      <c r="BN573" s="89"/>
      <c r="BO573" s="89"/>
      <c r="BP573" s="89"/>
      <c r="BQ573" s="89"/>
      <c r="BR573" s="89"/>
      <c r="BS573" s="89"/>
      <c r="BT573" s="89"/>
      <c r="BU573" s="89"/>
      <c r="BV573" s="89"/>
      <c r="BW573" s="89"/>
      <c r="BX573" s="89"/>
      <c r="BY573" s="89"/>
      <c r="BZ573" s="89"/>
      <c r="CA573" s="89"/>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98"/>
      <c r="DA573" s="98"/>
      <c r="DB573" s="98"/>
      <c r="DC573" s="98"/>
      <c r="DD573" s="98"/>
      <c r="DE573" s="98"/>
      <c r="DF573" s="98"/>
      <c r="DG573" s="98"/>
      <c r="DH573" s="98"/>
      <c r="DI573" s="98"/>
      <c r="DJ573" s="98"/>
      <c r="DK573" s="98"/>
      <c r="DL573" s="98"/>
      <c r="DM573" s="98"/>
      <c r="DN573" s="98"/>
      <c r="DO573" s="98"/>
      <c r="DP573" s="98"/>
      <c r="DQ573" s="98"/>
      <c r="DR573" s="98"/>
      <c r="DS573" s="98"/>
      <c r="DT573" s="98"/>
      <c r="DU573" s="98"/>
      <c r="DV573" s="98"/>
      <c r="DW573" s="98"/>
      <c r="DX573" s="98"/>
      <c r="DY573" s="98"/>
      <c r="DZ573" s="98"/>
      <c r="EA573" s="98"/>
      <c r="EB573" s="98"/>
      <c r="EC573" s="98"/>
      <c r="ED573" s="98"/>
    </row>
    <row r="574" spans="1:134" ht="11.25" customHeight="1" x14ac:dyDescent="0.3">
      <c r="A574" s="28" t="e">
        <f t="array" aca="1" ref="A574" ca="1">_xludf.XLOOKUP(S574,Master_Registrations!P:P,Master_Registrations!A:A,"")</f>
        <v>#NAME?</v>
      </c>
      <c r="B574" s="89" t="s">
        <v>182</v>
      </c>
      <c r="C574" s="89">
        <v>2024</v>
      </c>
      <c r="D574" s="89" t="s">
        <v>4886</v>
      </c>
      <c r="E574" s="89">
        <v>2</v>
      </c>
      <c r="F574" s="90" t="str">
        <f t="shared" si="8"/>
        <v>VED-01-2024-GR-2</v>
      </c>
      <c r="G574" s="89" t="s">
        <v>4569</v>
      </c>
      <c r="H574" s="89" t="s">
        <v>7123</v>
      </c>
      <c r="I574" s="89"/>
      <c r="J574" s="89" t="s">
        <v>7094</v>
      </c>
      <c r="K574" s="104"/>
      <c r="L574" s="99"/>
      <c r="M574" s="104"/>
      <c r="N574" s="90" t="s">
        <v>7095</v>
      </c>
      <c r="O574" s="89" t="s">
        <v>1352</v>
      </c>
      <c r="P574" s="89" t="s">
        <v>1353</v>
      </c>
      <c r="Q574" s="89" t="e">
        <f t="shared" ca="1" si="7"/>
        <v>#NAME?</v>
      </c>
      <c r="R574" s="39" t="s">
        <v>112</v>
      </c>
      <c r="S574" s="105">
        <v>9399952777</v>
      </c>
      <c r="T574" s="90" t="s">
        <v>111</v>
      </c>
      <c r="U574" s="89">
        <v>1966</v>
      </c>
      <c r="V574" s="99">
        <v>1</v>
      </c>
      <c r="W574" s="99">
        <v>2</v>
      </c>
      <c r="X574" s="99">
        <v>-1</v>
      </c>
      <c r="Y574" s="99">
        <v>-1</v>
      </c>
      <c r="Z574" s="99">
        <v>-1</v>
      </c>
      <c r="AA574" s="99">
        <v>-1</v>
      </c>
      <c r="AB574" s="99">
        <v>-1</v>
      </c>
      <c r="AC574" s="95">
        <v>-1</v>
      </c>
      <c r="AD574" s="95">
        <v>-1</v>
      </c>
      <c r="AE574" s="99">
        <v>1</v>
      </c>
      <c r="AF574" s="99">
        <v>1</v>
      </c>
      <c r="AG574" s="99">
        <v>1</v>
      </c>
      <c r="AH574" s="99">
        <v>-1</v>
      </c>
      <c r="AI574" s="95">
        <v>-1</v>
      </c>
      <c r="AJ574" s="99">
        <v>-1</v>
      </c>
      <c r="AK574" s="99">
        <v>-1</v>
      </c>
      <c r="AL574" s="99">
        <v>-1</v>
      </c>
      <c r="AM574" s="99">
        <v>-1</v>
      </c>
      <c r="AN574" s="99">
        <v>-1</v>
      </c>
      <c r="AO574" s="99">
        <v>-1</v>
      </c>
      <c r="AP574" s="99">
        <v>-1</v>
      </c>
      <c r="AQ574" s="99">
        <v>-1</v>
      </c>
      <c r="AR574" s="99">
        <v>-1</v>
      </c>
      <c r="AS574" s="99">
        <v>-1</v>
      </c>
      <c r="AT574" s="99">
        <v>-1</v>
      </c>
      <c r="AU574" s="99">
        <v>-1</v>
      </c>
      <c r="AV574" s="95">
        <v>-1</v>
      </c>
      <c r="AW574" s="89"/>
      <c r="AX574" s="89"/>
      <c r="AY574" s="89"/>
      <c r="AZ574" s="89"/>
      <c r="BA574" s="89"/>
      <c r="BB574" s="89"/>
      <c r="BC574" s="89"/>
      <c r="BD574" s="89"/>
      <c r="BE574" s="89"/>
      <c r="BF574" s="89"/>
      <c r="BG574" s="89"/>
      <c r="BH574" s="89"/>
      <c r="BI574" s="89"/>
      <c r="BJ574" s="89"/>
      <c r="BK574" s="89"/>
      <c r="BL574" s="89"/>
      <c r="BM574" s="89"/>
      <c r="BN574" s="89"/>
      <c r="BO574" s="89"/>
      <c r="BP574" s="89"/>
      <c r="BQ574" s="89"/>
      <c r="BR574" s="89"/>
      <c r="BS574" s="89"/>
      <c r="BT574" s="89"/>
      <c r="BU574" s="89"/>
      <c r="BV574" s="89"/>
      <c r="BW574" s="89"/>
      <c r="BX574" s="89"/>
      <c r="BY574" s="89"/>
      <c r="BZ574" s="89"/>
      <c r="CA574" s="89"/>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98"/>
      <c r="DA574" s="98"/>
      <c r="DB574" s="98"/>
      <c r="DC574" s="98"/>
      <c r="DD574" s="98"/>
      <c r="DE574" s="98"/>
      <c r="DF574" s="98"/>
      <c r="DG574" s="98"/>
      <c r="DH574" s="98"/>
      <c r="DI574" s="98"/>
      <c r="DJ574" s="98"/>
      <c r="DK574" s="98"/>
      <c r="DL574" s="98"/>
      <c r="DM574" s="98"/>
      <c r="DN574" s="98"/>
      <c r="DO574" s="98"/>
      <c r="DP574" s="98"/>
      <c r="DQ574" s="98"/>
      <c r="DR574" s="98"/>
      <c r="DS574" s="98"/>
      <c r="DT574" s="98"/>
      <c r="DU574" s="98"/>
      <c r="DV574" s="98"/>
      <c r="DW574" s="98"/>
      <c r="DX574" s="98"/>
      <c r="DY574" s="98"/>
      <c r="DZ574" s="98"/>
      <c r="EA574" s="98"/>
      <c r="EB574" s="98"/>
      <c r="EC574" s="98"/>
      <c r="ED574" s="98"/>
    </row>
    <row r="575" spans="1:134" ht="11.25" customHeight="1" x14ac:dyDescent="0.3">
      <c r="A575" s="28" t="e">
        <f t="array" aca="1" ref="A575" ca="1">_xludf.XLOOKUP(S575,Master_Registrations!P:P,Master_Registrations!A:A,"")</f>
        <v>#NAME?</v>
      </c>
      <c r="B575" s="89" t="s">
        <v>182</v>
      </c>
      <c r="C575" s="89">
        <v>2024</v>
      </c>
      <c r="D575" s="89" t="s">
        <v>4886</v>
      </c>
      <c r="E575" s="89">
        <v>2</v>
      </c>
      <c r="F575" s="90" t="str">
        <f t="shared" si="8"/>
        <v>VED-01-2024-GR-2</v>
      </c>
      <c r="G575" s="89" t="s">
        <v>4569</v>
      </c>
      <c r="H575" s="89" t="s">
        <v>7123</v>
      </c>
      <c r="I575" s="89"/>
      <c r="J575" s="89" t="s">
        <v>7094</v>
      </c>
      <c r="K575" s="99"/>
      <c r="L575" s="99"/>
      <c r="M575" s="99"/>
      <c r="N575" s="90" t="s">
        <v>7095</v>
      </c>
      <c r="O575" s="89" t="s">
        <v>1009</v>
      </c>
      <c r="P575" s="89" t="s">
        <v>1010</v>
      </c>
      <c r="Q575" s="89" t="e">
        <f t="shared" ca="1" si="7"/>
        <v>#NAME?</v>
      </c>
      <c r="R575" s="39" t="s">
        <v>112</v>
      </c>
      <c r="S575" s="105">
        <v>9298903940</v>
      </c>
      <c r="T575" s="90" t="s">
        <v>111</v>
      </c>
      <c r="U575" s="89">
        <v>1991</v>
      </c>
      <c r="V575" s="99">
        <v>1</v>
      </c>
      <c r="W575" s="99">
        <v>1</v>
      </c>
      <c r="X575" s="99">
        <v>1</v>
      </c>
      <c r="Y575" s="99">
        <v>1</v>
      </c>
      <c r="Z575" s="99">
        <v>1</v>
      </c>
      <c r="AA575" s="99">
        <v>2</v>
      </c>
      <c r="AB575" s="99">
        <v>1</v>
      </c>
      <c r="AC575" s="95">
        <v>-1</v>
      </c>
      <c r="AD575" s="95">
        <v>-1</v>
      </c>
      <c r="AE575" s="99">
        <v>1</v>
      </c>
      <c r="AF575" s="99">
        <v>1</v>
      </c>
      <c r="AG575" s="99">
        <v>1</v>
      </c>
      <c r="AH575" s="99">
        <v>1</v>
      </c>
      <c r="AI575" s="95">
        <v>-1</v>
      </c>
      <c r="AJ575" s="99">
        <v>-1</v>
      </c>
      <c r="AK575" s="99">
        <v>-1</v>
      </c>
      <c r="AL575" s="99">
        <v>-1</v>
      </c>
      <c r="AM575" s="99">
        <v>-1</v>
      </c>
      <c r="AN575" s="99">
        <v>-1</v>
      </c>
      <c r="AO575" s="99">
        <v>-1</v>
      </c>
      <c r="AP575" s="99">
        <v>-1</v>
      </c>
      <c r="AQ575" s="99">
        <v>-1</v>
      </c>
      <c r="AR575" s="99">
        <v>-1</v>
      </c>
      <c r="AS575" s="99">
        <v>-1</v>
      </c>
      <c r="AT575" s="99">
        <v>-1</v>
      </c>
      <c r="AU575" s="99">
        <v>-1</v>
      </c>
      <c r="AV575" s="95">
        <v>-1</v>
      </c>
      <c r="AW575" s="89"/>
      <c r="AX575" s="89"/>
      <c r="AY575" s="89"/>
      <c r="AZ575" s="89"/>
      <c r="BA575" s="89"/>
      <c r="BB575" s="89"/>
      <c r="BC575" s="89"/>
      <c r="BD575" s="89"/>
      <c r="BE575" s="89"/>
      <c r="BF575" s="89"/>
      <c r="BG575" s="89"/>
      <c r="BH575" s="89"/>
      <c r="BI575" s="89"/>
      <c r="BJ575" s="89"/>
      <c r="BK575" s="89"/>
      <c r="BL575" s="89"/>
      <c r="BM575" s="89"/>
      <c r="BN575" s="89"/>
      <c r="BO575" s="89"/>
      <c r="BP575" s="89"/>
      <c r="BQ575" s="89"/>
      <c r="BR575" s="89"/>
      <c r="BS575" s="89"/>
      <c r="BT575" s="89"/>
      <c r="BU575" s="89"/>
      <c r="BV575" s="89"/>
      <c r="BW575" s="89"/>
      <c r="BX575" s="89"/>
      <c r="BY575" s="89"/>
      <c r="BZ575" s="89"/>
      <c r="CA575" s="89"/>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98"/>
      <c r="DA575" s="98"/>
      <c r="DB575" s="98"/>
      <c r="DC575" s="98"/>
      <c r="DD575" s="98"/>
      <c r="DE575" s="98"/>
      <c r="DF575" s="98"/>
      <c r="DG575" s="98"/>
      <c r="DH575" s="98"/>
      <c r="DI575" s="98"/>
      <c r="DJ575" s="98"/>
      <c r="DK575" s="98"/>
      <c r="DL575" s="98"/>
      <c r="DM575" s="98"/>
      <c r="DN575" s="98"/>
      <c r="DO575" s="98"/>
      <c r="DP575" s="98"/>
      <c r="DQ575" s="98"/>
      <c r="DR575" s="98"/>
      <c r="DS575" s="98"/>
      <c r="DT575" s="98"/>
      <c r="DU575" s="98"/>
      <c r="DV575" s="98"/>
      <c r="DW575" s="98"/>
      <c r="DX575" s="98"/>
      <c r="DY575" s="98"/>
      <c r="DZ575" s="98"/>
      <c r="EA575" s="98"/>
      <c r="EB575" s="98"/>
      <c r="EC575" s="98"/>
      <c r="ED575" s="98"/>
    </row>
    <row r="576" spans="1:134" ht="11.25" customHeight="1" x14ac:dyDescent="0.3">
      <c r="A576" s="28" t="e">
        <f t="array" aca="1" ref="A576" ca="1">_xludf.XLOOKUP(S576,Master_Registrations!P:P,Master_Registrations!A:A,"")</f>
        <v>#NAME?</v>
      </c>
      <c r="B576" s="89" t="s">
        <v>182</v>
      </c>
      <c r="C576" s="89">
        <v>2024</v>
      </c>
      <c r="D576" s="89" t="s">
        <v>4886</v>
      </c>
      <c r="E576" s="89">
        <v>2</v>
      </c>
      <c r="F576" s="90" t="str">
        <f t="shared" si="8"/>
        <v>VED-01-2024-GR-2</v>
      </c>
      <c r="G576" s="89" t="s">
        <v>4569</v>
      </c>
      <c r="H576" s="91"/>
      <c r="I576" s="91"/>
      <c r="J576" s="89" t="s">
        <v>7094</v>
      </c>
      <c r="K576" s="91"/>
      <c r="L576" s="91"/>
      <c r="M576" s="91"/>
      <c r="N576" s="90" t="s">
        <v>7095</v>
      </c>
      <c r="O576" s="89" t="s">
        <v>750</v>
      </c>
      <c r="P576" s="89" t="s">
        <v>751</v>
      </c>
      <c r="Q576" s="89" t="e">
        <f t="shared" ca="1" si="7"/>
        <v>#NAME?</v>
      </c>
      <c r="R576" s="39" t="s">
        <v>316</v>
      </c>
      <c r="S576" s="94">
        <v>2816855734</v>
      </c>
      <c r="T576" s="90" t="s">
        <v>315</v>
      </c>
      <c r="U576" s="90">
        <v>1968</v>
      </c>
      <c r="V576" s="99">
        <v>1</v>
      </c>
      <c r="W576" s="95">
        <v>-1</v>
      </c>
      <c r="X576" s="97">
        <v>1</v>
      </c>
      <c r="Y576" s="97">
        <v>1</v>
      </c>
      <c r="Z576" s="97">
        <v>1</v>
      </c>
      <c r="AA576" s="97">
        <v>1</v>
      </c>
      <c r="AB576" s="97">
        <v>1</v>
      </c>
      <c r="AC576" s="99">
        <v>1</v>
      </c>
      <c r="AD576" s="99">
        <v>1</v>
      </c>
      <c r="AE576" s="99">
        <v>1</v>
      </c>
      <c r="AF576" s="99">
        <v>1</v>
      </c>
      <c r="AG576" s="99">
        <v>1</v>
      </c>
      <c r="AH576" s="97">
        <v>1</v>
      </c>
      <c r="AI576" s="96">
        <v>-1</v>
      </c>
      <c r="AJ576" s="97">
        <v>-1</v>
      </c>
      <c r="AK576" s="96">
        <v>-1</v>
      </c>
      <c r="AL576" s="96">
        <v>-1</v>
      </c>
      <c r="AM576" s="96">
        <v>-1</v>
      </c>
      <c r="AN576" s="96">
        <v>-1</v>
      </c>
      <c r="AO576" s="96">
        <v>-1</v>
      </c>
      <c r="AP576" s="96">
        <v>-1</v>
      </c>
      <c r="AQ576" s="96">
        <v>-1</v>
      </c>
      <c r="AR576" s="96">
        <v>-1</v>
      </c>
      <c r="AS576" s="96">
        <v>-1</v>
      </c>
      <c r="AT576" s="96">
        <v>-1</v>
      </c>
      <c r="AU576" s="96">
        <v>-1</v>
      </c>
      <c r="AV576" s="96">
        <v>-1</v>
      </c>
      <c r="AW576" s="89"/>
      <c r="AX576" s="89"/>
      <c r="AY576" s="89"/>
      <c r="AZ576" s="89"/>
      <c r="BA576" s="89"/>
      <c r="BB576" s="89"/>
      <c r="BC576" s="89"/>
      <c r="BD576" s="89"/>
      <c r="BE576" s="89"/>
      <c r="BF576" s="89"/>
      <c r="BG576" s="89"/>
      <c r="BH576" s="89"/>
      <c r="BI576" s="89"/>
      <c r="BJ576" s="89"/>
      <c r="BK576" s="89"/>
      <c r="BL576" s="89"/>
      <c r="BM576" s="89"/>
      <c r="BN576" s="89"/>
      <c r="BO576" s="89"/>
      <c r="BP576" s="89"/>
      <c r="BQ576" s="89"/>
      <c r="BR576" s="89"/>
      <c r="BS576" s="89"/>
      <c r="BT576" s="89"/>
      <c r="BU576" s="89"/>
      <c r="BV576" s="89"/>
      <c r="BW576" s="89"/>
      <c r="BX576" s="89"/>
      <c r="BY576" s="89"/>
      <c r="BZ576" s="89"/>
      <c r="CA576" s="89"/>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98"/>
      <c r="DA576" s="98"/>
      <c r="DB576" s="98"/>
      <c r="DC576" s="98"/>
      <c r="DD576" s="98"/>
      <c r="DE576" s="98"/>
      <c r="DF576" s="98"/>
      <c r="DG576" s="98"/>
      <c r="DH576" s="98"/>
      <c r="DI576" s="98"/>
      <c r="DJ576" s="98"/>
      <c r="DK576" s="98"/>
      <c r="DL576" s="98"/>
      <c r="DM576" s="98"/>
      <c r="DN576" s="98"/>
      <c r="DO576" s="98"/>
      <c r="DP576" s="98"/>
      <c r="DQ576" s="98"/>
      <c r="DR576" s="98"/>
      <c r="DS576" s="98"/>
      <c r="DT576" s="98"/>
      <c r="DU576" s="98"/>
      <c r="DV576" s="98"/>
      <c r="DW576" s="98"/>
      <c r="DX576" s="98"/>
      <c r="DY576" s="98"/>
      <c r="DZ576" s="98"/>
      <c r="EA576" s="98"/>
      <c r="EB576" s="98"/>
      <c r="EC576" s="98"/>
      <c r="ED576" s="98"/>
    </row>
    <row r="577" spans="1:134" ht="11.25" customHeight="1" x14ac:dyDescent="0.3">
      <c r="A577" s="28" t="e">
        <f t="array" aca="1" ref="A577" ca="1">_xludf.XLOOKUP(S577,Master_Registrations!P:P,Master_Registrations!A:A,"")</f>
        <v>#NAME?</v>
      </c>
      <c r="B577" s="89" t="s">
        <v>182</v>
      </c>
      <c r="C577" s="89">
        <v>2024</v>
      </c>
      <c r="D577" s="89" t="s">
        <v>4886</v>
      </c>
      <c r="E577" s="89">
        <v>3</v>
      </c>
      <c r="F577" s="90" t="str">
        <f t="shared" si="8"/>
        <v>VED-01-2024-GR-3</v>
      </c>
      <c r="G577" s="89" t="s">
        <v>4750</v>
      </c>
      <c r="H577" s="89" t="s">
        <v>7122</v>
      </c>
      <c r="I577" s="89"/>
      <c r="J577" s="89" t="s">
        <v>7094</v>
      </c>
      <c r="K577" s="99"/>
      <c r="L577" s="99"/>
      <c r="M577" s="99"/>
      <c r="N577" s="90" t="s">
        <v>7095</v>
      </c>
      <c r="O577" s="89" t="s">
        <v>3296</v>
      </c>
      <c r="P577" s="89" t="s">
        <v>6572</v>
      </c>
      <c r="Q577" s="89" t="e">
        <f t="shared" ca="1" si="7"/>
        <v>#NAME?</v>
      </c>
      <c r="R577" s="39" t="s">
        <v>316</v>
      </c>
      <c r="S577" s="105">
        <v>9372666620</v>
      </c>
      <c r="T577" s="90" t="s">
        <v>402</v>
      </c>
      <c r="U577" s="89">
        <v>1975</v>
      </c>
      <c r="V577" s="99">
        <v>-1</v>
      </c>
      <c r="W577" s="95">
        <v>-1</v>
      </c>
      <c r="X577" s="95">
        <v>-1</v>
      </c>
      <c r="Y577" s="95">
        <v>-1</v>
      </c>
      <c r="Z577" s="95">
        <v>-1</v>
      </c>
      <c r="AA577" s="95">
        <v>-1</v>
      </c>
      <c r="AB577" s="95">
        <v>-1</v>
      </c>
      <c r="AC577" s="95">
        <v>-1</v>
      </c>
      <c r="AD577" s="95">
        <v>-1</v>
      </c>
      <c r="AE577" s="99">
        <v>-1</v>
      </c>
      <c r="AF577" s="99">
        <v>-1</v>
      </c>
      <c r="AG577" s="99">
        <v>-1</v>
      </c>
      <c r="AH577" s="95">
        <v>-1</v>
      </c>
      <c r="AI577" s="95">
        <v>-1</v>
      </c>
      <c r="AJ577" s="89"/>
      <c r="AK577" s="89"/>
      <c r="AL577" s="89"/>
      <c r="AM577" s="89"/>
      <c r="AN577" s="89"/>
      <c r="AO577" s="89"/>
      <c r="AP577" s="89"/>
      <c r="AQ577" s="89"/>
      <c r="AR577" s="89"/>
      <c r="AS577" s="89"/>
      <c r="AT577" s="89"/>
      <c r="AU577" s="89"/>
      <c r="AV577" s="89"/>
      <c r="AW577" s="89"/>
      <c r="AX577" s="89"/>
      <c r="AY577" s="89"/>
      <c r="AZ577" s="89"/>
      <c r="BA577" s="89"/>
      <c r="BB577" s="89"/>
      <c r="BC577" s="89"/>
      <c r="BD577" s="89"/>
      <c r="BE577" s="89"/>
      <c r="BF577" s="89"/>
      <c r="BG577" s="95">
        <v>-1</v>
      </c>
      <c r="BH577" s="95">
        <v>-1</v>
      </c>
      <c r="BI577" s="95">
        <v>-1</v>
      </c>
      <c r="BJ577" s="95">
        <v>-1</v>
      </c>
      <c r="BK577" s="95">
        <v>-1</v>
      </c>
      <c r="BL577" s="95">
        <v>-1</v>
      </c>
      <c r="BM577" s="95">
        <v>-1</v>
      </c>
      <c r="BN577" s="89"/>
      <c r="BO577" s="89"/>
      <c r="BP577" s="89"/>
      <c r="BQ577" s="89"/>
      <c r="BR577" s="89"/>
      <c r="BS577" s="89"/>
      <c r="BT577" s="89"/>
      <c r="BU577" s="89"/>
      <c r="BV577" s="89"/>
      <c r="BW577" s="89"/>
      <c r="BX577" s="89"/>
      <c r="BY577" s="89"/>
      <c r="BZ577" s="89"/>
      <c r="CA577" s="89"/>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98"/>
      <c r="DA577" s="98"/>
      <c r="DB577" s="98"/>
      <c r="DC577" s="98"/>
      <c r="DD577" s="98"/>
      <c r="DE577" s="98"/>
      <c r="DF577" s="98"/>
      <c r="DG577" s="98"/>
      <c r="DH577" s="98"/>
      <c r="DI577" s="98"/>
      <c r="DJ577" s="98"/>
      <c r="DK577" s="98"/>
      <c r="DL577" s="98"/>
      <c r="DM577" s="98"/>
      <c r="DN577" s="98"/>
      <c r="DO577" s="98"/>
      <c r="DP577" s="98"/>
      <c r="DQ577" s="98"/>
      <c r="DR577" s="98"/>
      <c r="DS577" s="98"/>
      <c r="DT577" s="98"/>
      <c r="DU577" s="98"/>
      <c r="DV577" s="98"/>
      <c r="DW577" s="98"/>
      <c r="DX577" s="98"/>
      <c r="DY577" s="98"/>
      <c r="DZ577" s="98"/>
      <c r="EA577" s="98"/>
      <c r="EB577" s="98"/>
      <c r="EC577" s="98"/>
      <c r="ED577" s="98"/>
    </row>
    <row r="578" spans="1:134" ht="11.25" customHeight="1" x14ac:dyDescent="0.3">
      <c r="A578" s="28" t="e">
        <f t="array" aca="1" ref="A578" ca="1">_xludf.XLOOKUP(S578,Master_Registrations!P:P,Master_Registrations!A:A,"")</f>
        <v>#NAME?</v>
      </c>
      <c r="B578" s="89" t="s">
        <v>182</v>
      </c>
      <c r="C578" s="89">
        <v>2024</v>
      </c>
      <c r="D578" s="89" t="s">
        <v>4886</v>
      </c>
      <c r="E578" s="89">
        <v>3</v>
      </c>
      <c r="F578" s="90" t="str">
        <f t="shared" si="8"/>
        <v>VED-01-2024-GR-3</v>
      </c>
      <c r="G578" s="89" t="s">
        <v>4750</v>
      </c>
      <c r="H578" s="89" t="s">
        <v>5188</v>
      </c>
      <c r="I578" s="89"/>
      <c r="J578" s="89" t="s">
        <v>7094</v>
      </c>
      <c r="K578" s="99"/>
      <c r="L578" s="99"/>
      <c r="M578" s="99"/>
      <c r="N578" s="90" t="s">
        <v>7095</v>
      </c>
      <c r="O578" s="89" t="s">
        <v>6266</v>
      </c>
      <c r="P578" s="89" t="s">
        <v>4744</v>
      </c>
      <c r="Q578" s="89" t="e">
        <f t="shared" ca="1" si="7"/>
        <v>#NAME?</v>
      </c>
      <c r="R578" s="39" t="s">
        <v>316</v>
      </c>
      <c r="S578" s="105">
        <v>4252832589</v>
      </c>
      <c r="T578" s="90" t="s">
        <v>402</v>
      </c>
      <c r="U578" s="89">
        <v>1974</v>
      </c>
      <c r="V578" s="95">
        <v>-1</v>
      </c>
      <c r="W578" s="95">
        <v>-1</v>
      </c>
      <c r="X578" s="99">
        <v>-1</v>
      </c>
      <c r="Y578" s="95">
        <v>-1</v>
      </c>
      <c r="Z578" s="95">
        <v>-1</v>
      </c>
      <c r="AA578" s="95">
        <v>-1</v>
      </c>
      <c r="AB578" s="95">
        <v>-1</v>
      </c>
      <c r="AC578" s="95">
        <v>-1</v>
      </c>
      <c r="AD578" s="95">
        <v>-1</v>
      </c>
      <c r="AE578" s="95">
        <v>-1</v>
      </c>
      <c r="AF578" s="95">
        <v>-1</v>
      </c>
      <c r="AG578" s="95">
        <v>-1</v>
      </c>
      <c r="AH578" s="95">
        <v>-1</v>
      </c>
      <c r="AI578" s="95">
        <v>-1</v>
      </c>
      <c r="AJ578" s="89"/>
      <c r="AK578" s="89"/>
      <c r="AL578" s="89"/>
      <c r="AM578" s="89"/>
      <c r="AN578" s="89"/>
      <c r="AO578" s="89"/>
      <c r="AP578" s="89"/>
      <c r="AQ578" s="89"/>
      <c r="AR578" s="89"/>
      <c r="AS578" s="89"/>
      <c r="AT578" s="89"/>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c r="BQ578" s="89"/>
      <c r="BR578" s="89"/>
      <c r="BS578" s="89"/>
      <c r="BT578" s="89"/>
      <c r="BU578" s="89"/>
      <c r="BV578" s="89"/>
      <c r="BW578" s="89"/>
      <c r="BX578" s="89"/>
      <c r="BY578" s="89"/>
      <c r="BZ578" s="89"/>
      <c r="CA578" s="89"/>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98"/>
      <c r="DA578" s="98"/>
      <c r="DB578" s="98"/>
      <c r="DC578" s="98"/>
      <c r="DD578" s="98"/>
      <c r="DE578" s="98"/>
      <c r="DF578" s="98"/>
      <c r="DG578" s="98"/>
      <c r="DH578" s="98"/>
      <c r="DI578" s="98"/>
      <c r="DJ578" s="98"/>
      <c r="DK578" s="98"/>
      <c r="DL578" s="98"/>
      <c r="DM578" s="98"/>
      <c r="DN578" s="98"/>
      <c r="DO578" s="98"/>
      <c r="DP578" s="98"/>
      <c r="DQ578" s="98"/>
      <c r="DR578" s="98"/>
      <c r="DS578" s="98"/>
      <c r="DT578" s="98"/>
      <c r="DU578" s="98"/>
      <c r="DV578" s="98"/>
      <c r="DW578" s="98"/>
      <c r="DX578" s="98"/>
      <c r="DY578" s="98"/>
      <c r="DZ578" s="98"/>
      <c r="EA578" s="98"/>
      <c r="EB578" s="98"/>
      <c r="EC578" s="98"/>
      <c r="ED578" s="98"/>
    </row>
    <row r="579" spans="1:134" ht="11.25" customHeight="1" x14ac:dyDescent="0.3">
      <c r="A579" s="28" t="e">
        <f t="array" aca="1" ref="A579" ca="1">_xludf.XLOOKUP(S579,Master_Registrations!P:P,Master_Registrations!A:A,"")</f>
        <v>#NAME?</v>
      </c>
      <c r="B579" s="89" t="s">
        <v>182</v>
      </c>
      <c r="C579" s="89">
        <v>2024</v>
      </c>
      <c r="D579" s="89" t="s">
        <v>4886</v>
      </c>
      <c r="E579" s="89">
        <v>3</v>
      </c>
      <c r="F579" s="90" t="str">
        <f t="shared" si="8"/>
        <v>VED-01-2024-GR-3</v>
      </c>
      <c r="G579" s="89" t="s">
        <v>4750</v>
      </c>
      <c r="H579" s="89" t="s">
        <v>5188</v>
      </c>
      <c r="I579" s="89"/>
      <c r="J579" s="89" t="s">
        <v>7094</v>
      </c>
      <c r="K579" s="99"/>
      <c r="L579" s="99"/>
      <c r="M579" s="99"/>
      <c r="N579" s="90" t="s">
        <v>7095</v>
      </c>
      <c r="O579" s="89" t="s">
        <v>1224</v>
      </c>
      <c r="P579" s="89" t="s">
        <v>1225</v>
      </c>
      <c r="Q579" s="89" t="e">
        <f t="shared" ca="1" si="7"/>
        <v>#NAME?</v>
      </c>
      <c r="R579" s="39" t="s">
        <v>316</v>
      </c>
      <c r="S579" s="94">
        <v>3154202790</v>
      </c>
      <c r="T579" s="90" t="s">
        <v>315</v>
      </c>
      <c r="U579" s="89">
        <v>1990</v>
      </c>
      <c r="V579" s="95">
        <v>-1</v>
      </c>
      <c r="W579" s="95">
        <v>-1</v>
      </c>
      <c r="X579" s="95">
        <v>-1</v>
      </c>
      <c r="Y579" s="95">
        <v>-1</v>
      </c>
      <c r="Z579" s="95">
        <v>-1</v>
      </c>
      <c r="AA579" s="95">
        <v>-1</v>
      </c>
      <c r="AB579" s="95">
        <v>-1</v>
      </c>
      <c r="AC579" s="95">
        <v>-1</v>
      </c>
      <c r="AD579" s="95">
        <v>-1</v>
      </c>
      <c r="AE579" s="95">
        <v>-1</v>
      </c>
      <c r="AF579" s="95">
        <v>-1</v>
      </c>
      <c r="AG579" s="95">
        <v>-1</v>
      </c>
      <c r="AH579" s="95">
        <v>-1</v>
      </c>
      <c r="AI579" s="95">
        <v>-1</v>
      </c>
      <c r="AJ579" s="89"/>
      <c r="AK579" s="89"/>
      <c r="AL579" s="89"/>
      <c r="AM579" s="89"/>
      <c r="AN579" s="89"/>
      <c r="AO579" s="89"/>
      <c r="AP579" s="89"/>
      <c r="AQ579" s="89"/>
      <c r="AR579" s="89"/>
      <c r="AS579" s="89"/>
      <c r="AT579" s="89"/>
      <c r="AU579" s="89"/>
      <c r="AV579" s="89"/>
      <c r="AW579" s="89"/>
      <c r="AX579" s="89"/>
      <c r="AY579" s="89"/>
      <c r="AZ579" s="89"/>
      <c r="BA579" s="89"/>
      <c r="BB579" s="89"/>
      <c r="BC579" s="89"/>
      <c r="BD579" s="89"/>
      <c r="BE579" s="89"/>
      <c r="BF579" s="89"/>
      <c r="BG579" s="95">
        <v>-1</v>
      </c>
      <c r="BH579" s="95">
        <v>-1</v>
      </c>
      <c r="BI579" s="95">
        <v>-1</v>
      </c>
      <c r="BJ579" s="95">
        <v>-1</v>
      </c>
      <c r="BK579" s="95">
        <v>-1</v>
      </c>
      <c r="BL579" s="95">
        <v>-1</v>
      </c>
      <c r="BM579" s="95">
        <v>-1</v>
      </c>
      <c r="BN579" s="89"/>
      <c r="BO579" s="89"/>
      <c r="BP579" s="89"/>
      <c r="BQ579" s="89"/>
      <c r="BR579" s="89"/>
      <c r="BS579" s="89"/>
      <c r="BT579" s="89"/>
      <c r="BU579" s="89"/>
      <c r="BV579" s="89"/>
      <c r="BW579" s="89"/>
      <c r="BX579" s="89"/>
      <c r="BY579" s="89"/>
      <c r="BZ579" s="89"/>
      <c r="CA579" s="89"/>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98"/>
      <c r="DA579" s="98"/>
      <c r="DB579" s="98"/>
      <c r="DC579" s="98"/>
      <c r="DD579" s="98"/>
      <c r="DE579" s="98"/>
      <c r="DF579" s="98"/>
      <c r="DG579" s="98"/>
      <c r="DH579" s="98"/>
      <c r="DI579" s="98"/>
      <c r="DJ579" s="98"/>
      <c r="DK579" s="98"/>
      <c r="DL579" s="98"/>
      <c r="DM579" s="98"/>
      <c r="DN579" s="98"/>
      <c r="DO579" s="98"/>
      <c r="DP579" s="98"/>
      <c r="DQ579" s="98"/>
      <c r="DR579" s="98"/>
      <c r="DS579" s="98"/>
      <c r="DT579" s="98"/>
      <c r="DU579" s="98"/>
      <c r="DV579" s="98"/>
      <c r="DW579" s="98"/>
      <c r="DX579" s="98"/>
      <c r="DY579" s="98"/>
      <c r="DZ579" s="98"/>
      <c r="EA579" s="98"/>
      <c r="EB579" s="98"/>
      <c r="EC579" s="98"/>
      <c r="ED579" s="98"/>
    </row>
    <row r="580" spans="1:134" ht="11.25" customHeight="1" x14ac:dyDescent="0.3">
      <c r="A580" s="28" t="e">
        <f t="array" aca="1" ref="A580" ca="1">_xludf.XLOOKUP(S580,Master_Registrations!P:P,Master_Registrations!A:A,"")</f>
        <v>#NAME?</v>
      </c>
      <c r="B580" s="89" t="s">
        <v>182</v>
      </c>
      <c r="C580" s="89">
        <v>2024</v>
      </c>
      <c r="D580" s="89" t="s">
        <v>4886</v>
      </c>
      <c r="E580" s="89">
        <v>3</v>
      </c>
      <c r="F580" s="90" t="str">
        <f t="shared" si="8"/>
        <v>VED-01-2024-GR-3</v>
      </c>
      <c r="G580" s="89" t="s">
        <v>4750</v>
      </c>
      <c r="H580" s="89" t="s">
        <v>5188</v>
      </c>
      <c r="I580" s="89"/>
      <c r="J580" s="89" t="s">
        <v>7094</v>
      </c>
      <c r="K580" s="99"/>
      <c r="L580" s="99"/>
      <c r="M580" s="99"/>
      <c r="N580" s="90" t="s">
        <v>7095</v>
      </c>
      <c r="O580" s="89" t="s">
        <v>1230</v>
      </c>
      <c r="P580" s="89" t="s">
        <v>1231</v>
      </c>
      <c r="Q580" s="89" t="e">
        <f t="shared" ca="1" si="7"/>
        <v>#NAME?</v>
      </c>
      <c r="R580" s="39" t="s">
        <v>316</v>
      </c>
      <c r="S580" s="94">
        <v>6504458553</v>
      </c>
      <c r="T580" s="90" t="s">
        <v>402</v>
      </c>
      <c r="U580" s="89">
        <v>1978</v>
      </c>
      <c r="V580" s="95">
        <v>-1</v>
      </c>
      <c r="W580" s="95">
        <v>-1</v>
      </c>
      <c r="X580" s="95">
        <v>-1</v>
      </c>
      <c r="Y580" s="95">
        <v>-1</v>
      </c>
      <c r="Z580" s="95">
        <v>-1</v>
      </c>
      <c r="AA580" s="95">
        <v>-1</v>
      </c>
      <c r="AB580" s="95">
        <v>-1</v>
      </c>
      <c r="AC580" s="95">
        <v>-1</v>
      </c>
      <c r="AD580" s="95">
        <v>-1</v>
      </c>
      <c r="AE580" s="95">
        <v>-1</v>
      </c>
      <c r="AF580" s="95">
        <v>-1</v>
      </c>
      <c r="AG580" s="95">
        <v>-1</v>
      </c>
      <c r="AH580" s="95">
        <v>-1</v>
      </c>
      <c r="AI580" s="95">
        <v>-1</v>
      </c>
      <c r="AJ580" s="89"/>
      <c r="AK580" s="89"/>
      <c r="AL580" s="89"/>
      <c r="AM580" s="89"/>
      <c r="AN580" s="89"/>
      <c r="AO580" s="89"/>
      <c r="AP580" s="89"/>
      <c r="AQ580" s="89"/>
      <c r="AR580" s="89"/>
      <c r="AS580" s="89"/>
      <c r="AT580" s="89"/>
      <c r="AU580" s="89"/>
      <c r="AV580" s="89"/>
      <c r="AW580" s="89"/>
      <c r="AX580" s="89"/>
      <c r="AY580" s="89"/>
      <c r="AZ580" s="89"/>
      <c r="BA580" s="89"/>
      <c r="BB580" s="89"/>
      <c r="BC580" s="89"/>
      <c r="BD580" s="89"/>
      <c r="BE580" s="89"/>
      <c r="BF580" s="89"/>
      <c r="BG580" s="95">
        <v>-1</v>
      </c>
      <c r="BH580" s="95">
        <v>-1</v>
      </c>
      <c r="BI580" s="95">
        <v>-1</v>
      </c>
      <c r="BJ580" s="95">
        <v>-1</v>
      </c>
      <c r="BK580" s="95">
        <v>-1</v>
      </c>
      <c r="BL580" s="95">
        <v>-1</v>
      </c>
      <c r="BM580" s="95">
        <v>-1</v>
      </c>
      <c r="BN580" s="89"/>
      <c r="BO580" s="89"/>
      <c r="BP580" s="89"/>
      <c r="BQ580" s="89"/>
      <c r="BR580" s="89"/>
      <c r="BS580" s="89"/>
      <c r="BT580" s="89"/>
      <c r="BU580" s="89"/>
      <c r="BV580" s="89"/>
      <c r="BW580" s="89"/>
      <c r="BX580" s="89"/>
      <c r="BY580" s="89"/>
      <c r="BZ580" s="89"/>
      <c r="CA580" s="89"/>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98"/>
      <c r="DA580" s="98"/>
      <c r="DB580" s="98"/>
      <c r="DC580" s="98"/>
      <c r="DD580" s="98"/>
      <c r="DE580" s="98"/>
      <c r="DF580" s="98"/>
      <c r="DG580" s="98"/>
      <c r="DH580" s="98"/>
      <c r="DI580" s="98"/>
      <c r="DJ580" s="98"/>
      <c r="DK580" s="98"/>
      <c r="DL580" s="98"/>
      <c r="DM580" s="98"/>
      <c r="DN580" s="98"/>
      <c r="DO580" s="98"/>
      <c r="DP580" s="98"/>
      <c r="DQ580" s="98"/>
      <c r="DR580" s="98"/>
      <c r="DS580" s="98"/>
      <c r="DT580" s="98"/>
      <c r="DU580" s="98"/>
      <c r="DV580" s="98"/>
      <c r="DW580" s="98"/>
      <c r="DX580" s="98"/>
      <c r="DY580" s="98"/>
      <c r="DZ580" s="98"/>
      <c r="EA580" s="98"/>
      <c r="EB580" s="98"/>
      <c r="EC580" s="98"/>
      <c r="ED580" s="98"/>
    </row>
    <row r="581" spans="1:134" ht="11.25" customHeight="1" x14ac:dyDescent="0.3">
      <c r="A581" s="28" t="e">
        <f t="array" aca="1" ref="A581" ca="1">_xludf.XLOOKUP(S581,Master_Registrations!P:P,Master_Registrations!A:A,"")</f>
        <v>#NAME?</v>
      </c>
      <c r="B581" s="89" t="s">
        <v>182</v>
      </c>
      <c r="C581" s="89">
        <v>2024</v>
      </c>
      <c r="D581" s="89" t="s">
        <v>4886</v>
      </c>
      <c r="E581" s="89">
        <v>3</v>
      </c>
      <c r="F581" s="90" t="str">
        <f t="shared" si="8"/>
        <v>VED-01-2024-GR-3</v>
      </c>
      <c r="G581" s="89" t="s">
        <v>4750</v>
      </c>
      <c r="H581" s="89" t="s">
        <v>5188</v>
      </c>
      <c r="I581" s="89"/>
      <c r="J581" s="89" t="s">
        <v>7094</v>
      </c>
      <c r="K581" s="99">
        <v>-1</v>
      </c>
      <c r="L581" s="109"/>
      <c r="M581" s="99">
        <v>-1</v>
      </c>
      <c r="N581" s="90" t="s">
        <v>7095</v>
      </c>
      <c r="O581" s="89" t="s">
        <v>6544</v>
      </c>
      <c r="P581" s="89" t="s">
        <v>3715</v>
      </c>
      <c r="Q581" s="89" t="e">
        <f t="shared" ref="Q581:Q713" ca="1" si="9">_xludf.TEXTJOIN(" ",TRUE,O581:P581)</f>
        <v>#NAME?</v>
      </c>
      <c r="R581" s="39" t="s">
        <v>316</v>
      </c>
      <c r="S581" s="105">
        <v>4692361274</v>
      </c>
      <c r="T581" s="90" t="s">
        <v>315</v>
      </c>
      <c r="U581" s="89">
        <v>2011</v>
      </c>
      <c r="V581" s="99">
        <v>-1</v>
      </c>
      <c r="W581" s="95">
        <v>-1</v>
      </c>
      <c r="X581" s="95">
        <v>-1</v>
      </c>
      <c r="Y581" s="95">
        <v>-1</v>
      </c>
      <c r="Z581" s="95">
        <v>-1</v>
      </c>
      <c r="AA581" s="95">
        <v>-1</v>
      </c>
      <c r="AB581" s="95">
        <v>-1</v>
      </c>
      <c r="AC581" s="95">
        <v>-1</v>
      </c>
      <c r="AD581" s="95">
        <v>-1</v>
      </c>
      <c r="AE581" s="95">
        <v>-1</v>
      </c>
      <c r="AF581" s="95">
        <v>-1</v>
      </c>
      <c r="AG581" s="95">
        <v>-1</v>
      </c>
      <c r="AH581" s="95">
        <v>-1</v>
      </c>
      <c r="AI581" s="95">
        <v>-1</v>
      </c>
      <c r="AJ581" s="89"/>
      <c r="AK581" s="89"/>
      <c r="AL581" s="89"/>
      <c r="AM581" s="89"/>
      <c r="AN581" s="89"/>
      <c r="AO581" s="89"/>
      <c r="AP581" s="89"/>
      <c r="AQ581" s="89"/>
      <c r="AR581" s="89"/>
      <c r="AS581" s="89"/>
      <c r="AT581" s="89"/>
      <c r="AU581" s="89"/>
      <c r="AV581" s="89"/>
      <c r="AW581" s="95">
        <v>-1</v>
      </c>
      <c r="AX581" s="95">
        <v>-1</v>
      </c>
      <c r="AY581" s="95">
        <v>-1</v>
      </c>
      <c r="AZ581" s="95">
        <v>-1</v>
      </c>
      <c r="BA581" s="95">
        <v>-1</v>
      </c>
      <c r="BB581" s="95">
        <v>-1</v>
      </c>
      <c r="BC581" s="95">
        <v>-1</v>
      </c>
      <c r="BD581" s="95">
        <v>-1</v>
      </c>
      <c r="BE581" s="95">
        <v>-1</v>
      </c>
      <c r="BF581" s="96">
        <v>-1</v>
      </c>
      <c r="BG581" s="96">
        <v>-1</v>
      </c>
      <c r="BH581" s="96">
        <v>-1</v>
      </c>
      <c r="BI581" s="96">
        <v>-1</v>
      </c>
      <c r="BJ581" s="96">
        <v>-1</v>
      </c>
      <c r="BK581" s="96">
        <v>-1</v>
      </c>
      <c r="BL581" s="96">
        <v>-1</v>
      </c>
      <c r="BM581" s="96">
        <v>-1</v>
      </c>
      <c r="BN581" s="89"/>
      <c r="BO581" s="89"/>
      <c r="BP581" s="89"/>
      <c r="BQ581" s="89"/>
      <c r="BR581" s="89"/>
      <c r="BS581" s="89"/>
      <c r="BT581" s="89"/>
      <c r="BU581" s="89"/>
      <c r="BV581" s="89"/>
      <c r="BW581" s="89"/>
      <c r="BX581" s="89"/>
      <c r="BY581" s="89"/>
      <c r="BZ581" s="89"/>
      <c r="CA581" s="89"/>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98"/>
      <c r="DA581" s="98"/>
      <c r="DB581" s="98"/>
      <c r="DC581" s="98"/>
      <c r="DD581" s="98"/>
      <c r="DE581" s="98"/>
      <c r="DF581" s="98"/>
      <c r="DG581" s="98"/>
      <c r="DH581" s="98"/>
      <c r="DI581" s="98"/>
      <c r="DJ581" s="98"/>
      <c r="DK581" s="98"/>
      <c r="DL581" s="98"/>
      <c r="DM581" s="98"/>
      <c r="DN581" s="98"/>
      <c r="DO581" s="98"/>
      <c r="DP581" s="98"/>
      <c r="DQ581" s="98"/>
      <c r="DR581" s="98"/>
      <c r="DS581" s="98"/>
      <c r="DT581" s="98"/>
      <c r="DU581" s="98"/>
      <c r="DV581" s="98"/>
      <c r="DW581" s="98"/>
      <c r="DX581" s="98"/>
      <c r="DY581" s="98"/>
      <c r="DZ581" s="98"/>
      <c r="EA581" s="98"/>
      <c r="EB581" s="98"/>
      <c r="EC581" s="98"/>
      <c r="ED581" s="98"/>
    </row>
    <row r="582" spans="1:134" ht="11.25" customHeight="1" x14ac:dyDescent="0.3">
      <c r="A582" s="28" t="e">
        <f t="array" aca="1" ref="A582" ca="1">_xludf.XLOOKUP(S582,Master_Registrations!P:P,Master_Registrations!A:A,"")</f>
        <v>#NAME?</v>
      </c>
      <c r="B582" s="89" t="s">
        <v>182</v>
      </c>
      <c r="C582" s="89">
        <v>2024</v>
      </c>
      <c r="D582" s="89" t="s">
        <v>4886</v>
      </c>
      <c r="E582" s="89">
        <v>3</v>
      </c>
      <c r="F582" s="90" t="str">
        <f t="shared" si="8"/>
        <v>VED-01-2024-GR-3</v>
      </c>
      <c r="G582" s="89" t="s">
        <v>4750</v>
      </c>
      <c r="H582" s="89" t="s">
        <v>5188</v>
      </c>
      <c r="I582" s="89"/>
      <c r="J582" s="89" t="s">
        <v>7094</v>
      </c>
      <c r="K582" s="99"/>
      <c r="L582" s="99"/>
      <c r="M582" s="99"/>
      <c r="N582" s="90" t="s">
        <v>7095</v>
      </c>
      <c r="O582" s="89" t="s">
        <v>6549</v>
      </c>
      <c r="P582" s="89" t="s">
        <v>6550</v>
      </c>
      <c r="Q582" s="89" t="e">
        <f t="shared" ca="1" si="9"/>
        <v>#NAME?</v>
      </c>
      <c r="R582" s="39" t="s">
        <v>316</v>
      </c>
      <c r="S582" s="89">
        <v>8476128703</v>
      </c>
      <c r="T582" s="90" t="s">
        <v>315</v>
      </c>
      <c r="U582" s="89">
        <v>1972</v>
      </c>
      <c r="V582" s="99">
        <v>-1</v>
      </c>
      <c r="W582" s="95">
        <v>-1</v>
      </c>
      <c r="X582" s="95">
        <v>-1</v>
      </c>
      <c r="Y582" s="95">
        <v>-1</v>
      </c>
      <c r="Z582" s="95">
        <v>-1</v>
      </c>
      <c r="AA582" s="95">
        <v>-1</v>
      </c>
      <c r="AB582" s="95">
        <v>-1</v>
      </c>
      <c r="AC582" s="95">
        <v>-1</v>
      </c>
      <c r="AD582" s="95">
        <v>-1</v>
      </c>
      <c r="AE582" s="95">
        <v>-1</v>
      </c>
      <c r="AF582" s="95">
        <v>-1</v>
      </c>
      <c r="AG582" s="95">
        <v>-1</v>
      </c>
      <c r="AH582" s="95">
        <v>-1</v>
      </c>
      <c r="AI582" s="95">
        <v>-1</v>
      </c>
      <c r="AJ582" s="89"/>
      <c r="AK582" s="89"/>
      <c r="AL582" s="89"/>
      <c r="AM582" s="89"/>
      <c r="AN582" s="89"/>
      <c r="AO582" s="89"/>
      <c r="AP582" s="89"/>
      <c r="AQ582" s="89"/>
      <c r="AR582" s="89"/>
      <c r="AS582" s="89"/>
      <c r="AT582" s="89"/>
      <c r="AU582" s="89"/>
      <c r="AV582" s="89"/>
      <c r="AW582" s="89"/>
      <c r="AX582" s="89"/>
      <c r="AY582" s="89"/>
      <c r="AZ582" s="89"/>
      <c r="BA582" s="89"/>
      <c r="BB582" s="89"/>
      <c r="BC582" s="89"/>
      <c r="BD582" s="89"/>
      <c r="BE582" s="89"/>
      <c r="BF582" s="89"/>
      <c r="BG582" s="95">
        <v>-1</v>
      </c>
      <c r="BH582" s="95">
        <v>-1</v>
      </c>
      <c r="BI582" s="95">
        <v>-1</v>
      </c>
      <c r="BJ582" s="95">
        <v>-1</v>
      </c>
      <c r="BK582" s="95">
        <v>-1</v>
      </c>
      <c r="BL582" s="95">
        <v>-1</v>
      </c>
      <c r="BM582" s="95">
        <v>-1</v>
      </c>
      <c r="BN582" s="89"/>
      <c r="BO582" s="89"/>
      <c r="BP582" s="89"/>
      <c r="BQ582" s="89"/>
      <c r="BR582" s="89"/>
      <c r="BS582" s="89"/>
      <c r="BT582" s="89"/>
      <c r="BU582" s="89"/>
      <c r="BV582" s="89"/>
      <c r="BW582" s="89"/>
      <c r="BX582" s="89"/>
      <c r="BY582" s="89"/>
      <c r="BZ582" s="89"/>
      <c r="CA582" s="89"/>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98"/>
      <c r="DA582" s="98"/>
      <c r="DB582" s="98"/>
      <c r="DC582" s="98"/>
      <c r="DD582" s="98"/>
      <c r="DE582" s="98"/>
      <c r="DF582" s="98"/>
      <c r="DG582" s="98"/>
      <c r="DH582" s="98"/>
      <c r="DI582" s="98"/>
      <c r="DJ582" s="98"/>
      <c r="DK582" s="98"/>
      <c r="DL582" s="98"/>
      <c r="DM582" s="98"/>
      <c r="DN582" s="98"/>
      <c r="DO582" s="98"/>
      <c r="DP582" s="98"/>
      <c r="DQ582" s="98"/>
      <c r="DR582" s="98"/>
      <c r="DS582" s="98"/>
      <c r="DT582" s="98"/>
      <c r="DU582" s="98"/>
      <c r="DV582" s="98"/>
      <c r="DW582" s="98"/>
      <c r="DX582" s="98"/>
      <c r="DY582" s="98"/>
      <c r="DZ582" s="98"/>
      <c r="EA582" s="98"/>
      <c r="EB582" s="98"/>
      <c r="EC582" s="98"/>
      <c r="ED582" s="98"/>
    </row>
    <row r="583" spans="1:134" ht="11.25" customHeight="1" x14ac:dyDescent="0.3">
      <c r="A583" s="28" t="e">
        <f t="array" aca="1" ref="A583" ca="1">_xludf.XLOOKUP(S583,Master_Registrations!P:P,Master_Registrations!A:A,"")</f>
        <v>#NAME?</v>
      </c>
      <c r="B583" s="89" t="s">
        <v>182</v>
      </c>
      <c r="C583" s="89">
        <v>2024</v>
      </c>
      <c r="D583" s="89" t="s">
        <v>4886</v>
      </c>
      <c r="E583" s="89">
        <v>3</v>
      </c>
      <c r="F583" s="90" t="str">
        <f t="shared" si="8"/>
        <v>VED-01-2024-GR-3</v>
      </c>
      <c r="G583" s="89" t="s">
        <v>4750</v>
      </c>
      <c r="H583" s="89" t="s">
        <v>5188</v>
      </c>
      <c r="I583" s="89"/>
      <c r="J583" s="89" t="s">
        <v>7094</v>
      </c>
      <c r="K583" s="104">
        <v>-1</v>
      </c>
      <c r="L583" s="109"/>
      <c r="M583" s="104">
        <v>-1</v>
      </c>
      <c r="N583" s="90" t="s">
        <v>7095</v>
      </c>
      <c r="O583" s="89" t="s">
        <v>6566</v>
      </c>
      <c r="P583" s="89" t="s">
        <v>2612</v>
      </c>
      <c r="Q583" s="89" t="e">
        <f t="shared" ca="1" si="9"/>
        <v>#NAME?</v>
      </c>
      <c r="R583" s="39" t="s">
        <v>316</v>
      </c>
      <c r="S583" s="105">
        <v>9807221440</v>
      </c>
      <c r="T583" s="90" t="s">
        <v>402</v>
      </c>
      <c r="U583" s="89">
        <v>1964</v>
      </c>
      <c r="V583" s="99">
        <v>1</v>
      </c>
      <c r="W583" s="95">
        <v>-1</v>
      </c>
      <c r="X583" s="95">
        <v>-1</v>
      </c>
      <c r="Y583" s="95">
        <v>-1</v>
      </c>
      <c r="Z583" s="95">
        <v>-1</v>
      </c>
      <c r="AA583" s="95">
        <v>-1</v>
      </c>
      <c r="AB583" s="95">
        <v>-1</v>
      </c>
      <c r="AC583" s="95">
        <v>-1</v>
      </c>
      <c r="AD583" s="95">
        <v>-1</v>
      </c>
      <c r="AE583" s="95">
        <v>-1</v>
      </c>
      <c r="AF583" s="95">
        <v>-1</v>
      </c>
      <c r="AG583" s="95">
        <v>-1</v>
      </c>
      <c r="AH583" s="95">
        <v>-1</v>
      </c>
      <c r="AI583" s="95">
        <v>-1</v>
      </c>
      <c r="AJ583" s="89"/>
      <c r="AK583" s="89"/>
      <c r="AL583" s="89"/>
      <c r="AM583" s="89"/>
      <c r="AN583" s="89"/>
      <c r="AO583" s="89"/>
      <c r="AP583" s="89"/>
      <c r="AQ583" s="89"/>
      <c r="AR583" s="89"/>
      <c r="AS583" s="89"/>
      <c r="AT583" s="89"/>
      <c r="AU583" s="89"/>
      <c r="AV583" s="89"/>
      <c r="AW583" s="89"/>
      <c r="AX583" s="89"/>
      <c r="AY583" s="89"/>
      <c r="AZ583" s="89"/>
      <c r="BA583" s="89"/>
      <c r="BB583" s="89"/>
      <c r="BC583" s="89"/>
      <c r="BD583" s="89"/>
      <c r="BE583" s="89"/>
      <c r="BF583" s="89"/>
      <c r="BG583" s="95">
        <v>-1</v>
      </c>
      <c r="BH583" s="95">
        <v>-1</v>
      </c>
      <c r="BI583" s="95">
        <v>-1</v>
      </c>
      <c r="BJ583" s="95">
        <v>-1</v>
      </c>
      <c r="BK583" s="95">
        <v>-1</v>
      </c>
      <c r="BL583" s="95">
        <v>-1</v>
      </c>
      <c r="BM583" s="95">
        <v>-1</v>
      </c>
      <c r="BN583" s="89"/>
      <c r="BO583" s="89"/>
      <c r="BP583" s="89"/>
      <c r="BQ583" s="89"/>
      <c r="BR583" s="89"/>
      <c r="BS583" s="89"/>
      <c r="BT583" s="89"/>
      <c r="BU583" s="89"/>
      <c r="BV583" s="89"/>
      <c r="BW583" s="89"/>
      <c r="BX583" s="89"/>
      <c r="BY583" s="89"/>
      <c r="BZ583" s="89"/>
      <c r="CA583" s="89"/>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98"/>
      <c r="DA583" s="98"/>
      <c r="DB583" s="98"/>
      <c r="DC583" s="98"/>
      <c r="DD583" s="98"/>
      <c r="DE583" s="98"/>
      <c r="DF583" s="98"/>
      <c r="DG583" s="98"/>
      <c r="DH583" s="98"/>
      <c r="DI583" s="98"/>
      <c r="DJ583" s="98"/>
      <c r="DK583" s="98"/>
      <c r="DL583" s="98"/>
      <c r="DM583" s="98"/>
      <c r="DN583" s="98"/>
      <c r="DO583" s="98"/>
      <c r="DP583" s="98"/>
      <c r="DQ583" s="98"/>
      <c r="DR583" s="98"/>
      <c r="DS583" s="98"/>
      <c r="DT583" s="98"/>
      <c r="DU583" s="98"/>
      <c r="DV583" s="98"/>
      <c r="DW583" s="98"/>
      <c r="DX583" s="98"/>
      <c r="DY583" s="98"/>
      <c r="DZ583" s="98"/>
      <c r="EA583" s="98"/>
      <c r="EB583" s="98"/>
      <c r="EC583" s="98"/>
      <c r="ED583" s="98"/>
    </row>
    <row r="584" spans="1:134" ht="11.25" customHeight="1" x14ac:dyDescent="0.3">
      <c r="A584" s="28" t="e">
        <f t="array" aca="1" ref="A584" ca="1">_xludf.XLOOKUP(S584,Master_Registrations!P:P,Master_Registrations!A:A,"")</f>
        <v>#NAME?</v>
      </c>
      <c r="B584" s="89" t="s">
        <v>182</v>
      </c>
      <c r="C584" s="89">
        <v>2024</v>
      </c>
      <c r="D584" s="89" t="s">
        <v>4886</v>
      </c>
      <c r="E584" s="89">
        <v>3</v>
      </c>
      <c r="F584" s="90" t="str">
        <f t="shared" si="8"/>
        <v>VED-01-2024-GR-3</v>
      </c>
      <c r="G584" s="89" t="s">
        <v>4750</v>
      </c>
      <c r="H584" s="89" t="s">
        <v>5188</v>
      </c>
      <c r="I584" s="89"/>
      <c r="J584" s="89" t="s">
        <v>7094</v>
      </c>
      <c r="K584" s="99"/>
      <c r="L584" s="99"/>
      <c r="M584" s="99"/>
      <c r="N584" s="90" t="s">
        <v>7095</v>
      </c>
      <c r="O584" s="141" t="s">
        <v>1217</v>
      </c>
      <c r="P584" s="141" t="s">
        <v>1218</v>
      </c>
      <c r="Q584" s="89" t="e">
        <f t="shared" ca="1" si="9"/>
        <v>#NAME?</v>
      </c>
      <c r="R584" s="39" t="s">
        <v>316</v>
      </c>
      <c r="S584" s="105">
        <v>3093614587</v>
      </c>
      <c r="T584" s="90" t="s">
        <v>474</v>
      </c>
      <c r="U584" s="89">
        <v>1982</v>
      </c>
      <c r="V584" s="95">
        <v>-1</v>
      </c>
      <c r="W584" s="95">
        <v>-1</v>
      </c>
      <c r="X584" s="95">
        <v>-1</v>
      </c>
      <c r="Y584" s="95">
        <v>-1</v>
      </c>
      <c r="Z584" s="95">
        <v>-1</v>
      </c>
      <c r="AA584" s="95">
        <v>-1</v>
      </c>
      <c r="AB584" s="95">
        <v>-1</v>
      </c>
      <c r="AC584" s="95">
        <v>-1</v>
      </c>
      <c r="AD584" s="95">
        <v>-1</v>
      </c>
      <c r="AE584" s="99">
        <v>-1</v>
      </c>
      <c r="AF584" s="99">
        <v>-1</v>
      </c>
      <c r="AG584" s="99">
        <v>-1</v>
      </c>
      <c r="AH584" s="95">
        <v>-1</v>
      </c>
      <c r="AI584" s="95">
        <v>-1</v>
      </c>
      <c r="AJ584" s="89"/>
      <c r="AK584" s="89"/>
      <c r="AL584" s="89"/>
      <c r="AM584" s="89"/>
      <c r="AN584" s="89"/>
      <c r="AO584" s="89"/>
      <c r="AP584" s="89"/>
      <c r="AQ584" s="89"/>
      <c r="AR584" s="89"/>
      <c r="AS584" s="89"/>
      <c r="AT584" s="89"/>
      <c r="AU584" s="89"/>
      <c r="AV584" s="89"/>
      <c r="AW584" s="89"/>
      <c r="AX584" s="89"/>
      <c r="AY584" s="89"/>
      <c r="AZ584" s="89"/>
      <c r="BA584" s="89"/>
      <c r="BB584" s="89"/>
      <c r="BC584" s="89"/>
      <c r="BD584" s="89"/>
      <c r="BE584" s="89"/>
      <c r="BF584" s="89"/>
      <c r="BG584" s="95">
        <v>-1</v>
      </c>
      <c r="BH584" s="95">
        <v>-1</v>
      </c>
      <c r="BI584" s="95">
        <v>-1</v>
      </c>
      <c r="BJ584" s="95">
        <v>-1</v>
      </c>
      <c r="BK584" s="95">
        <v>-1</v>
      </c>
      <c r="BL584" s="95">
        <v>-1</v>
      </c>
      <c r="BM584" s="95">
        <v>-1</v>
      </c>
      <c r="BN584" s="89"/>
      <c r="BO584" s="89"/>
      <c r="BP584" s="89"/>
      <c r="BQ584" s="89"/>
      <c r="BR584" s="89"/>
      <c r="BS584" s="89"/>
      <c r="BT584" s="89"/>
      <c r="BU584" s="89"/>
      <c r="BV584" s="89"/>
      <c r="BW584" s="89"/>
      <c r="BX584" s="89"/>
      <c r="BY584" s="89"/>
      <c r="BZ584" s="89"/>
      <c r="CA584" s="89"/>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98"/>
      <c r="DA584" s="98"/>
      <c r="DB584" s="98"/>
      <c r="DC584" s="98"/>
      <c r="DD584" s="98"/>
      <c r="DE584" s="98"/>
      <c r="DF584" s="98"/>
      <c r="DG584" s="98"/>
      <c r="DH584" s="98"/>
      <c r="DI584" s="98"/>
      <c r="DJ584" s="98"/>
      <c r="DK584" s="98"/>
      <c r="DL584" s="98"/>
      <c r="DM584" s="98"/>
      <c r="DN584" s="98"/>
      <c r="DO584" s="98"/>
      <c r="DP584" s="98"/>
      <c r="DQ584" s="98"/>
      <c r="DR584" s="98"/>
      <c r="DS584" s="98"/>
      <c r="DT584" s="98"/>
      <c r="DU584" s="98"/>
      <c r="DV584" s="98"/>
      <c r="DW584" s="98"/>
      <c r="DX584" s="98"/>
      <c r="DY584" s="98"/>
      <c r="DZ584" s="98"/>
      <c r="EA584" s="98"/>
      <c r="EB584" s="98"/>
      <c r="EC584" s="98"/>
      <c r="ED584" s="98"/>
    </row>
    <row r="585" spans="1:134" ht="11.25" customHeight="1" x14ac:dyDescent="0.3">
      <c r="A585" s="28" t="e">
        <f t="array" aca="1" ref="A585" ca="1">_xludf.XLOOKUP(S585,Master_Registrations!P:P,Master_Registrations!A:A,"")</f>
        <v>#NAME?</v>
      </c>
      <c r="B585" s="89" t="s">
        <v>182</v>
      </c>
      <c r="C585" s="89">
        <v>2024</v>
      </c>
      <c r="D585" s="89" t="s">
        <v>4886</v>
      </c>
      <c r="E585" s="89">
        <v>3</v>
      </c>
      <c r="F585" s="90" t="str">
        <f t="shared" si="8"/>
        <v>VED-01-2024-GR-3</v>
      </c>
      <c r="G585" s="89" t="s">
        <v>4750</v>
      </c>
      <c r="H585" s="89" t="s">
        <v>5188</v>
      </c>
      <c r="I585" s="89"/>
      <c r="J585" s="89" t="s">
        <v>7094</v>
      </c>
      <c r="K585" s="99"/>
      <c r="L585" s="99"/>
      <c r="M585" s="99"/>
      <c r="N585" s="90" t="s">
        <v>7095</v>
      </c>
      <c r="O585" s="89" t="s">
        <v>1246</v>
      </c>
      <c r="P585" s="89" t="s">
        <v>1247</v>
      </c>
      <c r="Q585" s="89" t="e">
        <f t="shared" ca="1" si="9"/>
        <v>#NAME?</v>
      </c>
      <c r="R585" s="39" t="s">
        <v>316</v>
      </c>
      <c r="S585" s="105">
        <v>7194809042</v>
      </c>
      <c r="T585" s="90" t="s">
        <v>474</v>
      </c>
      <c r="U585" s="89">
        <v>1968</v>
      </c>
      <c r="V585" s="95">
        <v>-1</v>
      </c>
      <c r="W585" s="95">
        <v>-1</v>
      </c>
      <c r="X585" s="95">
        <v>-1</v>
      </c>
      <c r="Y585" s="95">
        <v>-1</v>
      </c>
      <c r="Z585" s="95">
        <v>-1</v>
      </c>
      <c r="AA585" s="95">
        <v>-1</v>
      </c>
      <c r="AB585" s="95">
        <v>-1</v>
      </c>
      <c r="AC585" s="95">
        <v>-1</v>
      </c>
      <c r="AD585" s="95">
        <v>-1</v>
      </c>
      <c r="AE585" s="99">
        <v>-1</v>
      </c>
      <c r="AF585" s="99">
        <v>-1</v>
      </c>
      <c r="AG585" s="99">
        <v>-1</v>
      </c>
      <c r="AH585" s="95">
        <v>-1</v>
      </c>
      <c r="AI585" s="95">
        <v>-1</v>
      </c>
      <c r="AJ585" s="89"/>
      <c r="AK585" s="89"/>
      <c r="AL585" s="89"/>
      <c r="AM585" s="89"/>
      <c r="AN585" s="89"/>
      <c r="AO585" s="89"/>
      <c r="AP585" s="89"/>
      <c r="AQ585" s="89"/>
      <c r="AR585" s="89"/>
      <c r="AS585" s="89"/>
      <c r="AT585" s="89"/>
      <c r="AU585" s="89"/>
      <c r="AV585" s="89"/>
      <c r="AW585" s="89"/>
      <c r="AX585" s="89"/>
      <c r="AY585" s="89"/>
      <c r="AZ585" s="89"/>
      <c r="BA585" s="89"/>
      <c r="BB585" s="89"/>
      <c r="BC585" s="89"/>
      <c r="BD585" s="89"/>
      <c r="BE585" s="89"/>
      <c r="BF585" s="89"/>
      <c r="BG585" s="95">
        <v>-1</v>
      </c>
      <c r="BH585" s="95">
        <v>-1</v>
      </c>
      <c r="BI585" s="95">
        <v>-1</v>
      </c>
      <c r="BJ585" s="95">
        <v>-1</v>
      </c>
      <c r="BK585" s="95">
        <v>-1</v>
      </c>
      <c r="BL585" s="95">
        <v>-1</v>
      </c>
      <c r="BM585" s="95">
        <v>-1</v>
      </c>
      <c r="BN585" s="89"/>
      <c r="BO585" s="89"/>
      <c r="BP585" s="89"/>
      <c r="BQ585" s="89"/>
      <c r="BR585" s="89"/>
      <c r="BS585" s="89"/>
      <c r="BT585" s="89"/>
      <c r="BU585" s="89"/>
      <c r="BV585" s="89"/>
      <c r="BW585" s="89"/>
      <c r="BX585" s="89"/>
      <c r="BY585" s="89"/>
      <c r="BZ585" s="89"/>
      <c r="CA585" s="89"/>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98"/>
      <c r="DA585" s="98"/>
      <c r="DB585" s="98"/>
      <c r="DC585" s="98"/>
      <c r="DD585" s="98"/>
      <c r="DE585" s="98"/>
      <c r="DF585" s="98"/>
      <c r="DG585" s="98"/>
      <c r="DH585" s="98"/>
      <c r="DI585" s="98"/>
      <c r="DJ585" s="98"/>
      <c r="DK585" s="98"/>
      <c r="DL585" s="98"/>
      <c r="DM585" s="98"/>
      <c r="DN585" s="98"/>
      <c r="DO585" s="98"/>
      <c r="DP585" s="98"/>
      <c r="DQ585" s="98"/>
      <c r="DR585" s="98"/>
      <c r="DS585" s="98"/>
      <c r="DT585" s="98"/>
      <c r="DU585" s="98"/>
      <c r="DV585" s="98"/>
      <c r="DW585" s="98"/>
      <c r="DX585" s="98"/>
      <c r="DY585" s="98"/>
      <c r="DZ585" s="98"/>
      <c r="EA585" s="98"/>
      <c r="EB585" s="98"/>
      <c r="EC585" s="98"/>
      <c r="ED585" s="98"/>
    </row>
    <row r="586" spans="1:134" ht="11.25" customHeight="1" x14ac:dyDescent="0.3">
      <c r="A586" s="28" t="e">
        <f t="array" aca="1" ref="A586" ca="1">_xludf.XLOOKUP(S586,Master_Registrations!P:P,Master_Registrations!A:A,"")</f>
        <v>#NAME?</v>
      </c>
      <c r="B586" s="89" t="s">
        <v>182</v>
      </c>
      <c r="C586" s="89">
        <v>2024</v>
      </c>
      <c r="D586" s="89" t="s">
        <v>4886</v>
      </c>
      <c r="E586" s="89">
        <v>3</v>
      </c>
      <c r="F586" s="90" t="str">
        <f t="shared" si="8"/>
        <v>VED-01-2024-GR-3</v>
      </c>
      <c r="G586" s="89" t="s">
        <v>4750</v>
      </c>
      <c r="H586" s="89" t="s">
        <v>5188</v>
      </c>
      <c r="I586" s="89"/>
      <c r="J586" s="89" t="s">
        <v>7094</v>
      </c>
      <c r="K586" s="99"/>
      <c r="L586" s="104"/>
      <c r="M586" s="99"/>
      <c r="N586" s="90" t="s">
        <v>7095</v>
      </c>
      <c r="O586" s="89" t="s">
        <v>2044</v>
      </c>
      <c r="P586" s="89" t="s">
        <v>6592</v>
      </c>
      <c r="Q586" s="89" t="e">
        <f t="shared" ca="1" si="9"/>
        <v>#NAME?</v>
      </c>
      <c r="R586" s="39" t="s">
        <v>316</v>
      </c>
      <c r="S586" s="105">
        <v>4254434895</v>
      </c>
      <c r="T586" s="90" t="s">
        <v>474</v>
      </c>
      <c r="U586" s="89">
        <v>1974</v>
      </c>
      <c r="V586" s="99">
        <v>1</v>
      </c>
      <c r="W586" s="95">
        <v>-1</v>
      </c>
      <c r="X586" s="95">
        <v>-1</v>
      </c>
      <c r="Y586" s="95">
        <v>-1</v>
      </c>
      <c r="Z586" s="95">
        <v>-1</v>
      </c>
      <c r="AA586" s="95">
        <v>-1</v>
      </c>
      <c r="AB586" s="95">
        <v>-1</v>
      </c>
      <c r="AC586" s="95">
        <v>-1</v>
      </c>
      <c r="AD586" s="95">
        <v>-1</v>
      </c>
      <c r="AE586" s="95">
        <v>-1</v>
      </c>
      <c r="AF586" s="95">
        <v>-1</v>
      </c>
      <c r="AG586" s="95">
        <v>-1</v>
      </c>
      <c r="AH586" s="95">
        <v>-1</v>
      </c>
      <c r="AI586" s="95">
        <v>-1</v>
      </c>
      <c r="AJ586" s="89"/>
      <c r="AK586" s="89"/>
      <c r="AL586" s="89"/>
      <c r="AM586" s="89"/>
      <c r="AN586" s="89"/>
      <c r="AO586" s="89"/>
      <c r="AP586" s="89"/>
      <c r="AQ586" s="89"/>
      <c r="AR586" s="89"/>
      <c r="AS586" s="89"/>
      <c r="AT586" s="89"/>
      <c r="AU586" s="89"/>
      <c r="AV586" s="89"/>
      <c r="AW586" s="89"/>
      <c r="AX586" s="89"/>
      <c r="AY586" s="89"/>
      <c r="AZ586" s="89"/>
      <c r="BA586" s="89"/>
      <c r="BB586" s="89"/>
      <c r="BC586" s="89"/>
      <c r="BD586" s="89"/>
      <c r="BE586" s="89"/>
      <c r="BF586" s="89"/>
      <c r="BG586" s="95">
        <v>-1</v>
      </c>
      <c r="BH586" s="95">
        <v>-1</v>
      </c>
      <c r="BI586" s="95">
        <v>-1</v>
      </c>
      <c r="BJ586" s="95">
        <v>-1</v>
      </c>
      <c r="BK586" s="95">
        <v>-1</v>
      </c>
      <c r="BL586" s="95">
        <v>-1</v>
      </c>
      <c r="BM586" s="95">
        <v>-1</v>
      </c>
      <c r="BN586" s="89"/>
      <c r="BO586" s="89"/>
      <c r="BP586" s="89"/>
      <c r="BQ586" s="89"/>
      <c r="BR586" s="89"/>
      <c r="BS586" s="89"/>
      <c r="BT586" s="89"/>
      <c r="BU586" s="89"/>
      <c r="BV586" s="89"/>
      <c r="BW586" s="89"/>
      <c r="BX586" s="89"/>
      <c r="BY586" s="89"/>
      <c r="BZ586" s="89"/>
      <c r="CA586" s="89"/>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98"/>
      <c r="DA586" s="98"/>
      <c r="DB586" s="98"/>
      <c r="DC586" s="98"/>
      <c r="DD586" s="98"/>
      <c r="DE586" s="98"/>
      <c r="DF586" s="98"/>
      <c r="DG586" s="98"/>
      <c r="DH586" s="98"/>
      <c r="DI586" s="98"/>
      <c r="DJ586" s="98"/>
      <c r="DK586" s="98"/>
      <c r="DL586" s="98"/>
      <c r="DM586" s="98"/>
      <c r="DN586" s="98"/>
      <c r="DO586" s="98"/>
      <c r="DP586" s="98"/>
      <c r="DQ586" s="98"/>
      <c r="DR586" s="98"/>
      <c r="DS586" s="98"/>
      <c r="DT586" s="98"/>
      <c r="DU586" s="98"/>
      <c r="DV586" s="98"/>
      <c r="DW586" s="98"/>
      <c r="DX586" s="98"/>
      <c r="DY586" s="98"/>
      <c r="DZ586" s="98"/>
      <c r="EA586" s="98"/>
      <c r="EB586" s="98"/>
      <c r="EC586" s="98"/>
      <c r="ED586" s="98"/>
    </row>
    <row r="587" spans="1:134" ht="11.25" customHeight="1" x14ac:dyDescent="0.3">
      <c r="A587" s="28" t="e">
        <f t="array" aca="1" ref="A587" ca="1">_xludf.XLOOKUP(S587,Master_Registrations!P:P,Master_Registrations!A:A,"")</f>
        <v>#NAME?</v>
      </c>
      <c r="B587" s="89" t="s">
        <v>182</v>
      </c>
      <c r="C587" s="89">
        <v>2024</v>
      </c>
      <c r="D587" s="89" t="s">
        <v>4886</v>
      </c>
      <c r="E587" s="89">
        <v>4</v>
      </c>
      <c r="F587" s="90" t="str">
        <f t="shared" si="8"/>
        <v>VED-01-2024-GR-4</v>
      </c>
      <c r="G587" s="89" t="s">
        <v>7078</v>
      </c>
      <c r="H587" s="89" t="s">
        <v>7108</v>
      </c>
      <c r="I587" s="89"/>
      <c r="J587" s="89" t="s">
        <v>7094</v>
      </c>
      <c r="K587" s="99"/>
      <c r="L587" s="99"/>
      <c r="M587" s="109"/>
      <c r="N587" s="90" t="s">
        <v>7095</v>
      </c>
      <c r="O587" s="89" t="s">
        <v>6379</v>
      </c>
      <c r="P587" s="89" t="s">
        <v>6380</v>
      </c>
      <c r="Q587" s="89" t="e">
        <f t="shared" ca="1" si="9"/>
        <v>#NAME?</v>
      </c>
      <c r="R587" s="39" t="s">
        <v>112</v>
      </c>
      <c r="S587" s="105">
        <v>9703098881</v>
      </c>
      <c r="T587" s="90" t="s">
        <v>111</v>
      </c>
      <c r="U587" s="89">
        <v>1987</v>
      </c>
      <c r="V587" s="95">
        <v>-1</v>
      </c>
      <c r="W587" s="95">
        <v>-1</v>
      </c>
      <c r="X587" s="95">
        <v>-1</v>
      </c>
      <c r="Y587" s="95">
        <v>-1</v>
      </c>
      <c r="Z587" s="95">
        <v>-1</v>
      </c>
      <c r="AA587" s="95">
        <v>-1</v>
      </c>
      <c r="AB587" s="95">
        <v>-1</v>
      </c>
      <c r="AC587" s="95">
        <v>-1</v>
      </c>
      <c r="AD587" s="95">
        <v>-1</v>
      </c>
      <c r="AE587" s="95">
        <v>-1</v>
      </c>
      <c r="AF587" s="95">
        <v>-1</v>
      </c>
      <c r="AG587" s="95">
        <v>-1</v>
      </c>
      <c r="AH587" s="95">
        <v>-1</v>
      </c>
      <c r="AI587" s="95">
        <v>-1</v>
      </c>
      <c r="AJ587" s="89"/>
      <c r="AK587" s="89"/>
      <c r="AL587" s="89"/>
      <c r="AM587" s="89"/>
      <c r="AN587" s="89"/>
      <c r="AO587" s="89"/>
      <c r="AP587" s="89"/>
      <c r="AQ587" s="89"/>
      <c r="AR587" s="89"/>
      <c r="AS587" s="89"/>
      <c r="AT587" s="89"/>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c r="BQ587" s="89"/>
      <c r="BR587" s="89"/>
      <c r="BS587" s="89"/>
      <c r="BT587" s="89"/>
      <c r="BU587" s="89"/>
      <c r="BV587" s="89"/>
      <c r="BW587" s="89"/>
      <c r="BX587" s="89"/>
      <c r="BY587" s="89"/>
      <c r="BZ587" s="89"/>
      <c r="CA587" s="89"/>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98"/>
      <c r="DA587" s="98"/>
      <c r="DB587" s="98"/>
      <c r="DC587" s="98"/>
      <c r="DD587" s="98"/>
      <c r="DE587" s="98"/>
      <c r="DF587" s="98"/>
      <c r="DG587" s="98"/>
      <c r="DH587" s="98"/>
      <c r="DI587" s="98"/>
      <c r="DJ587" s="98"/>
      <c r="DK587" s="98"/>
      <c r="DL587" s="98"/>
      <c r="DM587" s="98"/>
      <c r="DN587" s="98"/>
      <c r="DO587" s="98"/>
      <c r="DP587" s="98"/>
      <c r="DQ587" s="98"/>
      <c r="DR587" s="98"/>
      <c r="DS587" s="98"/>
      <c r="DT587" s="98"/>
      <c r="DU587" s="98"/>
      <c r="DV587" s="98"/>
      <c r="DW587" s="98"/>
      <c r="DX587" s="98"/>
      <c r="DY587" s="98"/>
      <c r="DZ587" s="98"/>
      <c r="EA587" s="98"/>
      <c r="EB587" s="98"/>
      <c r="EC587" s="98"/>
      <c r="ED587" s="98"/>
    </row>
    <row r="588" spans="1:134" ht="11.25" customHeight="1" x14ac:dyDescent="0.3">
      <c r="A588" s="28" t="e">
        <f t="array" aca="1" ref="A588" ca="1">_xludf.XLOOKUP(S588,Master_Registrations!P:P,Master_Registrations!A:A,"")</f>
        <v>#NAME?</v>
      </c>
      <c r="B588" s="89" t="s">
        <v>182</v>
      </c>
      <c r="C588" s="89">
        <v>2024</v>
      </c>
      <c r="D588" s="89" t="s">
        <v>4886</v>
      </c>
      <c r="E588" s="89">
        <v>4</v>
      </c>
      <c r="F588" s="90" t="str">
        <f t="shared" si="8"/>
        <v>VED-01-2024-GR-4</v>
      </c>
      <c r="G588" s="89" t="s">
        <v>7078</v>
      </c>
      <c r="H588" s="89" t="s">
        <v>7108</v>
      </c>
      <c r="I588" s="89"/>
      <c r="J588" s="89" t="s">
        <v>7094</v>
      </c>
      <c r="K588" s="107"/>
      <c r="L588" s="107"/>
      <c r="M588" s="107"/>
      <c r="N588" s="90" t="s">
        <v>7095</v>
      </c>
      <c r="O588" s="89" t="s">
        <v>1239</v>
      </c>
      <c r="P588" s="89" t="s">
        <v>1240</v>
      </c>
      <c r="Q588" s="89" t="e">
        <f t="shared" ca="1" si="9"/>
        <v>#NAME?</v>
      </c>
      <c r="R588" s="39" t="s">
        <v>112</v>
      </c>
      <c r="S588" s="105">
        <v>9666236247</v>
      </c>
      <c r="T588" s="90" t="s">
        <v>111</v>
      </c>
      <c r="U588" s="89">
        <v>1981</v>
      </c>
      <c r="V588" s="99">
        <v>2</v>
      </c>
      <c r="W588" s="99">
        <v>2</v>
      </c>
      <c r="X588" s="99">
        <v>2</v>
      </c>
      <c r="Y588" s="99">
        <v>2</v>
      </c>
      <c r="Z588" s="99">
        <v>2</v>
      </c>
      <c r="AA588" s="99">
        <v>2</v>
      </c>
      <c r="AB588" s="99">
        <v>2</v>
      </c>
      <c r="AC588" s="99">
        <v>2</v>
      </c>
      <c r="AD588" s="99">
        <v>2</v>
      </c>
      <c r="AE588" s="99">
        <v>2</v>
      </c>
      <c r="AF588" s="99">
        <v>2</v>
      </c>
      <c r="AG588" s="99">
        <v>2</v>
      </c>
      <c r="AH588" s="99">
        <v>2</v>
      </c>
      <c r="AI588" s="99">
        <v>2</v>
      </c>
      <c r="AJ588" s="89"/>
      <c r="AK588" s="89"/>
      <c r="AL588" s="89"/>
      <c r="AM588" s="89"/>
      <c r="AN588" s="89"/>
      <c r="AO588" s="89"/>
      <c r="AP588" s="89"/>
      <c r="AQ588" s="89"/>
      <c r="AR588" s="89"/>
      <c r="AS588" s="89"/>
      <c r="AT588" s="89"/>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c r="BQ588" s="89"/>
      <c r="BR588" s="89"/>
      <c r="BS588" s="89"/>
      <c r="BT588" s="89"/>
      <c r="BU588" s="89"/>
      <c r="BV588" s="89"/>
      <c r="BW588" s="89"/>
      <c r="BX588" s="89"/>
      <c r="BY588" s="89"/>
      <c r="BZ588" s="89"/>
      <c r="CA588" s="89"/>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98"/>
      <c r="DA588" s="98"/>
      <c r="DB588" s="98"/>
      <c r="DC588" s="98"/>
      <c r="DD588" s="98"/>
      <c r="DE588" s="98"/>
      <c r="DF588" s="98"/>
      <c r="DG588" s="98"/>
      <c r="DH588" s="98"/>
      <c r="DI588" s="98"/>
      <c r="DJ588" s="98"/>
      <c r="DK588" s="98"/>
      <c r="DL588" s="98"/>
      <c r="DM588" s="98"/>
      <c r="DN588" s="98"/>
      <c r="DO588" s="98"/>
      <c r="DP588" s="98"/>
      <c r="DQ588" s="98"/>
      <c r="DR588" s="98"/>
      <c r="DS588" s="98"/>
      <c r="DT588" s="98"/>
      <c r="DU588" s="98"/>
      <c r="DV588" s="98"/>
      <c r="DW588" s="98"/>
      <c r="DX588" s="98"/>
      <c r="DY588" s="98"/>
      <c r="DZ588" s="98"/>
      <c r="EA588" s="98"/>
      <c r="EB588" s="98"/>
      <c r="EC588" s="98"/>
      <c r="ED588" s="98"/>
    </row>
    <row r="589" spans="1:134" ht="11.25" customHeight="1" x14ac:dyDescent="0.3">
      <c r="A589" s="28" t="e">
        <f t="array" aca="1" ref="A589" ca="1">_xludf.XLOOKUP(S589,Master_Registrations!P:P,Master_Registrations!A:A,"")</f>
        <v>#NAME?</v>
      </c>
      <c r="B589" s="89" t="s">
        <v>182</v>
      </c>
      <c r="C589" s="89">
        <v>2024</v>
      </c>
      <c r="D589" s="89" t="s">
        <v>4886</v>
      </c>
      <c r="E589" s="89">
        <v>9</v>
      </c>
      <c r="F589" s="90" t="str">
        <f t="shared" si="8"/>
        <v>VED-01-2024-GR-9</v>
      </c>
      <c r="G589" s="89" t="s">
        <v>1200</v>
      </c>
      <c r="H589" s="89" t="s">
        <v>7060</v>
      </c>
      <c r="I589" s="89"/>
      <c r="J589" s="89" t="s">
        <v>7094</v>
      </c>
      <c r="K589" s="99">
        <v>-1</v>
      </c>
      <c r="L589" s="109"/>
      <c r="M589" s="109"/>
      <c r="N589" s="90" t="s">
        <v>7095</v>
      </c>
      <c r="O589" s="89" t="s">
        <v>1208</v>
      </c>
      <c r="P589" s="89" t="s">
        <v>1209</v>
      </c>
      <c r="Q589" s="89" t="e">
        <f t="shared" ca="1" si="9"/>
        <v>#NAME?</v>
      </c>
      <c r="R589" s="39" t="s">
        <v>112</v>
      </c>
      <c r="S589" s="105">
        <v>9886087687</v>
      </c>
      <c r="T589" s="90" t="s">
        <v>111</v>
      </c>
      <c r="U589" s="89">
        <v>2015</v>
      </c>
      <c r="V589" s="99">
        <v>-1</v>
      </c>
      <c r="W589" s="95">
        <v>-1</v>
      </c>
      <c r="X589" s="95">
        <v>-1</v>
      </c>
      <c r="Y589" s="95">
        <v>-1</v>
      </c>
      <c r="Z589" s="95">
        <v>-1</v>
      </c>
      <c r="AA589" s="95">
        <v>-1</v>
      </c>
      <c r="AB589" s="95">
        <v>-1</v>
      </c>
      <c r="AC589" s="95">
        <v>-1</v>
      </c>
      <c r="AD589" s="95">
        <v>-1</v>
      </c>
      <c r="AE589" s="95">
        <v>-1</v>
      </c>
      <c r="AF589" s="95">
        <v>-1</v>
      </c>
      <c r="AG589" s="95">
        <v>-1</v>
      </c>
      <c r="AH589" s="95">
        <v>-1</v>
      </c>
      <c r="AI589" s="95">
        <v>-1</v>
      </c>
      <c r="AJ589" s="89"/>
      <c r="AK589" s="89"/>
      <c r="AL589" s="89"/>
      <c r="AM589" s="89"/>
      <c r="AN589" s="89"/>
      <c r="AO589" s="89"/>
      <c r="AP589" s="89"/>
      <c r="AQ589" s="89"/>
      <c r="AR589" s="89"/>
      <c r="AS589" s="89"/>
      <c r="AT589" s="89"/>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c r="BQ589" s="89"/>
      <c r="BR589" s="89"/>
      <c r="BS589" s="89"/>
      <c r="BT589" s="89"/>
      <c r="BU589" s="89"/>
      <c r="BV589" s="89"/>
      <c r="BW589" s="89"/>
      <c r="BX589" s="89"/>
      <c r="BY589" s="89"/>
      <c r="BZ589" s="89"/>
      <c r="CA589" s="89"/>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98"/>
      <c r="DA589" s="98"/>
      <c r="DB589" s="98"/>
      <c r="DC589" s="98"/>
      <c r="DD589" s="98"/>
      <c r="DE589" s="98"/>
      <c r="DF589" s="98"/>
      <c r="DG589" s="98"/>
      <c r="DH589" s="98"/>
      <c r="DI589" s="98"/>
      <c r="DJ589" s="98"/>
      <c r="DK589" s="98"/>
      <c r="DL589" s="98"/>
      <c r="DM589" s="98"/>
      <c r="DN589" s="98"/>
      <c r="DO589" s="98"/>
      <c r="DP589" s="98"/>
      <c r="DQ589" s="98"/>
      <c r="DR589" s="98"/>
      <c r="DS589" s="98"/>
      <c r="DT589" s="98"/>
      <c r="DU589" s="98"/>
      <c r="DV589" s="98"/>
      <c r="DW589" s="98"/>
      <c r="DX589" s="98"/>
      <c r="DY589" s="98"/>
      <c r="DZ589" s="98"/>
      <c r="EA589" s="98"/>
      <c r="EB589" s="98"/>
      <c r="EC589" s="98"/>
      <c r="ED589" s="98"/>
    </row>
    <row r="590" spans="1:134" ht="11.25" customHeight="1" x14ac:dyDescent="0.3">
      <c r="A590" s="28" t="e">
        <f t="array" aca="1" ref="A590" ca="1">_xludf.XLOOKUP(S590,Master_Registrations!P:P,Master_Registrations!A:A,"")</f>
        <v>#NAME?</v>
      </c>
      <c r="B590" s="89" t="s">
        <v>182</v>
      </c>
      <c r="C590" s="89">
        <v>2024</v>
      </c>
      <c r="D590" s="89" t="s">
        <v>4886</v>
      </c>
      <c r="E590" s="89">
        <v>9</v>
      </c>
      <c r="F590" s="90" t="str">
        <f t="shared" si="8"/>
        <v>VED-01-2024-GR-9</v>
      </c>
      <c r="G590" s="89" t="s">
        <v>1200</v>
      </c>
      <c r="H590" s="89" t="s">
        <v>7060</v>
      </c>
      <c r="I590" s="89"/>
      <c r="J590" s="89" t="s">
        <v>7094</v>
      </c>
      <c r="K590" s="99">
        <v>-1</v>
      </c>
      <c r="L590" s="109"/>
      <c r="M590" s="109"/>
      <c r="N590" s="90" t="s">
        <v>7095</v>
      </c>
      <c r="O590" s="89" t="s">
        <v>781</v>
      </c>
      <c r="P590" s="89" t="s">
        <v>1336</v>
      </c>
      <c r="Q590" s="89" t="e">
        <f t="shared" ca="1" si="9"/>
        <v>#NAME?</v>
      </c>
      <c r="R590" s="39" t="s">
        <v>112</v>
      </c>
      <c r="S590" s="105">
        <v>9859698586</v>
      </c>
      <c r="T590" s="90" t="s">
        <v>111</v>
      </c>
      <c r="U590" s="89">
        <v>1986</v>
      </c>
      <c r="V590" s="99">
        <v>-1</v>
      </c>
      <c r="W590" s="95">
        <v>-1</v>
      </c>
      <c r="X590" s="95">
        <v>-1</v>
      </c>
      <c r="Y590" s="95">
        <v>-1</v>
      </c>
      <c r="Z590" s="95">
        <v>-1</v>
      </c>
      <c r="AA590" s="95">
        <v>-1</v>
      </c>
      <c r="AB590" s="95">
        <v>-1</v>
      </c>
      <c r="AC590" s="95">
        <v>-1</v>
      </c>
      <c r="AD590" s="95">
        <v>-1</v>
      </c>
      <c r="AE590" s="95">
        <v>-1</v>
      </c>
      <c r="AF590" s="95">
        <v>-1</v>
      </c>
      <c r="AG590" s="95">
        <v>-1</v>
      </c>
      <c r="AH590" s="95">
        <v>-1</v>
      </c>
      <c r="AI590" s="95">
        <v>-1</v>
      </c>
      <c r="AJ590" s="89"/>
      <c r="AK590" s="89"/>
      <c r="AL590" s="89"/>
      <c r="AM590" s="89"/>
      <c r="AN590" s="89"/>
      <c r="AO590" s="89"/>
      <c r="AP590" s="89"/>
      <c r="AQ590" s="89"/>
      <c r="AR590" s="89"/>
      <c r="AS590" s="89"/>
      <c r="AT590" s="89"/>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c r="BQ590" s="89"/>
      <c r="BR590" s="89"/>
      <c r="BS590" s="89"/>
      <c r="BT590" s="89"/>
      <c r="BU590" s="89"/>
      <c r="BV590" s="89"/>
      <c r="BW590" s="89"/>
      <c r="BX590" s="89"/>
      <c r="BY590" s="89"/>
      <c r="BZ590" s="89"/>
      <c r="CA590" s="89"/>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98"/>
      <c r="DA590" s="98"/>
      <c r="DB590" s="98"/>
      <c r="DC590" s="98"/>
      <c r="DD590" s="98"/>
      <c r="DE590" s="98"/>
      <c r="DF590" s="98"/>
      <c r="DG590" s="98"/>
      <c r="DH590" s="98"/>
      <c r="DI590" s="98"/>
      <c r="DJ590" s="98"/>
      <c r="DK590" s="98"/>
      <c r="DL590" s="98"/>
      <c r="DM590" s="98"/>
      <c r="DN590" s="98"/>
      <c r="DO590" s="98"/>
      <c r="DP590" s="98"/>
      <c r="DQ590" s="98"/>
      <c r="DR590" s="98"/>
      <c r="DS590" s="98"/>
      <c r="DT590" s="98"/>
      <c r="DU590" s="98"/>
      <c r="DV590" s="98"/>
      <c r="DW590" s="98"/>
      <c r="DX590" s="98"/>
      <c r="DY590" s="98"/>
      <c r="DZ590" s="98"/>
      <c r="EA590" s="98"/>
      <c r="EB590" s="98"/>
      <c r="EC590" s="98"/>
      <c r="ED590" s="98"/>
    </row>
    <row r="591" spans="1:134" ht="11.25" customHeight="1" x14ac:dyDescent="0.3">
      <c r="A591" s="28" t="e">
        <f t="array" aca="1" ref="A591" ca="1">_xludf.XLOOKUP(S591,Master_Registrations!P:P,Master_Registrations!A:A,"")</f>
        <v>#NAME?</v>
      </c>
      <c r="B591" s="89" t="s">
        <v>182</v>
      </c>
      <c r="C591" s="89">
        <v>2024</v>
      </c>
      <c r="D591" s="89" t="s">
        <v>4886</v>
      </c>
      <c r="E591" s="89">
        <v>9</v>
      </c>
      <c r="F591" s="90" t="str">
        <f t="shared" si="8"/>
        <v>VED-01-2024-GR-9</v>
      </c>
      <c r="G591" s="89" t="s">
        <v>1200</v>
      </c>
      <c r="H591" s="89" t="s">
        <v>7060</v>
      </c>
      <c r="I591" s="89"/>
      <c r="J591" s="89" t="s">
        <v>7094</v>
      </c>
      <c r="K591" s="99"/>
      <c r="L591" s="104"/>
      <c r="M591" s="99"/>
      <c r="N591" s="90" t="s">
        <v>7095</v>
      </c>
      <c r="O591" s="89" t="s">
        <v>730</v>
      </c>
      <c r="P591" s="89" t="s">
        <v>731</v>
      </c>
      <c r="Q591" s="89" t="e">
        <f t="shared" ca="1" si="9"/>
        <v>#NAME?</v>
      </c>
      <c r="R591" s="39" t="s">
        <v>112</v>
      </c>
      <c r="S591" s="105">
        <v>9866130638</v>
      </c>
      <c r="T591" s="90" t="s">
        <v>111</v>
      </c>
      <c r="U591" s="89">
        <v>1978</v>
      </c>
      <c r="V591" s="99">
        <v>1</v>
      </c>
      <c r="W591" s="99">
        <v>1</v>
      </c>
      <c r="X591" s="95">
        <v>-1</v>
      </c>
      <c r="Y591" s="99">
        <v>-1</v>
      </c>
      <c r="Z591" s="99">
        <v>-1</v>
      </c>
      <c r="AA591" s="99">
        <v>-1</v>
      </c>
      <c r="AB591" s="99">
        <v>-1</v>
      </c>
      <c r="AC591" s="99">
        <v>-1</v>
      </c>
      <c r="AD591" s="99">
        <v>-1</v>
      </c>
      <c r="AE591" s="99">
        <v>-1</v>
      </c>
      <c r="AF591" s="99">
        <v>-1</v>
      </c>
      <c r="AG591" s="99">
        <v>-1</v>
      </c>
      <c r="AH591" s="99">
        <v>-1</v>
      </c>
      <c r="AI591" s="95">
        <v>-1</v>
      </c>
      <c r="AJ591" s="89"/>
      <c r="AK591" s="89"/>
      <c r="AL591" s="89"/>
      <c r="AM591" s="89"/>
      <c r="AN591" s="89"/>
      <c r="AO591" s="89"/>
      <c r="AP591" s="89"/>
      <c r="AQ591" s="89"/>
      <c r="AR591" s="89"/>
      <c r="AS591" s="89"/>
      <c r="AT591" s="89"/>
      <c r="AU591" s="89"/>
      <c r="AV591" s="89"/>
      <c r="AW591" s="89"/>
      <c r="AX591" s="89"/>
      <c r="AY591" s="89"/>
      <c r="AZ591" s="89"/>
      <c r="BA591" s="89"/>
      <c r="BB591" s="89"/>
      <c r="BC591" s="89"/>
      <c r="BD591" s="89"/>
      <c r="BE591" s="89"/>
      <c r="BF591" s="89"/>
      <c r="BG591" s="95">
        <v>-1</v>
      </c>
      <c r="BH591" s="95">
        <v>-1</v>
      </c>
      <c r="BI591" s="95">
        <v>-1</v>
      </c>
      <c r="BJ591" s="95">
        <v>-1</v>
      </c>
      <c r="BK591" s="95">
        <v>-1</v>
      </c>
      <c r="BL591" s="95">
        <v>-1</v>
      </c>
      <c r="BM591" s="95">
        <v>-1</v>
      </c>
      <c r="BN591" s="89"/>
      <c r="BO591" s="89"/>
      <c r="BP591" s="89"/>
      <c r="BQ591" s="89"/>
      <c r="BR591" s="89"/>
      <c r="BS591" s="89"/>
      <c r="BT591" s="89"/>
      <c r="BU591" s="89"/>
      <c r="BV591" s="89"/>
      <c r="BW591" s="89"/>
      <c r="BX591" s="89"/>
      <c r="BY591" s="89"/>
      <c r="BZ591" s="89"/>
      <c r="CA591" s="89"/>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98"/>
      <c r="DA591" s="98"/>
      <c r="DB591" s="98"/>
      <c r="DC591" s="98"/>
      <c r="DD591" s="98"/>
      <c r="DE591" s="98"/>
      <c r="DF591" s="98"/>
      <c r="DG591" s="98"/>
      <c r="DH591" s="98"/>
      <c r="DI591" s="98"/>
      <c r="DJ591" s="98"/>
      <c r="DK591" s="98"/>
      <c r="DL591" s="98"/>
      <c r="DM591" s="98"/>
      <c r="DN591" s="98"/>
      <c r="DO591" s="98"/>
      <c r="DP591" s="98"/>
      <c r="DQ591" s="98"/>
      <c r="DR591" s="98"/>
      <c r="DS591" s="98"/>
      <c r="DT591" s="98"/>
      <c r="DU591" s="98"/>
      <c r="DV591" s="98"/>
      <c r="DW591" s="98"/>
      <c r="DX591" s="98"/>
      <c r="DY591" s="98"/>
      <c r="DZ591" s="98"/>
      <c r="EA591" s="98"/>
      <c r="EB591" s="98"/>
      <c r="EC591" s="98"/>
      <c r="ED591" s="98"/>
    </row>
    <row r="592" spans="1:134" ht="11.25" customHeight="1" x14ac:dyDescent="0.3">
      <c r="A592" s="28" t="e">
        <f t="array" aca="1" ref="A592" ca="1">_xludf.XLOOKUP(S592,Master_Registrations!P:P,Master_Registrations!A:A,"")</f>
        <v>#NAME?</v>
      </c>
      <c r="B592" s="89" t="s">
        <v>182</v>
      </c>
      <c r="C592" s="89">
        <v>2024</v>
      </c>
      <c r="D592" s="89" t="s">
        <v>4886</v>
      </c>
      <c r="E592" s="89">
        <v>9</v>
      </c>
      <c r="F592" s="90" t="str">
        <f t="shared" si="8"/>
        <v>VED-01-2024-GR-9</v>
      </c>
      <c r="G592" s="89" t="s">
        <v>1200</v>
      </c>
      <c r="H592" s="89" t="s">
        <v>7060</v>
      </c>
      <c r="I592" s="89"/>
      <c r="J592" s="89" t="s">
        <v>7094</v>
      </c>
      <c r="K592" s="99"/>
      <c r="L592" s="104"/>
      <c r="M592" s="104"/>
      <c r="N592" s="90" t="s">
        <v>7095</v>
      </c>
      <c r="O592" s="89" t="s">
        <v>1366</v>
      </c>
      <c r="P592" s="89" t="s">
        <v>1367</v>
      </c>
      <c r="Q592" s="89" t="e">
        <f t="shared" ca="1" si="9"/>
        <v>#NAME?</v>
      </c>
      <c r="R592" s="39" t="s">
        <v>112</v>
      </c>
      <c r="S592" s="105">
        <v>8317376970</v>
      </c>
      <c r="T592" s="90" t="s">
        <v>111</v>
      </c>
      <c r="U592" s="89">
        <v>2005</v>
      </c>
      <c r="V592" s="99">
        <v>1</v>
      </c>
      <c r="W592" s="99">
        <v>1</v>
      </c>
      <c r="X592" s="99">
        <v>1</v>
      </c>
      <c r="Y592" s="99">
        <v>1</v>
      </c>
      <c r="Z592" s="99">
        <v>1</v>
      </c>
      <c r="AA592" s="99">
        <v>1</v>
      </c>
      <c r="AB592" s="99">
        <v>1</v>
      </c>
      <c r="AC592" s="95">
        <v>-1</v>
      </c>
      <c r="AD592" s="95">
        <v>-1</v>
      </c>
      <c r="AE592" s="99">
        <v>-1</v>
      </c>
      <c r="AF592" s="99">
        <v>-1</v>
      </c>
      <c r="AG592" s="99">
        <v>-1</v>
      </c>
      <c r="AH592" s="99">
        <v>1</v>
      </c>
      <c r="AI592" s="95">
        <v>-1</v>
      </c>
      <c r="AJ592" s="89"/>
      <c r="AK592" s="89"/>
      <c r="AL592" s="89"/>
      <c r="AM592" s="89"/>
      <c r="AN592" s="89"/>
      <c r="AO592" s="89"/>
      <c r="AP592" s="89"/>
      <c r="AQ592" s="89"/>
      <c r="AR592" s="89"/>
      <c r="AS592" s="89"/>
      <c r="AT592" s="89"/>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c r="BQ592" s="89"/>
      <c r="BR592" s="89"/>
      <c r="BS592" s="89"/>
      <c r="BT592" s="89"/>
      <c r="BU592" s="89"/>
      <c r="BV592" s="89"/>
      <c r="BW592" s="89"/>
      <c r="BX592" s="89"/>
      <c r="BY592" s="89"/>
      <c r="BZ592" s="89"/>
      <c r="CA592" s="89"/>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98"/>
      <c r="DA592" s="98"/>
      <c r="DB592" s="98"/>
      <c r="DC592" s="98"/>
      <c r="DD592" s="98"/>
      <c r="DE592" s="98"/>
      <c r="DF592" s="98"/>
      <c r="DG592" s="98"/>
      <c r="DH592" s="98"/>
      <c r="DI592" s="98"/>
      <c r="DJ592" s="98"/>
      <c r="DK592" s="98"/>
      <c r="DL592" s="98"/>
      <c r="DM592" s="98"/>
      <c r="DN592" s="98"/>
      <c r="DO592" s="98"/>
      <c r="DP592" s="98"/>
      <c r="DQ592" s="98"/>
      <c r="DR592" s="98"/>
      <c r="DS592" s="98"/>
      <c r="DT592" s="98"/>
      <c r="DU592" s="98"/>
      <c r="DV592" s="98"/>
      <c r="DW592" s="98"/>
      <c r="DX592" s="98"/>
      <c r="DY592" s="98"/>
      <c r="DZ592" s="98"/>
      <c r="EA592" s="98"/>
      <c r="EB592" s="98"/>
      <c r="EC592" s="98"/>
      <c r="ED592" s="98"/>
    </row>
    <row r="593" spans="1:134" ht="11.25" customHeight="1" x14ac:dyDescent="0.3">
      <c r="A593" s="28" t="e">
        <f t="array" aca="1" ref="A593" ca="1">_xludf.XLOOKUP(S593,Master_Registrations!P:P,Master_Registrations!A:A,"")</f>
        <v>#NAME?</v>
      </c>
      <c r="B593" s="89" t="s">
        <v>182</v>
      </c>
      <c r="C593" s="89">
        <v>2024</v>
      </c>
      <c r="D593" s="89" t="s">
        <v>4886</v>
      </c>
      <c r="E593" s="89">
        <v>9</v>
      </c>
      <c r="F593" s="90" t="str">
        <f t="shared" si="8"/>
        <v>VED-01-2024-GR-9</v>
      </c>
      <c r="G593" s="89" t="s">
        <v>1200</v>
      </c>
      <c r="H593" s="89" t="s">
        <v>7060</v>
      </c>
      <c r="I593" s="89"/>
      <c r="J593" s="89" t="s">
        <v>7094</v>
      </c>
      <c r="K593" s="99"/>
      <c r="L593" s="104"/>
      <c r="M593" s="104"/>
      <c r="N593" s="90" t="s">
        <v>7095</v>
      </c>
      <c r="O593" s="89" t="s">
        <v>1199</v>
      </c>
      <c r="P593" s="89" t="s">
        <v>7124</v>
      </c>
      <c r="Q593" s="89" t="e">
        <f t="shared" ca="1" si="9"/>
        <v>#NAME?</v>
      </c>
      <c r="R593" s="39" t="s">
        <v>112</v>
      </c>
      <c r="S593" s="105">
        <v>9397054888</v>
      </c>
      <c r="T593" s="90" t="s">
        <v>111</v>
      </c>
      <c r="U593" s="89">
        <v>1979</v>
      </c>
      <c r="V593" s="99">
        <v>1</v>
      </c>
      <c r="W593" s="99">
        <v>1</v>
      </c>
      <c r="X593" s="99">
        <v>-1</v>
      </c>
      <c r="Y593" s="99">
        <v>-1</v>
      </c>
      <c r="Z593" s="99">
        <v>-1</v>
      </c>
      <c r="AA593" s="99">
        <v>-1</v>
      </c>
      <c r="AB593" s="99">
        <v>-1</v>
      </c>
      <c r="AC593" s="95">
        <v>1</v>
      </c>
      <c r="AD593" s="95">
        <v>1</v>
      </c>
      <c r="AE593" s="99">
        <v>1</v>
      </c>
      <c r="AF593" s="99">
        <v>1</v>
      </c>
      <c r="AG593" s="99">
        <v>1</v>
      </c>
      <c r="AH593" s="99">
        <v>-1</v>
      </c>
      <c r="AI593" s="95">
        <v>-1</v>
      </c>
      <c r="AJ593" s="89"/>
      <c r="AK593" s="89"/>
      <c r="AL593" s="89"/>
      <c r="AM593" s="89"/>
      <c r="AN593" s="89"/>
      <c r="AO593" s="89"/>
      <c r="AP593" s="89"/>
      <c r="AQ593" s="89"/>
      <c r="AR593" s="89"/>
      <c r="AS593" s="89"/>
      <c r="AT593" s="89"/>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c r="BQ593" s="89"/>
      <c r="BR593" s="89"/>
      <c r="BS593" s="89"/>
      <c r="BT593" s="89"/>
      <c r="BU593" s="89"/>
      <c r="BV593" s="89"/>
      <c r="BW593" s="89"/>
      <c r="BX593" s="89"/>
      <c r="BY593" s="89"/>
      <c r="BZ593" s="89"/>
      <c r="CA593" s="89"/>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98"/>
      <c r="DA593" s="98"/>
      <c r="DB593" s="98"/>
      <c r="DC593" s="98"/>
      <c r="DD593" s="98"/>
      <c r="DE593" s="98"/>
      <c r="DF593" s="98"/>
      <c r="DG593" s="98"/>
      <c r="DH593" s="98"/>
      <c r="DI593" s="98"/>
      <c r="DJ593" s="98"/>
      <c r="DK593" s="98"/>
      <c r="DL593" s="98"/>
      <c r="DM593" s="98"/>
      <c r="DN593" s="98"/>
      <c r="DO593" s="98"/>
      <c r="DP593" s="98"/>
      <c r="DQ593" s="98"/>
      <c r="DR593" s="98"/>
      <c r="DS593" s="98"/>
      <c r="DT593" s="98"/>
      <c r="DU593" s="98"/>
      <c r="DV593" s="98"/>
      <c r="DW593" s="98"/>
      <c r="DX593" s="98"/>
      <c r="DY593" s="98"/>
      <c r="DZ593" s="98"/>
      <c r="EA593" s="98"/>
      <c r="EB593" s="98"/>
      <c r="EC593" s="98"/>
      <c r="ED593" s="98"/>
    </row>
    <row r="594" spans="1:134" ht="11.25" customHeight="1" x14ac:dyDescent="0.3">
      <c r="A594" s="28" t="e">
        <f t="array" aca="1" ref="A594" ca="1">_xludf.XLOOKUP(S594,Master_Registrations!P:P,Master_Registrations!A:A,"")</f>
        <v>#NAME?</v>
      </c>
      <c r="B594" s="89" t="s">
        <v>182</v>
      </c>
      <c r="C594" s="89">
        <v>2024</v>
      </c>
      <c r="D594" s="89" t="s">
        <v>4886</v>
      </c>
      <c r="E594" s="89">
        <v>9</v>
      </c>
      <c r="F594" s="90" t="str">
        <f t="shared" si="8"/>
        <v>VED-01-2024-GR-9</v>
      </c>
      <c r="G594" s="89" t="s">
        <v>1200</v>
      </c>
      <c r="H594" s="89" t="s">
        <v>7060</v>
      </c>
      <c r="I594" s="89"/>
      <c r="J594" s="89" t="s">
        <v>7094</v>
      </c>
      <c r="K594" s="99"/>
      <c r="L594" s="107"/>
      <c r="M594" s="109"/>
      <c r="N594" s="90" t="s">
        <v>7095</v>
      </c>
      <c r="O594" s="89" t="s">
        <v>1376</v>
      </c>
      <c r="P594" s="89" t="s">
        <v>1377</v>
      </c>
      <c r="Q594" s="89" t="e">
        <f t="shared" ca="1" si="9"/>
        <v>#NAME?</v>
      </c>
      <c r="R594" s="39" t="s">
        <v>112</v>
      </c>
      <c r="S594" s="105">
        <v>9948696975</v>
      </c>
      <c r="T594" s="90" t="s">
        <v>111</v>
      </c>
      <c r="U594" s="89">
        <v>1979</v>
      </c>
      <c r="V594" s="99">
        <v>1</v>
      </c>
      <c r="W594" s="99">
        <v>1</v>
      </c>
      <c r="X594" s="99">
        <v>2</v>
      </c>
      <c r="Y594" s="95">
        <v>2</v>
      </c>
      <c r="Z594" s="95">
        <v>2</v>
      </c>
      <c r="AA594" s="95">
        <v>-1</v>
      </c>
      <c r="AB594" s="95">
        <v>-1</v>
      </c>
      <c r="AC594" s="95">
        <v>-1</v>
      </c>
      <c r="AD594" s="95">
        <v>-1</v>
      </c>
      <c r="AE594" s="95">
        <v>-1</v>
      </c>
      <c r="AF594" s="95">
        <v>-1</v>
      </c>
      <c r="AG594" s="95">
        <v>-1</v>
      </c>
      <c r="AH594" s="95">
        <v>-1</v>
      </c>
      <c r="AI594" s="95">
        <v>-1</v>
      </c>
      <c r="AJ594" s="95">
        <v>-1</v>
      </c>
      <c r="AK594" s="95">
        <v>-1</v>
      </c>
      <c r="AL594" s="95">
        <v>-1</v>
      </c>
      <c r="AM594" s="95">
        <v>-1</v>
      </c>
      <c r="AN594" s="95">
        <v>-1</v>
      </c>
      <c r="AO594" s="95">
        <v>-1</v>
      </c>
      <c r="AP594" s="95">
        <v>-1</v>
      </c>
      <c r="AQ594" s="95">
        <v>-1</v>
      </c>
      <c r="AR594" s="95">
        <v>-1</v>
      </c>
      <c r="AS594" s="95">
        <v>-1</v>
      </c>
      <c r="AT594" s="95">
        <v>-1</v>
      </c>
      <c r="AU594" s="95">
        <v>-1</v>
      </c>
      <c r="AV594" s="95">
        <v>-1</v>
      </c>
      <c r="AW594" s="89"/>
      <c r="AX594" s="89"/>
      <c r="AY594" s="89"/>
      <c r="AZ594" s="89"/>
      <c r="BA594" s="89"/>
      <c r="BB594" s="89"/>
      <c r="BC594" s="89"/>
      <c r="BD594" s="89"/>
      <c r="BE594" s="89"/>
      <c r="BF594" s="89"/>
      <c r="BG594" s="95">
        <v>-1</v>
      </c>
      <c r="BH594" s="95">
        <v>-1</v>
      </c>
      <c r="BI594" s="95">
        <v>-1</v>
      </c>
      <c r="BJ594" s="95">
        <v>-1</v>
      </c>
      <c r="BK594" s="95">
        <v>-1</v>
      </c>
      <c r="BL594" s="95">
        <v>-1</v>
      </c>
      <c r="BM594" s="95">
        <v>-1</v>
      </c>
      <c r="BN594" s="89"/>
      <c r="BO594" s="89"/>
      <c r="BP594" s="89"/>
      <c r="BQ594" s="89"/>
      <c r="BR594" s="89"/>
      <c r="BS594" s="89"/>
      <c r="BT594" s="89"/>
      <c r="BU594" s="89"/>
      <c r="BV594" s="89"/>
      <c r="BW594" s="89"/>
      <c r="BX594" s="89"/>
      <c r="BY594" s="89"/>
      <c r="BZ594" s="89"/>
      <c r="CA594" s="89"/>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98"/>
      <c r="DA594" s="98"/>
      <c r="DB594" s="98"/>
      <c r="DC594" s="98"/>
      <c r="DD594" s="98"/>
      <c r="DE594" s="98"/>
      <c r="DF594" s="98"/>
      <c r="DG594" s="98"/>
      <c r="DH594" s="98"/>
      <c r="DI594" s="98"/>
      <c r="DJ594" s="98"/>
      <c r="DK594" s="98"/>
      <c r="DL594" s="98"/>
      <c r="DM594" s="98"/>
      <c r="DN594" s="98"/>
      <c r="DO594" s="98"/>
      <c r="DP594" s="98"/>
      <c r="DQ594" s="98"/>
      <c r="DR594" s="98"/>
      <c r="DS594" s="98"/>
      <c r="DT594" s="98"/>
      <c r="DU594" s="98"/>
      <c r="DV594" s="98"/>
      <c r="DW594" s="98"/>
      <c r="DX594" s="98"/>
      <c r="DY594" s="98"/>
      <c r="DZ594" s="98"/>
      <c r="EA594" s="98"/>
      <c r="EB594" s="98"/>
      <c r="EC594" s="98"/>
      <c r="ED594" s="98"/>
    </row>
    <row r="595" spans="1:134" ht="11.25" customHeight="1" x14ac:dyDescent="0.3">
      <c r="A595" s="28" t="e">
        <f t="array" aca="1" ref="A595" ca="1">_xludf.XLOOKUP(S595,Master_Registrations!P:P,Master_Registrations!A:A,"")</f>
        <v>#NAME?</v>
      </c>
      <c r="B595" s="89" t="s">
        <v>182</v>
      </c>
      <c r="C595" s="89">
        <v>2025</v>
      </c>
      <c r="D595" s="89" t="s">
        <v>184</v>
      </c>
      <c r="E595" s="89">
        <v>2</v>
      </c>
      <c r="F595" s="90" t="str">
        <f t="shared" si="8"/>
        <v>VED-01-2025-BR-2</v>
      </c>
      <c r="G595" s="90" t="s">
        <v>7104</v>
      </c>
      <c r="H595" s="90" t="s">
        <v>7105</v>
      </c>
      <c r="I595" s="90"/>
      <c r="J595" s="89" t="s">
        <v>7094</v>
      </c>
      <c r="K595" s="99"/>
      <c r="L595" s="99"/>
      <c r="M595" s="99"/>
      <c r="N595" s="90" t="s">
        <v>7095</v>
      </c>
      <c r="O595" s="89" t="s">
        <v>1303</v>
      </c>
      <c r="P595" s="89" t="s">
        <v>1998</v>
      </c>
      <c r="Q595" s="89" t="e">
        <f t="shared" ca="1" si="9"/>
        <v>#NAME?</v>
      </c>
      <c r="R595" s="39" t="s">
        <v>112</v>
      </c>
      <c r="S595" s="94">
        <v>9885084141</v>
      </c>
      <c r="T595" s="90" t="s">
        <v>111</v>
      </c>
      <c r="U595" s="94">
        <v>2010</v>
      </c>
      <c r="V595" s="95">
        <v>-1</v>
      </c>
      <c r="W595" s="95">
        <v>-1</v>
      </c>
      <c r="X595" s="95">
        <v>-1</v>
      </c>
      <c r="Y595" s="95">
        <v>-1</v>
      </c>
      <c r="Z595" s="95">
        <v>-1</v>
      </c>
      <c r="AA595" s="95">
        <v>-1</v>
      </c>
      <c r="AB595" s="95">
        <v>-1</v>
      </c>
      <c r="AC595" s="95">
        <v>-1</v>
      </c>
      <c r="AD595" s="95">
        <v>-1</v>
      </c>
      <c r="AE595" s="95">
        <v>-1</v>
      </c>
      <c r="AF595" s="95">
        <v>-1</v>
      </c>
      <c r="AG595" s="95">
        <v>-1</v>
      </c>
      <c r="AH595" s="95">
        <v>-1</v>
      </c>
      <c r="AI595" s="95">
        <v>-1</v>
      </c>
      <c r="AJ595" s="89"/>
      <c r="AK595" s="89"/>
      <c r="AL595" s="89"/>
      <c r="AM595" s="89"/>
      <c r="AN595" s="89"/>
      <c r="AO595" s="89"/>
      <c r="AP595" s="89"/>
      <c r="AQ595" s="89"/>
      <c r="AR595" s="89"/>
      <c r="AS595" s="89"/>
      <c r="AT595" s="89"/>
      <c r="AU595" s="89"/>
      <c r="AV595" s="89"/>
      <c r="AW595" s="89"/>
      <c r="AX595" s="89"/>
      <c r="AY595" s="89"/>
      <c r="AZ595" s="89"/>
      <c r="BA595" s="89"/>
      <c r="BB595" s="89"/>
      <c r="BC595" s="89"/>
      <c r="BD595" s="89"/>
      <c r="BE595" s="89"/>
      <c r="BF595" s="89"/>
      <c r="BG595" s="89"/>
      <c r="BH595" s="89"/>
      <c r="BI595" s="89"/>
      <c r="BJ595" s="89"/>
      <c r="BK595" s="89"/>
      <c r="BL595" s="89"/>
      <c r="BM595" s="89"/>
      <c r="BN595" s="89"/>
      <c r="BO595" s="89"/>
      <c r="BP595" s="89"/>
      <c r="BQ595" s="89"/>
      <c r="BR595" s="89"/>
      <c r="BS595" s="89"/>
      <c r="BT595" s="89"/>
      <c r="BU595" s="89"/>
      <c r="BV595" s="89"/>
      <c r="BW595" s="89"/>
      <c r="BX595" s="89"/>
      <c r="BY595" s="89"/>
      <c r="BZ595" s="89"/>
      <c r="CA595" s="89"/>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98"/>
      <c r="DA595" s="98"/>
      <c r="DB595" s="98"/>
      <c r="DC595" s="98"/>
      <c r="DD595" s="98"/>
      <c r="DE595" s="98"/>
      <c r="DF595" s="98"/>
      <c r="DG595" s="98"/>
      <c r="DH595" s="98"/>
      <c r="DI595" s="98"/>
      <c r="DJ595" s="98"/>
      <c r="DK595" s="98"/>
      <c r="DL595" s="98"/>
      <c r="DM595" s="98"/>
      <c r="DN595" s="98"/>
      <c r="DO595" s="98"/>
      <c r="DP595" s="98"/>
      <c r="DQ595" s="98"/>
      <c r="DR595" s="98"/>
      <c r="DS595" s="98"/>
      <c r="DT595" s="98"/>
      <c r="DU595" s="98"/>
      <c r="DV595" s="98"/>
      <c r="DW595" s="98"/>
      <c r="DX595" s="98"/>
      <c r="DY595" s="98"/>
      <c r="DZ595" s="98"/>
      <c r="EA595" s="98"/>
      <c r="EB595" s="98"/>
      <c r="EC595" s="98"/>
      <c r="ED595" s="98"/>
    </row>
    <row r="596" spans="1:134" ht="11.25" customHeight="1" x14ac:dyDescent="0.3">
      <c r="A596" s="28" t="e">
        <f t="array" aca="1" ref="A596" ca="1">_xludf.XLOOKUP(S596,Master_Registrations!P:P,Master_Registrations!A:A,"")</f>
        <v>#NAME?</v>
      </c>
      <c r="B596" s="89" t="s">
        <v>182</v>
      </c>
      <c r="C596" s="89">
        <v>2025</v>
      </c>
      <c r="D596" s="89" t="s">
        <v>184</v>
      </c>
      <c r="E596" s="89">
        <v>2</v>
      </c>
      <c r="F596" s="90" t="str">
        <f t="shared" si="8"/>
        <v>VED-01-2025-BR-2</v>
      </c>
      <c r="G596" s="90" t="s">
        <v>7104</v>
      </c>
      <c r="H596" s="90" t="s">
        <v>7105</v>
      </c>
      <c r="I596" s="90"/>
      <c r="J596" s="89" t="s">
        <v>7094</v>
      </c>
      <c r="K596" s="109"/>
      <c r="L596" s="109"/>
      <c r="M596" s="109"/>
      <c r="N596" s="90" t="s">
        <v>7095</v>
      </c>
      <c r="O596" s="89" t="s">
        <v>2413</v>
      </c>
      <c r="P596" s="89" t="s">
        <v>2634</v>
      </c>
      <c r="Q596" s="89" t="e">
        <f t="shared" ca="1" si="9"/>
        <v>#NAME?</v>
      </c>
      <c r="R596" s="39" t="s">
        <v>112</v>
      </c>
      <c r="S596" s="94">
        <v>9502066153</v>
      </c>
      <c r="T596" s="90" t="s">
        <v>111</v>
      </c>
      <c r="U596" s="94">
        <v>2011</v>
      </c>
      <c r="V596" s="95">
        <v>-1</v>
      </c>
      <c r="W596" s="95">
        <v>-1</v>
      </c>
      <c r="X596" s="95">
        <v>-1</v>
      </c>
      <c r="Y596" s="95">
        <v>-1</v>
      </c>
      <c r="Z596" s="95">
        <v>-1</v>
      </c>
      <c r="AA596" s="95">
        <v>-1</v>
      </c>
      <c r="AB596" s="95">
        <v>-1</v>
      </c>
      <c r="AC596" s="95">
        <v>-1</v>
      </c>
      <c r="AD596" s="95">
        <v>-1</v>
      </c>
      <c r="AE596" s="95">
        <v>-1</v>
      </c>
      <c r="AF596" s="95">
        <v>-1</v>
      </c>
      <c r="AG596" s="95">
        <v>-1</v>
      </c>
      <c r="AH596" s="95">
        <v>-1</v>
      </c>
      <c r="AI596" s="95">
        <v>-1</v>
      </c>
      <c r="AJ596" s="89"/>
      <c r="AK596" s="89"/>
      <c r="AL596" s="89"/>
      <c r="AM596" s="89"/>
      <c r="AN596" s="89"/>
      <c r="AO596" s="89"/>
      <c r="AP596" s="89"/>
      <c r="AQ596" s="89"/>
      <c r="AR596" s="89"/>
      <c r="AS596" s="89"/>
      <c r="AT596" s="89"/>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c r="BQ596" s="89"/>
      <c r="BR596" s="89"/>
      <c r="BS596" s="89"/>
      <c r="BT596" s="89"/>
      <c r="BU596" s="89"/>
      <c r="BV596" s="89"/>
      <c r="BW596" s="89"/>
      <c r="BX596" s="89"/>
      <c r="BY596" s="89"/>
      <c r="BZ596" s="89"/>
      <c r="CA596" s="89"/>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98"/>
      <c r="DA596" s="98"/>
      <c r="DB596" s="98"/>
      <c r="DC596" s="98"/>
      <c r="DD596" s="98"/>
      <c r="DE596" s="98"/>
      <c r="DF596" s="98"/>
      <c r="DG596" s="98"/>
      <c r="DH596" s="98"/>
      <c r="DI596" s="98"/>
      <c r="DJ596" s="98"/>
      <c r="DK596" s="98"/>
      <c r="DL596" s="98"/>
      <c r="DM596" s="98"/>
      <c r="DN596" s="98"/>
      <c r="DO596" s="98"/>
      <c r="DP596" s="98"/>
      <c r="DQ596" s="98"/>
      <c r="DR596" s="98"/>
      <c r="DS596" s="98"/>
      <c r="DT596" s="98"/>
      <c r="DU596" s="98"/>
      <c r="DV596" s="98"/>
      <c r="DW596" s="98"/>
      <c r="DX596" s="98"/>
      <c r="DY596" s="98"/>
      <c r="DZ596" s="98"/>
      <c r="EA596" s="98"/>
      <c r="EB596" s="98"/>
      <c r="EC596" s="98"/>
      <c r="ED596" s="98"/>
    </row>
    <row r="597" spans="1:134" ht="11.25" customHeight="1" x14ac:dyDescent="0.3">
      <c r="A597" s="28" t="e">
        <f t="array" aca="1" ref="A597" ca="1">_xludf.XLOOKUP(S597,Master_Registrations!P:P,Master_Registrations!A:A,"")</f>
        <v>#NAME?</v>
      </c>
      <c r="B597" s="89" t="s">
        <v>182</v>
      </c>
      <c r="C597" s="89">
        <v>2025</v>
      </c>
      <c r="D597" s="89" t="s">
        <v>184</v>
      </c>
      <c r="E597" s="89">
        <v>2</v>
      </c>
      <c r="F597" s="90" t="str">
        <f t="shared" si="8"/>
        <v>VED-01-2025-BR-2</v>
      </c>
      <c r="G597" s="90" t="s">
        <v>7104</v>
      </c>
      <c r="H597" s="90" t="s">
        <v>7105</v>
      </c>
      <c r="I597" s="90"/>
      <c r="J597" s="89" t="s">
        <v>7094</v>
      </c>
      <c r="K597" s="109"/>
      <c r="L597" s="109"/>
      <c r="M597" s="109"/>
      <c r="N597" s="90" t="s">
        <v>7095</v>
      </c>
      <c r="O597" s="89" t="s">
        <v>6906</v>
      </c>
      <c r="P597" s="89" t="s">
        <v>1642</v>
      </c>
      <c r="Q597" s="89" t="e">
        <f t="shared" ca="1" si="9"/>
        <v>#NAME?</v>
      </c>
      <c r="R597" s="39" t="s">
        <v>316</v>
      </c>
      <c r="S597" s="94">
        <v>9717134909</v>
      </c>
      <c r="T597" s="90" t="s">
        <v>402</v>
      </c>
      <c r="U597" s="94">
        <v>2010</v>
      </c>
      <c r="V597" s="95">
        <v>-1</v>
      </c>
      <c r="W597" s="95">
        <v>-1</v>
      </c>
      <c r="X597" s="95">
        <v>-1</v>
      </c>
      <c r="Y597" s="95">
        <v>-1</v>
      </c>
      <c r="Z597" s="95">
        <v>-1</v>
      </c>
      <c r="AA597" s="95">
        <v>-1</v>
      </c>
      <c r="AB597" s="95">
        <v>-1</v>
      </c>
      <c r="AC597" s="95">
        <v>-1</v>
      </c>
      <c r="AD597" s="95">
        <v>-1</v>
      </c>
      <c r="AE597" s="95">
        <v>-1</v>
      </c>
      <c r="AF597" s="95">
        <v>-1</v>
      </c>
      <c r="AG597" s="95">
        <v>-1</v>
      </c>
      <c r="AH597" s="95">
        <v>-1</v>
      </c>
      <c r="AI597" s="95">
        <v>-1</v>
      </c>
      <c r="AJ597" s="89"/>
      <c r="AK597" s="89"/>
      <c r="AL597" s="89"/>
      <c r="AM597" s="89"/>
      <c r="AN597" s="89"/>
      <c r="AO597" s="89"/>
      <c r="AP597" s="89"/>
      <c r="AQ597" s="89"/>
      <c r="AR597" s="89"/>
      <c r="AS597" s="89"/>
      <c r="AT597" s="89"/>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c r="BQ597" s="89"/>
      <c r="BR597" s="89"/>
      <c r="BS597" s="89"/>
      <c r="BT597" s="89"/>
      <c r="BU597" s="89"/>
      <c r="BV597" s="89"/>
      <c r="BW597" s="89"/>
      <c r="BX597" s="89"/>
      <c r="BY597" s="89"/>
      <c r="BZ597" s="89"/>
      <c r="CA597" s="89"/>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98"/>
      <c r="DA597" s="98"/>
      <c r="DB597" s="98"/>
      <c r="DC597" s="98"/>
      <c r="DD597" s="98"/>
      <c r="DE597" s="98"/>
      <c r="DF597" s="98"/>
      <c r="DG597" s="98"/>
      <c r="DH597" s="98"/>
      <c r="DI597" s="98"/>
      <c r="DJ597" s="98"/>
      <c r="DK597" s="98"/>
      <c r="DL597" s="98"/>
      <c r="DM597" s="98"/>
      <c r="DN597" s="98"/>
      <c r="DO597" s="98"/>
      <c r="DP597" s="98"/>
      <c r="DQ597" s="98"/>
      <c r="DR597" s="98"/>
      <c r="DS597" s="98"/>
      <c r="DT597" s="98"/>
      <c r="DU597" s="98"/>
      <c r="DV597" s="98"/>
      <c r="DW597" s="98"/>
      <c r="DX597" s="98"/>
      <c r="DY597" s="98"/>
      <c r="DZ597" s="98"/>
      <c r="EA597" s="98"/>
      <c r="EB597" s="98"/>
      <c r="EC597" s="98"/>
      <c r="ED597" s="98"/>
    </row>
    <row r="598" spans="1:134" ht="11.25" customHeight="1" x14ac:dyDescent="0.3">
      <c r="A598" s="28" t="e">
        <f t="array" aca="1" ref="A598" ca="1">_xludf.XLOOKUP(S598,Master_Registrations!P:P,Master_Registrations!A:A,"")</f>
        <v>#NAME?</v>
      </c>
      <c r="B598" s="89" t="s">
        <v>182</v>
      </c>
      <c r="C598" s="89">
        <v>2025</v>
      </c>
      <c r="D598" s="89" t="s">
        <v>184</v>
      </c>
      <c r="E598" s="89">
        <v>2</v>
      </c>
      <c r="F598" s="90" t="str">
        <f t="shared" si="8"/>
        <v>VED-01-2025-BR-2</v>
      </c>
      <c r="G598" s="90" t="s">
        <v>7104</v>
      </c>
      <c r="H598" s="90" t="s">
        <v>7105</v>
      </c>
      <c r="I598" s="90"/>
      <c r="J598" s="89" t="s">
        <v>7094</v>
      </c>
      <c r="K598" s="109"/>
      <c r="L598" s="109"/>
      <c r="M598" s="109"/>
      <c r="N598" s="90" t="s">
        <v>7095</v>
      </c>
      <c r="O598" s="89" t="s">
        <v>1303</v>
      </c>
      <c r="P598" s="89" t="s">
        <v>2007</v>
      </c>
      <c r="Q598" s="89" t="e">
        <f t="shared" ca="1" si="9"/>
        <v>#NAME?</v>
      </c>
      <c r="R598" s="39" t="s">
        <v>112</v>
      </c>
      <c r="S598" s="94">
        <v>9885084141</v>
      </c>
      <c r="T598" s="90" t="s">
        <v>111</v>
      </c>
      <c r="U598" s="94">
        <v>2014</v>
      </c>
      <c r="V598" s="95">
        <v>-1</v>
      </c>
      <c r="W598" s="95">
        <v>-1</v>
      </c>
      <c r="X598" s="95">
        <v>-1</v>
      </c>
      <c r="Y598" s="95">
        <v>-1</v>
      </c>
      <c r="Z598" s="95">
        <v>-1</v>
      </c>
      <c r="AA598" s="95">
        <v>-1</v>
      </c>
      <c r="AB598" s="95">
        <v>-1</v>
      </c>
      <c r="AC598" s="95">
        <v>-1</v>
      </c>
      <c r="AD598" s="95">
        <v>-1</v>
      </c>
      <c r="AE598" s="95">
        <v>-1</v>
      </c>
      <c r="AF598" s="95">
        <v>-1</v>
      </c>
      <c r="AG598" s="95">
        <v>-1</v>
      </c>
      <c r="AH598" s="95">
        <v>-1</v>
      </c>
      <c r="AI598" s="95">
        <v>-1</v>
      </c>
      <c r="AJ598" s="89"/>
      <c r="AK598" s="89"/>
      <c r="AL598" s="89"/>
      <c r="AM598" s="89"/>
      <c r="AN598" s="89"/>
      <c r="AO598" s="89"/>
      <c r="AP598" s="89"/>
      <c r="AQ598" s="89"/>
      <c r="AR598" s="89"/>
      <c r="AS598" s="89"/>
      <c r="AT598" s="89"/>
      <c r="AU598" s="89"/>
      <c r="AV598" s="89"/>
      <c r="AW598" s="89"/>
      <c r="AX598" s="89"/>
      <c r="AY598" s="89"/>
      <c r="AZ598" s="89"/>
      <c r="BA598" s="89"/>
      <c r="BB598" s="89"/>
      <c r="BC598" s="89"/>
      <c r="BD598" s="89"/>
      <c r="BE598" s="89"/>
      <c r="BF598" s="89"/>
      <c r="BG598" s="89"/>
      <c r="BH598" s="89"/>
      <c r="BI598" s="89"/>
      <c r="BJ598" s="89"/>
      <c r="BK598" s="89"/>
      <c r="BL598" s="89"/>
      <c r="BM598" s="89"/>
      <c r="BN598" s="89"/>
      <c r="BO598" s="89"/>
      <c r="BP598" s="89"/>
      <c r="BQ598" s="89"/>
      <c r="BR598" s="89"/>
      <c r="BS598" s="89"/>
      <c r="BT598" s="89"/>
      <c r="BU598" s="89"/>
      <c r="BV598" s="89"/>
      <c r="BW598" s="89"/>
      <c r="BX598" s="89"/>
      <c r="BY598" s="89"/>
      <c r="BZ598" s="89"/>
      <c r="CA598" s="89"/>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98"/>
      <c r="DA598" s="98"/>
      <c r="DB598" s="98"/>
      <c r="DC598" s="98"/>
      <c r="DD598" s="98"/>
      <c r="DE598" s="98"/>
      <c r="DF598" s="98"/>
      <c r="DG598" s="98"/>
      <c r="DH598" s="98"/>
      <c r="DI598" s="98"/>
      <c r="DJ598" s="98"/>
      <c r="DK598" s="98"/>
      <c r="DL598" s="98"/>
      <c r="DM598" s="98"/>
      <c r="DN598" s="98"/>
      <c r="DO598" s="98"/>
      <c r="DP598" s="98"/>
      <c r="DQ598" s="98"/>
      <c r="DR598" s="98"/>
      <c r="DS598" s="98"/>
      <c r="DT598" s="98"/>
      <c r="DU598" s="98"/>
      <c r="DV598" s="98"/>
      <c r="DW598" s="98"/>
      <c r="DX598" s="98"/>
      <c r="DY598" s="98"/>
      <c r="DZ598" s="98"/>
      <c r="EA598" s="98"/>
      <c r="EB598" s="98"/>
      <c r="EC598" s="98"/>
      <c r="ED598" s="98"/>
    </row>
    <row r="599" spans="1:134" ht="11.25" customHeight="1" x14ac:dyDescent="0.3">
      <c r="A599" s="28" t="e">
        <f t="array" aca="1" ref="A599" ca="1">_xludf.XLOOKUP(S599,Master_Registrations!P:P,Master_Registrations!A:A,"")</f>
        <v>#NAME?</v>
      </c>
      <c r="B599" s="89" t="s">
        <v>182</v>
      </c>
      <c r="C599" s="89">
        <v>2025</v>
      </c>
      <c r="D599" s="89" t="s">
        <v>4886</v>
      </c>
      <c r="E599" s="89">
        <v>11</v>
      </c>
      <c r="F599" s="90" t="str">
        <f t="shared" si="8"/>
        <v>VED-01-2025-GR-11</v>
      </c>
      <c r="G599" s="89" t="s">
        <v>7045</v>
      </c>
      <c r="H599" s="89" t="s">
        <v>7125</v>
      </c>
      <c r="I599" s="89"/>
      <c r="J599" s="89" t="s">
        <v>7094</v>
      </c>
      <c r="K599" s="107">
        <v>2</v>
      </c>
      <c r="L599" s="107">
        <v>2</v>
      </c>
      <c r="M599" s="107">
        <v>2</v>
      </c>
      <c r="N599" s="90" t="s">
        <v>7095</v>
      </c>
      <c r="O599" s="89" t="s">
        <v>2996</v>
      </c>
      <c r="P599" s="89" t="s">
        <v>2997</v>
      </c>
      <c r="Q599" s="89" t="e">
        <f t="shared" ca="1" si="9"/>
        <v>#NAME?</v>
      </c>
      <c r="R599" s="39" t="s">
        <v>112</v>
      </c>
      <c r="S599" s="105">
        <v>8008933463</v>
      </c>
      <c r="T599" s="90" t="s">
        <v>111</v>
      </c>
      <c r="U599" s="89">
        <v>2000</v>
      </c>
      <c r="V599" s="95">
        <v>-1</v>
      </c>
      <c r="W599" s="95">
        <v>-1</v>
      </c>
      <c r="X599" s="95">
        <v>-1</v>
      </c>
      <c r="Y599" s="95">
        <v>-1</v>
      </c>
      <c r="Z599" s="95">
        <v>-1</v>
      </c>
      <c r="AA599" s="95">
        <v>-1</v>
      </c>
      <c r="AB599" s="95">
        <v>-1</v>
      </c>
      <c r="AC599" s="95">
        <v>-1</v>
      </c>
      <c r="AD599" s="95">
        <v>-1</v>
      </c>
      <c r="AE599" s="95">
        <v>-1</v>
      </c>
      <c r="AF599" s="95">
        <v>-1</v>
      </c>
      <c r="AG599" s="95">
        <v>-1</v>
      </c>
      <c r="AH599" s="95">
        <v>-1</v>
      </c>
      <c r="AI599" s="95">
        <v>-1</v>
      </c>
      <c r="AJ599" s="89"/>
      <c r="AK599" s="89"/>
      <c r="AL599" s="89"/>
      <c r="AM599" s="89"/>
      <c r="AN599" s="89"/>
      <c r="AO599" s="89"/>
      <c r="AP599" s="89"/>
      <c r="AQ599" s="89"/>
      <c r="AR599" s="89"/>
      <c r="AS599" s="89"/>
      <c r="AT599" s="89"/>
      <c r="AU599" s="89"/>
      <c r="AV599" s="89"/>
      <c r="AW599" s="89"/>
      <c r="AX599" s="89"/>
      <c r="AY599" s="89"/>
      <c r="AZ599" s="89"/>
      <c r="BA599" s="89"/>
      <c r="BB599" s="89"/>
      <c r="BC599" s="89"/>
      <c r="BD599" s="89"/>
      <c r="BE599" s="89"/>
      <c r="BF599" s="89"/>
      <c r="BG599" s="89"/>
      <c r="BH599" s="89"/>
      <c r="BI599" s="89"/>
      <c r="BJ599" s="89"/>
      <c r="BK599" s="89"/>
      <c r="BL599" s="89"/>
      <c r="BM599" s="89"/>
      <c r="BN599" s="89"/>
      <c r="BO599" s="89"/>
      <c r="BP599" s="89"/>
      <c r="BQ599" s="89"/>
      <c r="BR599" s="89"/>
      <c r="BS599" s="89"/>
      <c r="BT599" s="89"/>
      <c r="BU599" s="89"/>
      <c r="BV599" s="89"/>
      <c r="BW599" s="89"/>
      <c r="BX599" s="89"/>
      <c r="BY599" s="89"/>
      <c r="BZ599" s="89"/>
      <c r="CA599" s="89"/>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98"/>
      <c r="DA599" s="98"/>
      <c r="DB599" s="98"/>
      <c r="DC599" s="98"/>
      <c r="DD599" s="98"/>
      <c r="DE599" s="98"/>
      <c r="DF599" s="98"/>
      <c r="DG599" s="98"/>
      <c r="DH599" s="98"/>
      <c r="DI599" s="98"/>
      <c r="DJ599" s="98"/>
      <c r="DK599" s="98"/>
      <c r="DL599" s="98"/>
      <c r="DM599" s="98"/>
      <c r="DN599" s="98"/>
      <c r="DO599" s="98"/>
      <c r="DP599" s="98"/>
      <c r="DQ599" s="98"/>
      <c r="DR599" s="98"/>
      <c r="DS599" s="98"/>
      <c r="DT599" s="98"/>
      <c r="DU599" s="98"/>
      <c r="DV599" s="98"/>
      <c r="DW599" s="98"/>
      <c r="DX599" s="98"/>
      <c r="DY599" s="98"/>
      <c r="DZ599" s="98"/>
      <c r="EA599" s="98"/>
      <c r="EB599" s="98"/>
      <c r="EC599" s="98"/>
      <c r="ED599" s="98"/>
    </row>
    <row r="600" spans="1:134" ht="11.25" customHeight="1" x14ac:dyDescent="0.3">
      <c r="A600" s="28" t="e">
        <f t="array" aca="1" ref="A600" ca="1">_xludf.XLOOKUP(S600,Master_Registrations!P:P,Master_Registrations!A:A,"")</f>
        <v>#NAME?</v>
      </c>
      <c r="B600" s="89" t="s">
        <v>182</v>
      </c>
      <c r="C600" s="89">
        <v>2025</v>
      </c>
      <c r="D600" s="89" t="s">
        <v>4886</v>
      </c>
      <c r="E600" s="89">
        <v>11</v>
      </c>
      <c r="F600" s="90" t="str">
        <f t="shared" si="8"/>
        <v>VED-01-2025-GR-11</v>
      </c>
      <c r="G600" s="89" t="s">
        <v>7045</v>
      </c>
      <c r="H600" s="89" t="s">
        <v>7125</v>
      </c>
      <c r="I600" s="89"/>
      <c r="J600" s="89" t="s">
        <v>7094</v>
      </c>
      <c r="K600" s="107">
        <v>2</v>
      </c>
      <c r="L600" s="99">
        <v>1</v>
      </c>
      <c r="M600" s="109"/>
      <c r="N600" s="90" t="s">
        <v>7095</v>
      </c>
      <c r="O600" s="89" t="s">
        <v>2798</v>
      </c>
      <c r="P600" s="89" t="s">
        <v>2799</v>
      </c>
      <c r="Q600" s="89" t="e">
        <f t="shared" ca="1" si="9"/>
        <v>#NAME?</v>
      </c>
      <c r="R600" s="39" t="s">
        <v>112</v>
      </c>
      <c r="S600" s="105">
        <v>9731723737</v>
      </c>
      <c r="T600" s="90" t="s">
        <v>111</v>
      </c>
      <c r="U600" s="89">
        <v>1952</v>
      </c>
      <c r="V600" s="99">
        <v>1</v>
      </c>
      <c r="W600" s="95">
        <v>-1</v>
      </c>
      <c r="X600" s="99">
        <v>1</v>
      </c>
      <c r="Y600" s="99">
        <v>1</v>
      </c>
      <c r="Z600" s="99">
        <v>1</v>
      </c>
      <c r="AA600" s="95">
        <v>-1</v>
      </c>
      <c r="AB600" s="95">
        <v>-1</v>
      </c>
      <c r="AC600" s="95">
        <v>-1</v>
      </c>
      <c r="AD600" s="95">
        <v>-1</v>
      </c>
      <c r="AE600" s="95">
        <v>-1</v>
      </c>
      <c r="AF600" s="95">
        <v>-1</v>
      </c>
      <c r="AG600" s="95">
        <v>-1</v>
      </c>
      <c r="AH600" s="95">
        <v>-1</v>
      </c>
      <c r="AI600" s="95">
        <v>-1</v>
      </c>
      <c r="AJ600" s="89"/>
      <c r="AK600" s="89"/>
      <c r="AL600" s="89"/>
      <c r="AM600" s="89"/>
      <c r="AN600" s="89"/>
      <c r="AO600" s="89"/>
      <c r="AP600" s="89"/>
      <c r="AQ600" s="89"/>
      <c r="AR600" s="89"/>
      <c r="AS600" s="89"/>
      <c r="AT600" s="89"/>
      <c r="AU600" s="89"/>
      <c r="AV600" s="89"/>
      <c r="AW600" s="89"/>
      <c r="AX600" s="89"/>
      <c r="AY600" s="89"/>
      <c r="AZ600" s="89"/>
      <c r="BA600" s="89"/>
      <c r="BB600" s="89"/>
      <c r="BC600" s="89"/>
      <c r="BD600" s="89"/>
      <c r="BE600" s="89"/>
      <c r="BF600" s="89"/>
      <c r="BG600" s="89"/>
      <c r="BH600" s="89"/>
      <c r="BI600" s="89"/>
      <c r="BJ600" s="89"/>
      <c r="BK600" s="89"/>
      <c r="BL600" s="89"/>
      <c r="BM600" s="89"/>
      <c r="BN600" s="89"/>
      <c r="BO600" s="89"/>
      <c r="BP600" s="89"/>
      <c r="BQ600" s="89"/>
      <c r="BR600" s="89"/>
      <c r="BS600" s="89"/>
      <c r="BT600" s="89"/>
      <c r="BU600" s="89"/>
      <c r="BV600" s="89"/>
      <c r="BW600" s="89"/>
      <c r="BX600" s="89"/>
      <c r="BY600" s="89"/>
      <c r="BZ600" s="89"/>
      <c r="CA600" s="89"/>
      <c r="CB600" s="89"/>
      <c r="CC600" s="89"/>
      <c r="CD600" s="89"/>
      <c r="CE600" s="89"/>
      <c r="CF600" s="89"/>
      <c r="CG600" s="89"/>
      <c r="CH600" s="89"/>
      <c r="CI600" s="89"/>
      <c r="CJ600" s="89"/>
      <c r="CK600" s="89"/>
      <c r="CL600" s="89"/>
      <c r="CM600" s="89"/>
      <c r="CN600" s="89"/>
      <c r="CO600" s="89"/>
      <c r="CP600" s="89"/>
      <c r="CQ600" s="89"/>
      <c r="CR600" s="89"/>
      <c r="CS600" s="89"/>
      <c r="CT600" s="89"/>
      <c r="CU600" s="89"/>
      <c r="CV600" s="89"/>
      <c r="CW600" s="89"/>
      <c r="CX600" s="89"/>
      <c r="CY600" s="89"/>
      <c r="CZ600" s="98"/>
      <c r="DA600" s="98"/>
      <c r="DB600" s="98"/>
      <c r="DC600" s="98"/>
      <c r="DD600" s="98"/>
      <c r="DE600" s="98"/>
      <c r="DF600" s="98"/>
      <c r="DG600" s="98"/>
      <c r="DH600" s="98"/>
      <c r="DI600" s="98"/>
      <c r="DJ600" s="98"/>
      <c r="DK600" s="98"/>
      <c r="DL600" s="98"/>
      <c r="DM600" s="98"/>
      <c r="DN600" s="98"/>
      <c r="DO600" s="98"/>
      <c r="DP600" s="98"/>
      <c r="DQ600" s="98"/>
      <c r="DR600" s="98"/>
      <c r="DS600" s="98"/>
      <c r="DT600" s="98"/>
      <c r="DU600" s="98"/>
      <c r="DV600" s="98"/>
      <c r="DW600" s="98"/>
      <c r="DX600" s="98"/>
      <c r="DY600" s="98"/>
      <c r="DZ600" s="98"/>
      <c r="EA600" s="98"/>
      <c r="EB600" s="98"/>
      <c r="EC600" s="98"/>
      <c r="ED600" s="98"/>
    </row>
    <row r="601" spans="1:134" ht="11.25" customHeight="1" x14ac:dyDescent="0.3">
      <c r="A601" s="28" t="e">
        <f t="array" aca="1" ref="A601" ca="1">_xludf.XLOOKUP(S601,Master_Registrations!P:P,Master_Registrations!A:A,"")</f>
        <v>#NAME?</v>
      </c>
      <c r="B601" s="89" t="s">
        <v>182</v>
      </c>
      <c r="C601" s="89">
        <v>2025</v>
      </c>
      <c r="D601" s="89" t="s">
        <v>4886</v>
      </c>
      <c r="E601" s="89">
        <v>11</v>
      </c>
      <c r="F601" s="90" t="str">
        <f t="shared" si="8"/>
        <v>VED-01-2025-GR-11</v>
      </c>
      <c r="G601" s="89" t="s">
        <v>7045</v>
      </c>
      <c r="H601" s="89" t="s">
        <v>7125</v>
      </c>
      <c r="I601" s="89"/>
      <c r="J601" s="89" t="s">
        <v>7094</v>
      </c>
      <c r="K601" s="99">
        <v>1</v>
      </c>
      <c r="L601" s="99">
        <v>1</v>
      </c>
      <c r="M601" s="109"/>
      <c r="N601" s="90" t="s">
        <v>7095</v>
      </c>
      <c r="O601" s="89" t="s">
        <v>739</v>
      </c>
      <c r="P601" s="89" t="s">
        <v>2977</v>
      </c>
      <c r="Q601" s="89" t="e">
        <f t="shared" ca="1" si="9"/>
        <v>#NAME?</v>
      </c>
      <c r="R601" s="39" t="s">
        <v>112</v>
      </c>
      <c r="S601" s="105">
        <v>9100804018</v>
      </c>
      <c r="T601" s="90" t="s">
        <v>111</v>
      </c>
      <c r="U601" s="89">
        <v>1961</v>
      </c>
      <c r="V601" s="99">
        <v>1</v>
      </c>
      <c r="W601" s="95">
        <v>-1</v>
      </c>
      <c r="X601" s="99">
        <v>1</v>
      </c>
      <c r="Y601" s="99">
        <v>1</v>
      </c>
      <c r="Z601" s="95">
        <v>-1</v>
      </c>
      <c r="AA601" s="95">
        <v>-1</v>
      </c>
      <c r="AB601" s="95">
        <v>-1</v>
      </c>
      <c r="AC601" s="95">
        <v>-1</v>
      </c>
      <c r="AD601" s="95">
        <v>-1</v>
      </c>
      <c r="AE601" s="95">
        <v>-1</v>
      </c>
      <c r="AF601" s="95">
        <v>-1</v>
      </c>
      <c r="AG601" s="95">
        <v>-1</v>
      </c>
      <c r="AH601" s="95">
        <v>-1</v>
      </c>
      <c r="AI601" s="95">
        <v>-1</v>
      </c>
      <c r="AJ601" s="89"/>
      <c r="AK601" s="89"/>
      <c r="AL601" s="89"/>
      <c r="AM601" s="89"/>
      <c r="AN601" s="89"/>
      <c r="AO601" s="89"/>
      <c r="AP601" s="89"/>
      <c r="AQ601" s="89"/>
      <c r="AR601" s="89"/>
      <c r="AS601" s="89"/>
      <c r="AT601" s="89"/>
      <c r="AU601" s="89"/>
      <c r="AV601" s="89"/>
      <c r="AW601" s="89"/>
      <c r="AX601" s="89"/>
      <c r="AY601" s="89"/>
      <c r="AZ601" s="89"/>
      <c r="BA601" s="89"/>
      <c r="BB601" s="89"/>
      <c r="BC601" s="89"/>
      <c r="BD601" s="89"/>
      <c r="BE601" s="89"/>
      <c r="BF601" s="89"/>
      <c r="BG601" s="89"/>
      <c r="BH601" s="89"/>
      <c r="BI601" s="89"/>
      <c r="BJ601" s="89"/>
      <c r="BK601" s="89"/>
      <c r="BL601" s="89"/>
      <c r="BM601" s="89"/>
      <c r="BN601" s="89"/>
      <c r="BO601" s="89"/>
      <c r="BP601" s="89"/>
      <c r="BQ601" s="89"/>
      <c r="BR601" s="89"/>
      <c r="BS601" s="89"/>
      <c r="BT601" s="89"/>
      <c r="BU601" s="89"/>
      <c r="BV601" s="89"/>
      <c r="BW601" s="89"/>
      <c r="BX601" s="89"/>
      <c r="BY601" s="89"/>
      <c r="BZ601" s="89"/>
      <c r="CA601" s="89"/>
      <c r="CB601" s="89"/>
      <c r="CC601" s="89"/>
      <c r="CD601" s="89"/>
      <c r="CE601" s="89"/>
      <c r="CF601" s="89"/>
      <c r="CG601" s="89"/>
      <c r="CH601" s="89"/>
      <c r="CI601" s="89"/>
      <c r="CJ601" s="89"/>
      <c r="CK601" s="89"/>
      <c r="CL601" s="89"/>
      <c r="CM601" s="89"/>
      <c r="CN601" s="89"/>
      <c r="CO601" s="89"/>
      <c r="CP601" s="89"/>
      <c r="CQ601" s="89"/>
      <c r="CR601" s="89"/>
      <c r="CS601" s="89"/>
      <c r="CT601" s="89"/>
      <c r="CU601" s="89"/>
      <c r="CV601" s="89"/>
      <c r="CW601" s="89"/>
      <c r="CX601" s="89"/>
      <c r="CY601" s="89"/>
      <c r="CZ601" s="98"/>
      <c r="DA601" s="98"/>
      <c r="DB601" s="98"/>
      <c r="DC601" s="98"/>
      <c r="DD601" s="98"/>
      <c r="DE601" s="98"/>
      <c r="DF601" s="98"/>
      <c r="DG601" s="98"/>
      <c r="DH601" s="98"/>
      <c r="DI601" s="98"/>
      <c r="DJ601" s="98"/>
      <c r="DK601" s="98"/>
      <c r="DL601" s="98"/>
      <c r="DM601" s="98"/>
      <c r="DN601" s="98"/>
      <c r="DO601" s="98"/>
      <c r="DP601" s="98"/>
      <c r="DQ601" s="98"/>
      <c r="DR601" s="98"/>
      <c r="DS601" s="98"/>
      <c r="DT601" s="98"/>
      <c r="DU601" s="98"/>
      <c r="DV601" s="98"/>
      <c r="DW601" s="98"/>
      <c r="DX601" s="98"/>
      <c r="DY601" s="98"/>
      <c r="DZ601" s="98"/>
      <c r="EA601" s="98"/>
      <c r="EB601" s="98"/>
      <c r="EC601" s="98"/>
      <c r="ED601" s="98"/>
    </row>
    <row r="602" spans="1:134" ht="11.25" customHeight="1" x14ac:dyDescent="0.3">
      <c r="A602" s="28" t="e">
        <f t="array" aca="1" ref="A602" ca="1">_xludf.XLOOKUP(S602,Master_Registrations!P:P,Master_Registrations!A:A,"")</f>
        <v>#NAME?</v>
      </c>
      <c r="B602" s="89" t="s">
        <v>182</v>
      </c>
      <c r="C602" s="89">
        <v>2025</v>
      </c>
      <c r="D602" s="89" t="s">
        <v>4886</v>
      </c>
      <c r="E602" s="89">
        <v>12</v>
      </c>
      <c r="F602" s="90" t="str">
        <f t="shared" si="8"/>
        <v>VED-01-2025-GR-12</v>
      </c>
      <c r="G602" s="89" t="s">
        <v>7066</v>
      </c>
      <c r="H602" s="89" t="s">
        <v>2109</v>
      </c>
      <c r="I602" s="89"/>
      <c r="J602" s="89" t="s">
        <v>7094</v>
      </c>
      <c r="K602" s="99">
        <v>-1</v>
      </c>
      <c r="L602" s="104">
        <v>-1</v>
      </c>
      <c r="M602" s="110">
        <v>-1</v>
      </c>
      <c r="N602" s="90" t="s">
        <v>7095</v>
      </c>
      <c r="O602" s="89" t="s">
        <v>3235</v>
      </c>
      <c r="P602" s="89" t="s">
        <v>751</v>
      </c>
      <c r="Q602" s="89" t="e">
        <f t="shared" ca="1" si="9"/>
        <v>#NAME?</v>
      </c>
      <c r="R602" s="39" t="s">
        <v>316</v>
      </c>
      <c r="S602" s="105">
        <v>9591989895</v>
      </c>
      <c r="T602" s="90" t="s">
        <v>315</v>
      </c>
      <c r="U602" s="89">
        <v>1973</v>
      </c>
      <c r="V602" s="95">
        <v>-1</v>
      </c>
      <c r="W602" s="95">
        <v>-1</v>
      </c>
      <c r="X602" s="99">
        <v>-1</v>
      </c>
      <c r="Y602" s="99">
        <v>-1</v>
      </c>
      <c r="Z602" s="99">
        <v>-1</v>
      </c>
      <c r="AA602" s="95">
        <v>-1</v>
      </c>
      <c r="AB602" s="95">
        <v>-1</v>
      </c>
      <c r="AC602" s="95">
        <v>-1</v>
      </c>
      <c r="AD602" s="95">
        <v>-1</v>
      </c>
      <c r="AE602" s="95">
        <v>-1</v>
      </c>
      <c r="AF602" s="95">
        <v>-1</v>
      </c>
      <c r="AG602" s="95">
        <v>-1</v>
      </c>
      <c r="AH602" s="95">
        <v>-1</v>
      </c>
      <c r="AI602" s="95">
        <v>-1</v>
      </c>
      <c r="AJ602" s="89"/>
      <c r="AK602" s="89"/>
      <c r="AL602" s="89"/>
      <c r="AM602" s="89"/>
      <c r="AN602" s="89"/>
      <c r="AO602" s="89"/>
      <c r="AP602" s="89"/>
      <c r="AQ602" s="89"/>
      <c r="AR602" s="89"/>
      <c r="AS602" s="89"/>
      <c r="AT602" s="89"/>
      <c r="AU602" s="89"/>
      <c r="AV602" s="89"/>
      <c r="AW602" s="89"/>
      <c r="AX602" s="89"/>
      <c r="AY602" s="89"/>
      <c r="AZ602" s="89"/>
      <c r="BA602" s="89"/>
      <c r="BB602" s="89"/>
      <c r="BC602" s="89"/>
      <c r="BD602" s="89"/>
      <c r="BE602" s="89"/>
      <c r="BF602" s="89"/>
      <c r="BG602" s="89"/>
      <c r="BH602" s="89"/>
      <c r="BI602" s="89"/>
      <c r="BJ602" s="89"/>
      <c r="BK602" s="89"/>
      <c r="BL602" s="89"/>
      <c r="BM602" s="89"/>
      <c r="BN602" s="89"/>
      <c r="BO602" s="89"/>
      <c r="BP602" s="89"/>
      <c r="BQ602" s="89"/>
      <c r="BR602" s="89"/>
      <c r="BS602" s="89"/>
      <c r="BT602" s="89"/>
      <c r="BU602" s="89"/>
      <c r="BV602" s="89"/>
      <c r="BW602" s="89"/>
      <c r="BX602" s="89"/>
      <c r="BY602" s="89"/>
      <c r="BZ602" s="89"/>
      <c r="CA602" s="89"/>
      <c r="CB602" s="89"/>
      <c r="CC602" s="89"/>
      <c r="CD602" s="89"/>
      <c r="CE602" s="89"/>
      <c r="CF602" s="89"/>
      <c r="CG602" s="89"/>
      <c r="CH602" s="89"/>
      <c r="CI602" s="89"/>
      <c r="CJ602" s="89"/>
      <c r="CK602" s="89"/>
      <c r="CL602" s="89"/>
      <c r="CM602" s="89"/>
      <c r="CN602" s="89"/>
      <c r="CO602" s="89"/>
      <c r="CP602" s="89"/>
      <c r="CQ602" s="89"/>
      <c r="CR602" s="89"/>
      <c r="CS602" s="89"/>
      <c r="CT602" s="89"/>
      <c r="CU602" s="89"/>
      <c r="CV602" s="89"/>
      <c r="CW602" s="89"/>
      <c r="CX602" s="89"/>
      <c r="CY602" s="89"/>
      <c r="CZ602" s="98"/>
      <c r="DA602" s="98"/>
      <c r="DB602" s="98"/>
      <c r="DC602" s="98"/>
      <c r="DD602" s="98"/>
      <c r="DE602" s="98"/>
      <c r="DF602" s="98"/>
      <c r="DG602" s="98"/>
      <c r="DH602" s="98"/>
      <c r="DI602" s="98"/>
      <c r="DJ602" s="98"/>
      <c r="DK602" s="98"/>
      <c r="DL602" s="98"/>
      <c r="DM602" s="98"/>
      <c r="DN602" s="98"/>
      <c r="DO602" s="98"/>
      <c r="DP602" s="98"/>
      <c r="DQ602" s="98"/>
      <c r="DR602" s="98"/>
      <c r="DS602" s="98"/>
      <c r="DT602" s="98"/>
      <c r="DU602" s="98"/>
      <c r="DV602" s="98"/>
      <c r="DW602" s="98"/>
      <c r="DX602" s="98"/>
      <c r="DY602" s="98"/>
      <c r="DZ602" s="98"/>
      <c r="EA602" s="98"/>
      <c r="EB602" s="98"/>
      <c r="EC602" s="98"/>
      <c r="ED602" s="98"/>
    </row>
    <row r="603" spans="1:134" ht="11.25" customHeight="1" x14ac:dyDescent="0.3">
      <c r="A603" s="28" t="e">
        <f t="array" aca="1" ref="A603" ca="1">_xludf.XLOOKUP(S603,Master_Registrations!P:P,Master_Registrations!A:A,"")</f>
        <v>#NAME?</v>
      </c>
      <c r="B603" s="89" t="s">
        <v>182</v>
      </c>
      <c r="C603" s="89">
        <v>2025</v>
      </c>
      <c r="D603" s="89" t="s">
        <v>4886</v>
      </c>
      <c r="E603" s="89">
        <v>12</v>
      </c>
      <c r="F603" s="90" t="str">
        <f t="shared" si="8"/>
        <v>VED-01-2025-GR-12</v>
      </c>
      <c r="G603" s="89" t="s">
        <v>7066</v>
      </c>
      <c r="H603" s="89" t="s">
        <v>2109</v>
      </c>
      <c r="I603" s="89"/>
      <c r="J603" s="89" t="s">
        <v>7094</v>
      </c>
      <c r="K603" s="104">
        <v>-1</v>
      </c>
      <c r="L603" s="99">
        <v>1</v>
      </c>
      <c r="M603" s="110">
        <v>-1</v>
      </c>
      <c r="N603" s="90" t="s">
        <v>7095</v>
      </c>
      <c r="O603" s="89" t="s">
        <v>3616</v>
      </c>
      <c r="P603" s="89" t="s">
        <v>3617</v>
      </c>
      <c r="Q603" s="89" t="e">
        <f t="shared" ca="1" si="9"/>
        <v>#NAME?</v>
      </c>
      <c r="R603" s="39" t="s">
        <v>316</v>
      </c>
      <c r="S603" s="105">
        <v>8594209421</v>
      </c>
      <c r="T603" s="90" t="s">
        <v>315</v>
      </c>
      <c r="U603" s="89">
        <v>1982</v>
      </c>
      <c r="V603" s="95">
        <v>-1</v>
      </c>
      <c r="W603" s="95">
        <v>-1</v>
      </c>
      <c r="X603" s="99">
        <v>-1</v>
      </c>
      <c r="Y603" s="95">
        <v>-1</v>
      </c>
      <c r="Z603" s="99">
        <v>-1</v>
      </c>
      <c r="AA603" s="95">
        <v>-1</v>
      </c>
      <c r="AB603" s="95">
        <v>-1</v>
      </c>
      <c r="AC603" s="95">
        <v>-1</v>
      </c>
      <c r="AD603" s="95">
        <v>-1</v>
      </c>
      <c r="AE603" s="95">
        <v>-1</v>
      </c>
      <c r="AF603" s="95">
        <v>-1</v>
      </c>
      <c r="AG603" s="95">
        <v>-1</v>
      </c>
      <c r="AH603" s="95">
        <v>-1</v>
      </c>
      <c r="AI603" s="95">
        <v>-1</v>
      </c>
      <c r="AJ603" s="89"/>
      <c r="AK603" s="89"/>
      <c r="AL603" s="89"/>
      <c r="AM603" s="89"/>
      <c r="AN603" s="89"/>
      <c r="AO603" s="89"/>
      <c r="AP603" s="89"/>
      <c r="AQ603" s="89"/>
      <c r="AR603" s="89"/>
      <c r="AS603" s="89"/>
      <c r="AT603" s="89"/>
      <c r="AU603" s="89"/>
      <c r="AV603" s="89"/>
      <c r="AW603" s="89"/>
      <c r="AX603" s="89"/>
      <c r="AY603" s="89"/>
      <c r="AZ603" s="89"/>
      <c r="BA603" s="89"/>
      <c r="BB603" s="89"/>
      <c r="BC603" s="89"/>
      <c r="BD603" s="89"/>
      <c r="BE603" s="89"/>
      <c r="BF603" s="89"/>
      <c r="BG603" s="89"/>
      <c r="BH603" s="89"/>
      <c r="BI603" s="89"/>
      <c r="BJ603" s="89"/>
      <c r="BK603" s="89"/>
      <c r="BL603" s="89"/>
      <c r="BM603" s="89"/>
      <c r="BN603" s="89"/>
      <c r="BO603" s="89"/>
      <c r="BP603" s="89"/>
      <c r="BQ603" s="89"/>
      <c r="BR603" s="89"/>
      <c r="BS603" s="89"/>
      <c r="BT603" s="89"/>
      <c r="BU603" s="89"/>
      <c r="BV603" s="89"/>
      <c r="BW603" s="89"/>
      <c r="BX603" s="89"/>
      <c r="BY603" s="89"/>
      <c r="BZ603" s="89"/>
      <c r="CA603" s="89"/>
      <c r="CB603" s="89"/>
      <c r="CC603" s="89"/>
      <c r="CD603" s="89"/>
      <c r="CE603" s="89"/>
      <c r="CF603" s="89"/>
      <c r="CG603" s="89"/>
      <c r="CH603" s="89"/>
      <c r="CI603" s="89"/>
      <c r="CJ603" s="89"/>
      <c r="CK603" s="89"/>
      <c r="CL603" s="89"/>
      <c r="CM603" s="89"/>
      <c r="CN603" s="89"/>
      <c r="CO603" s="89"/>
      <c r="CP603" s="89"/>
      <c r="CQ603" s="89"/>
      <c r="CR603" s="89"/>
      <c r="CS603" s="89"/>
      <c r="CT603" s="89"/>
      <c r="CU603" s="89"/>
      <c r="CV603" s="89"/>
      <c r="CW603" s="89"/>
      <c r="CX603" s="89"/>
      <c r="CY603" s="89"/>
      <c r="CZ603" s="98"/>
      <c r="DA603" s="98"/>
      <c r="DB603" s="98"/>
      <c r="DC603" s="98"/>
      <c r="DD603" s="98"/>
      <c r="DE603" s="98"/>
      <c r="DF603" s="98"/>
      <c r="DG603" s="98"/>
      <c r="DH603" s="98"/>
      <c r="DI603" s="98"/>
      <c r="DJ603" s="98"/>
      <c r="DK603" s="98"/>
      <c r="DL603" s="98"/>
      <c r="DM603" s="98"/>
      <c r="DN603" s="98"/>
      <c r="DO603" s="98"/>
      <c r="DP603" s="98"/>
      <c r="DQ603" s="98"/>
      <c r="DR603" s="98"/>
      <c r="DS603" s="98"/>
      <c r="DT603" s="98"/>
      <c r="DU603" s="98"/>
      <c r="DV603" s="98"/>
      <c r="DW603" s="98"/>
      <c r="DX603" s="98"/>
      <c r="DY603" s="98"/>
      <c r="DZ603" s="98"/>
      <c r="EA603" s="98"/>
      <c r="EB603" s="98"/>
      <c r="EC603" s="98"/>
      <c r="ED603" s="98"/>
    </row>
    <row r="604" spans="1:134" ht="11.25" customHeight="1" x14ac:dyDescent="0.3">
      <c r="A604" s="28" t="e">
        <f t="array" aca="1" ref="A604" ca="1">_xludf.XLOOKUP(S604,Master_Registrations!P:P,Master_Registrations!A:A,"")</f>
        <v>#NAME?</v>
      </c>
      <c r="B604" s="89" t="s">
        <v>182</v>
      </c>
      <c r="C604" s="89">
        <v>2025</v>
      </c>
      <c r="D604" s="89" t="s">
        <v>4886</v>
      </c>
      <c r="E604" s="89">
        <v>12</v>
      </c>
      <c r="F604" s="90" t="str">
        <f t="shared" si="8"/>
        <v>VED-01-2025-GR-12</v>
      </c>
      <c r="G604" s="89" t="s">
        <v>7066</v>
      </c>
      <c r="H604" s="89" t="s">
        <v>2109</v>
      </c>
      <c r="I604" s="89"/>
      <c r="J604" s="89" t="s">
        <v>7094</v>
      </c>
      <c r="K604" s="104">
        <v>-1</v>
      </c>
      <c r="L604" s="99">
        <v>1</v>
      </c>
      <c r="M604" s="104">
        <v>-1</v>
      </c>
      <c r="N604" s="90" t="s">
        <v>7095</v>
      </c>
      <c r="O604" s="89" t="s">
        <v>367</v>
      </c>
      <c r="P604" s="89" t="s">
        <v>2379</v>
      </c>
      <c r="Q604" s="89" t="e">
        <f t="shared" ca="1" si="9"/>
        <v>#NAME?</v>
      </c>
      <c r="R604" s="39" t="s">
        <v>316</v>
      </c>
      <c r="S604" s="105">
        <v>7328419201</v>
      </c>
      <c r="T604" s="90" t="s">
        <v>315</v>
      </c>
      <c r="U604" s="89">
        <v>2002</v>
      </c>
      <c r="V604" s="95">
        <v>-1</v>
      </c>
      <c r="W604" s="95">
        <v>-1</v>
      </c>
      <c r="X604" s="95">
        <v>-1</v>
      </c>
      <c r="Y604" s="99">
        <v>-1</v>
      </c>
      <c r="Z604" s="99">
        <v>1</v>
      </c>
      <c r="AA604" s="99">
        <v>-1</v>
      </c>
      <c r="AB604" s="99">
        <v>-1</v>
      </c>
      <c r="AC604" s="99">
        <v>-1</v>
      </c>
      <c r="AD604" s="95">
        <v>-1</v>
      </c>
      <c r="AE604" s="95">
        <v>-1</v>
      </c>
      <c r="AF604" s="95">
        <v>-1</v>
      </c>
      <c r="AG604" s="95">
        <v>-1</v>
      </c>
      <c r="AH604" s="95">
        <v>-1</v>
      </c>
      <c r="AI604" s="95">
        <v>-1</v>
      </c>
      <c r="AJ604" s="89"/>
      <c r="AK604" s="89"/>
      <c r="AL604" s="89"/>
      <c r="AM604" s="89"/>
      <c r="AN604" s="89"/>
      <c r="AO604" s="89"/>
      <c r="AP604" s="89"/>
      <c r="AQ604" s="89"/>
      <c r="AR604" s="89"/>
      <c r="AS604" s="89"/>
      <c r="AT604" s="89"/>
      <c r="AU604" s="89"/>
      <c r="AV604" s="89"/>
      <c r="AW604" s="89"/>
      <c r="AX604" s="89"/>
      <c r="AY604" s="89"/>
      <c r="AZ604" s="89"/>
      <c r="BA604" s="89"/>
      <c r="BB604" s="89"/>
      <c r="BC604" s="89"/>
      <c r="BD604" s="89"/>
      <c r="BE604" s="89"/>
      <c r="BF604" s="89"/>
      <c r="BG604" s="89"/>
      <c r="BH604" s="89"/>
      <c r="BI604" s="89"/>
      <c r="BJ604" s="89"/>
      <c r="BK604" s="89"/>
      <c r="BL604" s="89"/>
      <c r="BM604" s="89"/>
      <c r="BN604" s="89"/>
      <c r="BO604" s="89"/>
      <c r="BP604" s="89"/>
      <c r="BQ604" s="89"/>
      <c r="BR604" s="89"/>
      <c r="BS604" s="89"/>
      <c r="BT604" s="89"/>
      <c r="BU604" s="89"/>
      <c r="BV604" s="89"/>
      <c r="BW604" s="89"/>
      <c r="BX604" s="89"/>
      <c r="BY604" s="89"/>
      <c r="BZ604" s="89"/>
      <c r="CA604" s="89"/>
      <c r="CB604" s="89"/>
      <c r="CC604" s="89"/>
      <c r="CD604" s="89"/>
      <c r="CE604" s="89"/>
      <c r="CF604" s="89"/>
      <c r="CG604" s="89"/>
      <c r="CH604" s="89"/>
      <c r="CI604" s="89"/>
      <c r="CJ604" s="89"/>
      <c r="CK604" s="89"/>
      <c r="CL604" s="89"/>
      <c r="CM604" s="89"/>
      <c r="CN604" s="89"/>
      <c r="CO604" s="89"/>
      <c r="CP604" s="89"/>
      <c r="CQ604" s="89"/>
      <c r="CR604" s="89"/>
      <c r="CS604" s="89"/>
      <c r="CT604" s="89"/>
      <c r="CU604" s="89"/>
      <c r="CV604" s="89"/>
      <c r="CW604" s="89"/>
      <c r="CX604" s="89"/>
      <c r="CY604" s="89"/>
      <c r="CZ604" s="98"/>
      <c r="DA604" s="98"/>
      <c r="DB604" s="98"/>
      <c r="DC604" s="98"/>
      <c r="DD604" s="98"/>
      <c r="DE604" s="98"/>
      <c r="DF604" s="98"/>
      <c r="DG604" s="98"/>
      <c r="DH604" s="98"/>
      <c r="DI604" s="98"/>
      <c r="DJ604" s="98"/>
      <c r="DK604" s="98"/>
      <c r="DL604" s="98"/>
      <c r="DM604" s="98"/>
      <c r="DN604" s="98"/>
      <c r="DO604" s="98"/>
      <c r="DP604" s="98"/>
      <c r="DQ604" s="98"/>
      <c r="DR604" s="98"/>
      <c r="DS604" s="98"/>
      <c r="DT604" s="98"/>
      <c r="DU604" s="98"/>
      <c r="DV604" s="98"/>
      <c r="DW604" s="98"/>
      <c r="DX604" s="98"/>
      <c r="DY604" s="98"/>
      <c r="DZ604" s="98"/>
      <c r="EA604" s="98"/>
      <c r="EB604" s="98"/>
      <c r="EC604" s="98"/>
      <c r="ED604" s="98"/>
    </row>
    <row r="605" spans="1:134" ht="11.25" customHeight="1" x14ac:dyDescent="0.3">
      <c r="A605" s="28" t="e">
        <f t="array" aca="1" ref="A605" ca="1">_xludf.XLOOKUP(S605,Master_Registrations!P:P,Master_Registrations!A:A,"")</f>
        <v>#NAME?</v>
      </c>
      <c r="B605" s="89" t="s">
        <v>182</v>
      </c>
      <c r="C605" s="89">
        <v>2025</v>
      </c>
      <c r="D605" s="89" t="s">
        <v>4886</v>
      </c>
      <c r="E605" s="89">
        <v>12</v>
      </c>
      <c r="F605" s="90" t="str">
        <f t="shared" si="8"/>
        <v>VED-01-2025-GR-12</v>
      </c>
      <c r="G605" s="89" t="s">
        <v>7066</v>
      </c>
      <c r="H605" s="89" t="s">
        <v>2109</v>
      </c>
      <c r="I605" s="89"/>
      <c r="J605" s="89" t="s">
        <v>7094</v>
      </c>
      <c r="K605" s="99">
        <v>-1</v>
      </c>
      <c r="L605" s="99">
        <v>1</v>
      </c>
      <c r="M605" s="110">
        <v>-1</v>
      </c>
      <c r="N605" s="90" t="s">
        <v>7095</v>
      </c>
      <c r="O605" s="89" t="s">
        <v>880</v>
      </c>
      <c r="P605" s="89" t="s">
        <v>476</v>
      </c>
      <c r="Q605" s="89" t="e">
        <f t="shared" ca="1" si="9"/>
        <v>#NAME?</v>
      </c>
      <c r="R605" s="39" t="s">
        <v>316</v>
      </c>
      <c r="S605" s="105">
        <v>9193668910</v>
      </c>
      <c r="T605" s="90" t="s">
        <v>402</v>
      </c>
      <c r="U605" s="89">
        <v>1974</v>
      </c>
      <c r="V605" s="95">
        <v>-1</v>
      </c>
      <c r="W605" s="95">
        <v>-1</v>
      </c>
      <c r="X605" s="99">
        <v>-1</v>
      </c>
      <c r="Y605" s="99">
        <v>-1</v>
      </c>
      <c r="Z605" s="95">
        <v>-1</v>
      </c>
      <c r="AA605" s="99">
        <v>-1</v>
      </c>
      <c r="AB605" s="95">
        <v>-1</v>
      </c>
      <c r="AC605" s="95">
        <v>-1</v>
      </c>
      <c r="AD605" s="95">
        <v>-1</v>
      </c>
      <c r="AE605" s="95">
        <v>-1</v>
      </c>
      <c r="AF605" s="95">
        <v>-1</v>
      </c>
      <c r="AG605" s="95">
        <v>-1</v>
      </c>
      <c r="AH605" s="95">
        <v>-1</v>
      </c>
      <c r="AI605" s="95">
        <v>-1</v>
      </c>
      <c r="AJ605" s="89"/>
      <c r="AK605" s="89"/>
      <c r="AL605" s="89"/>
      <c r="AM605" s="89"/>
      <c r="AN605" s="89"/>
      <c r="AO605" s="89"/>
      <c r="AP605" s="89"/>
      <c r="AQ605" s="89"/>
      <c r="AR605" s="89"/>
      <c r="AS605" s="89"/>
      <c r="AT605" s="89"/>
      <c r="AU605" s="89"/>
      <c r="AV605" s="89"/>
      <c r="AW605" s="89"/>
      <c r="AX605" s="89"/>
      <c r="AY605" s="89"/>
      <c r="AZ605" s="89"/>
      <c r="BA605" s="89"/>
      <c r="BB605" s="89"/>
      <c r="BC605" s="89"/>
      <c r="BD605" s="89"/>
      <c r="BE605" s="89"/>
      <c r="BF605" s="89"/>
      <c r="BG605" s="89"/>
      <c r="BH605" s="89"/>
      <c r="BI605" s="89"/>
      <c r="BJ605" s="89"/>
      <c r="BK605" s="89"/>
      <c r="BL605" s="89"/>
      <c r="BM605" s="89"/>
      <c r="BN605" s="89"/>
      <c r="BO605" s="89"/>
      <c r="BP605" s="89"/>
      <c r="BQ605" s="89"/>
      <c r="BR605" s="89"/>
      <c r="BS605" s="89"/>
      <c r="BT605" s="89"/>
      <c r="BU605" s="89"/>
      <c r="BV605" s="89"/>
      <c r="BW605" s="89"/>
      <c r="BX605" s="89"/>
      <c r="BY605" s="89"/>
      <c r="BZ605" s="89"/>
      <c r="CA605" s="89"/>
      <c r="CB605" s="89"/>
      <c r="CC605" s="89"/>
      <c r="CD605" s="89"/>
      <c r="CE605" s="89"/>
      <c r="CF605" s="89"/>
      <c r="CG605" s="89"/>
      <c r="CH605" s="89"/>
      <c r="CI605" s="89"/>
      <c r="CJ605" s="89"/>
      <c r="CK605" s="89"/>
      <c r="CL605" s="89"/>
      <c r="CM605" s="89"/>
      <c r="CN605" s="89"/>
      <c r="CO605" s="89"/>
      <c r="CP605" s="89"/>
      <c r="CQ605" s="89"/>
      <c r="CR605" s="89"/>
      <c r="CS605" s="89"/>
      <c r="CT605" s="89"/>
      <c r="CU605" s="89"/>
      <c r="CV605" s="89"/>
      <c r="CW605" s="89"/>
      <c r="CX605" s="89"/>
      <c r="CY605" s="89"/>
      <c r="CZ605" s="98"/>
      <c r="DA605" s="98"/>
      <c r="DB605" s="98"/>
      <c r="DC605" s="98"/>
      <c r="DD605" s="98"/>
      <c r="DE605" s="98"/>
      <c r="DF605" s="98"/>
      <c r="DG605" s="98"/>
      <c r="DH605" s="98"/>
      <c r="DI605" s="98"/>
      <c r="DJ605" s="98"/>
      <c r="DK605" s="98"/>
      <c r="DL605" s="98"/>
      <c r="DM605" s="98"/>
      <c r="DN605" s="98"/>
      <c r="DO605" s="98"/>
      <c r="DP605" s="98"/>
      <c r="DQ605" s="98"/>
      <c r="DR605" s="98"/>
      <c r="DS605" s="98"/>
      <c r="DT605" s="98"/>
      <c r="DU605" s="98"/>
      <c r="DV605" s="98"/>
      <c r="DW605" s="98"/>
      <c r="DX605" s="98"/>
      <c r="DY605" s="98"/>
      <c r="DZ605" s="98"/>
      <c r="EA605" s="98"/>
      <c r="EB605" s="98"/>
      <c r="EC605" s="98"/>
      <c r="ED605" s="98"/>
    </row>
    <row r="606" spans="1:134" ht="11.25" customHeight="1" x14ac:dyDescent="0.3">
      <c r="A606" s="28" t="e">
        <f t="array" aca="1" ref="A606" ca="1">_xludf.XLOOKUP(S606,Master_Registrations!P:P,Master_Registrations!A:A,"")</f>
        <v>#NAME?</v>
      </c>
      <c r="B606" s="89" t="s">
        <v>182</v>
      </c>
      <c r="C606" s="89">
        <v>2025</v>
      </c>
      <c r="D606" s="89" t="s">
        <v>4886</v>
      </c>
      <c r="E606" s="89">
        <v>12</v>
      </c>
      <c r="F606" s="90" t="str">
        <f t="shared" si="8"/>
        <v>VED-01-2025-GR-12</v>
      </c>
      <c r="G606" s="89" t="s">
        <v>7066</v>
      </c>
      <c r="H606" s="89" t="s">
        <v>2109</v>
      </c>
      <c r="I606" s="89"/>
      <c r="J606" s="89" t="s">
        <v>7094</v>
      </c>
      <c r="K606" s="99">
        <v>1</v>
      </c>
      <c r="L606" s="99">
        <v>1</v>
      </c>
      <c r="M606" s="110">
        <v>-1</v>
      </c>
      <c r="N606" s="90" t="s">
        <v>7095</v>
      </c>
      <c r="O606" s="89" t="s">
        <v>445</v>
      </c>
      <c r="P606" s="89" t="s">
        <v>3715</v>
      </c>
      <c r="Q606" s="89" t="e">
        <f t="shared" ca="1" si="9"/>
        <v>#NAME?</v>
      </c>
      <c r="R606" s="39" t="s">
        <v>316</v>
      </c>
      <c r="S606" s="105">
        <v>6782949954</v>
      </c>
      <c r="T606" s="90" t="s">
        <v>402</v>
      </c>
      <c r="U606" s="89">
        <v>2004</v>
      </c>
      <c r="V606" s="95">
        <v>-1</v>
      </c>
      <c r="W606" s="95">
        <v>-1</v>
      </c>
      <c r="X606" s="95">
        <v>-1</v>
      </c>
      <c r="Y606" s="95">
        <v>-1</v>
      </c>
      <c r="Z606" s="99">
        <v>-1</v>
      </c>
      <c r="AA606" s="95">
        <v>-1</v>
      </c>
      <c r="AB606" s="95">
        <v>-1</v>
      </c>
      <c r="AC606" s="95">
        <v>-1</v>
      </c>
      <c r="AD606" s="95">
        <v>-1</v>
      </c>
      <c r="AE606" s="95">
        <v>-1</v>
      </c>
      <c r="AF606" s="95">
        <v>-1</v>
      </c>
      <c r="AG606" s="95">
        <v>-1</v>
      </c>
      <c r="AH606" s="95">
        <v>-1</v>
      </c>
      <c r="AI606" s="95">
        <v>-1</v>
      </c>
      <c r="AJ606" s="89"/>
      <c r="AK606" s="89"/>
      <c r="AL606" s="89"/>
      <c r="AM606" s="89"/>
      <c r="AN606" s="89"/>
      <c r="AO606" s="89"/>
      <c r="AP606" s="89"/>
      <c r="AQ606" s="89"/>
      <c r="AR606" s="89"/>
      <c r="AS606" s="89"/>
      <c r="AT606" s="89"/>
      <c r="AU606" s="89"/>
      <c r="AV606" s="89"/>
      <c r="AW606" s="89"/>
      <c r="AX606" s="89"/>
      <c r="AY606" s="89"/>
      <c r="AZ606" s="89"/>
      <c r="BA606" s="89"/>
      <c r="BB606" s="89"/>
      <c r="BC606" s="89"/>
      <c r="BD606" s="89"/>
      <c r="BE606" s="89"/>
      <c r="BF606" s="89"/>
      <c r="BG606" s="89"/>
      <c r="BH606" s="89"/>
      <c r="BI606" s="89"/>
      <c r="BJ606" s="89"/>
      <c r="BK606" s="89"/>
      <c r="BL606" s="89"/>
      <c r="BM606" s="89"/>
      <c r="BN606" s="89"/>
      <c r="BO606" s="89"/>
      <c r="BP606" s="89"/>
      <c r="BQ606" s="89"/>
      <c r="BR606" s="89"/>
      <c r="BS606" s="89"/>
      <c r="BT606" s="89"/>
      <c r="BU606" s="89"/>
      <c r="BV606" s="89"/>
      <c r="BW606" s="89"/>
      <c r="BX606" s="89"/>
      <c r="BY606" s="89"/>
      <c r="BZ606" s="89"/>
      <c r="CA606" s="89"/>
      <c r="CB606" s="89"/>
      <c r="CC606" s="89"/>
      <c r="CD606" s="89"/>
      <c r="CE606" s="89"/>
      <c r="CF606" s="89"/>
      <c r="CG606" s="89"/>
      <c r="CH606" s="89"/>
      <c r="CI606" s="89"/>
      <c r="CJ606" s="89"/>
      <c r="CK606" s="89"/>
      <c r="CL606" s="89"/>
      <c r="CM606" s="89"/>
      <c r="CN606" s="89"/>
      <c r="CO606" s="89"/>
      <c r="CP606" s="89"/>
      <c r="CQ606" s="89"/>
      <c r="CR606" s="89"/>
      <c r="CS606" s="89"/>
      <c r="CT606" s="89"/>
      <c r="CU606" s="89"/>
      <c r="CV606" s="89"/>
      <c r="CW606" s="89"/>
      <c r="CX606" s="89"/>
      <c r="CY606" s="89"/>
      <c r="CZ606" s="98"/>
      <c r="DA606" s="98"/>
      <c r="DB606" s="98"/>
      <c r="DC606" s="98"/>
      <c r="DD606" s="98"/>
      <c r="DE606" s="98"/>
      <c r="DF606" s="98"/>
      <c r="DG606" s="98"/>
      <c r="DH606" s="98"/>
      <c r="DI606" s="98"/>
      <c r="DJ606" s="98"/>
      <c r="DK606" s="98"/>
      <c r="DL606" s="98"/>
      <c r="DM606" s="98"/>
      <c r="DN606" s="98"/>
      <c r="DO606" s="98"/>
      <c r="DP606" s="98"/>
      <c r="DQ606" s="98"/>
      <c r="DR606" s="98"/>
      <c r="DS606" s="98"/>
      <c r="DT606" s="98"/>
      <c r="DU606" s="98"/>
      <c r="DV606" s="98"/>
      <c r="DW606" s="98"/>
      <c r="DX606" s="98"/>
      <c r="DY606" s="98"/>
      <c r="DZ606" s="98"/>
      <c r="EA606" s="98"/>
      <c r="EB606" s="98"/>
      <c r="EC606" s="98"/>
      <c r="ED606" s="98"/>
    </row>
    <row r="607" spans="1:134" ht="11.25" customHeight="1" x14ac:dyDescent="0.3">
      <c r="A607" s="28" t="e">
        <f t="array" aca="1" ref="A607" ca="1">_xludf.XLOOKUP(S607,Master_Registrations!P:P,Master_Registrations!A:A,"")</f>
        <v>#NAME?</v>
      </c>
      <c r="B607" s="89" t="s">
        <v>182</v>
      </c>
      <c r="C607" s="89">
        <v>2025</v>
      </c>
      <c r="D607" s="89" t="s">
        <v>4886</v>
      </c>
      <c r="E607" s="89">
        <v>13</v>
      </c>
      <c r="F607" s="90" t="str">
        <f t="shared" si="8"/>
        <v>VED-01-2025-GR-13</v>
      </c>
      <c r="G607" s="89" t="s">
        <v>7126</v>
      </c>
      <c r="H607" s="89" t="s">
        <v>7127</v>
      </c>
      <c r="I607" s="89"/>
      <c r="J607" s="89" t="s">
        <v>7094</v>
      </c>
      <c r="K607" s="110">
        <v>-1</v>
      </c>
      <c r="L607" s="110">
        <v>-1</v>
      </c>
      <c r="M607" s="110">
        <v>-1</v>
      </c>
      <c r="N607" s="90" t="s">
        <v>7095</v>
      </c>
      <c r="O607" s="89" t="s">
        <v>7038</v>
      </c>
      <c r="P607" s="89" t="s">
        <v>2221</v>
      </c>
      <c r="Q607" s="89" t="e">
        <f t="shared" ca="1" si="9"/>
        <v>#NAME?</v>
      </c>
      <c r="R607" s="39" t="s">
        <v>112</v>
      </c>
      <c r="S607" s="105">
        <v>7013165192</v>
      </c>
      <c r="T607" s="90" t="s">
        <v>111</v>
      </c>
      <c r="U607" s="89" t="s">
        <v>4841</v>
      </c>
      <c r="V607" s="95">
        <v>-1</v>
      </c>
      <c r="W607" s="95">
        <v>-1</v>
      </c>
      <c r="X607" s="95">
        <v>-1</v>
      </c>
      <c r="Y607" s="95">
        <v>-1</v>
      </c>
      <c r="Z607" s="95">
        <v>-1</v>
      </c>
      <c r="AA607" s="95">
        <v>-1</v>
      </c>
      <c r="AB607" s="95">
        <v>-1</v>
      </c>
      <c r="AC607" s="95">
        <v>-1</v>
      </c>
      <c r="AD607" s="95">
        <v>-1</v>
      </c>
      <c r="AE607" s="95">
        <v>-1</v>
      </c>
      <c r="AF607" s="95">
        <v>-1</v>
      </c>
      <c r="AG607" s="95">
        <v>-1</v>
      </c>
      <c r="AH607" s="95">
        <v>-1</v>
      </c>
      <c r="AI607" s="95">
        <v>-1</v>
      </c>
      <c r="AJ607" s="89"/>
      <c r="AK607" s="89"/>
      <c r="AL607" s="89"/>
      <c r="AM607" s="89"/>
      <c r="AN607" s="89"/>
      <c r="AO607" s="89"/>
      <c r="AP607" s="89"/>
      <c r="AQ607" s="89"/>
      <c r="AR607" s="89"/>
      <c r="AS607" s="89"/>
      <c r="AT607" s="89"/>
      <c r="AU607" s="89"/>
      <c r="AV607" s="89"/>
      <c r="AW607" s="89"/>
      <c r="AX607" s="89"/>
      <c r="AY607" s="89"/>
      <c r="AZ607" s="89"/>
      <c r="BA607" s="89"/>
      <c r="BB607" s="89"/>
      <c r="BC607" s="89"/>
      <c r="BD607" s="89"/>
      <c r="BE607" s="89"/>
      <c r="BF607" s="89"/>
      <c r="BG607" s="89"/>
      <c r="BH607" s="89"/>
      <c r="BI607" s="89"/>
      <c r="BJ607" s="89"/>
      <c r="BK607" s="89"/>
      <c r="BL607" s="89"/>
      <c r="BM607" s="89"/>
      <c r="BN607" s="89"/>
      <c r="BO607" s="89"/>
      <c r="BP607" s="89"/>
      <c r="BQ607" s="89"/>
      <c r="BR607" s="89"/>
      <c r="BS607" s="89"/>
      <c r="BT607" s="89"/>
      <c r="BU607" s="89"/>
      <c r="BV607" s="89"/>
      <c r="BW607" s="89"/>
      <c r="BX607" s="89"/>
      <c r="BY607" s="89"/>
      <c r="BZ607" s="89"/>
      <c r="CA607" s="89"/>
      <c r="CB607" s="89"/>
      <c r="CC607" s="89"/>
      <c r="CD607" s="89"/>
      <c r="CE607" s="89"/>
      <c r="CF607" s="89"/>
      <c r="CG607" s="89"/>
      <c r="CH607" s="89"/>
      <c r="CI607" s="89"/>
      <c r="CJ607" s="89"/>
      <c r="CK607" s="89"/>
      <c r="CL607" s="89"/>
      <c r="CM607" s="89"/>
      <c r="CN607" s="89"/>
      <c r="CO607" s="89"/>
      <c r="CP607" s="89"/>
      <c r="CQ607" s="89"/>
      <c r="CR607" s="89"/>
      <c r="CS607" s="89"/>
      <c r="CT607" s="89"/>
      <c r="CU607" s="89"/>
      <c r="CV607" s="89"/>
      <c r="CW607" s="89"/>
      <c r="CX607" s="89"/>
      <c r="CY607" s="89"/>
      <c r="CZ607" s="98"/>
      <c r="DA607" s="98"/>
      <c r="DB607" s="98"/>
      <c r="DC607" s="98"/>
      <c r="DD607" s="98"/>
      <c r="DE607" s="98"/>
      <c r="DF607" s="98"/>
      <c r="DG607" s="98"/>
      <c r="DH607" s="98"/>
      <c r="DI607" s="98"/>
      <c r="DJ607" s="98"/>
      <c r="DK607" s="98"/>
      <c r="DL607" s="98"/>
      <c r="DM607" s="98"/>
      <c r="DN607" s="98"/>
      <c r="DO607" s="98"/>
      <c r="DP607" s="98"/>
      <c r="DQ607" s="98"/>
      <c r="DR607" s="98"/>
      <c r="DS607" s="98"/>
      <c r="DT607" s="98"/>
      <c r="DU607" s="98"/>
      <c r="DV607" s="98"/>
      <c r="DW607" s="98"/>
      <c r="DX607" s="98"/>
      <c r="DY607" s="98"/>
      <c r="DZ607" s="98"/>
      <c r="EA607" s="98"/>
      <c r="EB607" s="98"/>
      <c r="EC607" s="98"/>
      <c r="ED607" s="98"/>
    </row>
    <row r="608" spans="1:134" ht="11.25" customHeight="1" x14ac:dyDescent="0.3">
      <c r="A608" s="28" t="e">
        <f t="array" aca="1" ref="A608" ca="1">_xludf.XLOOKUP(S608,Master_Registrations!P:P,Master_Registrations!A:A,"")</f>
        <v>#NAME?</v>
      </c>
      <c r="B608" s="89" t="s">
        <v>182</v>
      </c>
      <c r="C608" s="89">
        <v>2025</v>
      </c>
      <c r="D608" s="89" t="s">
        <v>4886</v>
      </c>
      <c r="E608" s="89">
        <v>2</v>
      </c>
      <c r="F608" s="90" t="str">
        <f t="shared" si="8"/>
        <v>VED-01-2025-GR-2</v>
      </c>
      <c r="G608" s="89" t="s">
        <v>4569</v>
      </c>
      <c r="H608" s="89" t="s">
        <v>984</v>
      </c>
      <c r="I608" s="89"/>
      <c r="J608" s="89" t="s">
        <v>7094</v>
      </c>
      <c r="K608" s="104"/>
      <c r="L608" s="99"/>
      <c r="M608" s="104"/>
      <c r="N608" s="90" t="s">
        <v>7095</v>
      </c>
      <c r="O608" s="89" t="s">
        <v>891</v>
      </c>
      <c r="P608" s="89" t="s">
        <v>1677</v>
      </c>
      <c r="Q608" s="89" t="e">
        <f t="shared" ca="1" si="9"/>
        <v>#NAME?</v>
      </c>
      <c r="R608" s="39" t="s">
        <v>112</v>
      </c>
      <c r="S608" s="105">
        <v>9492639965</v>
      </c>
      <c r="T608" s="90" t="s">
        <v>111</v>
      </c>
      <c r="U608" s="89">
        <v>1984</v>
      </c>
      <c r="V608" s="95">
        <v>-1</v>
      </c>
      <c r="W608" s="95">
        <v>-1</v>
      </c>
      <c r="X608" s="99">
        <v>1</v>
      </c>
      <c r="Y608" s="99">
        <v>-1</v>
      </c>
      <c r="Z608" s="99">
        <v>-1</v>
      </c>
      <c r="AA608" s="99">
        <v>-1</v>
      </c>
      <c r="AB608" s="95">
        <v>-1</v>
      </c>
      <c r="AC608" s="95">
        <v>-1</v>
      </c>
      <c r="AD608" s="95">
        <v>-1</v>
      </c>
      <c r="AE608" s="95">
        <v>-1</v>
      </c>
      <c r="AF608" s="95">
        <v>-1</v>
      </c>
      <c r="AG608" s="95">
        <v>-1</v>
      </c>
      <c r="AH608" s="95">
        <v>-1</v>
      </c>
      <c r="AI608" s="95">
        <v>-1</v>
      </c>
      <c r="AJ608" s="89"/>
      <c r="AK608" s="89"/>
      <c r="AL608" s="89"/>
      <c r="AM608" s="89"/>
      <c r="AN608" s="89"/>
      <c r="AO608" s="89"/>
      <c r="AP608" s="89"/>
      <c r="AQ608" s="89"/>
      <c r="AR608" s="89"/>
      <c r="AS608" s="89"/>
      <c r="AT608" s="89"/>
      <c r="AU608" s="89"/>
      <c r="AV608" s="89"/>
      <c r="AW608" s="89"/>
      <c r="AX608" s="89"/>
      <c r="AY608" s="89"/>
      <c r="AZ608" s="89"/>
      <c r="BA608" s="89"/>
      <c r="BB608" s="89"/>
      <c r="BC608" s="89"/>
      <c r="BD608" s="89"/>
      <c r="BE608" s="89"/>
      <c r="BF608" s="89"/>
      <c r="BG608" s="89"/>
      <c r="BH608" s="89"/>
      <c r="BI608" s="89"/>
      <c r="BJ608" s="89"/>
      <c r="BK608" s="89"/>
      <c r="BL608" s="89"/>
      <c r="BM608" s="89"/>
      <c r="BN608" s="89"/>
      <c r="BO608" s="89"/>
      <c r="BP608" s="89"/>
      <c r="BQ608" s="89"/>
      <c r="BR608" s="89"/>
      <c r="BS608" s="89"/>
      <c r="BT608" s="89"/>
      <c r="BU608" s="89"/>
      <c r="BV608" s="89"/>
      <c r="BW608" s="89"/>
      <c r="BX608" s="89"/>
      <c r="BY608" s="89"/>
      <c r="BZ608" s="89"/>
      <c r="CA608" s="89"/>
      <c r="CB608" s="89"/>
      <c r="CC608" s="89"/>
      <c r="CD608" s="89"/>
      <c r="CE608" s="89"/>
      <c r="CF608" s="89"/>
      <c r="CG608" s="89"/>
      <c r="CH608" s="89"/>
      <c r="CI608" s="89"/>
      <c r="CJ608" s="89"/>
      <c r="CK608" s="89"/>
      <c r="CL608" s="89"/>
      <c r="CM608" s="89"/>
      <c r="CN608" s="89"/>
      <c r="CO608" s="89"/>
      <c r="CP608" s="89"/>
      <c r="CQ608" s="89"/>
      <c r="CR608" s="89"/>
      <c r="CS608" s="89"/>
      <c r="CT608" s="89"/>
      <c r="CU608" s="89"/>
      <c r="CV608" s="89"/>
      <c r="CW608" s="89"/>
      <c r="CX608" s="89"/>
      <c r="CY608" s="89"/>
      <c r="CZ608" s="98"/>
      <c r="DA608" s="98"/>
      <c r="DB608" s="98"/>
      <c r="DC608" s="98"/>
      <c r="DD608" s="98"/>
      <c r="DE608" s="98"/>
      <c r="DF608" s="98"/>
      <c r="DG608" s="98"/>
      <c r="DH608" s="98"/>
      <c r="DI608" s="98"/>
      <c r="DJ608" s="98"/>
      <c r="DK608" s="98"/>
      <c r="DL608" s="98"/>
      <c r="DM608" s="98"/>
      <c r="DN608" s="98"/>
      <c r="DO608" s="98"/>
      <c r="DP608" s="98"/>
      <c r="DQ608" s="98"/>
      <c r="DR608" s="98"/>
      <c r="DS608" s="98"/>
      <c r="DT608" s="98"/>
      <c r="DU608" s="98"/>
      <c r="DV608" s="98"/>
      <c r="DW608" s="98"/>
      <c r="DX608" s="98"/>
      <c r="DY608" s="98"/>
      <c r="DZ608" s="98"/>
      <c r="EA608" s="98"/>
      <c r="EB608" s="98"/>
      <c r="EC608" s="98"/>
      <c r="ED608" s="98"/>
    </row>
    <row r="609" spans="1:134" ht="11.25" customHeight="1" x14ac:dyDescent="0.3">
      <c r="A609" s="28" t="e">
        <f t="array" aca="1" ref="A609" ca="1">_xludf.XLOOKUP(S609,Master_Registrations!P:P,Master_Registrations!A:A,"")</f>
        <v>#NAME?</v>
      </c>
      <c r="B609" s="89" t="s">
        <v>182</v>
      </c>
      <c r="C609" s="89">
        <v>2025</v>
      </c>
      <c r="D609" s="89" t="s">
        <v>4886</v>
      </c>
      <c r="E609" s="89">
        <v>2</v>
      </c>
      <c r="F609" s="90" t="str">
        <f t="shared" si="8"/>
        <v>VED-01-2025-GR-2</v>
      </c>
      <c r="G609" s="89" t="s">
        <v>4569</v>
      </c>
      <c r="H609" s="90" t="s">
        <v>4750</v>
      </c>
      <c r="I609" s="90"/>
      <c r="J609" s="89" t="s">
        <v>7094</v>
      </c>
      <c r="K609" s="91"/>
      <c r="L609" s="91"/>
      <c r="M609" s="91"/>
      <c r="N609" s="90" t="s">
        <v>7095</v>
      </c>
      <c r="O609" s="89" t="s">
        <v>6165</v>
      </c>
      <c r="P609" s="89" t="s">
        <v>5546</v>
      </c>
      <c r="Q609" s="89" t="e">
        <f t="shared" ca="1" si="9"/>
        <v>#NAME?</v>
      </c>
      <c r="R609" s="39" t="s">
        <v>316</v>
      </c>
      <c r="S609" s="94">
        <v>7049298741</v>
      </c>
      <c r="T609" s="90" t="s">
        <v>315</v>
      </c>
      <c r="U609" s="90" t="s">
        <v>4841</v>
      </c>
      <c r="V609" s="95">
        <v>-1</v>
      </c>
      <c r="W609" s="95">
        <v>-1</v>
      </c>
      <c r="X609" s="96">
        <v>-1</v>
      </c>
      <c r="Y609" s="96">
        <v>-1</v>
      </c>
      <c r="Z609" s="96">
        <v>-1</v>
      </c>
      <c r="AA609" s="96">
        <v>-1</v>
      </c>
      <c r="AB609" s="96">
        <v>-1</v>
      </c>
      <c r="AC609" s="95">
        <v>-1</v>
      </c>
      <c r="AD609" s="95">
        <v>-1</v>
      </c>
      <c r="AE609" s="95">
        <v>-1</v>
      </c>
      <c r="AF609" s="95">
        <v>-1</v>
      </c>
      <c r="AG609" s="95">
        <v>-1</v>
      </c>
      <c r="AH609" s="95">
        <v>-1</v>
      </c>
      <c r="AI609" s="96">
        <v>-1</v>
      </c>
      <c r="AJ609" s="89"/>
      <c r="AK609" s="89"/>
      <c r="AL609" s="89"/>
      <c r="AM609" s="89"/>
      <c r="AN609" s="89"/>
      <c r="AO609" s="89"/>
      <c r="AP609" s="89"/>
      <c r="AQ609" s="89"/>
      <c r="AR609" s="89"/>
      <c r="AS609" s="89"/>
      <c r="AT609" s="89"/>
      <c r="AU609" s="89"/>
      <c r="AV609" s="89"/>
      <c r="AW609" s="89"/>
      <c r="AX609" s="89"/>
      <c r="AY609" s="89"/>
      <c r="AZ609" s="89"/>
      <c r="BA609" s="89"/>
      <c r="BB609" s="89"/>
      <c r="BC609" s="89"/>
      <c r="BD609" s="89"/>
      <c r="BE609" s="89"/>
      <c r="BF609" s="89"/>
      <c r="BG609" s="89"/>
      <c r="BH609" s="89"/>
      <c r="BI609" s="89"/>
      <c r="BJ609" s="89"/>
      <c r="BK609" s="89"/>
      <c r="BL609" s="89"/>
      <c r="BM609" s="89"/>
      <c r="BN609" s="89"/>
      <c r="BO609" s="89"/>
      <c r="BP609" s="89"/>
      <c r="BQ609" s="89"/>
      <c r="BR609" s="89"/>
      <c r="BS609" s="89"/>
      <c r="BT609" s="89"/>
      <c r="BU609" s="89"/>
      <c r="BV609" s="89"/>
      <c r="BW609" s="89"/>
      <c r="BX609" s="89"/>
      <c r="BY609" s="89"/>
      <c r="BZ609" s="89"/>
      <c r="CA609" s="89"/>
      <c r="CB609" s="89"/>
      <c r="CC609" s="89"/>
      <c r="CD609" s="89"/>
      <c r="CE609" s="89"/>
      <c r="CF609" s="89"/>
      <c r="CG609" s="89"/>
      <c r="CH609" s="89"/>
      <c r="CI609" s="89"/>
      <c r="CJ609" s="89"/>
      <c r="CK609" s="89"/>
      <c r="CL609" s="89"/>
      <c r="CM609" s="89"/>
      <c r="CN609" s="89"/>
      <c r="CO609" s="89"/>
      <c r="CP609" s="89"/>
      <c r="CQ609" s="89"/>
      <c r="CR609" s="89"/>
      <c r="CS609" s="89"/>
      <c r="CT609" s="89"/>
      <c r="CU609" s="89"/>
      <c r="CV609" s="89"/>
      <c r="CW609" s="89"/>
      <c r="CX609" s="89"/>
      <c r="CY609" s="89"/>
      <c r="CZ609" s="98"/>
      <c r="DA609" s="98"/>
      <c r="DB609" s="98"/>
      <c r="DC609" s="98"/>
      <c r="DD609" s="98"/>
      <c r="DE609" s="98"/>
      <c r="DF609" s="98"/>
      <c r="DG609" s="98"/>
      <c r="DH609" s="98"/>
      <c r="DI609" s="98"/>
      <c r="DJ609" s="98"/>
      <c r="DK609" s="98"/>
      <c r="DL609" s="98"/>
      <c r="DM609" s="98"/>
      <c r="DN609" s="98"/>
      <c r="DO609" s="98"/>
      <c r="DP609" s="98"/>
      <c r="DQ609" s="98"/>
      <c r="DR609" s="98"/>
      <c r="DS609" s="98"/>
      <c r="DT609" s="98"/>
      <c r="DU609" s="98"/>
      <c r="DV609" s="98"/>
      <c r="DW609" s="98"/>
      <c r="DX609" s="98"/>
      <c r="DY609" s="98"/>
      <c r="DZ609" s="98"/>
      <c r="EA609" s="98"/>
      <c r="EB609" s="98"/>
      <c r="EC609" s="98"/>
      <c r="ED609" s="98"/>
    </row>
    <row r="610" spans="1:134" ht="11.25" customHeight="1" x14ac:dyDescent="0.3">
      <c r="A610" s="28" t="e">
        <f t="array" aca="1" ref="A610" ca="1">_xludf.XLOOKUP(S610,Master_Registrations!P:P,Master_Registrations!A:A,"")</f>
        <v>#NAME?</v>
      </c>
      <c r="B610" s="89" t="s">
        <v>182</v>
      </c>
      <c r="C610" s="89">
        <v>2025</v>
      </c>
      <c r="D610" s="89" t="s">
        <v>4886</v>
      </c>
      <c r="E610" s="89">
        <v>2</v>
      </c>
      <c r="F610" s="90" t="str">
        <f t="shared" si="8"/>
        <v>VED-01-2025-GR-2</v>
      </c>
      <c r="G610" s="89" t="s">
        <v>4569</v>
      </c>
      <c r="H610" s="90" t="s">
        <v>4750</v>
      </c>
      <c r="I610" s="90"/>
      <c r="J610" s="89" t="s">
        <v>7094</v>
      </c>
      <c r="K610" s="91"/>
      <c r="L610" s="91"/>
      <c r="M610" s="91"/>
      <c r="N610" s="90" t="s">
        <v>7095</v>
      </c>
      <c r="O610" s="89" t="s">
        <v>6138</v>
      </c>
      <c r="P610" s="89" t="s">
        <v>7039</v>
      </c>
      <c r="Q610" s="89" t="e">
        <f t="shared" ca="1" si="9"/>
        <v>#NAME?</v>
      </c>
      <c r="R610" s="39" t="s">
        <v>316</v>
      </c>
      <c r="S610" s="94">
        <v>6512020309</v>
      </c>
      <c r="T610" s="90" t="s">
        <v>315</v>
      </c>
      <c r="U610" s="90" t="s">
        <v>4841</v>
      </c>
      <c r="V610" s="95">
        <v>-1</v>
      </c>
      <c r="W610" s="95">
        <v>-1</v>
      </c>
      <c r="X610" s="96">
        <v>-1</v>
      </c>
      <c r="Y610" s="96">
        <v>-1</v>
      </c>
      <c r="Z610" s="96">
        <v>-1</v>
      </c>
      <c r="AA610" s="96">
        <v>-1</v>
      </c>
      <c r="AB610" s="96">
        <v>-1</v>
      </c>
      <c r="AC610" s="95">
        <v>-1</v>
      </c>
      <c r="AD610" s="95">
        <v>-1</v>
      </c>
      <c r="AE610" s="95">
        <v>-1</v>
      </c>
      <c r="AF610" s="95">
        <v>-1</v>
      </c>
      <c r="AG610" s="95">
        <v>-1</v>
      </c>
      <c r="AH610" s="95">
        <v>-1</v>
      </c>
      <c r="AI610" s="96">
        <v>-1</v>
      </c>
      <c r="AJ610" s="89"/>
      <c r="AK610" s="89"/>
      <c r="AL610" s="89"/>
      <c r="AM610" s="89"/>
      <c r="AN610" s="89"/>
      <c r="AO610" s="89"/>
      <c r="AP610" s="89"/>
      <c r="AQ610" s="89"/>
      <c r="AR610" s="89"/>
      <c r="AS610" s="89"/>
      <c r="AT610" s="89"/>
      <c r="AU610" s="89"/>
      <c r="AV610" s="89"/>
      <c r="AW610" s="89"/>
      <c r="AX610" s="89"/>
      <c r="AY610" s="89"/>
      <c r="AZ610" s="89"/>
      <c r="BA610" s="89"/>
      <c r="BB610" s="89"/>
      <c r="BC610" s="89"/>
      <c r="BD610" s="89"/>
      <c r="BE610" s="89"/>
      <c r="BF610" s="89"/>
      <c r="BG610" s="89"/>
      <c r="BH610" s="89"/>
      <c r="BI610" s="89"/>
      <c r="BJ610" s="89"/>
      <c r="BK610" s="89"/>
      <c r="BL610" s="89"/>
      <c r="BM610" s="89"/>
      <c r="BN610" s="89"/>
      <c r="BO610" s="89"/>
      <c r="BP610" s="89"/>
      <c r="BQ610" s="89"/>
      <c r="BR610" s="89"/>
      <c r="BS610" s="89"/>
      <c r="BT610" s="89"/>
      <c r="BU610" s="89"/>
      <c r="BV610" s="89"/>
      <c r="BW610" s="89"/>
      <c r="BX610" s="89"/>
      <c r="BY610" s="89"/>
      <c r="BZ610" s="89"/>
      <c r="CA610" s="89"/>
      <c r="CB610" s="89"/>
      <c r="CC610" s="89"/>
      <c r="CD610" s="89"/>
      <c r="CE610" s="89"/>
      <c r="CF610" s="89"/>
      <c r="CG610" s="89"/>
      <c r="CH610" s="89"/>
      <c r="CI610" s="89"/>
      <c r="CJ610" s="89"/>
      <c r="CK610" s="89"/>
      <c r="CL610" s="89"/>
      <c r="CM610" s="89"/>
      <c r="CN610" s="89"/>
      <c r="CO610" s="89"/>
      <c r="CP610" s="89"/>
      <c r="CQ610" s="89"/>
      <c r="CR610" s="89"/>
      <c r="CS610" s="89"/>
      <c r="CT610" s="89"/>
      <c r="CU610" s="89"/>
      <c r="CV610" s="89"/>
      <c r="CW610" s="89"/>
      <c r="CX610" s="89"/>
      <c r="CY610" s="89"/>
      <c r="CZ610" s="98"/>
      <c r="DA610" s="98"/>
      <c r="DB610" s="98"/>
      <c r="DC610" s="98"/>
      <c r="DD610" s="98"/>
      <c r="DE610" s="98"/>
      <c r="DF610" s="98"/>
      <c r="DG610" s="98"/>
      <c r="DH610" s="98"/>
      <c r="DI610" s="98"/>
      <c r="DJ610" s="98"/>
      <c r="DK610" s="98"/>
      <c r="DL610" s="98"/>
      <c r="DM610" s="98"/>
      <c r="DN610" s="98"/>
      <c r="DO610" s="98"/>
      <c r="DP610" s="98"/>
      <c r="DQ610" s="98"/>
      <c r="DR610" s="98"/>
      <c r="DS610" s="98"/>
      <c r="DT610" s="98"/>
      <c r="DU610" s="98"/>
      <c r="DV610" s="98"/>
      <c r="DW610" s="98"/>
      <c r="DX610" s="98"/>
      <c r="DY610" s="98"/>
      <c r="DZ610" s="98"/>
      <c r="EA610" s="98"/>
      <c r="EB610" s="98"/>
      <c r="EC610" s="98"/>
      <c r="ED610" s="98"/>
    </row>
    <row r="611" spans="1:134" ht="11.25" customHeight="1" x14ac:dyDescent="0.3">
      <c r="A611" s="28" t="e">
        <f t="array" aca="1" ref="A611" ca="1">_xludf.XLOOKUP(S611,Master_Registrations!P:P,Master_Registrations!A:A,"")</f>
        <v>#NAME?</v>
      </c>
      <c r="B611" s="89" t="s">
        <v>182</v>
      </c>
      <c r="C611" s="89">
        <v>2025</v>
      </c>
      <c r="D611" s="89" t="s">
        <v>4886</v>
      </c>
      <c r="E611" s="89">
        <v>2</v>
      </c>
      <c r="F611" s="90" t="str">
        <f t="shared" si="8"/>
        <v>VED-01-2025-GR-2</v>
      </c>
      <c r="G611" s="89" t="s">
        <v>4569</v>
      </c>
      <c r="H611" s="89" t="s">
        <v>7123</v>
      </c>
      <c r="I611" s="89"/>
      <c r="J611" s="89" t="s">
        <v>7094</v>
      </c>
      <c r="K611" s="104"/>
      <c r="L611" s="99"/>
      <c r="M611" s="99"/>
      <c r="N611" s="90" t="s">
        <v>7095</v>
      </c>
      <c r="O611" s="89" t="s">
        <v>1256</v>
      </c>
      <c r="P611" s="89" t="s">
        <v>6630</v>
      </c>
      <c r="Q611" s="89" t="e">
        <f t="shared" ca="1" si="9"/>
        <v>#NAME?</v>
      </c>
      <c r="R611" s="39" t="s">
        <v>112</v>
      </c>
      <c r="S611" s="105">
        <v>9348271275</v>
      </c>
      <c r="T611" s="90" t="s">
        <v>111</v>
      </c>
      <c r="U611" s="89">
        <v>1970</v>
      </c>
      <c r="V611" s="99">
        <v>-1</v>
      </c>
      <c r="W611" s="99">
        <v>-1</v>
      </c>
      <c r="X611" s="99">
        <v>1</v>
      </c>
      <c r="Y611" s="99">
        <v>-1</v>
      </c>
      <c r="Z611" s="99">
        <v>-1</v>
      </c>
      <c r="AA611" s="95">
        <v>-1</v>
      </c>
      <c r="AB611" s="99">
        <v>-1</v>
      </c>
      <c r="AC611" s="95">
        <v>-1</v>
      </c>
      <c r="AD611" s="95">
        <v>-1</v>
      </c>
      <c r="AE611" s="99">
        <v>-1</v>
      </c>
      <c r="AF611" s="99">
        <v>-1</v>
      </c>
      <c r="AG611" s="99">
        <v>-1</v>
      </c>
      <c r="AH611" s="95">
        <v>-1</v>
      </c>
      <c r="AI611" s="95">
        <v>-1</v>
      </c>
      <c r="AJ611" s="89"/>
      <c r="AK611" s="89"/>
      <c r="AL611" s="89"/>
      <c r="AM611" s="89"/>
      <c r="AN611" s="89"/>
      <c r="AO611" s="89"/>
      <c r="AP611" s="89"/>
      <c r="AQ611" s="89"/>
      <c r="AR611" s="89"/>
      <c r="AS611" s="89"/>
      <c r="AT611" s="89"/>
      <c r="AU611" s="89"/>
      <c r="AV611" s="89"/>
      <c r="AW611" s="89"/>
      <c r="AX611" s="89"/>
      <c r="AY611" s="89"/>
      <c r="AZ611" s="89"/>
      <c r="BA611" s="89"/>
      <c r="BB611" s="89"/>
      <c r="BC611" s="89"/>
      <c r="BD611" s="89"/>
      <c r="BE611" s="89"/>
      <c r="BF611" s="89"/>
      <c r="BG611" s="89"/>
      <c r="BH611" s="89"/>
      <c r="BI611" s="89"/>
      <c r="BJ611" s="89"/>
      <c r="BK611" s="89"/>
      <c r="BL611" s="89"/>
      <c r="BM611" s="89"/>
      <c r="BN611" s="89"/>
      <c r="BO611" s="89"/>
      <c r="BP611" s="89"/>
      <c r="BQ611" s="89"/>
      <c r="BR611" s="89"/>
      <c r="BS611" s="89"/>
      <c r="BT611" s="89"/>
      <c r="BU611" s="89"/>
      <c r="BV611" s="89"/>
      <c r="BW611" s="89"/>
      <c r="BX611" s="89"/>
      <c r="BY611" s="89"/>
      <c r="BZ611" s="89"/>
      <c r="CA611" s="89"/>
      <c r="CB611" s="89"/>
      <c r="CC611" s="89"/>
      <c r="CD611" s="89"/>
      <c r="CE611" s="89"/>
      <c r="CF611" s="89"/>
      <c r="CG611" s="89"/>
      <c r="CH611" s="89"/>
      <c r="CI611" s="89"/>
      <c r="CJ611" s="89"/>
      <c r="CK611" s="89"/>
      <c r="CL611" s="89"/>
      <c r="CM611" s="89"/>
      <c r="CN611" s="89"/>
      <c r="CO611" s="89"/>
      <c r="CP611" s="89"/>
      <c r="CQ611" s="89"/>
      <c r="CR611" s="89"/>
      <c r="CS611" s="89"/>
      <c r="CT611" s="89"/>
      <c r="CU611" s="89"/>
      <c r="CV611" s="89"/>
      <c r="CW611" s="89"/>
      <c r="CX611" s="89"/>
      <c r="CY611" s="89"/>
      <c r="CZ611" s="98"/>
      <c r="DA611" s="98"/>
      <c r="DB611" s="98"/>
      <c r="DC611" s="98"/>
      <c r="DD611" s="98"/>
      <c r="DE611" s="98"/>
      <c r="DF611" s="98"/>
      <c r="DG611" s="98"/>
      <c r="DH611" s="98"/>
      <c r="DI611" s="98"/>
      <c r="DJ611" s="98"/>
      <c r="DK611" s="98"/>
      <c r="DL611" s="98"/>
      <c r="DM611" s="98"/>
      <c r="DN611" s="98"/>
      <c r="DO611" s="98"/>
      <c r="DP611" s="98"/>
      <c r="DQ611" s="98"/>
      <c r="DR611" s="98"/>
      <c r="DS611" s="98"/>
      <c r="DT611" s="98"/>
      <c r="DU611" s="98"/>
      <c r="DV611" s="98"/>
      <c r="DW611" s="98"/>
      <c r="DX611" s="98"/>
      <c r="DY611" s="98"/>
      <c r="DZ611" s="98"/>
      <c r="EA611" s="98"/>
      <c r="EB611" s="98"/>
      <c r="EC611" s="98"/>
      <c r="ED611" s="98"/>
    </row>
    <row r="612" spans="1:134" ht="11.25" customHeight="1" x14ac:dyDescent="0.3">
      <c r="A612" s="28" t="e">
        <f t="array" aca="1" ref="A612" ca="1">_xludf.XLOOKUP(S612,Master_Registrations!P:P,Master_Registrations!A:A,"")</f>
        <v>#NAME?</v>
      </c>
      <c r="B612" s="89" t="s">
        <v>182</v>
      </c>
      <c r="C612" s="89">
        <v>2025</v>
      </c>
      <c r="D612" s="89" t="s">
        <v>4886</v>
      </c>
      <c r="E612" s="89">
        <v>2</v>
      </c>
      <c r="F612" s="90" t="str">
        <f t="shared" si="8"/>
        <v>VED-01-2025-GR-2</v>
      </c>
      <c r="G612" s="89" t="s">
        <v>4569</v>
      </c>
      <c r="H612" s="89" t="s">
        <v>7123</v>
      </c>
      <c r="I612" s="89"/>
      <c r="J612" s="89" t="s">
        <v>7094</v>
      </c>
      <c r="K612" s="99"/>
      <c r="L612" s="99"/>
      <c r="M612" s="99"/>
      <c r="N612" s="90" t="s">
        <v>7095</v>
      </c>
      <c r="O612" s="89" t="s">
        <v>2701</v>
      </c>
      <c r="P612" s="89" t="s">
        <v>5776</v>
      </c>
      <c r="Q612" s="89" t="e">
        <f t="shared" ca="1" si="9"/>
        <v>#NAME?</v>
      </c>
      <c r="R612" s="39" t="s">
        <v>112</v>
      </c>
      <c r="S612" s="94">
        <v>9885883979</v>
      </c>
      <c r="T612" s="90" t="s">
        <v>111</v>
      </c>
      <c r="U612" s="89">
        <v>1986</v>
      </c>
      <c r="V612" s="99">
        <v>1</v>
      </c>
      <c r="W612" s="99">
        <v>1</v>
      </c>
      <c r="X612" s="99">
        <v>2</v>
      </c>
      <c r="Y612" s="99">
        <v>2</v>
      </c>
      <c r="Z612" s="99">
        <v>2</v>
      </c>
      <c r="AA612" s="99">
        <v>1</v>
      </c>
      <c r="AB612" s="99">
        <v>1</v>
      </c>
      <c r="AC612" s="99">
        <v>1</v>
      </c>
      <c r="AD612" s="99">
        <v>1</v>
      </c>
      <c r="AE612" s="99">
        <v>2</v>
      </c>
      <c r="AF612" s="99">
        <v>2</v>
      </c>
      <c r="AG612" s="99">
        <v>2</v>
      </c>
      <c r="AH612" s="99">
        <v>1</v>
      </c>
      <c r="AI612" s="95">
        <v>-1</v>
      </c>
      <c r="AJ612" s="99">
        <v>1</v>
      </c>
      <c r="AK612" s="99">
        <v>-1</v>
      </c>
      <c r="AL612" s="99">
        <v>1</v>
      </c>
      <c r="AM612" s="99">
        <v>1</v>
      </c>
      <c r="AN612" s="99">
        <v>1</v>
      </c>
      <c r="AO612" s="99">
        <v>1</v>
      </c>
      <c r="AP612" s="99">
        <v>-1</v>
      </c>
      <c r="AQ612" s="99">
        <v>2</v>
      </c>
      <c r="AR612" s="99">
        <v>-1</v>
      </c>
      <c r="AS612" s="99">
        <v>-1</v>
      </c>
      <c r="AT612" s="99">
        <v>-1</v>
      </c>
      <c r="AU612" s="99">
        <v>-1</v>
      </c>
      <c r="AV612" s="95">
        <v>-1</v>
      </c>
      <c r="AW612" s="89"/>
      <c r="AX612" s="89"/>
      <c r="AY612" s="89"/>
      <c r="AZ612" s="89"/>
      <c r="BA612" s="89"/>
      <c r="BB612" s="89"/>
      <c r="BC612" s="89"/>
      <c r="BD612" s="89"/>
      <c r="BE612" s="89"/>
      <c r="BF612" s="89"/>
      <c r="BG612" s="89"/>
      <c r="BH612" s="89"/>
      <c r="BI612" s="89"/>
      <c r="BJ612" s="89"/>
      <c r="BK612" s="89"/>
      <c r="BL612" s="89"/>
      <c r="BM612" s="89"/>
      <c r="BN612" s="89"/>
      <c r="BO612" s="89"/>
      <c r="BP612" s="89"/>
      <c r="BQ612" s="89"/>
      <c r="BR612" s="89"/>
      <c r="BS612" s="89"/>
      <c r="BT612" s="89"/>
      <c r="BU612" s="89"/>
      <c r="BV612" s="89"/>
      <c r="BW612" s="89"/>
      <c r="BX612" s="89"/>
      <c r="BY612" s="89"/>
      <c r="BZ612" s="89"/>
      <c r="CA612" s="89"/>
      <c r="CB612" s="89"/>
      <c r="CC612" s="89"/>
      <c r="CD612" s="89"/>
      <c r="CE612" s="89"/>
      <c r="CF612" s="89"/>
      <c r="CG612" s="89"/>
      <c r="CH612" s="89"/>
      <c r="CI612" s="89"/>
      <c r="CJ612" s="89"/>
      <c r="CK612" s="89"/>
      <c r="CL612" s="89"/>
      <c r="CM612" s="89"/>
      <c r="CN612" s="89"/>
      <c r="CO612" s="89"/>
      <c r="CP612" s="89"/>
      <c r="CQ612" s="89"/>
      <c r="CR612" s="89"/>
      <c r="CS612" s="89"/>
      <c r="CT612" s="89"/>
      <c r="CU612" s="89"/>
      <c r="CV612" s="89"/>
      <c r="CW612" s="89"/>
      <c r="CX612" s="89"/>
      <c r="CY612" s="89"/>
      <c r="CZ612" s="98"/>
      <c r="DA612" s="98"/>
      <c r="DB612" s="98"/>
      <c r="DC612" s="98"/>
      <c r="DD612" s="98"/>
      <c r="DE612" s="98"/>
      <c r="DF612" s="98"/>
      <c r="DG612" s="98"/>
      <c r="DH612" s="98"/>
      <c r="DI612" s="98"/>
      <c r="DJ612" s="98"/>
      <c r="DK612" s="98"/>
      <c r="DL612" s="98"/>
      <c r="DM612" s="98"/>
      <c r="DN612" s="98"/>
      <c r="DO612" s="98"/>
      <c r="DP612" s="98"/>
      <c r="DQ612" s="98"/>
      <c r="DR612" s="98"/>
      <c r="DS612" s="98"/>
      <c r="DT612" s="98"/>
      <c r="DU612" s="98"/>
      <c r="DV612" s="98"/>
      <c r="DW612" s="98"/>
      <c r="DX612" s="98"/>
      <c r="DY612" s="98"/>
      <c r="DZ612" s="98"/>
      <c r="EA612" s="98"/>
      <c r="EB612" s="98"/>
      <c r="EC612" s="98"/>
      <c r="ED612" s="98"/>
    </row>
    <row r="613" spans="1:134" ht="11.25" customHeight="1" x14ac:dyDescent="0.3">
      <c r="A613" s="28" t="e">
        <f t="array" aca="1" ref="A613" ca="1">_xludf.XLOOKUP(S613,Master_Registrations!P:P,Master_Registrations!A:A,"")</f>
        <v>#NAME?</v>
      </c>
      <c r="B613" s="89" t="s">
        <v>182</v>
      </c>
      <c r="C613" s="89">
        <v>2025</v>
      </c>
      <c r="D613" s="89" t="s">
        <v>4886</v>
      </c>
      <c r="E613" s="89">
        <v>2</v>
      </c>
      <c r="F613" s="90" t="str">
        <f t="shared" si="8"/>
        <v>VED-01-2025-GR-2</v>
      </c>
      <c r="G613" s="89" t="s">
        <v>7128</v>
      </c>
      <c r="H613" s="89" t="s">
        <v>7129</v>
      </c>
      <c r="I613" s="89"/>
      <c r="J613" s="89" t="s">
        <v>7094</v>
      </c>
      <c r="K613" s="99"/>
      <c r="L613" s="104"/>
      <c r="M613" s="110"/>
      <c r="N613" s="90" t="s">
        <v>7095</v>
      </c>
      <c r="O613" s="89" t="s">
        <v>2925</v>
      </c>
      <c r="P613" s="89" t="s">
        <v>281</v>
      </c>
      <c r="Q613" s="89" t="e">
        <f t="shared" ca="1" si="9"/>
        <v>#NAME?</v>
      </c>
      <c r="R613" s="39" t="s">
        <v>316</v>
      </c>
      <c r="S613" s="105">
        <v>4254493952</v>
      </c>
      <c r="T613" s="90" t="s">
        <v>474</v>
      </c>
      <c r="U613" s="89">
        <v>1974</v>
      </c>
      <c r="V613" s="99">
        <v>2</v>
      </c>
      <c r="W613" s="95">
        <v>-1</v>
      </c>
      <c r="X613" s="99">
        <v>2</v>
      </c>
      <c r="Y613" s="99">
        <v>-1</v>
      </c>
      <c r="Z613" s="99">
        <v>-1</v>
      </c>
      <c r="AA613" s="99">
        <v>-1</v>
      </c>
      <c r="AB613" s="99">
        <v>-1</v>
      </c>
      <c r="AC613" s="95">
        <v>-1</v>
      </c>
      <c r="AD613" s="95">
        <v>-1</v>
      </c>
      <c r="AE613" s="99">
        <v>-1</v>
      </c>
      <c r="AF613" s="99">
        <v>-1</v>
      </c>
      <c r="AG613" s="95">
        <v>-1</v>
      </c>
      <c r="AH613" s="95">
        <v>-1</v>
      </c>
      <c r="AI613" s="95">
        <v>-1</v>
      </c>
      <c r="AJ613" s="89"/>
      <c r="AK613" s="89"/>
      <c r="AL613" s="89"/>
      <c r="AM613" s="89"/>
      <c r="AN613" s="89"/>
      <c r="AO613" s="89"/>
      <c r="AP613" s="89"/>
      <c r="AQ613" s="89"/>
      <c r="AR613" s="89"/>
      <c r="AS613" s="89"/>
      <c r="AT613" s="89"/>
      <c r="AU613" s="89"/>
      <c r="AV613" s="89"/>
      <c r="AW613" s="89"/>
      <c r="AX613" s="89"/>
      <c r="AY613" s="89"/>
      <c r="AZ613" s="89"/>
      <c r="BA613" s="89"/>
      <c r="BB613" s="89"/>
      <c r="BC613" s="89"/>
      <c r="BD613" s="89"/>
      <c r="BE613" s="89"/>
      <c r="BF613" s="89"/>
      <c r="BG613" s="89"/>
      <c r="BH613" s="89"/>
      <c r="BI613" s="89"/>
      <c r="BJ613" s="89"/>
      <c r="BK613" s="89"/>
      <c r="BL613" s="89"/>
      <c r="BM613" s="89"/>
      <c r="BN613" s="89"/>
      <c r="BO613" s="89"/>
      <c r="BP613" s="89"/>
      <c r="BQ613" s="89"/>
      <c r="BR613" s="89"/>
      <c r="BS613" s="89"/>
      <c r="BT613" s="89"/>
      <c r="BU613" s="89"/>
      <c r="BV613" s="89"/>
      <c r="BW613" s="89"/>
      <c r="BX613" s="89"/>
      <c r="BY613" s="89"/>
      <c r="BZ613" s="89"/>
      <c r="CA613" s="89"/>
      <c r="CB613" s="89"/>
      <c r="CC613" s="89"/>
      <c r="CD613" s="89"/>
      <c r="CE613" s="89"/>
      <c r="CF613" s="89"/>
      <c r="CG613" s="89"/>
      <c r="CH613" s="89"/>
      <c r="CI613" s="89"/>
      <c r="CJ613" s="89"/>
      <c r="CK613" s="89"/>
      <c r="CL613" s="89"/>
      <c r="CM613" s="89"/>
      <c r="CN613" s="89"/>
      <c r="CO613" s="89"/>
      <c r="CP613" s="89"/>
      <c r="CQ613" s="89"/>
      <c r="CR613" s="89"/>
      <c r="CS613" s="89"/>
      <c r="CT613" s="89"/>
      <c r="CU613" s="89"/>
      <c r="CV613" s="89"/>
      <c r="CW613" s="89"/>
      <c r="CX613" s="89"/>
      <c r="CY613" s="89"/>
      <c r="CZ613" s="98"/>
      <c r="DA613" s="98"/>
      <c r="DB613" s="98"/>
      <c r="DC613" s="98"/>
      <c r="DD613" s="98"/>
      <c r="DE613" s="98"/>
      <c r="DF613" s="98"/>
      <c r="DG613" s="98"/>
      <c r="DH613" s="98"/>
      <c r="DI613" s="98"/>
      <c r="DJ613" s="98"/>
      <c r="DK613" s="98"/>
      <c r="DL613" s="98"/>
      <c r="DM613" s="98"/>
      <c r="DN613" s="98"/>
      <c r="DO613" s="98"/>
      <c r="DP613" s="98"/>
      <c r="DQ613" s="98"/>
      <c r="DR613" s="98"/>
      <c r="DS613" s="98"/>
      <c r="DT613" s="98"/>
      <c r="DU613" s="98"/>
      <c r="DV613" s="98"/>
      <c r="DW613" s="98"/>
      <c r="DX613" s="98"/>
      <c r="DY613" s="98"/>
      <c r="DZ613" s="98"/>
      <c r="EA613" s="98"/>
      <c r="EB613" s="98"/>
      <c r="EC613" s="98"/>
      <c r="ED613" s="98"/>
    </row>
    <row r="614" spans="1:134" ht="11.25" customHeight="1" x14ac:dyDescent="0.3">
      <c r="A614" s="28" t="e">
        <f t="array" aca="1" ref="A614" ca="1">_xludf.XLOOKUP(S614,Master_Registrations!P:P,Master_Registrations!A:A,"")</f>
        <v>#NAME?</v>
      </c>
      <c r="B614" s="89" t="s">
        <v>182</v>
      </c>
      <c r="C614" s="89">
        <v>2025</v>
      </c>
      <c r="D614" s="89" t="s">
        <v>4886</v>
      </c>
      <c r="E614" s="89">
        <v>3</v>
      </c>
      <c r="F614" s="90" t="str">
        <f t="shared" si="8"/>
        <v>VED-01-2025-GR-3</v>
      </c>
      <c r="G614" s="89" t="s">
        <v>4750</v>
      </c>
      <c r="H614" s="89" t="s">
        <v>7083</v>
      </c>
      <c r="I614" s="89"/>
      <c r="J614" s="89" t="s">
        <v>7094</v>
      </c>
      <c r="K614" s="99"/>
      <c r="L614" s="99"/>
      <c r="M614" s="99"/>
      <c r="N614" s="90" t="s">
        <v>7095</v>
      </c>
      <c r="O614" s="89" t="s">
        <v>1700</v>
      </c>
      <c r="P614" s="89" t="s">
        <v>1701</v>
      </c>
      <c r="Q614" s="89" t="e">
        <f t="shared" ca="1" si="9"/>
        <v>#NAME?</v>
      </c>
      <c r="R614" s="39" t="s">
        <v>316</v>
      </c>
      <c r="S614" s="105">
        <v>2016027812</v>
      </c>
      <c r="T614" s="90" t="s">
        <v>402</v>
      </c>
      <c r="U614" s="89">
        <v>1976</v>
      </c>
      <c r="V614" s="95">
        <v>-1</v>
      </c>
      <c r="W614" s="95">
        <v>-1</v>
      </c>
      <c r="X614" s="99">
        <v>1</v>
      </c>
      <c r="Y614" s="99">
        <v>1</v>
      </c>
      <c r="Z614" s="99">
        <v>1</v>
      </c>
      <c r="AA614" s="99">
        <v>1</v>
      </c>
      <c r="AB614" s="99">
        <v>-1</v>
      </c>
      <c r="AC614" s="95">
        <v>-1</v>
      </c>
      <c r="AD614" s="95">
        <v>-1</v>
      </c>
      <c r="AE614" s="95">
        <v>-1</v>
      </c>
      <c r="AF614" s="95">
        <v>-1</v>
      </c>
      <c r="AG614" s="95">
        <v>-1</v>
      </c>
      <c r="AH614" s="95">
        <v>-1</v>
      </c>
      <c r="AI614" s="95">
        <v>-1</v>
      </c>
      <c r="AJ614" s="89"/>
      <c r="AK614" s="89"/>
      <c r="AL614" s="89"/>
      <c r="AM614" s="89"/>
      <c r="AN614" s="89"/>
      <c r="AO614" s="89"/>
      <c r="AP614" s="89"/>
      <c r="AQ614" s="89"/>
      <c r="AR614" s="89"/>
      <c r="AS614" s="89"/>
      <c r="AT614" s="89"/>
      <c r="AU614" s="89"/>
      <c r="AV614" s="89"/>
      <c r="AW614" s="89"/>
      <c r="AX614" s="89"/>
      <c r="AY614" s="89"/>
      <c r="AZ614" s="89"/>
      <c r="BA614" s="89"/>
      <c r="BB614" s="89"/>
      <c r="BC614" s="89"/>
      <c r="BD614" s="89"/>
      <c r="BE614" s="89"/>
      <c r="BF614" s="89"/>
      <c r="BG614" s="89"/>
      <c r="BH614" s="89"/>
      <c r="BI614" s="89"/>
      <c r="BJ614" s="89"/>
      <c r="BK614" s="89"/>
      <c r="BL614" s="89"/>
      <c r="BM614" s="89"/>
      <c r="BN614" s="89"/>
      <c r="BO614" s="89"/>
      <c r="BP614" s="89"/>
      <c r="BQ614" s="89"/>
      <c r="BR614" s="89"/>
      <c r="BS614" s="89"/>
      <c r="BT614" s="89"/>
      <c r="BU614" s="89"/>
      <c r="BV614" s="89"/>
      <c r="BW614" s="89"/>
      <c r="BX614" s="89"/>
      <c r="BY614" s="89"/>
      <c r="BZ614" s="89"/>
      <c r="CA614" s="89"/>
      <c r="CB614" s="89"/>
      <c r="CC614" s="89"/>
      <c r="CD614" s="89"/>
      <c r="CE614" s="89"/>
      <c r="CF614" s="89"/>
      <c r="CG614" s="89"/>
      <c r="CH614" s="89"/>
      <c r="CI614" s="89"/>
      <c r="CJ614" s="89"/>
      <c r="CK614" s="89"/>
      <c r="CL614" s="89"/>
      <c r="CM614" s="89"/>
      <c r="CN614" s="89"/>
      <c r="CO614" s="89"/>
      <c r="CP614" s="89"/>
      <c r="CQ614" s="89"/>
      <c r="CR614" s="89"/>
      <c r="CS614" s="89"/>
      <c r="CT614" s="89"/>
      <c r="CU614" s="89"/>
      <c r="CV614" s="89"/>
      <c r="CW614" s="89"/>
      <c r="CX614" s="89"/>
      <c r="CY614" s="89"/>
      <c r="CZ614" s="98"/>
      <c r="DA614" s="98"/>
      <c r="DB614" s="98"/>
      <c r="DC614" s="98"/>
      <c r="DD614" s="98"/>
      <c r="DE614" s="98"/>
      <c r="DF614" s="98"/>
      <c r="DG614" s="98"/>
      <c r="DH614" s="98"/>
      <c r="DI614" s="98"/>
      <c r="DJ614" s="98"/>
      <c r="DK614" s="98"/>
      <c r="DL614" s="98"/>
      <c r="DM614" s="98"/>
      <c r="DN614" s="98"/>
      <c r="DO614" s="98"/>
      <c r="DP614" s="98"/>
      <c r="DQ614" s="98"/>
      <c r="DR614" s="98"/>
      <c r="DS614" s="98"/>
      <c r="DT614" s="98"/>
      <c r="DU614" s="98"/>
      <c r="DV614" s="98"/>
      <c r="DW614" s="98"/>
      <c r="DX614" s="98"/>
      <c r="DY614" s="98"/>
      <c r="DZ614" s="98"/>
      <c r="EA614" s="98"/>
      <c r="EB614" s="98"/>
      <c r="EC614" s="98"/>
      <c r="ED614" s="98"/>
    </row>
    <row r="615" spans="1:134" ht="11.25" customHeight="1" x14ac:dyDescent="0.3">
      <c r="A615" s="28" t="e">
        <f t="array" aca="1" ref="A615" ca="1">_xludf.XLOOKUP(S615,Master_Registrations!P:P,Master_Registrations!A:A,"")</f>
        <v>#NAME?</v>
      </c>
      <c r="B615" s="89" t="s">
        <v>182</v>
      </c>
      <c r="C615" s="89">
        <v>2025</v>
      </c>
      <c r="D615" s="89" t="s">
        <v>4886</v>
      </c>
      <c r="E615" s="89">
        <v>3</v>
      </c>
      <c r="F615" s="90" t="str">
        <f t="shared" si="8"/>
        <v>VED-01-2025-GR-3</v>
      </c>
      <c r="G615" s="89" t="s">
        <v>4750</v>
      </c>
      <c r="H615" s="89" t="s">
        <v>7083</v>
      </c>
      <c r="I615" s="89"/>
      <c r="J615" s="89" t="s">
        <v>7094</v>
      </c>
      <c r="K615" s="104"/>
      <c r="L615" s="104"/>
      <c r="M615" s="104"/>
      <c r="N615" s="90" t="s">
        <v>7095</v>
      </c>
      <c r="O615" s="89" t="s">
        <v>1669</v>
      </c>
      <c r="P615" s="89" t="s">
        <v>1670</v>
      </c>
      <c r="Q615" s="89" t="e">
        <f t="shared" ca="1" si="9"/>
        <v>#NAME?</v>
      </c>
      <c r="R615" s="39" t="s">
        <v>316</v>
      </c>
      <c r="S615" s="105">
        <v>2015190587</v>
      </c>
      <c r="T615" s="90" t="s">
        <v>315</v>
      </c>
      <c r="U615" s="89">
        <v>1976</v>
      </c>
      <c r="V615" s="95">
        <v>-1</v>
      </c>
      <c r="W615" s="95">
        <v>-1</v>
      </c>
      <c r="X615" s="99">
        <v>1</v>
      </c>
      <c r="Y615" s="99">
        <v>-1</v>
      </c>
      <c r="Z615" s="99">
        <v>-1</v>
      </c>
      <c r="AA615" s="99">
        <v>-1</v>
      </c>
      <c r="AB615" s="95">
        <v>-1</v>
      </c>
      <c r="AC615" s="95">
        <v>-1</v>
      </c>
      <c r="AD615" s="95">
        <v>-1</v>
      </c>
      <c r="AE615" s="95">
        <v>-1</v>
      </c>
      <c r="AF615" s="95">
        <v>-1</v>
      </c>
      <c r="AG615" s="95">
        <v>-1</v>
      </c>
      <c r="AH615" s="95">
        <v>-1</v>
      </c>
      <c r="AI615" s="95">
        <v>-1</v>
      </c>
      <c r="AJ615" s="89"/>
      <c r="AK615" s="89"/>
      <c r="AL615" s="89"/>
      <c r="AM615" s="89"/>
      <c r="AN615" s="89"/>
      <c r="AO615" s="89"/>
      <c r="AP615" s="89"/>
      <c r="AQ615" s="89"/>
      <c r="AR615" s="89"/>
      <c r="AS615" s="89"/>
      <c r="AT615" s="89"/>
      <c r="AU615" s="89"/>
      <c r="AV615" s="89"/>
      <c r="AW615" s="89"/>
      <c r="AX615" s="89"/>
      <c r="AY615" s="89"/>
      <c r="AZ615" s="89"/>
      <c r="BA615" s="89"/>
      <c r="BB615" s="89"/>
      <c r="BC615" s="89"/>
      <c r="BD615" s="89"/>
      <c r="BE615" s="89"/>
      <c r="BF615" s="89"/>
      <c r="BG615" s="89"/>
      <c r="BH615" s="89"/>
      <c r="BI615" s="89"/>
      <c r="BJ615" s="89"/>
      <c r="BK615" s="89"/>
      <c r="BL615" s="89"/>
      <c r="BM615" s="89"/>
      <c r="BN615" s="89"/>
      <c r="BO615" s="89"/>
      <c r="BP615" s="89"/>
      <c r="BQ615" s="89"/>
      <c r="BR615" s="89"/>
      <c r="BS615" s="89"/>
      <c r="BT615" s="89"/>
      <c r="BU615" s="89"/>
      <c r="BV615" s="89"/>
      <c r="BW615" s="89"/>
      <c r="BX615" s="89"/>
      <c r="BY615" s="89"/>
      <c r="BZ615" s="89"/>
      <c r="CA615" s="89"/>
      <c r="CB615" s="89"/>
      <c r="CC615" s="89"/>
      <c r="CD615" s="89"/>
      <c r="CE615" s="89"/>
      <c r="CF615" s="89"/>
      <c r="CG615" s="89"/>
      <c r="CH615" s="89"/>
      <c r="CI615" s="89"/>
      <c r="CJ615" s="89"/>
      <c r="CK615" s="89"/>
      <c r="CL615" s="89"/>
      <c r="CM615" s="89"/>
      <c r="CN615" s="89"/>
      <c r="CO615" s="89"/>
      <c r="CP615" s="89"/>
      <c r="CQ615" s="89"/>
      <c r="CR615" s="89"/>
      <c r="CS615" s="89"/>
      <c r="CT615" s="89"/>
      <c r="CU615" s="89"/>
      <c r="CV615" s="89"/>
      <c r="CW615" s="89"/>
      <c r="CX615" s="89"/>
      <c r="CY615" s="89"/>
      <c r="CZ615" s="98"/>
      <c r="DA615" s="98"/>
      <c r="DB615" s="98"/>
      <c r="DC615" s="98"/>
      <c r="DD615" s="98"/>
      <c r="DE615" s="98"/>
      <c r="DF615" s="98"/>
      <c r="DG615" s="98"/>
      <c r="DH615" s="98"/>
      <c r="DI615" s="98"/>
      <c r="DJ615" s="98"/>
      <c r="DK615" s="98"/>
      <c r="DL615" s="98"/>
      <c r="DM615" s="98"/>
      <c r="DN615" s="98"/>
      <c r="DO615" s="98"/>
      <c r="DP615" s="98"/>
      <c r="DQ615" s="98"/>
      <c r="DR615" s="98"/>
      <c r="DS615" s="98"/>
      <c r="DT615" s="98"/>
      <c r="DU615" s="98"/>
      <c r="DV615" s="98"/>
      <c r="DW615" s="98"/>
      <c r="DX615" s="98"/>
      <c r="DY615" s="98"/>
      <c r="DZ615" s="98"/>
      <c r="EA615" s="98"/>
      <c r="EB615" s="98"/>
      <c r="EC615" s="98"/>
      <c r="ED615" s="98"/>
    </row>
    <row r="616" spans="1:134" ht="11.25" customHeight="1" x14ac:dyDescent="0.3">
      <c r="A616" s="28" t="e">
        <f t="array" aca="1" ref="A616" ca="1">_xludf.XLOOKUP(S616,Master_Registrations!P:P,Master_Registrations!A:A,"")</f>
        <v>#NAME?</v>
      </c>
      <c r="B616" s="89" t="s">
        <v>182</v>
      </c>
      <c r="C616" s="89">
        <v>2025</v>
      </c>
      <c r="D616" s="89" t="s">
        <v>4886</v>
      </c>
      <c r="E616" s="89">
        <v>3</v>
      </c>
      <c r="F616" s="90" t="str">
        <f t="shared" si="8"/>
        <v>VED-01-2025-GR-3</v>
      </c>
      <c r="G616" s="89" t="s">
        <v>4750</v>
      </c>
      <c r="H616" s="89" t="s">
        <v>7083</v>
      </c>
      <c r="I616" s="89"/>
      <c r="J616" s="89" t="s">
        <v>7094</v>
      </c>
      <c r="K616" s="99"/>
      <c r="L616" s="99"/>
      <c r="M616" s="104"/>
      <c r="N616" s="90" t="s">
        <v>7095</v>
      </c>
      <c r="O616" s="89" t="s">
        <v>1562</v>
      </c>
      <c r="P616" s="89" t="s">
        <v>1563</v>
      </c>
      <c r="Q616" s="89" t="e">
        <f t="shared" ca="1" si="9"/>
        <v>#NAME?</v>
      </c>
      <c r="R616" s="39" t="s">
        <v>316</v>
      </c>
      <c r="S616" s="105">
        <v>5715087449</v>
      </c>
      <c r="T616" s="90" t="s">
        <v>402</v>
      </c>
      <c r="U616" s="89">
        <v>1976</v>
      </c>
      <c r="V616" s="95">
        <v>-1</v>
      </c>
      <c r="W616" s="95">
        <v>-1</v>
      </c>
      <c r="X616" s="99">
        <v>1</v>
      </c>
      <c r="Y616" s="99">
        <v>2</v>
      </c>
      <c r="Z616" s="99">
        <v>1</v>
      </c>
      <c r="AA616" s="99">
        <v>1</v>
      </c>
      <c r="AB616" s="99">
        <v>1</v>
      </c>
      <c r="AC616" s="95">
        <v>-1</v>
      </c>
      <c r="AD616" s="95">
        <v>-1</v>
      </c>
      <c r="AE616" s="99">
        <v>-1</v>
      </c>
      <c r="AF616" s="99">
        <v>-1</v>
      </c>
      <c r="AG616" s="99">
        <v>1</v>
      </c>
      <c r="AH616" s="99">
        <v>1</v>
      </c>
      <c r="AI616" s="95">
        <v>-1</v>
      </c>
      <c r="AJ616" s="89"/>
      <c r="AK616" s="89"/>
      <c r="AL616" s="89"/>
      <c r="AM616" s="89"/>
      <c r="AN616" s="89"/>
      <c r="AO616" s="89"/>
      <c r="AP616" s="89"/>
      <c r="AQ616" s="89"/>
      <c r="AR616" s="89"/>
      <c r="AS616" s="89"/>
      <c r="AT616" s="89"/>
      <c r="AU616" s="89"/>
      <c r="AV616" s="89"/>
      <c r="AW616" s="89"/>
      <c r="AX616" s="89"/>
      <c r="AY616" s="89"/>
      <c r="AZ616" s="89"/>
      <c r="BA616" s="89"/>
      <c r="BB616" s="89"/>
      <c r="BC616" s="89"/>
      <c r="BD616" s="89"/>
      <c r="BE616" s="89"/>
      <c r="BF616" s="89"/>
      <c r="BG616" s="89"/>
      <c r="BH616" s="89"/>
      <c r="BI616" s="89"/>
      <c r="BJ616" s="89"/>
      <c r="BK616" s="89"/>
      <c r="BL616" s="89"/>
      <c r="BM616" s="89"/>
      <c r="BN616" s="89"/>
      <c r="BO616" s="89"/>
      <c r="BP616" s="89"/>
      <c r="BQ616" s="89"/>
      <c r="BR616" s="89"/>
      <c r="BS616" s="89"/>
      <c r="BT616" s="89"/>
      <c r="BU616" s="89"/>
      <c r="BV616" s="89"/>
      <c r="BW616" s="89"/>
      <c r="BX616" s="89"/>
      <c r="BY616" s="89"/>
      <c r="BZ616" s="89"/>
      <c r="CA616" s="89"/>
      <c r="CB616" s="89"/>
      <c r="CC616" s="89"/>
      <c r="CD616" s="89"/>
      <c r="CE616" s="89"/>
      <c r="CF616" s="89"/>
      <c r="CG616" s="89"/>
      <c r="CH616" s="89"/>
      <c r="CI616" s="89"/>
      <c r="CJ616" s="89"/>
      <c r="CK616" s="89"/>
      <c r="CL616" s="89"/>
      <c r="CM616" s="89"/>
      <c r="CN616" s="89"/>
      <c r="CO616" s="89"/>
      <c r="CP616" s="89"/>
      <c r="CQ616" s="89"/>
      <c r="CR616" s="89"/>
      <c r="CS616" s="89"/>
      <c r="CT616" s="89"/>
      <c r="CU616" s="89"/>
      <c r="CV616" s="89"/>
      <c r="CW616" s="89"/>
      <c r="CX616" s="89"/>
      <c r="CY616" s="89"/>
      <c r="CZ616" s="98"/>
      <c r="DA616" s="98"/>
      <c r="DB616" s="98"/>
      <c r="DC616" s="98"/>
      <c r="DD616" s="98"/>
      <c r="DE616" s="98"/>
      <c r="DF616" s="98"/>
      <c r="DG616" s="98"/>
      <c r="DH616" s="98"/>
      <c r="DI616" s="98"/>
      <c r="DJ616" s="98"/>
      <c r="DK616" s="98"/>
      <c r="DL616" s="98"/>
      <c r="DM616" s="98"/>
      <c r="DN616" s="98"/>
      <c r="DO616" s="98"/>
      <c r="DP616" s="98"/>
      <c r="DQ616" s="98"/>
      <c r="DR616" s="98"/>
      <c r="DS616" s="98"/>
      <c r="DT616" s="98"/>
      <c r="DU616" s="98"/>
      <c r="DV616" s="98"/>
      <c r="DW616" s="98"/>
      <c r="DX616" s="98"/>
      <c r="DY616" s="98"/>
      <c r="DZ616" s="98"/>
      <c r="EA616" s="98"/>
      <c r="EB616" s="98"/>
      <c r="EC616" s="98"/>
      <c r="ED616" s="98"/>
    </row>
    <row r="617" spans="1:134" ht="11.25" customHeight="1" x14ac:dyDescent="0.3">
      <c r="A617" s="28" t="e">
        <f t="array" aca="1" ref="A617" ca="1">_xludf.XLOOKUP(S617,Master_Registrations!P:P,Master_Registrations!A:A,"")</f>
        <v>#NAME?</v>
      </c>
      <c r="B617" s="89" t="s">
        <v>182</v>
      </c>
      <c r="C617" s="89">
        <v>2025</v>
      </c>
      <c r="D617" s="89" t="s">
        <v>4886</v>
      </c>
      <c r="E617" s="89">
        <v>3</v>
      </c>
      <c r="F617" s="90" t="str">
        <f t="shared" si="8"/>
        <v>VED-01-2025-GR-3</v>
      </c>
      <c r="G617" s="89" t="s">
        <v>4750</v>
      </c>
      <c r="H617" s="89" t="s">
        <v>2109</v>
      </c>
      <c r="I617" s="89"/>
      <c r="J617" s="89" t="s">
        <v>7094</v>
      </c>
      <c r="K617" s="99"/>
      <c r="L617" s="99"/>
      <c r="M617" s="104"/>
      <c r="N617" s="90" t="s">
        <v>7095</v>
      </c>
      <c r="O617" s="89" t="s">
        <v>2254</v>
      </c>
      <c r="P617" s="89" t="s">
        <v>7130</v>
      </c>
      <c r="Q617" s="89" t="e">
        <f t="shared" ca="1" si="9"/>
        <v>#NAME?</v>
      </c>
      <c r="R617" s="39" t="s">
        <v>316</v>
      </c>
      <c r="S617" s="105">
        <v>8628128868</v>
      </c>
      <c r="T617" s="90" t="s">
        <v>315</v>
      </c>
      <c r="U617" s="89">
        <v>1975</v>
      </c>
      <c r="V617" s="99">
        <v>1</v>
      </c>
      <c r="W617" s="99">
        <v>1</v>
      </c>
      <c r="X617" s="99">
        <v>1</v>
      </c>
      <c r="Y617" s="99">
        <v>1</v>
      </c>
      <c r="Z617" s="99">
        <v>1</v>
      </c>
      <c r="AA617" s="99">
        <v>1</v>
      </c>
      <c r="AB617" s="99">
        <v>1</v>
      </c>
      <c r="AC617" s="95">
        <v>-1</v>
      </c>
      <c r="AD617" s="95">
        <v>-1</v>
      </c>
      <c r="AE617" s="99">
        <v>-1</v>
      </c>
      <c r="AF617" s="99">
        <v>-1</v>
      </c>
      <c r="AG617" s="99">
        <v>-1</v>
      </c>
      <c r="AH617" s="99">
        <v>1</v>
      </c>
      <c r="AI617" s="95">
        <v>-1</v>
      </c>
      <c r="AJ617" s="89"/>
      <c r="AK617" s="89"/>
      <c r="AL617" s="89"/>
      <c r="AM617" s="89"/>
      <c r="AN617" s="89"/>
      <c r="AO617" s="89"/>
      <c r="AP617" s="89"/>
      <c r="AQ617" s="89"/>
      <c r="AR617" s="89"/>
      <c r="AS617" s="89"/>
      <c r="AT617" s="89"/>
      <c r="AU617" s="89"/>
      <c r="AV617" s="89"/>
      <c r="AW617" s="89"/>
      <c r="AX617" s="89"/>
      <c r="AY617" s="89"/>
      <c r="AZ617" s="89"/>
      <c r="BA617" s="89"/>
      <c r="BB617" s="89"/>
      <c r="BC617" s="89"/>
      <c r="BD617" s="89"/>
      <c r="BE617" s="89"/>
      <c r="BF617" s="89"/>
      <c r="BG617" s="95">
        <v>-1</v>
      </c>
      <c r="BH617" s="95">
        <v>-1</v>
      </c>
      <c r="BI617" s="95">
        <v>-1</v>
      </c>
      <c r="BJ617" s="95">
        <v>-1</v>
      </c>
      <c r="BK617" s="95">
        <v>-1</v>
      </c>
      <c r="BL617" s="95">
        <v>-1</v>
      </c>
      <c r="BM617" s="95">
        <v>-1</v>
      </c>
      <c r="BN617" s="89"/>
      <c r="BO617" s="89"/>
      <c r="BP617" s="89"/>
      <c r="BQ617" s="89"/>
      <c r="BR617" s="89"/>
      <c r="BS617" s="89"/>
      <c r="BT617" s="89"/>
      <c r="BU617" s="89"/>
      <c r="BV617" s="89"/>
      <c r="BW617" s="89"/>
      <c r="BX617" s="89"/>
      <c r="BY617" s="89"/>
      <c r="BZ617" s="89"/>
      <c r="CA617" s="89"/>
      <c r="CB617" s="89"/>
      <c r="CC617" s="89"/>
      <c r="CD617" s="89"/>
      <c r="CE617" s="89"/>
      <c r="CF617" s="89"/>
      <c r="CG617" s="89"/>
      <c r="CH617" s="89"/>
      <c r="CI617" s="89"/>
      <c r="CJ617" s="89"/>
      <c r="CK617" s="89"/>
      <c r="CL617" s="89"/>
      <c r="CM617" s="89"/>
      <c r="CN617" s="89"/>
      <c r="CO617" s="89"/>
      <c r="CP617" s="89"/>
      <c r="CQ617" s="89"/>
      <c r="CR617" s="89"/>
      <c r="CS617" s="89"/>
      <c r="CT617" s="89"/>
      <c r="CU617" s="89"/>
      <c r="CV617" s="89"/>
      <c r="CW617" s="89"/>
      <c r="CX617" s="89"/>
      <c r="CY617" s="89"/>
      <c r="CZ617" s="98"/>
      <c r="DA617" s="98"/>
      <c r="DB617" s="98"/>
      <c r="DC617" s="98"/>
      <c r="DD617" s="98"/>
      <c r="DE617" s="98"/>
      <c r="DF617" s="98"/>
      <c r="DG617" s="98"/>
      <c r="DH617" s="98"/>
      <c r="DI617" s="98"/>
      <c r="DJ617" s="98"/>
      <c r="DK617" s="98"/>
      <c r="DL617" s="98"/>
      <c r="DM617" s="98"/>
      <c r="DN617" s="98"/>
      <c r="DO617" s="98"/>
      <c r="DP617" s="98"/>
      <c r="DQ617" s="98"/>
      <c r="DR617" s="98"/>
      <c r="DS617" s="98"/>
      <c r="DT617" s="98"/>
      <c r="DU617" s="98"/>
      <c r="DV617" s="98"/>
      <c r="DW617" s="98"/>
      <c r="DX617" s="98"/>
      <c r="DY617" s="98"/>
      <c r="DZ617" s="98"/>
      <c r="EA617" s="98"/>
      <c r="EB617" s="98"/>
      <c r="EC617" s="98"/>
      <c r="ED617" s="98"/>
    </row>
    <row r="618" spans="1:134" ht="11.25" customHeight="1" x14ac:dyDescent="0.3">
      <c r="A618" s="28" t="e">
        <f t="array" aca="1" ref="A618" ca="1">_xludf.XLOOKUP(S618,Master_Registrations!P:P,Master_Registrations!A:A,"")</f>
        <v>#NAME?</v>
      </c>
      <c r="B618" s="89" t="s">
        <v>182</v>
      </c>
      <c r="C618" s="89">
        <v>2025</v>
      </c>
      <c r="D618" s="89" t="s">
        <v>4886</v>
      </c>
      <c r="E618" s="89">
        <v>3</v>
      </c>
      <c r="F618" s="90" t="str">
        <f t="shared" si="8"/>
        <v>VED-01-2025-GR-3</v>
      </c>
      <c r="G618" s="89" t="s">
        <v>4750</v>
      </c>
      <c r="H618" s="89" t="s">
        <v>2109</v>
      </c>
      <c r="I618" s="89"/>
      <c r="J618" s="89" t="s">
        <v>7094</v>
      </c>
      <c r="K618" s="107"/>
      <c r="L618" s="107"/>
      <c r="M618" s="107"/>
      <c r="N618" s="90" t="s">
        <v>7095</v>
      </c>
      <c r="O618" s="89" t="s">
        <v>982</v>
      </c>
      <c r="P618" s="89" t="s">
        <v>6875</v>
      </c>
      <c r="Q618" s="89" t="e">
        <f t="shared" ca="1" si="9"/>
        <v>#NAME?</v>
      </c>
      <c r="R618" s="39" t="s">
        <v>316</v>
      </c>
      <c r="S618" s="105">
        <v>5126691143</v>
      </c>
      <c r="T618" s="90" t="s">
        <v>315</v>
      </c>
      <c r="U618" s="89">
        <v>1984</v>
      </c>
      <c r="V618" s="99">
        <v>2</v>
      </c>
      <c r="W618" s="99">
        <v>2</v>
      </c>
      <c r="X618" s="99">
        <v>2</v>
      </c>
      <c r="Y618" s="99">
        <v>2</v>
      </c>
      <c r="Z618" s="99">
        <v>2</v>
      </c>
      <c r="AA618" s="99">
        <v>2</v>
      </c>
      <c r="AB618" s="99">
        <v>2</v>
      </c>
      <c r="AC618" s="99">
        <v>2</v>
      </c>
      <c r="AD618" s="99">
        <v>2</v>
      </c>
      <c r="AE618" s="99">
        <v>2</v>
      </c>
      <c r="AF618" s="99">
        <v>2</v>
      </c>
      <c r="AG618" s="99">
        <v>2</v>
      </c>
      <c r="AH618" s="99">
        <v>2</v>
      </c>
      <c r="AI618" s="99">
        <v>4</v>
      </c>
      <c r="AJ618" s="89"/>
      <c r="AK618" s="89"/>
      <c r="AL618" s="89"/>
      <c r="AM618" s="89"/>
      <c r="AN618" s="89"/>
      <c r="AO618" s="89"/>
      <c r="AP618" s="89"/>
      <c r="AQ618" s="89"/>
      <c r="AR618" s="89"/>
      <c r="AS618" s="89"/>
      <c r="AT618" s="89"/>
      <c r="AU618" s="89"/>
      <c r="AV618" s="89"/>
      <c r="AW618" s="89"/>
      <c r="AX618" s="89"/>
      <c r="AY618" s="89"/>
      <c r="AZ618" s="89"/>
      <c r="BA618" s="89"/>
      <c r="BB618" s="89"/>
      <c r="BC618" s="89"/>
      <c r="BD618" s="89"/>
      <c r="BE618" s="89"/>
      <c r="BF618" s="89"/>
      <c r="BG618" s="89"/>
      <c r="BH618" s="89"/>
      <c r="BI618" s="89"/>
      <c r="BJ618" s="89"/>
      <c r="BK618" s="89"/>
      <c r="BL618" s="89"/>
      <c r="BM618" s="89"/>
      <c r="BN618" s="89"/>
      <c r="BO618" s="89"/>
      <c r="BP618" s="89"/>
      <c r="BQ618" s="89"/>
      <c r="BR618" s="89"/>
      <c r="BS618" s="89"/>
      <c r="BT618" s="89"/>
      <c r="BU618" s="89"/>
      <c r="BV618" s="89"/>
      <c r="BW618" s="89"/>
      <c r="BX618" s="89"/>
      <c r="BY618" s="89"/>
      <c r="BZ618" s="89"/>
      <c r="CA618" s="89"/>
      <c r="CB618" s="89"/>
      <c r="CC618" s="89"/>
      <c r="CD618" s="89"/>
      <c r="CE618" s="89"/>
      <c r="CF618" s="89"/>
      <c r="CG618" s="89"/>
      <c r="CH618" s="89"/>
      <c r="CI618" s="89"/>
      <c r="CJ618" s="89"/>
      <c r="CK618" s="89"/>
      <c r="CL618" s="89"/>
      <c r="CM618" s="89"/>
      <c r="CN618" s="89"/>
      <c r="CO618" s="89"/>
      <c r="CP618" s="89"/>
      <c r="CQ618" s="89"/>
      <c r="CR618" s="89"/>
      <c r="CS618" s="89"/>
      <c r="CT618" s="89"/>
      <c r="CU618" s="89"/>
      <c r="CV618" s="89"/>
      <c r="CW618" s="89"/>
      <c r="CX618" s="89"/>
      <c r="CY618" s="89"/>
      <c r="CZ618" s="98"/>
      <c r="DA618" s="98"/>
      <c r="DB618" s="98"/>
      <c r="DC618" s="98"/>
      <c r="DD618" s="98"/>
      <c r="DE618" s="98"/>
      <c r="DF618" s="98"/>
      <c r="DG618" s="98"/>
      <c r="DH618" s="98"/>
      <c r="DI618" s="98"/>
      <c r="DJ618" s="98"/>
      <c r="DK618" s="98"/>
      <c r="DL618" s="98"/>
      <c r="DM618" s="98"/>
      <c r="DN618" s="98"/>
      <c r="DO618" s="98"/>
      <c r="DP618" s="98"/>
      <c r="DQ618" s="98"/>
      <c r="DR618" s="98"/>
      <c r="DS618" s="98"/>
      <c r="DT618" s="98"/>
      <c r="DU618" s="98"/>
      <c r="DV618" s="98"/>
      <c r="DW618" s="98"/>
      <c r="DX618" s="98"/>
      <c r="DY618" s="98"/>
      <c r="DZ618" s="98"/>
      <c r="EA618" s="98"/>
      <c r="EB618" s="98"/>
      <c r="EC618" s="98"/>
      <c r="ED618" s="98"/>
    </row>
    <row r="619" spans="1:134" ht="11.25" customHeight="1" x14ac:dyDescent="0.3">
      <c r="A619" s="28" t="e">
        <f t="array" aca="1" ref="A619" ca="1">_xludf.XLOOKUP(S619,Master_Registrations!P:P,Master_Registrations!A:A,"")</f>
        <v>#NAME?</v>
      </c>
      <c r="B619" s="89" t="s">
        <v>182</v>
      </c>
      <c r="C619" s="89">
        <v>2025</v>
      </c>
      <c r="D619" s="89" t="s">
        <v>4886</v>
      </c>
      <c r="E619" s="89">
        <v>3</v>
      </c>
      <c r="F619" s="90" t="str">
        <f t="shared" si="8"/>
        <v>VED-01-2025-GR-3</v>
      </c>
      <c r="G619" s="89" t="s">
        <v>4750</v>
      </c>
      <c r="H619" s="89" t="s">
        <v>5188</v>
      </c>
      <c r="I619" s="89"/>
      <c r="J619" s="89" t="s">
        <v>7094</v>
      </c>
      <c r="K619" s="99"/>
      <c r="L619" s="99"/>
      <c r="M619" s="99"/>
      <c r="N619" s="90" t="s">
        <v>7095</v>
      </c>
      <c r="O619" s="89" t="s">
        <v>1692</v>
      </c>
      <c r="P619" s="89" t="s">
        <v>1693</v>
      </c>
      <c r="Q619" s="89" t="e">
        <f t="shared" ca="1" si="9"/>
        <v>#NAME?</v>
      </c>
      <c r="R619" s="39" t="s">
        <v>316</v>
      </c>
      <c r="S619" s="105">
        <v>5717236981</v>
      </c>
      <c r="T619" s="90" t="s">
        <v>474</v>
      </c>
      <c r="U619" s="89">
        <v>1989</v>
      </c>
      <c r="V619" s="95">
        <v>-1</v>
      </c>
      <c r="W619" s="95">
        <v>-1</v>
      </c>
      <c r="X619" s="99">
        <v>-1</v>
      </c>
      <c r="Y619" s="95">
        <v>-1</v>
      </c>
      <c r="Z619" s="95">
        <v>-1</v>
      </c>
      <c r="AA619" s="95">
        <v>-1</v>
      </c>
      <c r="AB619" s="95">
        <v>-1</v>
      </c>
      <c r="AC619" s="95">
        <v>-1</v>
      </c>
      <c r="AD619" s="95">
        <v>-1</v>
      </c>
      <c r="AE619" s="95">
        <v>-1</v>
      </c>
      <c r="AF619" s="95">
        <v>-1</v>
      </c>
      <c r="AG619" s="95">
        <v>-1</v>
      </c>
      <c r="AH619" s="95">
        <v>-1</v>
      </c>
      <c r="AI619" s="95">
        <v>-1</v>
      </c>
      <c r="AJ619" s="89"/>
      <c r="AK619" s="89"/>
      <c r="AL619" s="89"/>
      <c r="AM619" s="89"/>
      <c r="AN619" s="89"/>
      <c r="AO619" s="89"/>
      <c r="AP619" s="89"/>
      <c r="AQ619" s="89"/>
      <c r="AR619" s="89"/>
      <c r="AS619" s="89"/>
      <c r="AT619" s="89"/>
      <c r="AU619" s="89"/>
      <c r="AV619" s="89"/>
      <c r="AW619" s="89"/>
      <c r="AX619" s="89"/>
      <c r="AY619" s="89"/>
      <c r="AZ619" s="89"/>
      <c r="BA619" s="89"/>
      <c r="BB619" s="89"/>
      <c r="BC619" s="89"/>
      <c r="BD619" s="89"/>
      <c r="BE619" s="89"/>
      <c r="BF619" s="89"/>
      <c r="BG619" s="89"/>
      <c r="BH619" s="89"/>
      <c r="BI619" s="89"/>
      <c r="BJ619" s="89"/>
      <c r="BK619" s="89"/>
      <c r="BL619" s="89"/>
      <c r="BM619" s="89"/>
      <c r="BN619" s="89"/>
      <c r="BO619" s="89"/>
      <c r="BP619" s="89"/>
      <c r="BQ619" s="89"/>
      <c r="BR619" s="89"/>
      <c r="BS619" s="89"/>
      <c r="BT619" s="89"/>
      <c r="BU619" s="89"/>
      <c r="BV619" s="89"/>
      <c r="BW619" s="89"/>
      <c r="BX619" s="89"/>
      <c r="BY619" s="89"/>
      <c r="BZ619" s="89"/>
      <c r="CA619" s="89"/>
      <c r="CB619" s="89"/>
      <c r="CC619" s="89"/>
      <c r="CD619" s="89"/>
      <c r="CE619" s="89"/>
      <c r="CF619" s="89"/>
      <c r="CG619" s="89"/>
      <c r="CH619" s="89"/>
      <c r="CI619" s="89"/>
      <c r="CJ619" s="89"/>
      <c r="CK619" s="89"/>
      <c r="CL619" s="89"/>
      <c r="CM619" s="89"/>
      <c r="CN619" s="89"/>
      <c r="CO619" s="89"/>
      <c r="CP619" s="89"/>
      <c r="CQ619" s="89"/>
      <c r="CR619" s="89"/>
      <c r="CS619" s="89"/>
      <c r="CT619" s="89"/>
      <c r="CU619" s="89"/>
      <c r="CV619" s="89"/>
      <c r="CW619" s="89"/>
      <c r="CX619" s="89"/>
      <c r="CY619" s="89"/>
      <c r="CZ619" s="98"/>
      <c r="DA619" s="98"/>
      <c r="DB619" s="98"/>
      <c r="DC619" s="98"/>
      <c r="DD619" s="98"/>
      <c r="DE619" s="98"/>
      <c r="DF619" s="98"/>
      <c r="DG619" s="98"/>
      <c r="DH619" s="98"/>
      <c r="DI619" s="98"/>
      <c r="DJ619" s="98"/>
      <c r="DK619" s="98"/>
      <c r="DL619" s="98"/>
      <c r="DM619" s="98"/>
      <c r="DN619" s="98"/>
      <c r="DO619" s="98"/>
      <c r="DP619" s="98"/>
      <c r="DQ619" s="98"/>
      <c r="DR619" s="98"/>
      <c r="DS619" s="98"/>
      <c r="DT619" s="98"/>
      <c r="DU619" s="98"/>
      <c r="DV619" s="98"/>
      <c r="DW619" s="98"/>
      <c r="DX619" s="98"/>
      <c r="DY619" s="98"/>
      <c r="DZ619" s="98"/>
      <c r="EA619" s="98"/>
      <c r="EB619" s="98"/>
      <c r="EC619" s="98"/>
      <c r="ED619" s="98"/>
    </row>
    <row r="620" spans="1:134" ht="11.25" customHeight="1" x14ac:dyDescent="0.3">
      <c r="A620" s="28" t="e">
        <f t="array" aca="1" ref="A620" ca="1">_xludf.XLOOKUP(S620,Master_Registrations!P:P,Master_Registrations!A:A,"")</f>
        <v>#NAME?</v>
      </c>
      <c r="B620" s="89" t="s">
        <v>182</v>
      </c>
      <c r="C620" s="89">
        <v>2025</v>
      </c>
      <c r="D620" s="89" t="s">
        <v>4886</v>
      </c>
      <c r="E620" s="89">
        <v>4</v>
      </c>
      <c r="F620" s="90" t="str">
        <f t="shared" si="8"/>
        <v>VED-01-2025-GR-4</v>
      </c>
      <c r="G620" s="89" t="s">
        <v>7078</v>
      </c>
      <c r="H620" s="89" t="s">
        <v>7108</v>
      </c>
      <c r="I620" s="89"/>
      <c r="J620" s="89" t="s">
        <v>7094</v>
      </c>
      <c r="K620" s="104">
        <v>-1</v>
      </c>
      <c r="L620" s="109"/>
      <c r="M620" s="109"/>
      <c r="N620" s="90" t="s">
        <v>7095</v>
      </c>
      <c r="O620" s="89" t="s">
        <v>1843</v>
      </c>
      <c r="P620" s="89" t="s">
        <v>1767</v>
      </c>
      <c r="Q620" s="89" t="e">
        <f t="shared" ca="1" si="9"/>
        <v>#NAME?</v>
      </c>
      <c r="R620" s="39" t="s">
        <v>112</v>
      </c>
      <c r="S620" s="105">
        <v>9849274950</v>
      </c>
      <c r="T620" s="90" t="s">
        <v>111</v>
      </c>
      <c r="U620" s="89">
        <v>1990</v>
      </c>
      <c r="V620" s="99">
        <v>-1</v>
      </c>
      <c r="W620" s="99">
        <v>-1</v>
      </c>
      <c r="X620" s="99">
        <v>-1</v>
      </c>
      <c r="Y620" s="99">
        <v>-1</v>
      </c>
      <c r="Z620" s="99">
        <v>-1</v>
      </c>
      <c r="AA620" s="99">
        <v>-1</v>
      </c>
      <c r="AB620" s="99">
        <v>-1</v>
      </c>
      <c r="AC620" s="95">
        <v>-1</v>
      </c>
      <c r="AD620" s="95">
        <v>-1</v>
      </c>
      <c r="AE620" s="99">
        <v>-1</v>
      </c>
      <c r="AF620" s="99">
        <v>-1</v>
      </c>
      <c r="AG620" s="99">
        <v>-1</v>
      </c>
      <c r="AH620" s="99">
        <v>-1</v>
      </c>
      <c r="AI620" s="95">
        <v>-1</v>
      </c>
      <c r="AJ620" s="89"/>
      <c r="AK620" s="89"/>
      <c r="AL620" s="89"/>
      <c r="AM620" s="89"/>
      <c r="AN620" s="89"/>
      <c r="AO620" s="89"/>
      <c r="AP620" s="89"/>
      <c r="AQ620" s="89"/>
      <c r="AR620" s="89"/>
      <c r="AS620" s="89"/>
      <c r="AT620" s="89"/>
      <c r="AU620" s="89"/>
      <c r="AV620" s="89"/>
      <c r="AW620" s="89"/>
      <c r="AX620" s="89"/>
      <c r="AY620" s="89"/>
      <c r="AZ620" s="89"/>
      <c r="BA620" s="89"/>
      <c r="BB620" s="89"/>
      <c r="BC620" s="89"/>
      <c r="BD620" s="89"/>
      <c r="BE620" s="89"/>
      <c r="BF620" s="89"/>
      <c r="BG620" s="89"/>
      <c r="BH620" s="89"/>
      <c r="BI620" s="89"/>
      <c r="BJ620" s="89"/>
      <c r="BK620" s="89"/>
      <c r="BL620" s="89"/>
      <c r="BM620" s="89"/>
      <c r="BN620" s="89"/>
      <c r="BO620" s="89"/>
      <c r="BP620" s="89"/>
      <c r="BQ620" s="89"/>
      <c r="BR620" s="89"/>
      <c r="BS620" s="89"/>
      <c r="BT620" s="89"/>
      <c r="BU620" s="89"/>
      <c r="BV620" s="89"/>
      <c r="BW620" s="89"/>
      <c r="BX620" s="89"/>
      <c r="BY620" s="89"/>
      <c r="BZ620" s="89"/>
      <c r="CA620" s="89"/>
      <c r="CB620" s="89"/>
      <c r="CC620" s="89"/>
      <c r="CD620" s="89"/>
      <c r="CE620" s="89"/>
      <c r="CF620" s="89"/>
      <c r="CG620" s="89"/>
      <c r="CH620" s="89"/>
      <c r="CI620" s="89"/>
      <c r="CJ620" s="89"/>
      <c r="CK620" s="89"/>
      <c r="CL620" s="89"/>
      <c r="CM620" s="89"/>
      <c r="CN620" s="89"/>
      <c r="CO620" s="89"/>
      <c r="CP620" s="89"/>
      <c r="CQ620" s="89"/>
      <c r="CR620" s="89"/>
      <c r="CS620" s="89"/>
      <c r="CT620" s="89"/>
      <c r="CU620" s="89"/>
      <c r="CV620" s="89"/>
      <c r="CW620" s="89"/>
      <c r="CX620" s="89"/>
      <c r="CY620" s="89"/>
      <c r="CZ620" s="98"/>
      <c r="DA620" s="98"/>
      <c r="DB620" s="98"/>
      <c r="DC620" s="98"/>
      <c r="DD620" s="98"/>
      <c r="DE620" s="98"/>
      <c r="DF620" s="98"/>
      <c r="DG620" s="98"/>
      <c r="DH620" s="98"/>
      <c r="DI620" s="98"/>
      <c r="DJ620" s="98"/>
      <c r="DK620" s="98"/>
      <c r="DL620" s="98"/>
      <c r="DM620" s="98"/>
      <c r="DN620" s="98"/>
      <c r="DO620" s="98"/>
      <c r="DP620" s="98"/>
      <c r="DQ620" s="98"/>
      <c r="DR620" s="98"/>
      <c r="DS620" s="98"/>
      <c r="DT620" s="98"/>
      <c r="DU620" s="98"/>
      <c r="DV620" s="98"/>
      <c r="DW620" s="98"/>
      <c r="DX620" s="98"/>
      <c r="DY620" s="98"/>
      <c r="DZ620" s="98"/>
      <c r="EA620" s="98"/>
      <c r="EB620" s="98"/>
      <c r="EC620" s="98"/>
      <c r="ED620" s="98"/>
    </row>
    <row r="621" spans="1:134" ht="11.25" customHeight="1" x14ac:dyDescent="0.3">
      <c r="A621" s="28" t="e">
        <f t="array" aca="1" ref="A621" ca="1">_xludf.XLOOKUP(S621,Master_Registrations!P:P,Master_Registrations!A:A,"")</f>
        <v>#NAME?</v>
      </c>
      <c r="B621" s="89" t="s">
        <v>182</v>
      </c>
      <c r="C621" s="89">
        <v>2025</v>
      </c>
      <c r="D621" s="89" t="s">
        <v>4886</v>
      </c>
      <c r="E621" s="89">
        <v>4</v>
      </c>
      <c r="F621" s="90" t="str">
        <f t="shared" si="8"/>
        <v>VED-01-2025-GR-4</v>
      </c>
      <c r="G621" s="89" t="s">
        <v>7078</v>
      </c>
      <c r="H621" s="89" t="s">
        <v>7108</v>
      </c>
      <c r="I621" s="89"/>
      <c r="J621" s="89" t="s">
        <v>7094</v>
      </c>
      <c r="K621" s="99"/>
      <c r="L621" s="99"/>
      <c r="M621" s="109"/>
      <c r="N621" s="90" t="s">
        <v>7095</v>
      </c>
      <c r="O621" s="89" t="s">
        <v>1976</v>
      </c>
      <c r="P621" s="89" t="s">
        <v>1977</v>
      </c>
      <c r="Q621" s="89" t="e">
        <f t="shared" ca="1" si="9"/>
        <v>#NAME?</v>
      </c>
      <c r="R621" s="39" t="s">
        <v>112</v>
      </c>
      <c r="S621" s="105">
        <v>9885342593</v>
      </c>
      <c r="T621" s="90" t="s">
        <v>111</v>
      </c>
      <c r="U621" s="89">
        <v>1988</v>
      </c>
      <c r="V621" s="95">
        <v>-1</v>
      </c>
      <c r="W621" s="95">
        <v>-1</v>
      </c>
      <c r="X621" s="95">
        <v>-1</v>
      </c>
      <c r="Y621" s="95">
        <v>-1</v>
      </c>
      <c r="Z621" s="95">
        <v>-1</v>
      </c>
      <c r="AA621" s="95">
        <v>-1</v>
      </c>
      <c r="AB621" s="95">
        <v>-1</v>
      </c>
      <c r="AC621" s="95">
        <v>-1</v>
      </c>
      <c r="AD621" s="95">
        <v>-1</v>
      </c>
      <c r="AE621" s="95">
        <v>-1</v>
      </c>
      <c r="AF621" s="95">
        <v>-1</v>
      </c>
      <c r="AG621" s="95">
        <v>-1</v>
      </c>
      <c r="AH621" s="95">
        <v>-1</v>
      </c>
      <c r="AI621" s="95">
        <v>-1</v>
      </c>
      <c r="AJ621" s="89"/>
      <c r="AK621" s="89"/>
      <c r="AL621" s="89"/>
      <c r="AM621" s="89"/>
      <c r="AN621" s="89"/>
      <c r="AO621" s="89"/>
      <c r="AP621" s="89"/>
      <c r="AQ621" s="89"/>
      <c r="AR621" s="89"/>
      <c r="AS621" s="89"/>
      <c r="AT621" s="89"/>
      <c r="AU621" s="89"/>
      <c r="AV621" s="89"/>
      <c r="AW621" s="89"/>
      <c r="AX621" s="89"/>
      <c r="AY621" s="89"/>
      <c r="AZ621" s="89"/>
      <c r="BA621" s="89"/>
      <c r="BB621" s="89"/>
      <c r="BC621" s="89"/>
      <c r="BD621" s="89"/>
      <c r="BE621" s="89"/>
      <c r="BF621" s="89"/>
      <c r="BG621" s="89"/>
      <c r="BH621" s="89"/>
      <c r="BI621" s="89"/>
      <c r="BJ621" s="89"/>
      <c r="BK621" s="89"/>
      <c r="BL621" s="89"/>
      <c r="BM621" s="89"/>
      <c r="BN621" s="89"/>
      <c r="BO621" s="89"/>
      <c r="BP621" s="89"/>
      <c r="BQ621" s="89"/>
      <c r="BR621" s="89"/>
      <c r="BS621" s="89"/>
      <c r="BT621" s="89"/>
      <c r="BU621" s="89"/>
      <c r="BV621" s="89"/>
      <c r="BW621" s="89"/>
      <c r="BX621" s="89"/>
      <c r="BY621" s="89"/>
      <c r="BZ621" s="89"/>
      <c r="CA621" s="89"/>
      <c r="CB621" s="89"/>
      <c r="CC621" s="89"/>
      <c r="CD621" s="89"/>
      <c r="CE621" s="89"/>
      <c r="CF621" s="89"/>
      <c r="CG621" s="89"/>
      <c r="CH621" s="89"/>
      <c r="CI621" s="89"/>
      <c r="CJ621" s="89"/>
      <c r="CK621" s="89"/>
      <c r="CL621" s="89"/>
      <c r="CM621" s="89"/>
      <c r="CN621" s="89"/>
      <c r="CO621" s="89"/>
      <c r="CP621" s="89"/>
      <c r="CQ621" s="89"/>
      <c r="CR621" s="89"/>
      <c r="CS621" s="89"/>
      <c r="CT621" s="89"/>
      <c r="CU621" s="89"/>
      <c r="CV621" s="89"/>
      <c r="CW621" s="89"/>
      <c r="CX621" s="89"/>
      <c r="CY621" s="89"/>
      <c r="CZ621" s="98"/>
      <c r="DA621" s="98"/>
      <c r="DB621" s="98"/>
      <c r="DC621" s="98"/>
      <c r="DD621" s="98"/>
      <c r="DE621" s="98"/>
      <c r="DF621" s="98"/>
      <c r="DG621" s="98"/>
      <c r="DH621" s="98"/>
      <c r="DI621" s="98"/>
      <c r="DJ621" s="98"/>
      <c r="DK621" s="98"/>
      <c r="DL621" s="98"/>
      <c r="DM621" s="98"/>
      <c r="DN621" s="98"/>
      <c r="DO621" s="98"/>
      <c r="DP621" s="98"/>
      <c r="DQ621" s="98"/>
      <c r="DR621" s="98"/>
      <c r="DS621" s="98"/>
      <c r="DT621" s="98"/>
      <c r="DU621" s="98"/>
      <c r="DV621" s="98"/>
      <c r="DW621" s="98"/>
      <c r="DX621" s="98"/>
      <c r="DY621" s="98"/>
      <c r="DZ621" s="98"/>
      <c r="EA621" s="98"/>
      <c r="EB621" s="98"/>
      <c r="EC621" s="98"/>
      <c r="ED621" s="98"/>
    </row>
    <row r="622" spans="1:134" ht="11.25" customHeight="1" x14ac:dyDescent="0.3">
      <c r="A622" s="28" t="e">
        <f t="array" aca="1" ref="A622" ca="1">_xludf.XLOOKUP(S622,Master_Registrations!P:P,Master_Registrations!A:A,"")</f>
        <v>#NAME?</v>
      </c>
      <c r="B622" s="89" t="s">
        <v>182</v>
      </c>
      <c r="C622" s="89">
        <v>2025</v>
      </c>
      <c r="D622" s="89" t="s">
        <v>4886</v>
      </c>
      <c r="E622" s="89">
        <v>4</v>
      </c>
      <c r="F622" s="90" t="str">
        <f t="shared" si="8"/>
        <v>VED-01-2025-GR-4</v>
      </c>
      <c r="G622" s="89" t="s">
        <v>7078</v>
      </c>
      <c r="H622" s="89" t="s">
        <v>7108</v>
      </c>
      <c r="I622" s="89"/>
      <c r="J622" s="89" t="s">
        <v>7094</v>
      </c>
      <c r="K622" s="99"/>
      <c r="L622" s="99"/>
      <c r="M622" s="109"/>
      <c r="N622" s="90" t="s">
        <v>7095</v>
      </c>
      <c r="O622" s="89" t="s">
        <v>695</v>
      </c>
      <c r="P622" s="89" t="s">
        <v>1776</v>
      </c>
      <c r="Q622" s="89" t="e">
        <f t="shared" ca="1" si="9"/>
        <v>#NAME?</v>
      </c>
      <c r="R622" s="39" t="s">
        <v>112</v>
      </c>
      <c r="S622" s="105">
        <v>8143544484</v>
      </c>
      <c r="T622" s="90" t="s">
        <v>111</v>
      </c>
      <c r="U622" s="89">
        <v>2002</v>
      </c>
      <c r="V622" s="95">
        <v>-1</v>
      </c>
      <c r="W622" s="95">
        <v>-1</v>
      </c>
      <c r="X622" s="95">
        <v>-1</v>
      </c>
      <c r="Y622" s="95">
        <v>-1</v>
      </c>
      <c r="Z622" s="95">
        <v>-1</v>
      </c>
      <c r="AA622" s="95">
        <v>-1</v>
      </c>
      <c r="AB622" s="95">
        <v>-1</v>
      </c>
      <c r="AC622" s="95">
        <v>-1</v>
      </c>
      <c r="AD622" s="95">
        <v>-1</v>
      </c>
      <c r="AE622" s="95">
        <v>-1</v>
      </c>
      <c r="AF622" s="95">
        <v>-1</v>
      </c>
      <c r="AG622" s="95">
        <v>-1</v>
      </c>
      <c r="AH622" s="95">
        <v>-1</v>
      </c>
      <c r="AI622" s="95">
        <v>-1</v>
      </c>
      <c r="AJ622" s="89"/>
      <c r="AK622" s="89"/>
      <c r="AL622" s="89"/>
      <c r="AM622" s="89"/>
      <c r="AN622" s="89"/>
      <c r="AO622" s="89"/>
      <c r="AP622" s="89"/>
      <c r="AQ622" s="89"/>
      <c r="AR622" s="89"/>
      <c r="AS622" s="89"/>
      <c r="AT622" s="89"/>
      <c r="AU622" s="89"/>
      <c r="AV622" s="89"/>
      <c r="AW622" s="89"/>
      <c r="AX622" s="89"/>
      <c r="AY622" s="89"/>
      <c r="AZ622" s="89"/>
      <c r="BA622" s="89"/>
      <c r="BB622" s="89"/>
      <c r="BC622" s="89"/>
      <c r="BD622" s="89"/>
      <c r="BE622" s="89"/>
      <c r="BF622" s="89"/>
      <c r="BG622" s="89"/>
      <c r="BH622" s="89"/>
      <c r="BI622" s="89"/>
      <c r="BJ622" s="89"/>
      <c r="BK622" s="89"/>
      <c r="BL622" s="89"/>
      <c r="BM622" s="89"/>
      <c r="BN622" s="89"/>
      <c r="BO622" s="89"/>
      <c r="BP622" s="89"/>
      <c r="BQ622" s="89"/>
      <c r="BR622" s="89"/>
      <c r="BS622" s="89"/>
      <c r="BT622" s="89"/>
      <c r="BU622" s="89"/>
      <c r="BV622" s="89"/>
      <c r="BW622" s="89"/>
      <c r="BX622" s="89"/>
      <c r="BY622" s="89"/>
      <c r="BZ622" s="89"/>
      <c r="CA622" s="89"/>
      <c r="CB622" s="89"/>
      <c r="CC622" s="89"/>
      <c r="CD622" s="89"/>
      <c r="CE622" s="89"/>
      <c r="CF622" s="89"/>
      <c r="CG622" s="89"/>
      <c r="CH622" s="89"/>
      <c r="CI622" s="89"/>
      <c r="CJ622" s="89"/>
      <c r="CK622" s="89"/>
      <c r="CL622" s="89"/>
      <c r="CM622" s="89"/>
      <c r="CN622" s="89"/>
      <c r="CO622" s="89"/>
      <c r="CP622" s="89"/>
      <c r="CQ622" s="89"/>
      <c r="CR622" s="89"/>
      <c r="CS622" s="89"/>
      <c r="CT622" s="89"/>
      <c r="CU622" s="89"/>
      <c r="CV622" s="89"/>
      <c r="CW622" s="89"/>
      <c r="CX622" s="89"/>
      <c r="CY622" s="89"/>
      <c r="CZ622" s="98"/>
      <c r="DA622" s="98"/>
      <c r="DB622" s="98"/>
      <c r="DC622" s="98"/>
      <c r="DD622" s="98"/>
      <c r="DE622" s="98"/>
      <c r="DF622" s="98"/>
      <c r="DG622" s="98"/>
      <c r="DH622" s="98"/>
      <c r="DI622" s="98"/>
      <c r="DJ622" s="98"/>
      <c r="DK622" s="98"/>
      <c r="DL622" s="98"/>
      <c r="DM622" s="98"/>
      <c r="DN622" s="98"/>
      <c r="DO622" s="98"/>
      <c r="DP622" s="98"/>
      <c r="DQ622" s="98"/>
      <c r="DR622" s="98"/>
      <c r="DS622" s="98"/>
      <c r="DT622" s="98"/>
      <c r="DU622" s="98"/>
      <c r="DV622" s="98"/>
      <c r="DW622" s="98"/>
      <c r="DX622" s="98"/>
      <c r="DY622" s="98"/>
      <c r="DZ622" s="98"/>
      <c r="EA622" s="98"/>
      <c r="EB622" s="98"/>
      <c r="EC622" s="98"/>
      <c r="ED622" s="98"/>
    </row>
    <row r="623" spans="1:134" ht="11.25" customHeight="1" x14ac:dyDescent="0.3">
      <c r="A623" s="28" t="e">
        <f t="array" aca="1" ref="A623" ca="1">_xludf.XLOOKUP(S623,Master_Registrations!P:P,Master_Registrations!A:A,"")</f>
        <v>#NAME?</v>
      </c>
      <c r="B623" s="89" t="s">
        <v>182</v>
      </c>
      <c r="C623" s="89">
        <v>2025</v>
      </c>
      <c r="D623" s="89" t="s">
        <v>4886</v>
      </c>
      <c r="E623" s="89">
        <v>4</v>
      </c>
      <c r="F623" s="90" t="str">
        <f t="shared" si="8"/>
        <v>VED-01-2025-GR-4</v>
      </c>
      <c r="G623" s="89" t="s">
        <v>7078</v>
      </c>
      <c r="H623" s="89" t="s">
        <v>7108</v>
      </c>
      <c r="I623" s="89"/>
      <c r="J623" s="89" t="s">
        <v>7094</v>
      </c>
      <c r="K623" s="99"/>
      <c r="L623" s="99"/>
      <c r="M623" s="109"/>
      <c r="N623" s="90" t="s">
        <v>7095</v>
      </c>
      <c r="O623" s="89" t="s">
        <v>891</v>
      </c>
      <c r="P623" s="89" t="s">
        <v>6772</v>
      </c>
      <c r="Q623" s="89" t="e">
        <f t="shared" ca="1" si="9"/>
        <v>#NAME?</v>
      </c>
      <c r="R623" s="39" t="s">
        <v>112</v>
      </c>
      <c r="S623" s="105">
        <v>8179222576</v>
      </c>
      <c r="T623" s="90" t="s">
        <v>111</v>
      </c>
      <c r="U623" s="89">
        <v>1982</v>
      </c>
      <c r="V623" s="95">
        <v>-1</v>
      </c>
      <c r="W623" s="95">
        <v>-1</v>
      </c>
      <c r="X623" s="95">
        <v>-1</v>
      </c>
      <c r="Y623" s="95">
        <v>-1</v>
      </c>
      <c r="Z623" s="95">
        <v>-1</v>
      </c>
      <c r="AA623" s="95">
        <v>-1</v>
      </c>
      <c r="AB623" s="95">
        <v>-1</v>
      </c>
      <c r="AC623" s="95">
        <v>-1</v>
      </c>
      <c r="AD623" s="95">
        <v>-1</v>
      </c>
      <c r="AE623" s="95">
        <v>-1</v>
      </c>
      <c r="AF623" s="95">
        <v>-1</v>
      </c>
      <c r="AG623" s="95">
        <v>-1</v>
      </c>
      <c r="AH623" s="95">
        <v>-1</v>
      </c>
      <c r="AI623" s="95">
        <v>-1</v>
      </c>
      <c r="AJ623" s="89"/>
      <c r="AK623" s="89"/>
      <c r="AL623" s="89"/>
      <c r="AM623" s="89"/>
      <c r="AN623" s="89"/>
      <c r="AO623" s="89"/>
      <c r="AP623" s="89"/>
      <c r="AQ623" s="89"/>
      <c r="AR623" s="89"/>
      <c r="AS623" s="89"/>
      <c r="AT623" s="89"/>
      <c r="AU623" s="89"/>
      <c r="AV623" s="89"/>
      <c r="AW623" s="89"/>
      <c r="AX623" s="89"/>
      <c r="AY623" s="89"/>
      <c r="AZ623" s="89"/>
      <c r="BA623" s="89"/>
      <c r="BB623" s="89"/>
      <c r="BC623" s="89"/>
      <c r="BD623" s="89"/>
      <c r="BE623" s="89"/>
      <c r="BF623" s="89"/>
      <c r="BG623" s="89"/>
      <c r="BH623" s="89"/>
      <c r="BI623" s="89"/>
      <c r="BJ623" s="89"/>
      <c r="BK623" s="89"/>
      <c r="BL623" s="89"/>
      <c r="BM623" s="89"/>
      <c r="BN623" s="89"/>
      <c r="BO623" s="89"/>
      <c r="BP623" s="89"/>
      <c r="BQ623" s="89"/>
      <c r="BR623" s="89"/>
      <c r="BS623" s="89"/>
      <c r="BT623" s="89"/>
      <c r="BU623" s="89"/>
      <c r="BV623" s="89"/>
      <c r="BW623" s="89"/>
      <c r="BX623" s="89"/>
      <c r="BY623" s="89"/>
      <c r="BZ623" s="89"/>
      <c r="CA623" s="89"/>
      <c r="CB623" s="89"/>
      <c r="CC623" s="89"/>
      <c r="CD623" s="89"/>
      <c r="CE623" s="89"/>
      <c r="CF623" s="89"/>
      <c r="CG623" s="89"/>
      <c r="CH623" s="89"/>
      <c r="CI623" s="89"/>
      <c r="CJ623" s="89"/>
      <c r="CK623" s="89"/>
      <c r="CL623" s="89"/>
      <c r="CM623" s="89"/>
      <c r="CN623" s="89"/>
      <c r="CO623" s="89"/>
      <c r="CP623" s="89"/>
      <c r="CQ623" s="89"/>
      <c r="CR623" s="89"/>
      <c r="CS623" s="89"/>
      <c r="CT623" s="89"/>
      <c r="CU623" s="89"/>
      <c r="CV623" s="89"/>
      <c r="CW623" s="89"/>
      <c r="CX623" s="89"/>
      <c r="CY623" s="89"/>
      <c r="CZ623" s="98"/>
      <c r="DA623" s="98"/>
      <c r="DB623" s="98"/>
      <c r="DC623" s="98"/>
      <c r="DD623" s="98"/>
      <c r="DE623" s="98"/>
      <c r="DF623" s="98"/>
      <c r="DG623" s="98"/>
      <c r="DH623" s="98"/>
      <c r="DI623" s="98"/>
      <c r="DJ623" s="98"/>
      <c r="DK623" s="98"/>
      <c r="DL623" s="98"/>
      <c r="DM623" s="98"/>
      <c r="DN623" s="98"/>
      <c r="DO623" s="98"/>
      <c r="DP623" s="98"/>
      <c r="DQ623" s="98"/>
      <c r="DR623" s="98"/>
      <c r="DS623" s="98"/>
      <c r="DT623" s="98"/>
      <c r="DU623" s="98"/>
      <c r="DV623" s="98"/>
      <c r="DW623" s="98"/>
      <c r="DX623" s="98"/>
      <c r="DY623" s="98"/>
      <c r="DZ623" s="98"/>
      <c r="EA623" s="98"/>
      <c r="EB623" s="98"/>
      <c r="EC623" s="98"/>
      <c r="ED623" s="98"/>
    </row>
    <row r="624" spans="1:134" ht="11.25" customHeight="1" x14ac:dyDescent="0.3">
      <c r="A624" s="28" t="e">
        <f t="array" aca="1" ref="A624" ca="1">_xludf.XLOOKUP(S624,Master_Registrations!P:P,Master_Registrations!A:A,"")</f>
        <v>#NAME?</v>
      </c>
      <c r="B624" s="89" t="s">
        <v>182</v>
      </c>
      <c r="C624" s="89">
        <v>2025</v>
      </c>
      <c r="D624" s="89" t="s">
        <v>4886</v>
      </c>
      <c r="E624" s="89">
        <v>4</v>
      </c>
      <c r="F624" s="90" t="str">
        <f t="shared" si="8"/>
        <v>VED-01-2025-GR-4</v>
      </c>
      <c r="G624" s="89" t="s">
        <v>7078</v>
      </c>
      <c r="H624" s="89" t="s">
        <v>7108</v>
      </c>
      <c r="I624" s="89"/>
      <c r="J624" s="89" t="s">
        <v>7094</v>
      </c>
      <c r="K624" s="104">
        <v>-1</v>
      </c>
      <c r="L624" s="109"/>
      <c r="M624" s="109"/>
      <c r="N624" s="90" t="s">
        <v>7095</v>
      </c>
      <c r="O624" s="141" t="s">
        <v>2437</v>
      </c>
      <c r="P624" s="89" t="s">
        <v>2438</v>
      </c>
      <c r="Q624" s="89" t="e">
        <f t="shared" ca="1" si="9"/>
        <v>#NAME?</v>
      </c>
      <c r="R624" s="39" t="s">
        <v>112</v>
      </c>
      <c r="S624" s="105">
        <v>9989741993</v>
      </c>
      <c r="T624" s="90" t="s">
        <v>111</v>
      </c>
      <c r="U624" s="89">
        <v>1986</v>
      </c>
      <c r="V624" s="99">
        <v>-1</v>
      </c>
      <c r="W624" s="99">
        <v>-1</v>
      </c>
      <c r="X624" s="99">
        <v>-1</v>
      </c>
      <c r="Y624" s="99">
        <v>-1</v>
      </c>
      <c r="Z624" s="99">
        <v>-1</v>
      </c>
      <c r="AA624" s="99">
        <v>-1</v>
      </c>
      <c r="AB624" s="99">
        <v>-1</v>
      </c>
      <c r="AC624" s="95">
        <v>-1</v>
      </c>
      <c r="AD624" s="95">
        <v>-1</v>
      </c>
      <c r="AE624" s="99">
        <v>-1</v>
      </c>
      <c r="AF624" s="99">
        <v>-1</v>
      </c>
      <c r="AG624" s="99">
        <v>-1</v>
      </c>
      <c r="AH624" s="99">
        <v>-1</v>
      </c>
      <c r="AI624" s="95">
        <v>-1</v>
      </c>
      <c r="AJ624" s="89"/>
      <c r="AK624" s="89"/>
      <c r="AL624" s="89"/>
      <c r="AM624" s="89"/>
      <c r="AN624" s="89"/>
      <c r="AO624" s="89"/>
      <c r="AP624" s="89"/>
      <c r="AQ624" s="89"/>
      <c r="AR624" s="89"/>
      <c r="AS624" s="89"/>
      <c r="AT624" s="89"/>
      <c r="AU624" s="89"/>
      <c r="AV624" s="89"/>
      <c r="AW624" s="89"/>
      <c r="AX624" s="89"/>
      <c r="AY624" s="89"/>
      <c r="AZ624" s="89"/>
      <c r="BA624" s="89"/>
      <c r="BB624" s="89"/>
      <c r="BC624" s="89"/>
      <c r="BD624" s="89"/>
      <c r="BE624" s="89"/>
      <c r="BF624" s="89"/>
      <c r="BG624" s="89"/>
      <c r="BH624" s="89"/>
      <c r="BI624" s="89"/>
      <c r="BJ624" s="89"/>
      <c r="BK624" s="89"/>
      <c r="BL624" s="89"/>
      <c r="BM624" s="89"/>
      <c r="BN624" s="89"/>
      <c r="BO624" s="89"/>
      <c r="BP624" s="89"/>
      <c r="BQ624" s="89"/>
      <c r="BR624" s="89"/>
      <c r="BS624" s="89"/>
      <c r="BT624" s="89"/>
      <c r="BU624" s="89"/>
      <c r="BV624" s="89"/>
      <c r="BW624" s="89"/>
      <c r="BX624" s="89"/>
      <c r="BY624" s="89"/>
      <c r="BZ624" s="89"/>
      <c r="CA624" s="89"/>
      <c r="CB624" s="89"/>
      <c r="CC624" s="89"/>
      <c r="CD624" s="89"/>
      <c r="CE624" s="89"/>
      <c r="CF624" s="89"/>
      <c r="CG624" s="89"/>
      <c r="CH624" s="89"/>
      <c r="CI624" s="89"/>
      <c r="CJ624" s="89"/>
      <c r="CK624" s="89"/>
      <c r="CL624" s="89"/>
      <c r="CM624" s="89"/>
      <c r="CN624" s="89"/>
      <c r="CO624" s="89"/>
      <c r="CP624" s="89"/>
      <c r="CQ624" s="89"/>
      <c r="CR624" s="89"/>
      <c r="CS624" s="89"/>
      <c r="CT624" s="89"/>
      <c r="CU624" s="89"/>
      <c r="CV624" s="89"/>
      <c r="CW624" s="89"/>
      <c r="CX624" s="89"/>
      <c r="CY624" s="89"/>
      <c r="CZ624" s="98"/>
      <c r="DA624" s="98"/>
      <c r="DB624" s="98"/>
      <c r="DC624" s="98"/>
      <c r="DD624" s="98"/>
      <c r="DE624" s="98"/>
      <c r="DF624" s="98"/>
      <c r="DG624" s="98"/>
      <c r="DH624" s="98"/>
      <c r="DI624" s="98"/>
      <c r="DJ624" s="98"/>
      <c r="DK624" s="98"/>
      <c r="DL624" s="98"/>
      <c r="DM624" s="98"/>
      <c r="DN624" s="98"/>
      <c r="DO624" s="98"/>
      <c r="DP624" s="98"/>
      <c r="DQ624" s="98"/>
      <c r="DR624" s="98"/>
      <c r="DS624" s="98"/>
      <c r="DT624" s="98"/>
      <c r="DU624" s="98"/>
      <c r="DV624" s="98"/>
      <c r="DW624" s="98"/>
      <c r="DX624" s="98"/>
      <c r="DY624" s="98"/>
      <c r="DZ624" s="98"/>
      <c r="EA624" s="98"/>
      <c r="EB624" s="98"/>
      <c r="EC624" s="98"/>
      <c r="ED624" s="98"/>
    </row>
    <row r="625" spans="1:134" ht="11.25" customHeight="1" x14ac:dyDescent="0.3">
      <c r="A625" s="28" t="e">
        <f t="array" aca="1" ref="A625" ca="1">_xludf.XLOOKUP(S625,Master_Registrations!P:P,Master_Registrations!A:A,"")</f>
        <v>#NAME?</v>
      </c>
      <c r="B625" s="89" t="s">
        <v>182</v>
      </c>
      <c r="C625" s="89">
        <v>2025</v>
      </c>
      <c r="D625" s="89" t="s">
        <v>4886</v>
      </c>
      <c r="E625" s="89">
        <v>4</v>
      </c>
      <c r="F625" s="90" t="str">
        <f t="shared" si="8"/>
        <v>VED-01-2025-GR-4</v>
      </c>
      <c r="G625" s="89" t="s">
        <v>7078</v>
      </c>
      <c r="H625" s="89" t="s">
        <v>7108</v>
      </c>
      <c r="I625" s="89"/>
      <c r="J625" s="89" t="s">
        <v>7094</v>
      </c>
      <c r="K625" s="99"/>
      <c r="L625" s="99"/>
      <c r="M625" s="109"/>
      <c r="N625" s="90" t="s">
        <v>7095</v>
      </c>
      <c r="O625" s="89" t="s">
        <v>1611</v>
      </c>
      <c r="P625" s="89" t="s">
        <v>1612</v>
      </c>
      <c r="Q625" s="89" t="e">
        <f t="shared" ca="1" si="9"/>
        <v>#NAME?</v>
      </c>
      <c r="R625" s="39" t="s">
        <v>112</v>
      </c>
      <c r="S625" s="105">
        <v>7799341219</v>
      </c>
      <c r="T625" s="90" t="s">
        <v>111</v>
      </c>
      <c r="U625" s="89">
        <v>1987</v>
      </c>
      <c r="V625" s="95">
        <v>-1</v>
      </c>
      <c r="W625" s="95">
        <v>-1</v>
      </c>
      <c r="X625" s="95">
        <v>-1</v>
      </c>
      <c r="Y625" s="95">
        <v>-1</v>
      </c>
      <c r="Z625" s="95">
        <v>-1</v>
      </c>
      <c r="AA625" s="95">
        <v>-1</v>
      </c>
      <c r="AB625" s="95">
        <v>-1</v>
      </c>
      <c r="AC625" s="95">
        <v>-1</v>
      </c>
      <c r="AD625" s="95">
        <v>-1</v>
      </c>
      <c r="AE625" s="95">
        <v>-1</v>
      </c>
      <c r="AF625" s="95">
        <v>-1</v>
      </c>
      <c r="AG625" s="95">
        <v>-1</v>
      </c>
      <c r="AH625" s="95">
        <v>-1</v>
      </c>
      <c r="AI625" s="95">
        <v>-1</v>
      </c>
      <c r="AJ625" s="89"/>
      <c r="AK625" s="89"/>
      <c r="AL625" s="89"/>
      <c r="AM625" s="89"/>
      <c r="AN625" s="89"/>
      <c r="AO625" s="89"/>
      <c r="AP625" s="89"/>
      <c r="AQ625" s="89"/>
      <c r="AR625" s="89"/>
      <c r="AS625" s="89"/>
      <c r="AT625" s="89"/>
      <c r="AU625" s="89"/>
      <c r="AV625" s="89"/>
      <c r="AW625" s="89"/>
      <c r="AX625" s="89"/>
      <c r="AY625" s="89"/>
      <c r="AZ625" s="89"/>
      <c r="BA625" s="89"/>
      <c r="BB625" s="89"/>
      <c r="BC625" s="89"/>
      <c r="BD625" s="89"/>
      <c r="BE625" s="89"/>
      <c r="BF625" s="89"/>
      <c r="BG625" s="89"/>
      <c r="BH625" s="89"/>
      <c r="BI625" s="89"/>
      <c r="BJ625" s="89"/>
      <c r="BK625" s="89"/>
      <c r="BL625" s="89"/>
      <c r="BM625" s="89"/>
      <c r="BN625" s="89"/>
      <c r="BO625" s="89"/>
      <c r="BP625" s="89"/>
      <c r="BQ625" s="89"/>
      <c r="BR625" s="89"/>
      <c r="BS625" s="89"/>
      <c r="BT625" s="89"/>
      <c r="BU625" s="89"/>
      <c r="BV625" s="89"/>
      <c r="BW625" s="89"/>
      <c r="BX625" s="89"/>
      <c r="BY625" s="89"/>
      <c r="BZ625" s="89"/>
      <c r="CA625" s="89"/>
      <c r="CB625" s="89"/>
      <c r="CC625" s="89"/>
      <c r="CD625" s="89"/>
      <c r="CE625" s="89"/>
      <c r="CF625" s="89"/>
      <c r="CG625" s="89"/>
      <c r="CH625" s="89"/>
      <c r="CI625" s="89"/>
      <c r="CJ625" s="89"/>
      <c r="CK625" s="89"/>
      <c r="CL625" s="89"/>
      <c r="CM625" s="89"/>
      <c r="CN625" s="89"/>
      <c r="CO625" s="89"/>
      <c r="CP625" s="89"/>
      <c r="CQ625" s="89"/>
      <c r="CR625" s="89"/>
      <c r="CS625" s="89"/>
      <c r="CT625" s="89"/>
      <c r="CU625" s="89"/>
      <c r="CV625" s="89"/>
      <c r="CW625" s="89"/>
      <c r="CX625" s="89"/>
      <c r="CY625" s="89"/>
      <c r="CZ625" s="98"/>
      <c r="DA625" s="98"/>
      <c r="DB625" s="98"/>
      <c r="DC625" s="98"/>
      <c r="DD625" s="98"/>
      <c r="DE625" s="98"/>
      <c r="DF625" s="98"/>
      <c r="DG625" s="98"/>
      <c r="DH625" s="98"/>
      <c r="DI625" s="98"/>
      <c r="DJ625" s="98"/>
      <c r="DK625" s="98"/>
      <c r="DL625" s="98"/>
      <c r="DM625" s="98"/>
      <c r="DN625" s="98"/>
      <c r="DO625" s="98"/>
      <c r="DP625" s="98"/>
      <c r="DQ625" s="98"/>
      <c r="DR625" s="98"/>
      <c r="DS625" s="98"/>
      <c r="DT625" s="98"/>
      <c r="DU625" s="98"/>
      <c r="DV625" s="98"/>
      <c r="DW625" s="98"/>
      <c r="DX625" s="98"/>
      <c r="DY625" s="98"/>
      <c r="DZ625" s="98"/>
      <c r="EA625" s="98"/>
      <c r="EB625" s="98"/>
      <c r="EC625" s="98"/>
      <c r="ED625" s="98"/>
    </row>
    <row r="626" spans="1:134" ht="11.25" customHeight="1" x14ac:dyDescent="0.3">
      <c r="A626" s="28" t="e">
        <f t="array" aca="1" ref="A626" ca="1">_xludf.XLOOKUP(S626,Master_Registrations!P:P,Master_Registrations!A:A,"")</f>
        <v>#NAME?</v>
      </c>
      <c r="B626" s="89" t="s">
        <v>182</v>
      </c>
      <c r="C626" s="89">
        <v>2025</v>
      </c>
      <c r="D626" s="89" t="s">
        <v>4886</v>
      </c>
      <c r="E626" s="89">
        <v>4</v>
      </c>
      <c r="F626" s="90" t="str">
        <f t="shared" si="8"/>
        <v>VED-01-2025-GR-4</v>
      </c>
      <c r="G626" s="89" t="s">
        <v>7078</v>
      </c>
      <c r="H626" s="89" t="s">
        <v>7108</v>
      </c>
      <c r="I626" s="89"/>
      <c r="J626" s="89" t="s">
        <v>7094</v>
      </c>
      <c r="K626" s="104">
        <v>-1</v>
      </c>
      <c r="L626" s="109"/>
      <c r="M626" s="109"/>
      <c r="N626" s="90" t="s">
        <v>7095</v>
      </c>
      <c r="O626" s="89" t="s">
        <v>2755</v>
      </c>
      <c r="P626" s="89" t="s">
        <v>2756</v>
      </c>
      <c r="Q626" s="89" t="e">
        <f t="shared" ca="1" si="9"/>
        <v>#NAME?</v>
      </c>
      <c r="R626" s="39" t="s">
        <v>112</v>
      </c>
      <c r="S626" s="105">
        <v>9886884528</v>
      </c>
      <c r="T626" s="90" t="s">
        <v>111</v>
      </c>
      <c r="U626" s="89">
        <v>1986</v>
      </c>
      <c r="V626" s="99">
        <v>-1</v>
      </c>
      <c r="W626" s="99">
        <v>-1</v>
      </c>
      <c r="X626" s="99">
        <v>-1</v>
      </c>
      <c r="Y626" s="99">
        <v>-1</v>
      </c>
      <c r="Z626" s="99">
        <v>-1</v>
      </c>
      <c r="AA626" s="99">
        <v>-1</v>
      </c>
      <c r="AB626" s="99">
        <v>-1</v>
      </c>
      <c r="AC626" s="95">
        <v>-1</v>
      </c>
      <c r="AD626" s="95">
        <v>-1</v>
      </c>
      <c r="AE626" s="99">
        <v>-1</v>
      </c>
      <c r="AF626" s="99">
        <v>-1</v>
      </c>
      <c r="AG626" s="99">
        <v>-1</v>
      </c>
      <c r="AH626" s="99">
        <v>-1</v>
      </c>
      <c r="AI626" s="95">
        <v>-1</v>
      </c>
      <c r="AJ626" s="89"/>
      <c r="AK626" s="89"/>
      <c r="AL626" s="89"/>
      <c r="AM626" s="89"/>
      <c r="AN626" s="89"/>
      <c r="AO626" s="89"/>
      <c r="AP626" s="89"/>
      <c r="AQ626" s="89"/>
      <c r="AR626" s="89"/>
      <c r="AS626" s="89"/>
      <c r="AT626" s="89"/>
      <c r="AU626" s="89"/>
      <c r="AV626" s="89"/>
      <c r="AW626" s="89"/>
      <c r="AX626" s="89"/>
      <c r="AY626" s="89"/>
      <c r="AZ626" s="89"/>
      <c r="BA626" s="89"/>
      <c r="BB626" s="89"/>
      <c r="BC626" s="89"/>
      <c r="BD626" s="89"/>
      <c r="BE626" s="89"/>
      <c r="BF626" s="89"/>
      <c r="BG626" s="89"/>
      <c r="BH626" s="89"/>
      <c r="BI626" s="89"/>
      <c r="BJ626" s="89"/>
      <c r="BK626" s="89"/>
      <c r="BL626" s="89"/>
      <c r="BM626" s="89"/>
      <c r="BN626" s="89"/>
      <c r="BO626" s="89"/>
      <c r="BP626" s="89"/>
      <c r="BQ626" s="89"/>
      <c r="BR626" s="89"/>
      <c r="BS626" s="89"/>
      <c r="BT626" s="89"/>
      <c r="BU626" s="89"/>
      <c r="BV626" s="89"/>
      <c r="BW626" s="89"/>
      <c r="BX626" s="89"/>
      <c r="BY626" s="89"/>
      <c r="BZ626" s="89"/>
      <c r="CA626" s="89"/>
      <c r="CB626" s="89"/>
      <c r="CC626" s="89"/>
      <c r="CD626" s="89"/>
      <c r="CE626" s="89"/>
      <c r="CF626" s="89"/>
      <c r="CG626" s="89"/>
      <c r="CH626" s="89"/>
      <c r="CI626" s="89"/>
      <c r="CJ626" s="89"/>
      <c r="CK626" s="89"/>
      <c r="CL626" s="89"/>
      <c r="CM626" s="89"/>
      <c r="CN626" s="89"/>
      <c r="CO626" s="89"/>
      <c r="CP626" s="89"/>
      <c r="CQ626" s="89"/>
      <c r="CR626" s="89"/>
      <c r="CS626" s="89"/>
      <c r="CT626" s="89"/>
      <c r="CU626" s="89"/>
      <c r="CV626" s="89"/>
      <c r="CW626" s="89"/>
      <c r="CX626" s="89"/>
      <c r="CY626" s="89"/>
      <c r="CZ626" s="98"/>
      <c r="DA626" s="98"/>
      <c r="DB626" s="98"/>
      <c r="DC626" s="98"/>
      <c r="DD626" s="98"/>
      <c r="DE626" s="98"/>
      <c r="DF626" s="98"/>
      <c r="DG626" s="98"/>
      <c r="DH626" s="98"/>
      <c r="DI626" s="98"/>
      <c r="DJ626" s="98"/>
      <c r="DK626" s="98"/>
      <c r="DL626" s="98"/>
      <c r="DM626" s="98"/>
      <c r="DN626" s="98"/>
      <c r="DO626" s="98"/>
      <c r="DP626" s="98"/>
      <c r="DQ626" s="98"/>
      <c r="DR626" s="98"/>
      <c r="DS626" s="98"/>
      <c r="DT626" s="98"/>
      <c r="DU626" s="98"/>
      <c r="DV626" s="98"/>
      <c r="DW626" s="98"/>
      <c r="DX626" s="98"/>
      <c r="DY626" s="98"/>
      <c r="DZ626" s="98"/>
      <c r="EA626" s="98"/>
      <c r="EB626" s="98"/>
      <c r="EC626" s="98"/>
      <c r="ED626" s="98"/>
    </row>
    <row r="627" spans="1:134" ht="11.25" customHeight="1" x14ac:dyDescent="0.3">
      <c r="A627" s="28" t="e">
        <f t="array" aca="1" ref="A627" ca="1">_xludf.XLOOKUP(S627,Master_Registrations!P:P,Master_Registrations!A:A,"")</f>
        <v>#NAME?</v>
      </c>
      <c r="B627" s="89" t="s">
        <v>182</v>
      </c>
      <c r="C627" s="89">
        <v>2025</v>
      </c>
      <c r="D627" s="89" t="s">
        <v>4886</v>
      </c>
      <c r="E627" s="89">
        <v>4</v>
      </c>
      <c r="F627" s="90" t="str">
        <f t="shared" si="8"/>
        <v>VED-01-2025-GR-4</v>
      </c>
      <c r="G627" s="89" t="s">
        <v>7078</v>
      </c>
      <c r="H627" s="89" t="s">
        <v>7108</v>
      </c>
      <c r="I627" s="89"/>
      <c r="J627" s="89" t="s">
        <v>7094</v>
      </c>
      <c r="K627" s="109"/>
      <c r="L627" s="109"/>
      <c r="M627" s="109"/>
      <c r="N627" s="90" t="s">
        <v>7095</v>
      </c>
      <c r="O627" s="89" t="s">
        <v>2500</v>
      </c>
      <c r="P627" s="89" t="s">
        <v>281</v>
      </c>
      <c r="Q627" s="89" t="e">
        <f t="shared" ca="1" si="9"/>
        <v>#NAME?</v>
      </c>
      <c r="R627" s="89">
        <v>31</v>
      </c>
      <c r="S627" s="105">
        <v>683024238</v>
      </c>
      <c r="T627" s="90" t="s">
        <v>260</v>
      </c>
      <c r="U627" s="89">
        <v>1963</v>
      </c>
      <c r="V627" s="99">
        <v>-1</v>
      </c>
      <c r="W627" s="99">
        <v>-1</v>
      </c>
      <c r="X627" s="99">
        <v>-1</v>
      </c>
      <c r="Y627" s="99">
        <v>-1</v>
      </c>
      <c r="Z627" s="99">
        <v>-1</v>
      </c>
      <c r="AA627" s="99">
        <v>-1</v>
      </c>
      <c r="AB627" s="99">
        <v>-1</v>
      </c>
      <c r="AC627" s="95">
        <v>-1</v>
      </c>
      <c r="AD627" s="95">
        <v>-1</v>
      </c>
      <c r="AE627" s="99">
        <v>-1</v>
      </c>
      <c r="AF627" s="99">
        <v>-1</v>
      </c>
      <c r="AG627" s="99">
        <v>-1</v>
      </c>
      <c r="AH627" s="99">
        <v>-1</v>
      </c>
      <c r="AI627" s="95">
        <v>-1</v>
      </c>
      <c r="AJ627" s="89"/>
      <c r="AK627" s="89"/>
      <c r="AL627" s="89"/>
      <c r="AM627" s="89"/>
      <c r="AN627" s="89"/>
      <c r="AO627" s="89"/>
      <c r="AP627" s="89"/>
      <c r="AQ627" s="89"/>
      <c r="AR627" s="89"/>
      <c r="AS627" s="89"/>
      <c r="AT627" s="89"/>
      <c r="AU627" s="89"/>
      <c r="AV627" s="89"/>
      <c r="AW627" s="89"/>
      <c r="AX627" s="89"/>
      <c r="AY627" s="89"/>
      <c r="AZ627" s="89"/>
      <c r="BA627" s="89"/>
      <c r="BB627" s="89"/>
      <c r="BC627" s="89"/>
      <c r="BD627" s="89"/>
      <c r="BE627" s="89"/>
      <c r="BF627" s="89"/>
      <c r="BG627" s="89"/>
      <c r="BH627" s="89"/>
      <c r="BI627" s="89"/>
      <c r="BJ627" s="89"/>
      <c r="BK627" s="89"/>
      <c r="BL627" s="89"/>
      <c r="BM627" s="89"/>
      <c r="BN627" s="89"/>
      <c r="BO627" s="89"/>
      <c r="BP627" s="89"/>
      <c r="BQ627" s="89"/>
      <c r="BR627" s="89"/>
      <c r="BS627" s="89"/>
      <c r="BT627" s="89"/>
      <c r="BU627" s="89"/>
      <c r="BV627" s="89"/>
      <c r="BW627" s="89"/>
      <c r="BX627" s="89"/>
      <c r="BY627" s="89"/>
      <c r="BZ627" s="89"/>
      <c r="CA627" s="89"/>
      <c r="CB627" s="89"/>
      <c r="CC627" s="89"/>
      <c r="CD627" s="89"/>
      <c r="CE627" s="89"/>
      <c r="CF627" s="89"/>
      <c r="CG627" s="89"/>
      <c r="CH627" s="89"/>
      <c r="CI627" s="89"/>
      <c r="CJ627" s="89"/>
      <c r="CK627" s="89"/>
      <c r="CL627" s="89"/>
      <c r="CM627" s="89"/>
      <c r="CN627" s="89"/>
      <c r="CO627" s="89"/>
      <c r="CP627" s="89"/>
      <c r="CQ627" s="89"/>
      <c r="CR627" s="89"/>
      <c r="CS627" s="89"/>
      <c r="CT627" s="89"/>
      <c r="CU627" s="89"/>
      <c r="CV627" s="89"/>
      <c r="CW627" s="89"/>
      <c r="CX627" s="89"/>
      <c r="CY627" s="89"/>
      <c r="CZ627" s="98"/>
      <c r="DA627" s="98"/>
      <c r="DB627" s="98"/>
      <c r="DC627" s="98"/>
      <c r="DD627" s="98"/>
      <c r="DE627" s="98"/>
      <c r="DF627" s="98"/>
      <c r="DG627" s="98"/>
      <c r="DH627" s="98"/>
      <c r="DI627" s="98"/>
      <c r="DJ627" s="98"/>
      <c r="DK627" s="98"/>
      <c r="DL627" s="98"/>
      <c r="DM627" s="98"/>
      <c r="DN627" s="98"/>
      <c r="DO627" s="98"/>
      <c r="DP627" s="98"/>
      <c r="DQ627" s="98"/>
      <c r="DR627" s="98"/>
      <c r="DS627" s="98"/>
      <c r="DT627" s="98"/>
      <c r="DU627" s="98"/>
      <c r="DV627" s="98"/>
      <c r="DW627" s="98"/>
      <c r="DX627" s="98"/>
      <c r="DY627" s="98"/>
      <c r="DZ627" s="98"/>
      <c r="EA627" s="98"/>
      <c r="EB627" s="98"/>
      <c r="EC627" s="98"/>
      <c r="ED627" s="98"/>
    </row>
    <row r="628" spans="1:134" ht="11.25" customHeight="1" x14ac:dyDescent="0.3">
      <c r="A628" s="28" t="e">
        <f t="array" aca="1" ref="A628" ca="1">_xludf.XLOOKUP(S628,Master_Registrations!P:P,Master_Registrations!A:A,"")</f>
        <v>#NAME?</v>
      </c>
      <c r="B628" s="89" t="s">
        <v>182</v>
      </c>
      <c r="C628" s="89">
        <v>2025</v>
      </c>
      <c r="D628" s="89" t="s">
        <v>4886</v>
      </c>
      <c r="E628" s="89">
        <v>4</v>
      </c>
      <c r="F628" s="90" t="str">
        <f t="shared" si="8"/>
        <v>VED-01-2025-GR-4</v>
      </c>
      <c r="G628" s="89" t="s">
        <v>7078</v>
      </c>
      <c r="H628" s="89" t="s">
        <v>7108</v>
      </c>
      <c r="I628" s="89"/>
      <c r="J628" s="89" t="s">
        <v>7094</v>
      </c>
      <c r="K628" s="109"/>
      <c r="L628" s="109"/>
      <c r="M628" s="109"/>
      <c r="N628" s="90" t="s">
        <v>7095</v>
      </c>
      <c r="O628" s="89" t="s">
        <v>172</v>
      </c>
      <c r="P628" s="89" t="s">
        <v>173</v>
      </c>
      <c r="Q628" s="89" t="e">
        <f t="shared" ca="1" si="9"/>
        <v>#NAME?</v>
      </c>
      <c r="R628" s="39" t="s">
        <v>112</v>
      </c>
      <c r="S628" s="105">
        <v>9182062337</v>
      </c>
      <c r="T628" s="90" t="s">
        <v>111</v>
      </c>
      <c r="U628" s="89">
        <v>1981</v>
      </c>
      <c r="V628" s="99">
        <v>-1</v>
      </c>
      <c r="W628" s="99">
        <v>-1</v>
      </c>
      <c r="X628" s="99">
        <v>-1</v>
      </c>
      <c r="Y628" s="99">
        <v>-1</v>
      </c>
      <c r="Z628" s="99">
        <v>1</v>
      </c>
      <c r="AA628" s="99">
        <v>1</v>
      </c>
      <c r="AB628" s="99">
        <v>-1</v>
      </c>
      <c r="AC628" s="95">
        <v>-1</v>
      </c>
      <c r="AD628" s="95">
        <v>-1</v>
      </c>
      <c r="AE628" s="99">
        <v>-1</v>
      </c>
      <c r="AF628" s="99">
        <v>-1</v>
      </c>
      <c r="AG628" s="99">
        <v>-1</v>
      </c>
      <c r="AH628" s="99">
        <v>-1</v>
      </c>
      <c r="AI628" s="95">
        <v>-1</v>
      </c>
      <c r="AJ628" s="89"/>
      <c r="AK628" s="89"/>
      <c r="AL628" s="89"/>
      <c r="AM628" s="89"/>
      <c r="AN628" s="89"/>
      <c r="AO628" s="89"/>
      <c r="AP628" s="89"/>
      <c r="AQ628" s="89"/>
      <c r="AR628" s="89"/>
      <c r="AS628" s="89"/>
      <c r="AT628" s="89"/>
      <c r="AU628" s="89"/>
      <c r="AV628" s="89"/>
      <c r="AW628" s="89"/>
      <c r="AX628" s="89"/>
      <c r="AY628" s="89"/>
      <c r="AZ628" s="89"/>
      <c r="BA628" s="89"/>
      <c r="BB628" s="89"/>
      <c r="BC628" s="89"/>
      <c r="BD628" s="89"/>
      <c r="BE628" s="89"/>
      <c r="BF628" s="89"/>
      <c r="BG628" s="89"/>
      <c r="BH628" s="89"/>
      <c r="BI628" s="89"/>
      <c r="BJ628" s="89"/>
      <c r="BK628" s="89"/>
      <c r="BL628" s="89"/>
      <c r="BM628" s="89"/>
      <c r="BN628" s="89"/>
      <c r="BO628" s="89"/>
      <c r="BP628" s="89"/>
      <c r="BQ628" s="89"/>
      <c r="BR628" s="89"/>
      <c r="BS628" s="89"/>
      <c r="BT628" s="89"/>
      <c r="BU628" s="89"/>
      <c r="BV628" s="89"/>
      <c r="BW628" s="89"/>
      <c r="BX628" s="89"/>
      <c r="BY628" s="89"/>
      <c r="BZ628" s="89"/>
      <c r="CA628" s="89"/>
      <c r="CB628" s="89"/>
      <c r="CC628" s="89"/>
      <c r="CD628" s="89"/>
      <c r="CE628" s="89"/>
      <c r="CF628" s="89"/>
      <c r="CG628" s="89"/>
      <c r="CH628" s="89"/>
      <c r="CI628" s="89"/>
      <c r="CJ628" s="89"/>
      <c r="CK628" s="89"/>
      <c r="CL628" s="89"/>
      <c r="CM628" s="89"/>
      <c r="CN628" s="89"/>
      <c r="CO628" s="89"/>
      <c r="CP628" s="89"/>
      <c r="CQ628" s="89"/>
      <c r="CR628" s="89"/>
      <c r="CS628" s="89"/>
      <c r="CT628" s="89"/>
      <c r="CU628" s="89"/>
      <c r="CV628" s="89"/>
      <c r="CW628" s="89"/>
      <c r="CX628" s="89"/>
      <c r="CY628" s="89"/>
      <c r="CZ628" s="98"/>
      <c r="DA628" s="98"/>
      <c r="DB628" s="98"/>
      <c r="DC628" s="98"/>
      <c r="DD628" s="98"/>
      <c r="DE628" s="98"/>
      <c r="DF628" s="98"/>
      <c r="DG628" s="98"/>
      <c r="DH628" s="98"/>
      <c r="DI628" s="98"/>
      <c r="DJ628" s="98"/>
      <c r="DK628" s="98"/>
      <c r="DL628" s="98"/>
      <c r="DM628" s="98"/>
      <c r="DN628" s="98"/>
      <c r="DO628" s="98"/>
      <c r="DP628" s="98"/>
      <c r="DQ628" s="98"/>
      <c r="DR628" s="98"/>
      <c r="DS628" s="98"/>
      <c r="DT628" s="98"/>
      <c r="DU628" s="98"/>
      <c r="DV628" s="98"/>
      <c r="DW628" s="98"/>
      <c r="DX628" s="98"/>
      <c r="DY628" s="98"/>
      <c r="DZ628" s="98"/>
      <c r="EA628" s="98"/>
      <c r="EB628" s="98"/>
      <c r="EC628" s="98"/>
      <c r="ED628" s="98"/>
    </row>
    <row r="629" spans="1:134" ht="11.25" customHeight="1" x14ac:dyDescent="0.3">
      <c r="A629" s="28" t="e">
        <f t="array" aca="1" ref="A629" ca="1">_xludf.XLOOKUP(S629,Master_Registrations!P:P,Master_Registrations!A:A,"")</f>
        <v>#NAME?</v>
      </c>
      <c r="B629" s="89" t="s">
        <v>182</v>
      </c>
      <c r="C629" s="89">
        <v>2025</v>
      </c>
      <c r="D629" s="89" t="s">
        <v>4886</v>
      </c>
      <c r="E629" s="89">
        <v>4</v>
      </c>
      <c r="F629" s="90" t="str">
        <f t="shared" si="8"/>
        <v>VED-01-2025-GR-4</v>
      </c>
      <c r="G629" s="89" t="s">
        <v>7078</v>
      </c>
      <c r="H629" s="89" t="s">
        <v>7108</v>
      </c>
      <c r="I629" s="89"/>
      <c r="J629" s="89" t="s">
        <v>7094</v>
      </c>
      <c r="K629" s="109"/>
      <c r="L629" s="109"/>
      <c r="M629" s="109"/>
      <c r="N629" s="90" t="s">
        <v>7095</v>
      </c>
      <c r="O629" s="89" t="s">
        <v>2484</v>
      </c>
      <c r="P629" s="89" t="s">
        <v>2485</v>
      </c>
      <c r="Q629" s="89" t="e">
        <f t="shared" ca="1" si="9"/>
        <v>#NAME?</v>
      </c>
      <c r="R629" s="39" t="s">
        <v>112</v>
      </c>
      <c r="S629" s="105">
        <v>9440225443</v>
      </c>
      <c r="T629" s="90" t="s">
        <v>111</v>
      </c>
      <c r="U629" s="89">
        <v>1960</v>
      </c>
      <c r="V629" s="99">
        <v>-1</v>
      </c>
      <c r="W629" s="99">
        <v>-1</v>
      </c>
      <c r="X629" s="99">
        <v>1</v>
      </c>
      <c r="Y629" s="99">
        <v>1</v>
      </c>
      <c r="Z629" s="99">
        <v>-1</v>
      </c>
      <c r="AA629" s="99">
        <v>-1</v>
      </c>
      <c r="AB629" s="99">
        <v>-1</v>
      </c>
      <c r="AC629" s="95">
        <v>-1</v>
      </c>
      <c r="AD629" s="95">
        <v>-1</v>
      </c>
      <c r="AE629" s="99">
        <v>-1</v>
      </c>
      <c r="AF629" s="99">
        <v>-1</v>
      </c>
      <c r="AG629" s="99">
        <v>-1</v>
      </c>
      <c r="AH629" s="99">
        <v>-1</v>
      </c>
      <c r="AI629" s="95">
        <v>-1</v>
      </c>
      <c r="AJ629" s="89"/>
      <c r="AK629" s="89"/>
      <c r="AL629" s="89"/>
      <c r="AM629" s="89"/>
      <c r="AN629" s="89"/>
      <c r="AO629" s="89"/>
      <c r="AP629" s="89"/>
      <c r="AQ629" s="89"/>
      <c r="AR629" s="89"/>
      <c r="AS629" s="89"/>
      <c r="AT629" s="89"/>
      <c r="AU629" s="89"/>
      <c r="AV629" s="89"/>
      <c r="AW629" s="89"/>
      <c r="AX629" s="89"/>
      <c r="AY629" s="89"/>
      <c r="AZ629" s="89"/>
      <c r="BA629" s="89"/>
      <c r="BB629" s="89"/>
      <c r="BC629" s="89"/>
      <c r="BD629" s="89"/>
      <c r="BE629" s="89"/>
      <c r="BF629" s="89"/>
      <c r="BG629" s="89"/>
      <c r="BH629" s="89"/>
      <c r="BI629" s="89"/>
      <c r="BJ629" s="89"/>
      <c r="BK629" s="89"/>
      <c r="BL629" s="89"/>
      <c r="BM629" s="89"/>
      <c r="BN629" s="89"/>
      <c r="BO629" s="89"/>
      <c r="BP629" s="89"/>
      <c r="BQ629" s="89"/>
      <c r="BR629" s="89"/>
      <c r="BS629" s="89"/>
      <c r="BT629" s="89"/>
      <c r="BU629" s="89"/>
      <c r="BV629" s="89"/>
      <c r="BW629" s="89"/>
      <c r="BX629" s="89"/>
      <c r="BY629" s="89"/>
      <c r="BZ629" s="89"/>
      <c r="CA629" s="89"/>
      <c r="CB629" s="89"/>
      <c r="CC629" s="89"/>
      <c r="CD629" s="89"/>
      <c r="CE629" s="89"/>
      <c r="CF629" s="89"/>
      <c r="CG629" s="89"/>
      <c r="CH629" s="89"/>
      <c r="CI629" s="89"/>
      <c r="CJ629" s="89"/>
      <c r="CK629" s="89"/>
      <c r="CL629" s="89"/>
      <c r="CM629" s="89"/>
      <c r="CN629" s="89"/>
      <c r="CO629" s="89"/>
      <c r="CP629" s="89"/>
      <c r="CQ629" s="89"/>
      <c r="CR629" s="89"/>
      <c r="CS629" s="89"/>
      <c r="CT629" s="89"/>
      <c r="CU629" s="89"/>
      <c r="CV629" s="89"/>
      <c r="CW629" s="89"/>
      <c r="CX629" s="89"/>
      <c r="CY629" s="89"/>
      <c r="CZ629" s="98"/>
      <c r="DA629" s="98"/>
      <c r="DB629" s="98"/>
      <c r="DC629" s="98"/>
      <c r="DD629" s="98"/>
      <c r="DE629" s="98"/>
      <c r="DF629" s="98"/>
      <c r="DG629" s="98"/>
      <c r="DH629" s="98"/>
      <c r="DI629" s="98"/>
      <c r="DJ629" s="98"/>
      <c r="DK629" s="98"/>
      <c r="DL629" s="98"/>
      <c r="DM629" s="98"/>
      <c r="DN629" s="98"/>
      <c r="DO629" s="98"/>
      <c r="DP629" s="98"/>
      <c r="DQ629" s="98"/>
      <c r="DR629" s="98"/>
      <c r="DS629" s="98"/>
      <c r="DT629" s="98"/>
      <c r="DU629" s="98"/>
      <c r="DV629" s="98"/>
      <c r="DW629" s="98"/>
      <c r="DX629" s="98"/>
      <c r="DY629" s="98"/>
      <c r="DZ629" s="98"/>
      <c r="EA629" s="98"/>
      <c r="EB629" s="98"/>
      <c r="EC629" s="98"/>
      <c r="ED629" s="98"/>
    </row>
    <row r="630" spans="1:134" ht="11.25" customHeight="1" x14ac:dyDescent="0.3">
      <c r="A630" s="28" t="e">
        <f t="array" aca="1" ref="A630" ca="1">_xludf.XLOOKUP(S630,Master_Registrations!P:P,Master_Registrations!A:A,"")</f>
        <v>#NAME?</v>
      </c>
      <c r="B630" s="89" t="s">
        <v>182</v>
      </c>
      <c r="C630" s="89">
        <v>2025</v>
      </c>
      <c r="D630" s="89" t="s">
        <v>4886</v>
      </c>
      <c r="E630" s="89">
        <v>4</v>
      </c>
      <c r="F630" s="90" t="str">
        <f t="shared" si="8"/>
        <v>VED-01-2025-GR-4</v>
      </c>
      <c r="G630" s="89" t="s">
        <v>7078</v>
      </c>
      <c r="H630" s="89" t="s">
        <v>7108</v>
      </c>
      <c r="I630" s="89"/>
      <c r="J630" s="89" t="s">
        <v>7094</v>
      </c>
      <c r="K630" s="109"/>
      <c r="L630" s="109"/>
      <c r="M630" s="109"/>
      <c r="N630" s="90" t="s">
        <v>7095</v>
      </c>
      <c r="O630" s="89" t="s">
        <v>2320</v>
      </c>
      <c r="P630" s="89" t="s">
        <v>6820</v>
      </c>
      <c r="Q630" s="89" t="e">
        <f t="shared" ca="1" si="9"/>
        <v>#NAME?</v>
      </c>
      <c r="R630" s="39" t="s">
        <v>112</v>
      </c>
      <c r="S630" s="105">
        <v>9440761912</v>
      </c>
      <c r="T630" s="90" t="s">
        <v>111</v>
      </c>
      <c r="U630" s="89">
        <v>1959</v>
      </c>
      <c r="V630" s="99">
        <v>-1</v>
      </c>
      <c r="W630" s="99">
        <v>-1</v>
      </c>
      <c r="X630" s="99">
        <v>-1</v>
      </c>
      <c r="Y630" s="99">
        <v>-1</v>
      </c>
      <c r="Z630" s="99">
        <v>-1</v>
      </c>
      <c r="AA630" s="99">
        <v>-1</v>
      </c>
      <c r="AB630" s="99">
        <v>-1</v>
      </c>
      <c r="AC630" s="95">
        <v>-1</v>
      </c>
      <c r="AD630" s="95">
        <v>-1</v>
      </c>
      <c r="AE630" s="99">
        <v>-1</v>
      </c>
      <c r="AF630" s="99">
        <v>-1</v>
      </c>
      <c r="AG630" s="99">
        <v>-1</v>
      </c>
      <c r="AH630" s="99">
        <v>-1</v>
      </c>
      <c r="AI630" s="95">
        <v>-1</v>
      </c>
      <c r="AJ630" s="89"/>
      <c r="AK630" s="89"/>
      <c r="AL630" s="89"/>
      <c r="AM630" s="89"/>
      <c r="AN630" s="89"/>
      <c r="AO630" s="89"/>
      <c r="AP630" s="89"/>
      <c r="AQ630" s="89"/>
      <c r="AR630" s="89"/>
      <c r="AS630" s="89"/>
      <c r="AT630" s="89"/>
      <c r="AU630" s="89"/>
      <c r="AV630" s="89"/>
      <c r="AW630" s="89"/>
      <c r="AX630" s="89"/>
      <c r="AY630" s="89"/>
      <c r="AZ630" s="89"/>
      <c r="BA630" s="89"/>
      <c r="BB630" s="89"/>
      <c r="BC630" s="89"/>
      <c r="BD630" s="89"/>
      <c r="BE630" s="89"/>
      <c r="BF630" s="89"/>
      <c r="BG630" s="89"/>
      <c r="BH630" s="89"/>
      <c r="BI630" s="89"/>
      <c r="BJ630" s="89"/>
      <c r="BK630" s="89"/>
      <c r="BL630" s="89"/>
      <c r="BM630" s="89"/>
      <c r="BN630" s="89"/>
      <c r="BO630" s="89"/>
      <c r="BP630" s="89"/>
      <c r="BQ630" s="89"/>
      <c r="BR630" s="89"/>
      <c r="BS630" s="89"/>
      <c r="BT630" s="89"/>
      <c r="BU630" s="89"/>
      <c r="BV630" s="89"/>
      <c r="BW630" s="89"/>
      <c r="BX630" s="89"/>
      <c r="BY630" s="89"/>
      <c r="BZ630" s="89"/>
      <c r="CA630" s="89"/>
      <c r="CB630" s="89"/>
      <c r="CC630" s="89"/>
      <c r="CD630" s="89"/>
      <c r="CE630" s="89"/>
      <c r="CF630" s="89"/>
      <c r="CG630" s="89"/>
      <c r="CH630" s="89"/>
      <c r="CI630" s="89"/>
      <c r="CJ630" s="89"/>
      <c r="CK630" s="89"/>
      <c r="CL630" s="89"/>
      <c r="CM630" s="89"/>
      <c r="CN630" s="89"/>
      <c r="CO630" s="89"/>
      <c r="CP630" s="89"/>
      <c r="CQ630" s="89"/>
      <c r="CR630" s="89"/>
      <c r="CS630" s="89"/>
      <c r="CT630" s="89"/>
      <c r="CU630" s="89"/>
      <c r="CV630" s="89"/>
      <c r="CW630" s="89"/>
      <c r="CX630" s="89"/>
      <c r="CY630" s="89"/>
      <c r="CZ630" s="98"/>
      <c r="DA630" s="98"/>
      <c r="DB630" s="98"/>
      <c r="DC630" s="98"/>
      <c r="DD630" s="98"/>
      <c r="DE630" s="98"/>
      <c r="DF630" s="98"/>
      <c r="DG630" s="98"/>
      <c r="DH630" s="98"/>
      <c r="DI630" s="98"/>
      <c r="DJ630" s="98"/>
      <c r="DK630" s="98"/>
      <c r="DL630" s="98"/>
      <c r="DM630" s="98"/>
      <c r="DN630" s="98"/>
      <c r="DO630" s="98"/>
      <c r="DP630" s="98"/>
      <c r="DQ630" s="98"/>
      <c r="DR630" s="98"/>
      <c r="DS630" s="98"/>
      <c r="DT630" s="98"/>
      <c r="DU630" s="98"/>
      <c r="DV630" s="98"/>
      <c r="DW630" s="98"/>
      <c r="DX630" s="98"/>
      <c r="DY630" s="98"/>
      <c r="DZ630" s="98"/>
      <c r="EA630" s="98"/>
      <c r="EB630" s="98"/>
      <c r="EC630" s="98"/>
      <c r="ED630" s="98"/>
    </row>
    <row r="631" spans="1:134" ht="11.25" customHeight="1" x14ac:dyDescent="0.3">
      <c r="A631" s="28" t="e">
        <f t="array" aca="1" ref="A631" ca="1">_xludf.XLOOKUP(S631,Master_Registrations!P:P,Master_Registrations!A:A,"")</f>
        <v>#NAME?</v>
      </c>
      <c r="B631" s="89" t="s">
        <v>182</v>
      </c>
      <c r="C631" s="89">
        <v>2025</v>
      </c>
      <c r="D631" s="89" t="s">
        <v>4886</v>
      </c>
      <c r="E631" s="89">
        <v>4</v>
      </c>
      <c r="F631" s="90" t="str">
        <f t="shared" si="8"/>
        <v>VED-01-2025-GR-4</v>
      </c>
      <c r="G631" s="89" t="s">
        <v>7078</v>
      </c>
      <c r="H631" s="89" t="s">
        <v>7108</v>
      </c>
      <c r="I631" s="89"/>
      <c r="J631" s="89" t="s">
        <v>7094</v>
      </c>
      <c r="K631" s="107"/>
      <c r="L631" s="107"/>
      <c r="M631" s="107"/>
      <c r="N631" s="90" t="s">
        <v>7095</v>
      </c>
      <c r="O631" s="89" t="s">
        <v>6697</v>
      </c>
      <c r="P631" s="89" t="s">
        <v>520</v>
      </c>
      <c r="Q631" s="89" t="e">
        <f t="shared" ca="1" si="9"/>
        <v>#NAME?</v>
      </c>
      <c r="R631" s="39" t="s">
        <v>112</v>
      </c>
      <c r="S631" s="105">
        <v>9866530443</v>
      </c>
      <c r="T631" s="90" t="s">
        <v>111</v>
      </c>
      <c r="U631" s="89">
        <v>1982</v>
      </c>
      <c r="V631" s="99">
        <v>2</v>
      </c>
      <c r="W631" s="99">
        <v>2</v>
      </c>
      <c r="X631" s="99">
        <v>2</v>
      </c>
      <c r="Y631" s="99">
        <v>2</v>
      </c>
      <c r="Z631" s="99">
        <v>2</v>
      </c>
      <c r="AA631" s="99">
        <v>2</v>
      </c>
      <c r="AB631" s="99">
        <v>2</v>
      </c>
      <c r="AC631" s="99">
        <v>2</v>
      </c>
      <c r="AD631" s="99">
        <v>2</v>
      </c>
      <c r="AE631" s="99">
        <v>2</v>
      </c>
      <c r="AF631" s="99">
        <v>2</v>
      </c>
      <c r="AG631" s="99">
        <v>2</v>
      </c>
      <c r="AH631" s="99">
        <v>2</v>
      </c>
      <c r="AI631" s="99">
        <v>3</v>
      </c>
      <c r="AJ631" s="89"/>
      <c r="AK631" s="89"/>
      <c r="AL631" s="89"/>
      <c r="AM631" s="89"/>
      <c r="AN631" s="89"/>
      <c r="AO631" s="89"/>
      <c r="AP631" s="89"/>
      <c r="AQ631" s="89"/>
      <c r="AR631" s="89"/>
      <c r="AS631" s="89"/>
      <c r="AT631" s="89"/>
      <c r="AU631" s="89"/>
      <c r="AV631" s="89"/>
      <c r="AW631" s="89"/>
      <c r="AX631" s="89"/>
      <c r="AY631" s="89"/>
      <c r="AZ631" s="89"/>
      <c r="BA631" s="89"/>
      <c r="BB631" s="89"/>
      <c r="BC631" s="89"/>
      <c r="BD631" s="89"/>
      <c r="BE631" s="89"/>
      <c r="BF631" s="89"/>
      <c r="BG631" s="89"/>
      <c r="BH631" s="89"/>
      <c r="BI631" s="89"/>
      <c r="BJ631" s="89"/>
      <c r="BK631" s="89"/>
      <c r="BL631" s="89"/>
      <c r="BM631" s="89"/>
      <c r="BN631" s="89"/>
      <c r="BO631" s="89"/>
      <c r="BP631" s="89"/>
      <c r="BQ631" s="89"/>
      <c r="BR631" s="89"/>
      <c r="BS631" s="89"/>
      <c r="BT631" s="89"/>
      <c r="BU631" s="89"/>
      <c r="BV631" s="89"/>
      <c r="BW631" s="89"/>
      <c r="BX631" s="89"/>
      <c r="BY631" s="89"/>
      <c r="BZ631" s="89"/>
      <c r="CA631" s="89"/>
      <c r="CB631" s="89"/>
      <c r="CC631" s="89"/>
      <c r="CD631" s="89"/>
      <c r="CE631" s="89"/>
      <c r="CF631" s="89"/>
      <c r="CG631" s="89"/>
      <c r="CH631" s="89"/>
      <c r="CI631" s="89"/>
      <c r="CJ631" s="89"/>
      <c r="CK631" s="89"/>
      <c r="CL631" s="89"/>
      <c r="CM631" s="89"/>
      <c r="CN631" s="89"/>
      <c r="CO631" s="89"/>
      <c r="CP631" s="89"/>
      <c r="CQ631" s="89"/>
      <c r="CR631" s="89"/>
      <c r="CS631" s="89"/>
      <c r="CT631" s="89"/>
      <c r="CU631" s="89"/>
      <c r="CV631" s="89"/>
      <c r="CW631" s="89"/>
      <c r="CX631" s="89"/>
      <c r="CY631" s="89"/>
      <c r="CZ631" s="98"/>
      <c r="DA631" s="98"/>
      <c r="DB631" s="98"/>
      <c r="DC631" s="98"/>
      <c r="DD631" s="98"/>
      <c r="DE631" s="98"/>
      <c r="DF631" s="98"/>
      <c r="DG631" s="98"/>
      <c r="DH631" s="98"/>
      <c r="DI631" s="98"/>
      <c r="DJ631" s="98"/>
      <c r="DK631" s="98"/>
      <c r="DL631" s="98"/>
      <c r="DM631" s="98"/>
      <c r="DN631" s="98"/>
      <c r="DO631" s="98"/>
      <c r="DP631" s="98"/>
      <c r="DQ631" s="98"/>
      <c r="DR631" s="98"/>
      <c r="DS631" s="98"/>
      <c r="DT631" s="98"/>
      <c r="DU631" s="98"/>
      <c r="DV631" s="98"/>
      <c r="DW631" s="98"/>
      <c r="DX631" s="98"/>
      <c r="DY631" s="98"/>
      <c r="DZ631" s="98"/>
      <c r="EA631" s="98"/>
      <c r="EB631" s="98"/>
      <c r="EC631" s="98"/>
      <c r="ED631" s="98"/>
    </row>
    <row r="632" spans="1:134" ht="11.25" customHeight="1" x14ac:dyDescent="0.3">
      <c r="A632" s="28" t="e">
        <f t="array" aca="1" ref="A632" ca="1">_xludf.XLOOKUP(S632,Master_Registrations!P:P,Master_Registrations!A:A,"")</f>
        <v>#NAME?</v>
      </c>
      <c r="B632" s="89" t="s">
        <v>182</v>
      </c>
      <c r="C632" s="89">
        <v>2025</v>
      </c>
      <c r="D632" s="89" t="s">
        <v>4886</v>
      </c>
      <c r="E632" s="89">
        <v>4</v>
      </c>
      <c r="F632" s="90" t="str">
        <f t="shared" si="8"/>
        <v>VED-01-2025-GR-4</v>
      </c>
      <c r="G632" s="89" t="s">
        <v>7078</v>
      </c>
      <c r="H632" s="89" t="s">
        <v>7108</v>
      </c>
      <c r="I632" s="89"/>
      <c r="J632" s="89" t="s">
        <v>7094</v>
      </c>
      <c r="K632" s="99"/>
      <c r="L632" s="99"/>
      <c r="M632" s="99"/>
      <c r="N632" s="90" t="s">
        <v>7095</v>
      </c>
      <c r="O632" s="89" t="s">
        <v>2484</v>
      </c>
      <c r="P632" s="89" t="s">
        <v>2674</v>
      </c>
      <c r="Q632" s="89" t="e">
        <f t="shared" ca="1" si="9"/>
        <v>#NAME?</v>
      </c>
      <c r="R632" s="39" t="s">
        <v>112</v>
      </c>
      <c r="S632" s="105">
        <v>9945549236</v>
      </c>
      <c r="T632" s="90" t="s">
        <v>111</v>
      </c>
      <c r="U632" s="89">
        <v>1967</v>
      </c>
      <c r="V632" s="99">
        <v>1</v>
      </c>
      <c r="W632" s="99">
        <v>1</v>
      </c>
      <c r="X632" s="99">
        <v>2</v>
      </c>
      <c r="Y632" s="99">
        <v>2</v>
      </c>
      <c r="Z632" s="99">
        <v>2</v>
      </c>
      <c r="AA632" s="99">
        <v>2</v>
      </c>
      <c r="AB632" s="99">
        <v>1</v>
      </c>
      <c r="AC632" s="95">
        <v>-1</v>
      </c>
      <c r="AD632" s="95">
        <v>-1</v>
      </c>
      <c r="AE632" s="99">
        <v>1</v>
      </c>
      <c r="AF632" s="99">
        <v>1</v>
      </c>
      <c r="AG632" s="99">
        <v>1</v>
      </c>
      <c r="AH632" s="99">
        <v>1</v>
      </c>
      <c r="AI632" s="95">
        <v>-1</v>
      </c>
      <c r="AJ632" s="89"/>
      <c r="AK632" s="89"/>
      <c r="AL632" s="89"/>
      <c r="AM632" s="89"/>
      <c r="AN632" s="89"/>
      <c r="AO632" s="89"/>
      <c r="AP632" s="89"/>
      <c r="AQ632" s="89"/>
      <c r="AR632" s="89"/>
      <c r="AS632" s="89"/>
      <c r="AT632" s="89"/>
      <c r="AU632" s="89"/>
      <c r="AV632" s="89"/>
      <c r="AW632" s="89"/>
      <c r="AX632" s="89"/>
      <c r="AY632" s="89"/>
      <c r="AZ632" s="89"/>
      <c r="BA632" s="89"/>
      <c r="BB632" s="89"/>
      <c r="BC632" s="89"/>
      <c r="BD632" s="89"/>
      <c r="BE632" s="89"/>
      <c r="BF632" s="89"/>
      <c r="BG632" s="89"/>
      <c r="BH632" s="89"/>
      <c r="BI632" s="89"/>
      <c r="BJ632" s="89"/>
      <c r="BK632" s="89"/>
      <c r="BL632" s="89"/>
      <c r="BM632" s="89"/>
      <c r="BN632" s="89"/>
      <c r="BO632" s="89"/>
      <c r="BP632" s="89"/>
      <c r="BQ632" s="89"/>
      <c r="BR632" s="89"/>
      <c r="BS632" s="89"/>
      <c r="BT632" s="89"/>
      <c r="BU632" s="89"/>
      <c r="BV632" s="89"/>
      <c r="BW632" s="89"/>
      <c r="BX632" s="89"/>
      <c r="BY632" s="89"/>
      <c r="BZ632" s="89"/>
      <c r="CA632" s="89"/>
      <c r="CB632" s="89"/>
      <c r="CC632" s="89"/>
      <c r="CD632" s="89"/>
      <c r="CE632" s="89"/>
      <c r="CF632" s="89"/>
      <c r="CG632" s="89"/>
      <c r="CH632" s="89"/>
      <c r="CI632" s="89"/>
      <c r="CJ632" s="89"/>
      <c r="CK632" s="89"/>
      <c r="CL632" s="89"/>
      <c r="CM632" s="89"/>
      <c r="CN632" s="89"/>
      <c r="CO632" s="89"/>
      <c r="CP632" s="89"/>
      <c r="CQ632" s="89"/>
      <c r="CR632" s="89"/>
      <c r="CS632" s="89"/>
      <c r="CT632" s="89"/>
      <c r="CU632" s="89"/>
      <c r="CV632" s="89"/>
      <c r="CW632" s="89"/>
      <c r="CX632" s="89"/>
      <c r="CY632" s="89"/>
      <c r="CZ632" s="98"/>
      <c r="DA632" s="98"/>
      <c r="DB632" s="98"/>
      <c r="DC632" s="98"/>
      <c r="DD632" s="98"/>
      <c r="DE632" s="98"/>
      <c r="DF632" s="98"/>
      <c r="DG632" s="98"/>
      <c r="DH632" s="98"/>
      <c r="DI632" s="98"/>
      <c r="DJ632" s="98"/>
      <c r="DK632" s="98"/>
      <c r="DL632" s="98"/>
      <c r="DM632" s="98"/>
      <c r="DN632" s="98"/>
      <c r="DO632" s="98"/>
      <c r="DP632" s="98"/>
      <c r="DQ632" s="98"/>
      <c r="DR632" s="98"/>
      <c r="DS632" s="98"/>
      <c r="DT632" s="98"/>
      <c r="DU632" s="98"/>
      <c r="DV632" s="98"/>
      <c r="DW632" s="98"/>
      <c r="DX632" s="98"/>
      <c r="DY632" s="98"/>
      <c r="DZ632" s="98"/>
      <c r="EA632" s="98"/>
      <c r="EB632" s="98"/>
      <c r="EC632" s="98"/>
      <c r="ED632" s="98"/>
    </row>
    <row r="633" spans="1:134" ht="11.25" customHeight="1" x14ac:dyDescent="0.3">
      <c r="A633" s="28" t="e">
        <f t="array" aca="1" ref="A633" ca="1">_xludf.XLOOKUP(S633,Master_Registrations!P:P,Master_Registrations!A:A,"")</f>
        <v>#NAME?</v>
      </c>
      <c r="B633" s="89" t="s">
        <v>182</v>
      </c>
      <c r="C633" s="89">
        <v>2025</v>
      </c>
      <c r="D633" s="89" t="s">
        <v>4886</v>
      </c>
      <c r="E633" s="89">
        <v>5</v>
      </c>
      <c r="F633" s="90" t="str">
        <f t="shared" si="8"/>
        <v>VED-01-2025-GR-5</v>
      </c>
      <c r="G633" s="89" t="s">
        <v>7054</v>
      </c>
      <c r="H633" s="89" t="s">
        <v>7131</v>
      </c>
      <c r="I633" s="89"/>
      <c r="J633" s="89" t="s">
        <v>7094</v>
      </c>
      <c r="K633" s="109"/>
      <c r="L633" s="104">
        <v>-1</v>
      </c>
      <c r="M633" s="109"/>
      <c r="N633" s="90" t="s">
        <v>7095</v>
      </c>
      <c r="O633" s="89" t="s">
        <v>2522</v>
      </c>
      <c r="P633" s="89" t="s">
        <v>2523</v>
      </c>
      <c r="Q633" s="89" t="e">
        <f t="shared" ca="1" si="9"/>
        <v>#NAME?</v>
      </c>
      <c r="R633" s="39" t="s">
        <v>316</v>
      </c>
      <c r="S633" s="105">
        <v>3144984245</v>
      </c>
      <c r="T633" s="90" t="s">
        <v>402</v>
      </c>
      <c r="U633" s="89">
        <v>1969</v>
      </c>
      <c r="V633" s="99">
        <v>-1</v>
      </c>
      <c r="W633" s="99">
        <v>-1</v>
      </c>
      <c r="X633" s="99">
        <v>-1</v>
      </c>
      <c r="Y633" s="99">
        <v>-1</v>
      </c>
      <c r="Z633" s="99">
        <v>-1</v>
      </c>
      <c r="AA633" s="99">
        <v>-1</v>
      </c>
      <c r="AB633" s="99">
        <v>-1</v>
      </c>
      <c r="AC633" s="95">
        <v>-1</v>
      </c>
      <c r="AD633" s="95">
        <v>-1</v>
      </c>
      <c r="AE633" s="99">
        <v>-1</v>
      </c>
      <c r="AF633" s="95">
        <v>-1</v>
      </c>
      <c r="AG633" s="95">
        <v>-1</v>
      </c>
      <c r="AH633" s="95">
        <v>-1</v>
      </c>
      <c r="AI633" s="95">
        <v>-1</v>
      </c>
      <c r="AJ633" s="89"/>
      <c r="AK633" s="89"/>
      <c r="AL633" s="89"/>
      <c r="AM633" s="89"/>
      <c r="AN633" s="89"/>
      <c r="AO633" s="89"/>
      <c r="AP633" s="89"/>
      <c r="AQ633" s="89"/>
      <c r="AR633" s="89"/>
      <c r="AS633" s="89"/>
      <c r="AT633" s="89"/>
      <c r="AU633" s="89"/>
      <c r="AV633" s="89"/>
      <c r="AW633" s="89"/>
      <c r="AX633" s="89"/>
      <c r="AY633" s="89"/>
      <c r="AZ633" s="89"/>
      <c r="BA633" s="89"/>
      <c r="BB633" s="89"/>
      <c r="BC633" s="89"/>
      <c r="BD633" s="89"/>
      <c r="BE633" s="89"/>
      <c r="BF633" s="89"/>
      <c r="BG633" s="95">
        <v>-1</v>
      </c>
      <c r="BH633" s="95">
        <v>-1</v>
      </c>
      <c r="BI633" s="95">
        <v>-1</v>
      </c>
      <c r="BJ633" s="95">
        <v>-1</v>
      </c>
      <c r="BK633" s="95">
        <v>-1</v>
      </c>
      <c r="BL633" s="95">
        <v>-1</v>
      </c>
      <c r="BM633" s="95">
        <v>-1</v>
      </c>
      <c r="BN633" s="89"/>
      <c r="BO633" s="89"/>
      <c r="BP633" s="89"/>
      <c r="BQ633" s="89"/>
      <c r="BR633" s="89"/>
      <c r="BS633" s="89"/>
      <c r="BT633" s="89"/>
      <c r="BU633" s="89"/>
      <c r="BV633" s="89"/>
      <c r="BW633" s="89"/>
      <c r="BX633" s="89"/>
      <c r="BY633" s="89"/>
      <c r="BZ633" s="89"/>
      <c r="CA633" s="89"/>
      <c r="CB633" s="89"/>
      <c r="CC633" s="89"/>
      <c r="CD633" s="89"/>
      <c r="CE633" s="89"/>
      <c r="CF633" s="89"/>
      <c r="CG633" s="89"/>
      <c r="CH633" s="89"/>
      <c r="CI633" s="89"/>
      <c r="CJ633" s="89"/>
      <c r="CK633" s="89"/>
      <c r="CL633" s="89"/>
      <c r="CM633" s="89"/>
      <c r="CN633" s="89"/>
      <c r="CO633" s="89"/>
      <c r="CP633" s="89"/>
      <c r="CQ633" s="89"/>
      <c r="CR633" s="89"/>
      <c r="CS633" s="89"/>
      <c r="CT633" s="89"/>
      <c r="CU633" s="89"/>
      <c r="CV633" s="89"/>
      <c r="CW633" s="89"/>
      <c r="CX633" s="89"/>
      <c r="CY633" s="89"/>
      <c r="CZ633" s="98"/>
      <c r="DA633" s="98"/>
      <c r="DB633" s="98"/>
      <c r="DC633" s="98"/>
      <c r="DD633" s="98"/>
      <c r="DE633" s="98"/>
      <c r="DF633" s="98"/>
      <c r="DG633" s="98"/>
      <c r="DH633" s="98"/>
      <c r="DI633" s="98"/>
      <c r="DJ633" s="98"/>
      <c r="DK633" s="98"/>
      <c r="DL633" s="98"/>
      <c r="DM633" s="98"/>
      <c r="DN633" s="98"/>
      <c r="DO633" s="98"/>
      <c r="DP633" s="98"/>
      <c r="DQ633" s="98"/>
      <c r="DR633" s="98"/>
      <c r="DS633" s="98"/>
      <c r="DT633" s="98"/>
      <c r="DU633" s="98"/>
      <c r="DV633" s="98"/>
      <c r="DW633" s="98"/>
      <c r="DX633" s="98"/>
      <c r="DY633" s="98"/>
      <c r="DZ633" s="98"/>
      <c r="EA633" s="98"/>
      <c r="EB633" s="98"/>
      <c r="EC633" s="98"/>
      <c r="ED633" s="98"/>
    </row>
    <row r="634" spans="1:134" ht="11.25" customHeight="1" x14ac:dyDescent="0.3">
      <c r="A634" s="28" t="e">
        <f t="array" aca="1" ref="A634" ca="1">_xludf.XLOOKUP(S634,Master_Registrations!P:P,Master_Registrations!A:A,"")</f>
        <v>#NAME?</v>
      </c>
      <c r="B634" s="89" t="s">
        <v>182</v>
      </c>
      <c r="C634" s="89">
        <v>2025</v>
      </c>
      <c r="D634" s="89" t="s">
        <v>4886</v>
      </c>
      <c r="E634" s="89">
        <v>5</v>
      </c>
      <c r="F634" s="90" t="str">
        <f t="shared" si="8"/>
        <v>VED-01-2025-GR-5</v>
      </c>
      <c r="G634" s="89" t="s">
        <v>7054</v>
      </c>
      <c r="H634" s="89" t="s">
        <v>7131</v>
      </c>
      <c r="I634" s="89"/>
      <c r="J634" s="89" t="s">
        <v>7094</v>
      </c>
      <c r="K634" s="109"/>
      <c r="L634" s="104">
        <v>-1</v>
      </c>
      <c r="M634" s="109"/>
      <c r="N634" s="90" t="s">
        <v>7095</v>
      </c>
      <c r="O634" s="89" t="s">
        <v>2295</v>
      </c>
      <c r="P634" s="89" t="s">
        <v>2296</v>
      </c>
      <c r="Q634" s="89" t="e">
        <f t="shared" ca="1" si="9"/>
        <v>#NAME?</v>
      </c>
      <c r="R634" s="39" t="s">
        <v>112</v>
      </c>
      <c r="S634" s="105">
        <v>8978973823</v>
      </c>
      <c r="T634" s="90" t="s">
        <v>111</v>
      </c>
      <c r="U634" s="89">
        <v>1987</v>
      </c>
      <c r="V634" s="99">
        <v>-1</v>
      </c>
      <c r="W634" s="99">
        <v>-1</v>
      </c>
      <c r="X634" s="99">
        <v>-1</v>
      </c>
      <c r="Y634" s="99">
        <v>-1</v>
      </c>
      <c r="Z634" s="99">
        <v>-1</v>
      </c>
      <c r="AA634" s="99">
        <v>-1</v>
      </c>
      <c r="AB634" s="99">
        <v>-1</v>
      </c>
      <c r="AC634" s="95">
        <v>-1</v>
      </c>
      <c r="AD634" s="95">
        <v>-1</v>
      </c>
      <c r="AE634" s="99">
        <v>-1</v>
      </c>
      <c r="AF634" s="99">
        <v>-1</v>
      </c>
      <c r="AG634" s="95">
        <v>-1</v>
      </c>
      <c r="AH634" s="95">
        <v>-1</v>
      </c>
      <c r="AI634" s="95">
        <v>-1</v>
      </c>
      <c r="AJ634" s="89"/>
      <c r="AK634" s="89"/>
      <c r="AL634" s="89"/>
      <c r="AM634" s="89"/>
      <c r="AN634" s="89"/>
      <c r="AO634" s="89"/>
      <c r="AP634" s="89"/>
      <c r="AQ634" s="89"/>
      <c r="AR634" s="89"/>
      <c r="AS634" s="89"/>
      <c r="AT634" s="89"/>
      <c r="AU634" s="89"/>
      <c r="AV634" s="89"/>
      <c r="AW634" s="89"/>
      <c r="AX634" s="89"/>
      <c r="AY634" s="89"/>
      <c r="AZ634" s="89"/>
      <c r="BA634" s="89"/>
      <c r="BB634" s="89"/>
      <c r="BC634" s="89"/>
      <c r="BD634" s="89"/>
      <c r="BE634" s="89"/>
      <c r="BF634" s="89"/>
      <c r="BG634" s="89"/>
      <c r="BH634" s="89"/>
      <c r="BI634" s="89"/>
      <c r="BJ634" s="89"/>
      <c r="BK634" s="89"/>
      <c r="BL634" s="89"/>
      <c r="BM634" s="89"/>
      <c r="BN634" s="89"/>
      <c r="BO634" s="89"/>
      <c r="BP634" s="89"/>
      <c r="BQ634" s="89"/>
      <c r="BR634" s="89"/>
      <c r="BS634" s="89"/>
      <c r="BT634" s="89"/>
      <c r="BU634" s="89"/>
      <c r="BV634" s="89"/>
      <c r="BW634" s="89"/>
      <c r="BX634" s="89"/>
      <c r="BY634" s="89"/>
      <c r="BZ634" s="89"/>
      <c r="CA634" s="89"/>
      <c r="CB634" s="89"/>
      <c r="CC634" s="89"/>
      <c r="CD634" s="89"/>
      <c r="CE634" s="89"/>
      <c r="CF634" s="89"/>
      <c r="CG634" s="89"/>
      <c r="CH634" s="89"/>
      <c r="CI634" s="89"/>
      <c r="CJ634" s="89"/>
      <c r="CK634" s="89"/>
      <c r="CL634" s="89"/>
      <c r="CM634" s="89"/>
      <c r="CN634" s="89"/>
      <c r="CO634" s="89"/>
      <c r="CP634" s="89"/>
      <c r="CQ634" s="89"/>
      <c r="CR634" s="89"/>
      <c r="CS634" s="89"/>
      <c r="CT634" s="89"/>
      <c r="CU634" s="89"/>
      <c r="CV634" s="89"/>
      <c r="CW634" s="89"/>
      <c r="CX634" s="89"/>
      <c r="CY634" s="89"/>
      <c r="CZ634" s="98"/>
      <c r="DA634" s="98"/>
      <c r="DB634" s="98"/>
      <c r="DC634" s="98"/>
      <c r="DD634" s="98"/>
      <c r="DE634" s="98"/>
      <c r="DF634" s="98"/>
      <c r="DG634" s="98"/>
      <c r="DH634" s="98"/>
      <c r="DI634" s="98"/>
      <c r="DJ634" s="98"/>
      <c r="DK634" s="98"/>
      <c r="DL634" s="98"/>
      <c r="DM634" s="98"/>
      <c r="DN634" s="98"/>
      <c r="DO634" s="98"/>
      <c r="DP634" s="98"/>
      <c r="DQ634" s="98"/>
      <c r="DR634" s="98"/>
      <c r="DS634" s="98"/>
      <c r="DT634" s="98"/>
      <c r="DU634" s="98"/>
      <c r="DV634" s="98"/>
      <c r="DW634" s="98"/>
      <c r="DX634" s="98"/>
      <c r="DY634" s="98"/>
      <c r="DZ634" s="98"/>
      <c r="EA634" s="98"/>
      <c r="EB634" s="98"/>
      <c r="EC634" s="98"/>
      <c r="ED634" s="98"/>
    </row>
    <row r="635" spans="1:134" ht="11.25" customHeight="1" x14ac:dyDescent="0.3">
      <c r="A635" s="28" t="e">
        <f t="array" aca="1" ref="A635" ca="1">_xludf.XLOOKUP(S635,Master_Registrations!P:P,Master_Registrations!A:A,"")</f>
        <v>#NAME?</v>
      </c>
      <c r="B635" s="89" t="s">
        <v>182</v>
      </c>
      <c r="C635" s="89">
        <v>2025</v>
      </c>
      <c r="D635" s="89" t="s">
        <v>4886</v>
      </c>
      <c r="E635" s="89">
        <v>5</v>
      </c>
      <c r="F635" s="90" t="str">
        <f t="shared" si="8"/>
        <v>VED-01-2025-GR-5</v>
      </c>
      <c r="G635" s="89" t="s">
        <v>7054</v>
      </c>
      <c r="H635" s="89" t="s">
        <v>7131</v>
      </c>
      <c r="I635" s="89"/>
      <c r="J635" s="89" t="s">
        <v>7094</v>
      </c>
      <c r="K635" s="109"/>
      <c r="L635" s="104">
        <v>-1</v>
      </c>
      <c r="M635" s="109"/>
      <c r="N635" s="90" t="s">
        <v>7095</v>
      </c>
      <c r="O635" s="89" t="s">
        <v>6651</v>
      </c>
      <c r="P635" s="89" t="s">
        <v>6652</v>
      </c>
      <c r="Q635" s="89" t="e">
        <f t="shared" ca="1" si="9"/>
        <v>#NAME?</v>
      </c>
      <c r="R635" s="39" t="s">
        <v>112</v>
      </c>
      <c r="S635" s="105">
        <v>9849548130</v>
      </c>
      <c r="T635" s="90" t="s">
        <v>111</v>
      </c>
      <c r="U635" s="89">
        <v>1979</v>
      </c>
      <c r="V635" s="99">
        <v>-1</v>
      </c>
      <c r="W635" s="99">
        <v>-1</v>
      </c>
      <c r="X635" s="99">
        <v>-1</v>
      </c>
      <c r="Y635" s="99">
        <v>-1</v>
      </c>
      <c r="Z635" s="99">
        <v>-1</v>
      </c>
      <c r="AA635" s="99">
        <v>-1</v>
      </c>
      <c r="AB635" s="99">
        <v>-1</v>
      </c>
      <c r="AC635" s="95">
        <v>-1</v>
      </c>
      <c r="AD635" s="95">
        <v>-1</v>
      </c>
      <c r="AE635" s="99">
        <v>-1</v>
      </c>
      <c r="AF635" s="95">
        <v>-1</v>
      </c>
      <c r="AG635" s="95">
        <v>-1</v>
      </c>
      <c r="AH635" s="95">
        <v>-1</v>
      </c>
      <c r="AI635" s="95">
        <v>-1</v>
      </c>
      <c r="AJ635" s="89"/>
      <c r="AK635" s="89"/>
      <c r="AL635" s="89"/>
      <c r="AM635" s="89"/>
      <c r="AN635" s="89"/>
      <c r="AO635" s="89"/>
      <c r="AP635" s="89"/>
      <c r="AQ635" s="89"/>
      <c r="AR635" s="89"/>
      <c r="AS635" s="89"/>
      <c r="AT635" s="89"/>
      <c r="AU635" s="89"/>
      <c r="AV635" s="89"/>
      <c r="AW635" s="89"/>
      <c r="AX635" s="89"/>
      <c r="AY635" s="89"/>
      <c r="AZ635" s="89"/>
      <c r="BA635" s="89"/>
      <c r="BB635" s="89"/>
      <c r="BC635" s="89"/>
      <c r="BD635" s="89"/>
      <c r="BE635" s="89"/>
      <c r="BF635" s="89"/>
      <c r="BG635" s="89"/>
      <c r="BH635" s="89"/>
      <c r="BI635" s="89"/>
      <c r="BJ635" s="89"/>
      <c r="BK635" s="89"/>
      <c r="BL635" s="89"/>
      <c r="BM635" s="89"/>
      <c r="BN635" s="89"/>
      <c r="BO635" s="89"/>
      <c r="BP635" s="89"/>
      <c r="BQ635" s="89"/>
      <c r="BR635" s="89"/>
      <c r="BS635" s="89"/>
      <c r="BT635" s="89"/>
      <c r="BU635" s="89"/>
      <c r="BV635" s="89"/>
      <c r="BW635" s="89"/>
      <c r="BX635" s="89"/>
      <c r="BY635" s="89"/>
      <c r="BZ635" s="89"/>
      <c r="CA635" s="89"/>
      <c r="CB635" s="89"/>
      <c r="CC635" s="89"/>
      <c r="CD635" s="89"/>
      <c r="CE635" s="89"/>
      <c r="CF635" s="89"/>
      <c r="CG635" s="89"/>
      <c r="CH635" s="89"/>
      <c r="CI635" s="89"/>
      <c r="CJ635" s="89"/>
      <c r="CK635" s="89"/>
      <c r="CL635" s="89"/>
      <c r="CM635" s="89"/>
      <c r="CN635" s="89"/>
      <c r="CO635" s="89"/>
      <c r="CP635" s="89"/>
      <c r="CQ635" s="89"/>
      <c r="CR635" s="89"/>
      <c r="CS635" s="89"/>
      <c r="CT635" s="89"/>
      <c r="CU635" s="89"/>
      <c r="CV635" s="89"/>
      <c r="CW635" s="89"/>
      <c r="CX635" s="89"/>
      <c r="CY635" s="89"/>
      <c r="CZ635" s="98"/>
      <c r="DA635" s="98"/>
      <c r="DB635" s="98"/>
      <c r="DC635" s="98"/>
      <c r="DD635" s="98"/>
      <c r="DE635" s="98"/>
      <c r="DF635" s="98"/>
      <c r="DG635" s="98"/>
      <c r="DH635" s="98"/>
      <c r="DI635" s="98"/>
      <c r="DJ635" s="98"/>
      <c r="DK635" s="98"/>
      <c r="DL635" s="98"/>
      <c r="DM635" s="98"/>
      <c r="DN635" s="98"/>
      <c r="DO635" s="98"/>
      <c r="DP635" s="98"/>
      <c r="DQ635" s="98"/>
      <c r="DR635" s="98"/>
      <c r="DS635" s="98"/>
      <c r="DT635" s="98"/>
      <c r="DU635" s="98"/>
      <c r="DV635" s="98"/>
      <c r="DW635" s="98"/>
      <c r="DX635" s="98"/>
      <c r="DY635" s="98"/>
      <c r="DZ635" s="98"/>
      <c r="EA635" s="98"/>
      <c r="EB635" s="98"/>
      <c r="EC635" s="98"/>
      <c r="ED635" s="98"/>
    </row>
    <row r="636" spans="1:134" ht="11.25" customHeight="1" x14ac:dyDescent="0.3">
      <c r="A636" s="28" t="e">
        <f t="array" aca="1" ref="A636" ca="1">_xludf.XLOOKUP(S636,Master_Registrations!P:P,Master_Registrations!A:A,"")</f>
        <v>#NAME?</v>
      </c>
      <c r="B636" s="89" t="s">
        <v>182</v>
      </c>
      <c r="C636" s="89">
        <v>2025</v>
      </c>
      <c r="D636" s="89" t="s">
        <v>4886</v>
      </c>
      <c r="E636" s="89">
        <v>5</v>
      </c>
      <c r="F636" s="90" t="str">
        <f t="shared" si="8"/>
        <v>VED-01-2025-GR-5</v>
      </c>
      <c r="G636" s="89" t="s">
        <v>7054</v>
      </c>
      <c r="H636" s="89" t="s">
        <v>7131</v>
      </c>
      <c r="I636" s="89"/>
      <c r="J636" s="89" t="s">
        <v>7094</v>
      </c>
      <c r="K636" s="109"/>
      <c r="L636" s="104">
        <v>-1</v>
      </c>
      <c r="M636" s="109"/>
      <c r="N636" s="90" t="s">
        <v>7095</v>
      </c>
      <c r="O636" s="89" t="s">
        <v>204</v>
      </c>
      <c r="P636" s="89" t="s">
        <v>205</v>
      </c>
      <c r="Q636" s="89" t="e">
        <f t="shared" ca="1" si="9"/>
        <v>#NAME?</v>
      </c>
      <c r="R636" s="39" t="s">
        <v>112</v>
      </c>
      <c r="S636" s="105">
        <v>8522870346</v>
      </c>
      <c r="T636" s="90" t="s">
        <v>111</v>
      </c>
      <c r="U636" s="89">
        <v>1992</v>
      </c>
      <c r="V636" s="99">
        <v>-1</v>
      </c>
      <c r="W636" s="99">
        <v>-1</v>
      </c>
      <c r="X636" s="99">
        <v>-1</v>
      </c>
      <c r="Y636" s="99">
        <v>-1</v>
      </c>
      <c r="Z636" s="99">
        <v>-1</v>
      </c>
      <c r="AA636" s="99">
        <v>-1</v>
      </c>
      <c r="AB636" s="99">
        <v>-1</v>
      </c>
      <c r="AC636" s="95">
        <v>-1</v>
      </c>
      <c r="AD636" s="95">
        <v>-1</v>
      </c>
      <c r="AE636" s="99">
        <v>-1</v>
      </c>
      <c r="AF636" s="95">
        <v>-1</v>
      </c>
      <c r="AG636" s="95">
        <v>-1</v>
      </c>
      <c r="AH636" s="95">
        <v>-1</v>
      </c>
      <c r="AI636" s="95">
        <v>-1</v>
      </c>
      <c r="AJ636" s="89"/>
      <c r="AK636" s="89"/>
      <c r="AL636" s="89"/>
      <c r="AM636" s="89"/>
      <c r="AN636" s="89"/>
      <c r="AO636" s="89"/>
      <c r="AP636" s="89"/>
      <c r="AQ636" s="89"/>
      <c r="AR636" s="89"/>
      <c r="AS636" s="89"/>
      <c r="AT636" s="89"/>
      <c r="AU636" s="89"/>
      <c r="AV636" s="89"/>
      <c r="AW636" s="89"/>
      <c r="AX636" s="89"/>
      <c r="AY636" s="89"/>
      <c r="AZ636" s="89"/>
      <c r="BA636" s="89"/>
      <c r="BB636" s="89"/>
      <c r="BC636" s="89"/>
      <c r="BD636" s="89"/>
      <c r="BE636" s="89"/>
      <c r="BF636" s="89"/>
      <c r="BG636" s="89"/>
      <c r="BH636" s="89"/>
      <c r="BI636" s="89"/>
      <c r="BJ636" s="89"/>
      <c r="BK636" s="89"/>
      <c r="BL636" s="89"/>
      <c r="BM636" s="89"/>
      <c r="BN636" s="89"/>
      <c r="BO636" s="89"/>
      <c r="BP636" s="89"/>
      <c r="BQ636" s="89"/>
      <c r="BR636" s="89"/>
      <c r="BS636" s="89"/>
      <c r="BT636" s="89"/>
      <c r="BU636" s="89"/>
      <c r="BV636" s="89"/>
      <c r="BW636" s="89"/>
      <c r="BX636" s="89"/>
      <c r="BY636" s="89"/>
      <c r="BZ636" s="89"/>
      <c r="CA636" s="89"/>
      <c r="CB636" s="89"/>
      <c r="CC636" s="89"/>
      <c r="CD636" s="89"/>
      <c r="CE636" s="89"/>
      <c r="CF636" s="89"/>
      <c r="CG636" s="89"/>
      <c r="CH636" s="89"/>
      <c r="CI636" s="89"/>
      <c r="CJ636" s="89"/>
      <c r="CK636" s="89"/>
      <c r="CL636" s="89"/>
      <c r="CM636" s="89"/>
      <c r="CN636" s="89"/>
      <c r="CO636" s="89"/>
      <c r="CP636" s="89"/>
      <c r="CQ636" s="89"/>
      <c r="CR636" s="89"/>
      <c r="CS636" s="89"/>
      <c r="CT636" s="89"/>
      <c r="CU636" s="89"/>
      <c r="CV636" s="89"/>
      <c r="CW636" s="89"/>
      <c r="CX636" s="89"/>
      <c r="CY636" s="89"/>
      <c r="CZ636" s="98"/>
      <c r="DA636" s="98"/>
      <c r="DB636" s="98"/>
      <c r="DC636" s="98"/>
      <c r="DD636" s="98"/>
      <c r="DE636" s="98"/>
      <c r="DF636" s="98"/>
      <c r="DG636" s="98"/>
      <c r="DH636" s="98"/>
      <c r="DI636" s="98"/>
      <c r="DJ636" s="98"/>
      <c r="DK636" s="98"/>
      <c r="DL636" s="98"/>
      <c r="DM636" s="98"/>
      <c r="DN636" s="98"/>
      <c r="DO636" s="98"/>
      <c r="DP636" s="98"/>
      <c r="DQ636" s="98"/>
      <c r="DR636" s="98"/>
      <c r="DS636" s="98"/>
      <c r="DT636" s="98"/>
      <c r="DU636" s="98"/>
      <c r="DV636" s="98"/>
      <c r="DW636" s="98"/>
      <c r="DX636" s="98"/>
      <c r="DY636" s="98"/>
      <c r="DZ636" s="98"/>
      <c r="EA636" s="98"/>
      <c r="EB636" s="98"/>
      <c r="EC636" s="98"/>
      <c r="ED636" s="98"/>
    </row>
    <row r="637" spans="1:134" ht="11.25" customHeight="1" x14ac:dyDescent="0.3">
      <c r="A637" s="28" t="e">
        <f t="array" aca="1" ref="A637" ca="1">_xludf.XLOOKUP(S637,Master_Registrations!P:P,Master_Registrations!A:A,"")</f>
        <v>#NAME?</v>
      </c>
      <c r="B637" s="89" t="s">
        <v>182</v>
      </c>
      <c r="C637" s="89">
        <v>2025</v>
      </c>
      <c r="D637" s="89" t="s">
        <v>4886</v>
      </c>
      <c r="E637" s="89">
        <v>5</v>
      </c>
      <c r="F637" s="90" t="str">
        <f t="shared" si="8"/>
        <v>VED-01-2025-GR-5</v>
      </c>
      <c r="G637" s="89" t="s">
        <v>7054</v>
      </c>
      <c r="H637" s="89" t="s">
        <v>7131</v>
      </c>
      <c r="I637" s="89"/>
      <c r="J637" s="89" t="s">
        <v>7094</v>
      </c>
      <c r="K637" s="109"/>
      <c r="L637" s="99">
        <v>-1</v>
      </c>
      <c r="M637" s="109"/>
      <c r="N637" s="90" t="s">
        <v>7095</v>
      </c>
      <c r="O637" s="89" t="s">
        <v>2658</v>
      </c>
      <c r="P637" s="89" t="s">
        <v>2659</v>
      </c>
      <c r="Q637" s="89" t="e">
        <f t="shared" ca="1" si="9"/>
        <v>#NAME?</v>
      </c>
      <c r="R637" s="39" t="s">
        <v>112</v>
      </c>
      <c r="S637" s="105">
        <v>9849063809</v>
      </c>
      <c r="T637" s="90" t="s">
        <v>111</v>
      </c>
      <c r="U637" s="89">
        <v>1958</v>
      </c>
      <c r="V637" s="99">
        <v>-1</v>
      </c>
      <c r="W637" s="99">
        <v>-1</v>
      </c>
      <c r="X637" s="99">
        <v>-1</v>
      </c>
      <c r="Y637" s="99">
        <v>-1</v>
      </c>
      <c r="Z637" s="99">
        <v>-1</v>
      </c>
      <c r="AA637" s="99">
        <v>-1</v>
      </c>
      <c r="AB637" s="99">
        <v>-1</v>
      </c>
      <c r="AC637" s="95">
        <v>-1</v>
      </c>
      <c r="AD637" s="95">
        <v>-1</v>
      </c>
      <c r="AE637" s="99">
        <v>-1</v>
      </c>
      <c r="AF637" s="99">
        <v>-1</v>
      </c>
      <c r="AG637" s="95">
        <v>-1</v>
      </c>
      <c r="AH637" s="95">
        <v>-1</v>
      </c>
      <c r="AI637" s="95">
        <v>-1</v>
      </c>
      <c r="AJ637" s="89"/>
      <c r="AK637" s="89"/>
      <c r="AL637" s="89"/>
      <c r="AM637" s="89"/>
      <c r="AN637" s="89"/>
      <c r="AO637" s="89"/>
      <c r="AP637" s="89"/>
      <c r="AQ637" s="89"/>
      <c r="AR637" s="89"/>
      <c r="AS637" s="89"/>
      <c r="AT637" s="89"/>
      <c r="AU637" s="89"/>
      <c r="AV637" s="89"/>
      <c r="AW637" s="89"/>
      <c r="AX637" s="89"/>
      <c r="AY637" s="89"/>
      <c r="AZ637" s="89"/>
      <c r="BA637" s="89"/>
      <c r="BB637" s="89"/>
      <c r="BC637" s="89"/>
      <c r="BD637" s="89"/>
      <c r="BE637" s="89"/>
      <c r="BF637" s="89"/>
      <c r="BG637" s="89"/>
      <c r="BH637" s="89"/>
      <c r="BI637" s="89"/>
      <c r="BJ637" s="89"/>
      <c r="BK637" s="89"/>
      <c r="BL637" s="89"/>
      <c r="BM637" s="89"/>
      <c r="BN637" s="89"/>
      <c r="BO637" s="89"/>
      <c r="BP637" s="89"/>
      <c r="BQ637" s="89"/>
      <c r="BR637" s="89"/>
      <c r="BS637" s="89"/>
      <c r="BT637" s="89"/>
      <c r="BU637" s="89"/>
      <c r="BV637" s="89"/>
      <c r="BW637" s="89"/>
      <c r="BX637" s="89"/>
      <c r="BY637" s="89"/>
      <c r="BZ637" s="89"/>
      <c r="CA637" s="89"/>
      <c r="CB637" s="89"/>
      <c r="CC637" s="89"/>
      <c r="CD637" s="89"/>
      <c r="CE637" s="89"/>
      <c r="CF637" s="89"/>
      <c r="CG637" s="89"/>
      <c r="CH637" s="89"/>
      <c r="CI637" s="89"/>
      <c r="CJ637" s="89"/>
      <c r="CK637" s="89"/>
      <c r="CL637" s="89"/>
      <c r="CM637" s="89"/>
      <c r="CN637" s="89"/>
      <c r="CO637" s="89"/>
      <c r="CP637" s="89"/>
      <c r="CQ637" s="89"/>
      <c r="CR637" s="89"/>
      <c r="CS637" s="89"/>
      <c r="CT637" s="89"/>
      <c r="CU637" s="89"/>
      <c r="CV637" s="89"/>
      <c r="CW637" s="89"/>
      <c r="CX637" s="89"/>
      <c r="CY637" s="89"/>
      <c r="CZ637" s="98"/>
      <c r="DA637" s="98"/>
      <c r="DB637" s="98"/>
      <c r="DC637" s="98"/>
      <c r="DD637" s="98"/>
      <c r="DE637" s="98"/>
      <c r="DF637" s="98"/>
      <c r="DG637" s="98"/>
      <c r="DH637" s="98"/>
      <c r="DI637" s="98"/>
      <c r="DJ637" s="98"/>
      <c r="DK637" s="98"/>
      <c r="DL637" s="98"/>
      <c r="DM637" s="98"/>
      <c r="DN637" s="98"/>
      <c r="DO637" s="98"/>
      <c r="DP637" s="98"/>
      <c r="DQ637" s="98"/>
      <c r="DR637" s="98"/>
      <c r="DS637" s="98"/>
      <c r="DT637" s="98"/>
      <c r="DU637" s="98"/>
      <c r="DV637" s="98"/>
      <c r="DW637" s="98"/>
      <c r="DX637" s="98"/>
      <c r="DY637" s="98"/>
      <c r="DZ637" s="98"/>
      <c r="EA637" s="98"/>
      <c r="EB637" s="98"/>
      <c r="EC637" s="98"/>
      <c r="ED637" s="98"/>
    </row>
    <row r="638" spans="1:134" ht="11.25" customHeight="1" x14ac:dyDescent="0.3">
      <c r="A638" s="28" t="e">
        <f t="array" aca="1" ref="A638" ca="1">_xludf.XLOOKUP(S638,Master_Registrations!P:P,Master_Registrations!A:A,"")</f>
        <v>#NAME?</v>
      </c>
      <c r="B638" s="89" t="s">
        <v>182</v>
      </c>
      <c r="C638" s="89">
        <v>2025</v>
      </c>
      <c r="D638" s="89" t="s">
        <v>4886</v>
      </c>
      <c r="E638" s="89">
        <v>5</v>
      </c>
      <c r="F638" s="90" t="str">
        <f t="shared" si="8"/>
        <v>VED-01-2025-GR-5</v>
      </c>
      <c r="G638" s="89" t="s">
        <v>7057</v>
      </c>
      <c r="H638" s="89" t="s">
        <v>7132</v>
      </c>
      <c r="I638" s="89"/>
      <c r="J638" s="89" t="s">
        <v>7094</v>
      </c>
      <c r="K638" s="109"/>
      <c r="L638" s="104">
        <v>-1</v>
      </c>
      <c r="M638" s="109"/>
      <c r="N638" s="90" t="s">
        <v>7095</v>
      </c>
      <c r="O638" s="89" t="s">
        <v>2552</v>
      </c>
      <c r="P638" s="89" t="s">
        <v>2570</v>
      </c>
      <c r="Q638" s="89" t="e">
        <f t="shared" ca="1" si="9"/>
        <v>#NAME?</v>
      </c>
      <c r="R638" s="39" t="s">
        <v>112</v>
      </c>
      <c r="S638" s="105">
        <v>8790205061</v>
      </c>
      <c r="T638" s="90" t="s">
        <v>111</v>
      </c>
      <c r="U638" s="89">
        <v>1965</v>
      </c>
      <c r="V638" s="99">
        <v>1</v>
      </c>
      <c r="W638" s="99">
        <v>-1</v>
      </c>
      <c r="X638" s="99">
        <v>-1</v>
      </c>
      <c r="Y638" s="99">
        <v>-1</v>
      </c>
      <c r="Z638" s="99">
        <v>-1</v>
      </c>
      <c r="AA638" s="99">
        <v>-1</v>
      </c>
      <c r="AB638" s="99">
        <v>-1</v>
      </c>
      <c r="AC638" s="99">
        <v>-1</v>
      </c>
      <c r="AD638" s="99">
        <v>-1</v>
      </c>
      <c r="AE638" s="99">
        <v>-1</v>
      </c>
      <c r="AF638" s="99">
        <v>1</v>
      </c>
      <c r="AG638" s="95">
        <v>-1</v>
      </c>
      <c r="AH638" s="95">
        <v>-1</v>
      </c>
      <c r="AI638" s="95">
        <v>-1</v>
      </c>
      <c r="AJ638" s="89"/>
      <c r="AK638" s="89"/>
      <c r="AL638" s="89"/>
      <c r="AM638" s="89"/>
      <c r="AN638" s="89"/>
      <c r="AO638" s="89"/>
      <c r="AP638" s="89"/>
      <c r="AQ638" s="89"/>
      <c r="AR638" s="89"/>
      <c r="AS638" s="89"/>
      <c r="AT638" s="89"/>
      <c r="AU638" s="89"/>
      <c r="AV638" s="89"/>
      <c r="AW638" s="89"/>
      <c r="AX638" s="89"/>
      <c r="AY638" s="89"/>
      <c r="AZ638" s="89"/>
      <c r="BA638" s="89"/>
      <c r="BB638" s="89"/>
      <c r="BC638" s="89"/>
      <c r="BD638" s="89"/>
      <c r="BE638" s="89"/>
      <c r="BF638" s="89"/>
      <c r="BG638" s="89"/>
      <c r="BH638" s="89"/>
      <c r="BI638" s="89"/>
      <c r="BJ638" s="89"/>
      <c r="BK638" s="89"/>
      <c r="BL638" s="89"/>
      <c r="BM638" s="89"/>
      <c r="BN638" s="89"/>
      <c r="BO638" s="89"/>
      <c r="BP638" s="89"/>
      <c r="BQ638" s="89"/>
      <c r="BR638" s="89"/>
      <c r="BS638" s="89"/>
      <c r="BT638" s="89"/>
      <c r="BU638" s="89"/>
      <c r="BV638" s="89"/>
      <c r="BW638" s="89"/>
      <c r="BX638" s="89"/>
      <c r="BY638" s="89"/>
      <c r="BZ638" s="89"/>
      <c r="CA638" s="89"/>
      <c r="CB638" s="89"/>
      <c r="CC638" s="89"/>
      <c r="CD638" s="89"/>
      <c r="CE638" s="89"/>
      <c r="CF638" s="89"/>
      <c r="CG638" s="89"/>
      <c r="CH638" s="89"/>
      <c r="CI638" s="89"/>
      <c r="CJ638" s="89"/>
      <c r="CK638" s="89"/>
      <c r="CL638" s="89"/>
      <c r="CM638" s="89"/>
      <c r="CN638" s="89"/>
      <c r="CO638" s="89"/>
      <c r="CP638" s="89"/>
      <c r="CQ638" s="89"/>
      <c r="CR638" s="89"/>
      <c r="CS638" s="89"/>
      <c r="CT638" s="89"/>
      <c r="CU638" s="89"/>
      <c r="CV638" s="89"/>
      <c r="CW638" s="89"/>
      <c r="CX638" s="89"/>
      <c r="CY638" s="89"/>
      <c r="CZ638" s="98"/>
      <c r="DA638" s="98"/>
      <c r="DB638" s="98"/>
      <c r="DC638" s="98"/>
      <c r="DD638" s="98"/>
      <c r="DE638" s="98"/>
      <c r="DF638" s="98"/>
      <c r="DG638" s="98"/>
      <c r="DH638" s="98"/>
      <c r="DI638" s="98"/>
      <c r="DJ638" s="98"/>
      <c r="DK638" s="98"/>
      <c r="DL638" s="98"/>
      <c r="DM638" s="98"/>
      <c r="DN638" s="98"/>
      <c r="DO638" s="98"/>
      <c r="DP638" s="98"/>
      <c r="DQ638" s="98"/>
      <c r="DR638" s="98"/>
      <c r="DS638" s="98"/>
      <c r="DT638" s="98"/>
      <c r="DU638" s="98"/>
      <c r="DV638" s="98"/>
      <c r="DW638" s="98"/>
      <c r="DX638" s="98"/>
      <c r="DY638" s="98"/>
      <c r="DZ638" s="98"/>
      <c r="EA638" s="98"/>
      <c r="EB638" s="98"/>
      <c r="EC638" s="98"/>
      <c r="ED638" s="98"/>
    </row>
    <row r="639" spans="1:134" ht="11.25" customHeight="1" x14ac:dyDescent="0.3">
      <c r="A639" s="28" t="e">
        <f t="array" aca="1" ref="A639" ca="1">_xludf.XLOOKUP(S639,Master_Registrations!P:P,Master_Registrations!A:A,"")</f>
        <v>#NAME?</v>
      </c>
      <c r="B639" s="89" t="s">
        <v>182</v>
      </c>
      <c r="C639" s="89">
        <v>2025</v>
      </c>
      <c r="D639" s="89" t="s">
        <v>4886</v>
      </c>
      <c r="E639" s="89">
        <v>5</v>
      </c>
      <c r="F639" s="90" t="str">
        <f t="shared" si="8"/>
        <v>VED-01-2025-GR-5</v>
      </c>
      <c r="G639" s="89" t="s">
        <v>7054</v>
      </c>
      <c r="H639" s="89" t="s">
        <v>5797</v>
      </c>
      <c r="I639" s="89"/>
      <c r="J639" s="89" t="s">
        <v>7094</v>
      </c>
      <c r="K639" s="110">
        <v>-1</v>
      </c>
      <c r="L639" s="110">
        <v>-1</v>
      </c>
      <c r="M639" s="110">
        <v>-1</v>
      </c>
      <c r="N639" s="90" t="s">
        <v>7095</v>
      </c>
      <c r="O639" s="89" t="s">
        <v>3358</v>
      </c>
      <c r="P639" s="89" t="s">
        <v>3359</v>
      </c>
      <c r="Q639" s="89" t="e">
        <f t="shared" ca="1" si="9"/>
        <v>#NAME?</v>
      </c>
      <c r="R639" s="39" t="s">
        <v>112</v>
      </c>
      <c r="S639" s="105">
        <v>8050370506</v>
      </c>
      <c r="T639" s="90" t="s">
        <v>111</v>
      </c>
      <c r="U639" s="89">
        <v>1990</v>
      </c>
      <c r="V639" s="99">
        <v>-1</v>
      </c>
      <c r="W639" s="99">
        <v>-1</v>
      </c>
      <c r="X639" s="99">
        <v>-1</v>
      </c>
      <c r="Y639" s="95">
        <v>-1</v>
      </c>
      <c r="Z639" s="95">
        <v>-1</v>
      </c>
      <c r="AA639" s="95">
        <v>-1</v>
      </c>
      <c r="AB639" s="95">
        <v>-1</v>
      </c>
      <c r="AC639" s="95">
        <v>-1</v>
      </c>
      <c r="AD639" s="95">
        <v>-1</v>
      </c>
      <c r="AE639" s="95">
        <v>-1</v>
      </c>
      <c r="AF639" s="95">
        <v>-1</v>
      </c>
      <c r="AG639" s="95">
        <v>-1</v>
      </c>
      <c r="AH639" s="95">
        <v>-1</v>
      </c>
      <c r="AI639" s="95">
        <v>-1</v>
      </c>
      <c r="AJ639" s="89"/>
      <c r="AK639" s="89"/>
      <c r="AL639" s="89"/>
      <c r="AM639" s="89"/>
      <c r="AN639" s="89"/>
      <c r="AO639" s="89"/>
      <c r="AP639" s="89"/>
      <c r="AQ639" s="89"/>
      <c r="AR639" s="89"/>
      <c r="AS639" s="89"/>
      <c r="AT639" s="89"/>
      <c r="AU639" s="89"/>
      <c r="AV639" s="89"/>
      <c r="AW639" s="89"/>
      <c r="AX639" s="89"/>
      <c r="AY639" s="89"/>
      <c r="AZ639" s="89"/>
      <c r="BA639" s="89"/>
      <c r="BB639" s="89"/>
      <c r="BC639" s="89"/>
      <c r="BD639" s="89"/>
      <c r="BE639" s="89"/>
      <c r="BF639" s="89"/>
      <c r="BG639" s="89"/>
      <c r="BH639" s="89"/>
      <c r="BI639" s="89"/>
      <c r="BJ639" s="89"/>
      <c r="BK639" s="89"/>
      <c r="BL639" s="89"/>
      <c r="BM639" s="89"/>
      <c r="BN639" s="89"/>
      <c r="BO639" s="89"/>
      <c r="BP639" s="89"/>
      <c r="BQ639" s="89"/>
      <c r="BR639" s="89"/>
      <c r="BS639" s="89"/>
      <c r="BT639" s="89"/>
      <c r="BU639" s="89"/>
      <c r="BV639" s="89"/>
      <c r="BW639" s="89"/>
      <c r="BX639" s="89"/>
      <c r="BY639" s="89"/>
      <c r="BZ639" s="89"/>
      <c r="CA639" s="89"/>
      <c r="CB639" s="89"/>
      <c r="CC639" s="89"/>
      <c r="CD639" s="89"/>
      <c r="CE639" s="89"/>
      <c r="CF639" s="89"/>
      <c r="CG639" s="89"/>
      <c r="CH639" s="89"/>
      <c r="CI639" s="89"/>
      <c r="CJ639" s="89"/>
      <c r="CK639" s="89"/>
      <c r="CL639" s="89"/>
      <c r="CM639" s="89"/>
      <c r="CN639" s="89"/>
      <c r="CO639" s="89"/>
      <c r="CP639" s="89"/>
      <c r="CQ639" s="89"/>
      <c r="CR639" s="89"/>
      <c r="CS639" s="89"/>
      <c r="CT639" s="89"/>
      <c r="CU639" s="89"/>
      <c r="CV639" s="89"/>
      <c r="CW639" s="89"/>
      <c r="CX639" s="89"/>
      <c r="CY639" s="89"/>
      <c r="CZ639" s="98"/>
      <c r="DA639" s="98"/>
      <c r="DB639" s="98"/>
      <c r="DC639" s="98"/>
      <c r="DD639" s="98"/>
      <c r="DE639" s="98"/>
      <c r="DF639" s="98"/>
      <c r="DG639" s="98"/>
      <c r="DH639" s="98"/>
      <c r="DI639" s="98"/>
      <c r="DJ639" s="98"/>
      <c r="DK639" s="98"/>
      <c r="DL639" s="98"/>
      <c r="DM639" s="98"/>
      <c r="DN639" s="98"/>
      <c r="DO639" s="98"/>
      <c r="DP639" s="98"/>
      <c r="DQ639" s="98"/>
      <c r="DR639" s="98"/>
      <c r="DS639" s="98"/>
      <c r="DT639" s="98"/>
      <c r="DU639" s="98"/>
      <c r="DV639" s="98"/>
      <c r="DW639" s="98"/>
      <c r="DX639" s="98"/>
      <c r="DY639" s="98"/>
      <c r="DZ639" s="98"/>
      <c r="EA639" s="98"/>
      <c r="EB639" s="98"/>
      <c r="EC639" s="98"/>
      <c r="ED639" s="98"/>
    </row>
    <row r="640" spans="1:134" ht="11.25" customHeight="1" x14ac:dyDescent="0.3">
      <c r="A640" s="28" t="e">
        <f t="array" aca="1" ref="A640" ca="1">_xludf.XLOOKUP(S640,Master_Registrations!P:P,Master_Registrations!A:A,"")</f>
        <v>#NAME?</v>
      </c>
      <c r="B640" s="89" t="s">
        <v>182</v>
      </c>
      <c r="C640" s="89">
        <v>2025</v>
      </c>
      <c r="D640" s="89" t="s">
        <v>4886</v>
      </c>
      <c r="E640" s="89">
        <v>5</v>
      </c>
      <c r="F640" s="90" t="str">
        <f t="shared" si="8"/>
        <v>VED-01-2025-GR-5</v>
      </c>
      <c r="G640" s="89" t="s">
        <v>7054</v>
      </c>
      <c r="H640" s="89" t="s">
        <v>5797</v>
      </c>
      <c r="I640" s="89"/>
      <c r="J640" s="89" t="s">
        <v>7094</v>
      </c>
      <c r="K640" s="110">
        <v>-1</v>
      </c>
      <c r="L640" s="110">
        <v>-1</v>
      </c>
      <c r="M640" s="110">
        <v>-1</v>
      </c>
      <c r="N640" s="90" t="s">
        <v>7095</v>
      </c>
      <c r="O640" s="89" t="s">
        <v>2941</v>
      </c>
      <c r="P640" s="89" t="s">
        <v>281</v>
      </c>
      <c r="Q640" s="89" t="e">
        <f t="shared" ca="1" si="9"/>
        <v>#NAME?</v>
      </c>
      <c r="R640" s="39" t="s">
        <v>112</v>
      </c>
      <c r="S640" s="105">
        <v>9440179962</v>
      </c>
      <c r="T640" s="90" t="s">
        <v>111</v>
      </c>
      <c r="U640" s="89">
        <v>1972</v>
      </c>
      <c r="V640" s="99">
        <v>-1</v>
      </c>
      <c r="W640" s="99">
        <v>-1</v>
      </c>
      <c r="X640" s="99">
        <v>-1</v>
      </c>
      <c r="Y640" s="99">
        <v>-1</v>
      </c>
      <c r="Z640" s="99">
        <v>-1</v>
      </c>
      <c r="AA640" s="99">
        <v>-1</v>
      </c>
      <c r="AB640" s="95">
        <v>-1</v>
      </c>
      <c r="AC640" s="95">
        <v>-1</v>
      </c>
      <c r="AD640" s="95">
        <v>-1</v>
      </c>
      <c r="AE640" s="95">
        <v>-1</v>
      </c>
      <c r="AF640" s="95">
        <v>-1</v>
      </c>
      <c r="AG640" s="95">
        <v>-1</v>
      </c>
      <c r="AH640" s="95">
        <v>-1</v>
      </c>
      <c r="AI640" s="95">
        <v>-1</v>
      </c>
      <c r="AJ640" s="89"/>
      <c r="AK640" s="89"/>
      <c r="AL640" s="89"/>
      <c r="AM640" s="89"/>
      <c r="AN640" s="89"/>
      <c r="AO640" s="89"/>
      <c r="AP640" s="89"/>
      <c r="AQ640" s="89"/>
      <c r="AR640" s="89"/>
      <c r="AS640" s="89"/>
      <c r="AT640" s="89"/>
      <c r="AU640" s="89"/>
      <c r="AV640" s="89"/>
      <c r="AW640" s="89"/>
      <c r="AX640" s="89"/>
      <c r="AY640" s="89"/>
      <c r="AZ640" s="89"/>
      <c r="BA640" s="89"/>
      <c r="BB640" s="89"/>
      <c r="BC640" s="89"/>
      <c r="BD640" s="89"/>
      <c r="BE640" s="89"/>
      <c r="BF640" s="89"/>
      <c r="BG640" s="89"/>
      <c r="BH640" s="89"/>
      <c r="BI640" s="89"/>
      <c r="BJ640" s="89"/>
      <c r="BK640" s="89"/>
      <c r="BL640" s="89"/>
      <c r="BM640" s="89"/>
      <c r="BN640" s="89"/>
      <c r="BO640" s="89"/>
      <c r="BP640" s="89"/>
      <c r="BQ640" s="89"/>
      <c r="BR640" s="89"/>
      <c r="BS640" s="89"/>
      <c r="BT640" s="89"/>
      <c r="BU640" s="89"/>
      <c r="BV640" s="89"/>
      <c r="BW640" s="89"/>
      <c r="BX640" s="89"/>
      <c r="BY640" s="89"/>
      <c r="BZ640" s="89"/>
      <c r="CA640" s="89"/>
      <c r="CB640" s="89"/>
      <c r="CC640" s="89"/>
      <c r="CD640" s="89"/>
      <c r="CE640" s="89"/>
      <c r="CF640" s="89"/>
      <c r="CG640" s="89"/>
      <c r="CH640" s="89"/>
      <c r="CI640" s="89"/>
      <c r="CJ640" s="89"/>
      <c r="CK640" s="89"/>
      <c r="CL640" s="89"/>
      <c r="CM640" s="89"/>
      <c r="CN640" s="89"/>
      <c r="CO640" s="89"/>
      <c r="CP640" s="89"/>
      <c r="CQ640" s="89"/>
      <c r="CR640" s="89"/>
      <c r="CS640" s="89"/>
      <c r="CT640" s="89"/>
      <c r="CU640" s="89"/>
      <c r="CV640" s="89"/>
      <c r="CW640" s="89"/>
      <c r="CX640" s="89"/>
      <c r="CY640" s="89"/>
      <c r="CZ640" s="98"/>
      <c r="DA640" s="98"/>
      <c r="DB640" s="98"/>
      <c r="DC640" s="98"/>
      <c r="DD640" s="98"/>
      <c r="DE640" s="98"/>
      <c r="DF640" s="98"/>
      <c r="DG640" s="98"/>
      <c r="DH640" s="98"/>
      <c r="DI640" s="98"/>
      <c r="DJ640" s="98"/>
      <c r="DK640" s="98"/>
      <c r="DL640" s="98"/>
      <c r="DM640" s="98"/>
      <c r="DN640" s="98"/>
      <c r="DO640" s="98"/>
      <c r="DP640" s="98"/>
      <c r="DQ640" s="98"/>
      <c r="DR640" s="98"/>
      <c r="DS640" s="98"/>
      <c r="DT640" s="98"/>
      <c r="DU640" s="98"/>
      <c r="DV640" s="98"/>
      <c r="DW640" s="98"/>
      <c r="DX640" s="98"/>
      <c r="DY640" s="98"/>
      <c r="DZ640" s="98"/>
      <c r="EA640" s="98"/>
      <c r="EB640" s="98"/>
      <c r="EC640" s="98"/>
      <c r="ED640" s="98"/>
    </row>
    <row r="641" spans="1:134" ht="11.25" customHeight="1" x14ac:dyDescent="0.3">
      <c r="A641" s="28" t="e">
        <f t="array" aca="1" ref="A641" ca="1">_xludf.XLOOKUP(S641,Master_Registrations!P:P,Master_Registrations!A:A,"")</f>
        <v>#NAME?</v>
      </c>
      <c r="B641" s="89" t="s">
        <v>182</v>
      </c>
      <c r="C641" s="89">
        <v>2025</v>
      </c>
      <c r="D641" s="89" t="s">
        <v>4886</v>
      </c>
      <c r="E641" s="89">
        <v>6</v>
      </c>
      <c r="F641" s="90" t="str">
        <f t="shared" si="8"/>
        <v>VED-01-2025-GR-6</v>
      </c>
      <c r="G641" s="89" t="s">
        <v>7133</v>
      </c>
      <c r="H641" s="89" t="s">
        <v>7086</v>
      </c>
      <c r="I641" s="89"/>
      <c r="J641" s="89" t="s">
        <v>7094</v>
      </c>
      <c r="K641" s="99">
        <v>-1</v>
      </c>
      <c r="L641" s="104">
        <v>-1</v>
      </c>
      <c r="M641" s="109"/>
      <c r="N641" s="90" t="s">
        <v>7095</v>
      </c>
      <c r="O641" s="89" t="s">
        <v>1954</v>
      </c>
      <c r="P641" s="89" t="s">
        <v>643</v>
      </c>
      <c r="Q641" s="89" t="e">
        <f t="shared" ca="1" si="9"/>
        <v>#NAME?</v>
      </c>
      <c r="R641" s="39" t="s">
        <v>316</v>
      </c>
      <c r="S641" s="105">
        <v>2103671288</v>
      </c>
      <c r="T641" s="90" t="s">
        <v>315</v>
      </c>
      <c r="U641" s="89">
        <v>1965</v>
      </c>
      <c r="V641" s="95">
        <v>-1</v>
      </c>
      <c r="W641" s="95">
        <v>-1</v>
      </c>
      <c r="X641" s="99">
        <v>-1</v>
      </c>
      <c r="Y641" s="99">
        <v>-1</v>
      </c>
      <c r="Z641" s="99">
        <v>-1</v>
      </c>
      <c r="AA641" s="95">
        <v>-1</v>
      </c>
      <c r="AB641" s="95">
        <v>-1</v>
      </c>
      <c r="AC641" s="95">
        <v>-1</v>
      </c>
      <c r="AD641" s="95">
        <v>-1</v>
      </c>
      <c r="AE641" s="95">
        <v>-1</v>
      </c>
      <c r="AF641" s="95">
        <v>-1</v>
      </c>
      <c r="AG641" s="95">
        <v>-1</v>
      </c>
      <c r="AH641" s="95">
        <v>-1</v>
      </c>
      <c r="AI641" s="95">
        <v>-1</v>
      </c>
      <c r="AJ641" s="89"/>
      <c r="AK641" s="89"/>
      <c r="AL641" s="89"/>
      <c r="AM641" s="89"/>
      <c r="AN641" s="89"/>
      <c r="AO641" s="89"/>
      <c r="AP641" s="89"/>
      <c r="AQ641" s="89"/>
      <c r="AR641" s="89"/>
      <c r="AS641" s="89"/>
      <c r="AT641" s="89"/>
      <c r="AU641" s="89"/>
      <c r="AV641" s="89"/>
      <c r="AW641" s="89"/>
      <c r="AX641" s="89"/>
      <c r="AY641" s="89"/>
      <c r="AZ641" s="89"/>
      <c r="BA641" s="89"/>
      <c r="BB641" s="89"/>
      <c r="BC641" s="89"/>
      <c r="BD641" s="89"/>
      <c r="BE641" s="89"/>
      <c r="BF641" s="89"/>
      <c r="BG641" s="89"/>
      <c r="BH641" s="89"/>
      <c r="BI641" s="89"/>
      <c r="BJ641" s="89"/>
      <c r="BK641" s="89"/>
      <c r="BL641" s="89"/>
      <c r="BM641" s="89"/>
      <c r="BN641" s="89"/>
      <c r="BO641" s="89"/>
      <c r="BP641" s="89"/>
      <c r="BQ641" s="89"/>
      <c r="BR641" s="89"/>
      <c r="BS641" s="89"/>
      <c r="BT641" s="89"/>
      <c r="BU641" s="89"/>
      <c r="BV641" s="89"/>
      <c r="BW641" s="89"/>
      <c r="BX641" s="89"/>
      <c r="BY641" s="89"/>
      <c r="BZ641" s="89"/>
      <c r="CA641" s="89"/>
      <c r="CB641" s="89"/>
      <c r="CC641" s="89"/>
      <c r="CD641" s="89"/>
      <c r="CE641" s="89"/>
      <c r="CF641" s="89"/>
      <c r="CG641" s="89"/>
      <c r="CH641" s="89"/>
      <c r="CI641" s="89"/>
      <c r="CJ641" s="89"/>
      <c r="CK641" s="89"/>
      <c r="CL641" s="89"/>
      <c r="CM641" s="89"/>
      <c r="CN641" s="89"/>
      <c r="CO641" s="89"/>
      <c r="CP641" s="89"/>
      <c r="CQ641" s="89"/>
      <c r="CR641" s="89"/>
      <c r="CS641" s="89"/>
      <c r="CT641" s="89"/>
      <c r="CU641" s="89"/>
      <c r="CV641" s="89"/>
      <c r="CW641" s="89"/>
      <c r="CX641" s="89"/>
      <c r="CY641" s="89"/>
      <c r="CZ641" s="98"/>
      <c r="DA641" s="98"/>
      <c r="DB641" s="98"/>
      <c r="DC641" s="98"/>
      <c r="DD641" s="98"/>
      <c r="DE641" s="98"/>
      <c r="DF641" s="98"/>
      <c r="DG641" s="98"/>
      <c r="DH641" s="98"/>
      <c r="DI641" s="98"/>
      <c r="DJ641" s="98"/>
      <c r="DK641" s="98"/>
      <c r="DL641" s="98"/>
      <c r="DM641" s="98"/>
      <c r="DN641" s="98"/>
      <c r="DO641" s="98"/>
      <c r="DP641" s="98"/>
      <c r="DQ641" s="98"/>
      <c r="DR641" s="98"/>
      <c r="DS641" s="98"/>
      <c r="DT641" s="98"/>
      <c r="DU641" s="98"/>
      <c r="DV641" s="98"/>
      <c r="DW641" s="98"/>
      <c r="DX641" s="98"/>
      <c r="DY641" s="98"/>
      <c r="DZ641" s="98"/>
      <c r="EA641" s="98"/>
      <c r="EB641" s="98"/>
      <c r="EC641" s="98"/>
      <c r="ED641" s="98"/>
    </row>
    <row r="642" spans="1:134" ht="11.25" customHeight="1" x14ac:dyDescent="0.3">
      <c r="A642" s="28" t="e">
        <f t="array" aca="1" ref="A642" ca="1">_xludf.XLOOKUP(S642,Master_Registrations!P:P,Master_Registrations!A:A,"")</f>
        <v>#NAME?</v>
      </c>
      <c r="B642" s="89" t="s">
        <v>182</v>
      </c>
      <c r="C642" s="89">
        <v>2025</v>
      </c>
      <c r="D642" s="89" t="s">
        <v>4886</v>
      </c>
      <c r="E642" s="89">
        <v>6</v>
      </c>
      <c r="F642" s="90" t="str">
        <f t="shared" si="8"/>
        <v>VED-01-2025-GR-6</v>
      </c>
      <c r="G642" s="89" t="s">
        <v>7133</v>
      </c>
      <c r="H642" s="89" t="s">
        <v>7086</v>
      </c>
      <c r="I642" s="89"/>
      <c r="J642" s="89" t="s">
        <v>7094</v>
      </c>
      <c r="K642" s="99">
        <v>-1</v>
      </c>
      <c r="L642" s="99">
        <v>-1</v>
      </c>
      <c r="M642" s="109"/>
      <c r="N642" s="90" t="s">
        <v>7095</v>
      </c>
      <c r="O642" s="89" t="s">
        <v>2024</v>
      </c>
      <c r="P642" s="141" t="s">
        <v>7134</v>
      </c>
      <c r="Q642" s="89" t="e">
        <f t="shared" ca="1" si="9"/>
        <v>#NAME?</v>
      </c>
      <c r="R642" s="39" t="s">
        <v>316</v>
      </c>
      <c r="S642" s="105">
        <v>2267501386</v>
      </c>
      <c r="T642" s="90" t="s">
        <v>402</v>
      </c>
      <c r="U642" s="89">
        <v>1989</v>
      </c>
      <c r="V642" s="95">
        <v>-1</v>
      </c>
      <c r="W642" s="95">
        <v>-1</v>
      </c>
      <c r="X642" s="99">
        <v>-1</v>
      </c>
      <c r="Y642" s="99">
        <v>-1</v>
      </c>
      <c r="Z642" s="99">
        <v>-1</v>
      </c>
      <c r="AA642" s="95">
        <v>-1</v>
      </c>
      <c r="AB642" s="95">
        <v>-1</v>
      </c>
      <c r="AC642" s="95">
        <v>-1</v>
      </c>
      <c r="AD642" s="95">
        <v>-1</v>
      </c>
      <c r="AE642" s="95">
        <v>-1</v>
      </c>
      <c r="AF642" s="95">
        <v>-1</v>
      </c>
      <c r="AG642" s="95">
        <v>-1</v>
      </c>
      <c r="AH642" s="95">
        <v>-1</v>
      </c>
      <c r="AI642" s="95">
        <v>-1</v>
      </c>
      <c r="AJ642" s="89"/>
      <c r="AK642" s="89"/>
      <c r="AL642" s="89"/>
      <c r="AM642" s="89"/>
      <c r="AN642" s="89"/>
      <c r="AO642" s="89"/>
      <c r="AP642" s="89"/>
      <c r="AQ642" s="89"/>
      <c r="AR642" s="89"/>
      <c r="AS642" s="89"/>
      <c r="AT642" s="89"/>
      <c r="AU642" s="89"/>
      <c r="AV642" s="89"/>
      <c r="AW642" s="89"/>
      <c r="AX642" s="89"/>
      <c r="AY642" s="89"/>
      <c r="AZ642" s="89"/>
      <c r="BA642" s="89"/>
      <c r="BB642" s="89"/>
      <c r="BC642" s="89"/>
      <c r="BD642" s="89"/>
      <c r="BE642" s="89"/>
      <c r="BF642" s="89"/>
      <c r="BG642" s="89"/>
      <c r="BH642" s="89"/>
      <c r="BI642" s="89"/>
      <c r="BJ642" s="89"/>
      <c r="BK642" s="89"/>
      <c r="BL642" s="89"/>
      <c r="BM642" s="89"/>
      <c r="BN642" s="89"/>
      <c r="BO642" s="89"/>
      <c r="BP642" s="89"/>
      <c r="BQ642" s="89"/>
      <c r="BR642" s="89"/>
      <c r="BS642" s="89"/>
      <c r="BT642" s="89"/>
      <c r="BU642" s="89"/>
      <c r="BV642" s="89"/>
      <c r="BW642" s="89"/>
      <c r="BX642" s="89"/>
      <c r="BY642" s="89"/>
      <c r="BZ642" s="89"/>
      <c r="CA642" s="89"/>
      <c r="CB642" s="89"/>
      <c r="CC642" s="89"/>
      <c r="CD642" s="89"/>
      <c r="CE642" s="89"/>
      <c r="CF642" s="89"/>
      <c r="CG642" s="89"/>
      <c r="CH642" s="89"/>
      <c r="CI642" s="89"/>
      <c r="CJ642" s="89"/>
      <c r="CK642" s="89"/>
      <c r="CL642" s="89"/>
      <c r="CM642" s="89"/>
      <c r="CN642" s="89"/>
      <c r="CO642" s="89"/>
      <c r="CP642" s="89"/>
      <c r="CQ642" s="89"/>
      <c r="CR642" s="89"/>
      <c r="CS642" s="89"/>
      <c r="CT642" s="89"/>
      <c r="CU642" s="89"/>
      <c r="CV642" s="89"/>
      <c r="CW642" s="89"/>
      <c r="CX642" s="89"/>
      <c r="CY642" s="89"/>
      <c r="CZ642" s="98"/>
      <c r="DA642" s="98"/>
      <c r="DB642" s="98"/>
      <c r="DC642" s="98"/>
      <c r="DD642" s="98"/>
      <c r="DE642" s="98"/>
      <c r="DF642" s="98"/>
      <c r="DG642" s="98"/>
      <c r="DH642" s="98"/>
      <c r="DI642" s="98"/>
      <c r="DJ642" s="98"/>
      <c r="DK642" s="98"/>
      <c r="DL642" s="98"/>
      <c r="DM642" s="98"/>
      <c r="DN642" s="98"/>
      <c r="DO642" s="98"/>
      <c r="DP642" s="98"/>
      <c r="DQ642" s="98"/>
      <c r="DR642" s="98"/>
      <c r="DS642" s="98"/>
      <c r="DT642" s="98"/>
      <c r="DU642" s="98"/>
      <c r="DV642" s="98"/>
      <c r="DW642" s="98"/>
      <c r="DX642" s="98"/>
      <c r="DY642" s="98"/>
      <c r="DZ642" s="98"/>
      <c r="EA642" s="98"/>
      <c r="EB642" s="98"/>
      <c r="EC642" s="98"/>
      <c r="ED642" s="98"/>
    </row>
    <row r="643" spans="1:134" ht="11.25" customHeight="1" x14ac:dyDescent="0.3">
      <c r="A643" s="28" t="e">
        <f t="array" aca="1" ref="A643" ca="1">_xludf.XLOOKUP(S643,Master_Registrations!P:P,Master_Registrations!A:A,"")</f>
        <v>#NAME?</v>
      </c>
      <c r="B643" s="89" t="s">
        <v>182</v>
      </c>
      <c r="C643" s="89">
        <v>2025</v>
      </c>
      <c r="D643" s="89" t="s">
        <v>4886</v>
      </c>
      <c r="E643" s="89">
        <v>6</v>
      </c>
      <c r="F643" s="90" t="str">
        <f t="shared" si="8"/>
        <v>VED-01-2025-GR-6</v>
      </c>
      <c r="G643" s="89" t="s">
        <v>7133</v>
      </c>
      <c r="H643" s="89" t="s">
        <v>7135</v>
      </c>
      <c r="I643" s="89"/>
      <c r="J643" s="89" t="s">
        <v>7094</v>
      </c>
      <c r="K643" s="109"/>
      <c r="L643" s="109"/>
      <c r="M643" s="109"/>
      <c r="N643" s="90" t="s">
        <v>7095</v>
      </c>
      <c r="O643" s="89" t="s">
        <v>1490</v>
      </c>
      <c r="P643" s="89" t="s">
        <v>1491</v>
      </c>
      <c r="Q643" s="89" t="e">
        <f t="shared" ca="1" si="9"/>
        <v>#NAME?</v>
      </c>
      <c r="R643" s="39" t="s">
        <v>112</v>
      </c>
      <c r="S643" s="105">
        <v>9441222203</v>
      </c>
      <c r="T643" s="90" t="s">
        <v>111</v>
      </c>
      <c r="U643" s="89">
        <v>1963</v>
      </c>
      <c r="V643" s="95">
        <v>-1</v>
      </c>
      <c r="W643" s="95">
        <v>-1</v>
      </c>
      <c r="X643" s="95">
        <v>-1</v>
      </c>
      <c r="Y643" s="95">
        <v>-1</v>
      </c>
      <c r="Z643" s="95">
        <v>-1</v>
      </c>
      <c r="AA643" s="95">
        <v>-1</v>
      </c>
      <c r="AB643" s="95">
        <v>-1</v>
      </c>
      <c r="AC643" s="95">
        <v>-1</v>
      </c>
      <c r="AD643" s="95">
        <v>-1</v>
      </c>
      <c r="AE643" s="95">
        <v>-1</v>
      </c>
      <c r="AF643" s="95">
        <v>-1</v>
      </c>
      <c r="AG643" s="95">
        <v>-1</v>
      </c>
      <c r="AH643" s="95">
        <v>-1</v>
      </c>
      <c r="AI643" s="95">
        <v>-1</v>
      </c>
      <c r="AJ643" s="89"/>
      <c r="AK643" s="89"/>
      <c r="AL643" s="89"/>
      <c r="AM643" s="89"/>
      <c r="AN643" s="89"/>
      <c r="AO643" s="89"/>
      <c r="AP643" s="89"/>
      <c r="AQ643" s="89"/>
      <c r="AR643" s="89"/>
      <c r="AS643" s="89"/>
      <c r="AT643" s="89"/>
      <c r="AU643" s="89"/>
      <c r="AV643" s="89"/>
      <c r="AW643" s="89"/>
      <c r="AX643" s="89"/>
      <c r="AY643" s="89"/>
      <c r="AZ643" s="89"/>
      <c r="BA643" s="89"/>
      <c r="BB643" s="89"/>
      <c r="BC643" s="89"/>
      <c r="BD643" s="89"/>
      <c r="BE643" s="89"/>
      <c r="BF643" s="89"/>
      <c r="BG643" s="89"/>
      <c r="BH643" s="89"/>
      <c r="BI643" s="89"/>
      <c r="BJ643" s="89"/>
      <c r="BK643" s="89"/>
      <c r="BL643" s="89"/>
      <c r="BM643" s="89"/>
      <c r="BN643" s="89"/>
      <c r="BO643" s="89"/>
      <c r="BP643" s="89"/>
      <c r="BQ643" s="89"/>
      <c r="BR643" s="89"/>
      <c r="BS643" s="89"/>
      <c r="BT643" s="89"/>
      <c r="BU643" s="89"/>
      <c r="BV643" s="89"/>
      <c r="BW643" s="89"/>
      <c r="BX643" s="89"/>
      <c r="BY643" s="89"/>
      <c r="BZ643" s="89"/>
      <c r="CA643" s="89"/>
      <c r="CB643" s="89"/>
      <c r="CC643" s="89"/>
      <c r="CD643" s="89"/>
      <c r="CE643" s="89"/>
      <c r="CF643" s="89"/>
      <c r="CG643" s="89"/>
      <c r="CH643" s="89"/>
      <c r="CI643" s="89"/>
      <c r="CJ643" s="89"/>
      <c r="CK643" s="89"/>
      <c r="CL643" s="89"/>
      <c r="CM643" s="89"/>
      <c r="CN643" s="89"/>
      <c r="CO643" s="89"/>
      <c r="CP643" s="89"/>
      <c r="CQ643" s="89"/>
      <c r="CR643" s="89"/>
      <c r="CS643" s="89"/>
      <c r="CT643" s="89"/>
      <c r="CU643" s="89"/>
      <c r="CV643" s="89"/>
      <c r="CW643" s="89"/>
      <c r="CX643" s="89"/>
      <c r="CY643" s="89"/>
      <c r="CZ643" s="98"/>
      <c r="DA643" s="98"/>
      <c r="DB643" s="98"/>
      <c r="DC643" s="98"/>
      <c r="DD643" s="98"/>
      <c r="DE643" s="98"/>
      <c r="DF643" s="98"/>
      <c r="DG643" s="98"/>
      <c r="DH643" s="98"/>
      <c r="DI643" s="98"/>
      <c r="DJ643" s="98"/>
      <c r="DK643" s="98"/>
      <c r="DL643" s="98"/>
      <c r="DM643" s="98"/>
      <c r="DN643" s="98"/>
      <c r="DO643" s="98"/>
      <c r="DP643" s="98"/>
      <c r="DQ643" s="98"/>
      <c r="DR643" s="98"/>
      <c r="DS643" s="98"/>
      <c r="DT643" s="98"/>
      <c r="DU643" s="98"/>
      <c r="DV643" s="98"/>
      <c r="DW643" s="98"/>
      <c r="DX643" s="98"/>
      <c r="DY643" s="98"/>
      <c r="DZ643" s="98"/>
      <c r="EA643" s="98"/>
      <c r="EB643" s="98"/>
      <c r="EC643" s="98"/>
      <c r="ED643" s="98"/>
    </row>
    <row r="644" spans="1:134" ht="11.25" customHeight="1" x14ac:dyDescent="0.3">
      <c r="A644" s="28" t="e">
        <f t="array" aca="1" ref="A644" ca="1">_xludf.XLOOKUP(S644,Master_Registrations!P:P,Master_Registrations!A:A,"")</f>
        <v>#NAME?</v>
      </c>
      <c r="B644" s="89" t="s">
        <v>182</v>
      </c>
      <c r="C644" s="89">
        <v>2025</v>
      </c>
      <c r="D644" s="89" t="s">
        <v>4886</v>
      </c>
      <c r="E644" s="89">
        <v>7</v>
      </c>
      <c r="F644" s="90" t="str">
        <f t="shared" si="8"/>
        <v>VED-01-2025-GR-7</v>
      </c>
      <c r="G644" s="89" t="s">
        <v>5323</v>
      </c>
      <c r="H644" s="89" t="s">
        <v>7136</v>
      </c>
      <c r="I644" s="89"/>
      <c r="J644" s="89" t="s">
        <v>7094</v>
      </c>
      <c r="K644" s="99">
        <v>-1</v>
      </c>
      <c r="L644" s="99">
        <v>-1</v>
      </c>
      <c r="M644" s="109"/>
      <c r="N644" s="90" t="s">
        <v>7095</v>
      </c>
      <c r="O644" s="89" t="s">
        <v>1908</v>
      </c>
      <c r="P644" s="89" t="s">
        <v>1909</v>
      </c>
      <c r="Q644" s="89" t="e">
        <f t="shared" ca="1" si="9"/>
        <v>#NAME?</v>
      </c>
      <c r="R644" s="39" t="s">
        <v>112</v>
      </c>
      <c r="S644" s="105">
        <v>7382073028</v>
      </c>
      <c r="T644" s="90" t="s">
        <v>111</v>
      </c>
      <c r="U644" s="89">
        <v>1960</v>
      </c>
      <c r="V644" s="95">
        <v>-1</v>
      </c>
      <c r="W644" s="95">
        <v>-1</v>
      </c>
      <c r="X644" s="99">
        <v>-1</v>
      </c>
      <c r="Y644" s="99">
        <v>-1</v>
      </c>
      <c r="Z644" s="99">
        <v>-1</v>
      </c>
      <c r="AA644" s="99">
        <v>-1</v>
      </c>
      <c r="AB644" s="99">
        <v>-1</v>
      </c>
      <c r="AC644" s="95">
        <v>-1</v>
      </c>
      <c r="AD644" s="95">
        <v>-1</v>
      </c>
      <c r="AE644" s="99">
        <v>-1</v>
      </c>
      <c r="AF644" s="99">
        <v>-1</v>
      </c>
      <c r="AG644" s="99">
        <v>-1</v>
      </c>
      <c r="AH644" s="95">
        <v>-1</v>
      </c>
      <c r="AI644" s="95">
        <v>-1</v>
      </c>
      <c r="AJ644" s="89"/>
      <c r="AK644" s="89"/>
      <c r="AL644" s="89"/>
      <c r="AM644" s="89"/>
      <c r="AN644" s="89"/>
      <c r="AO644" s="89"/>
      <c r="AP644" s="89"/>
      <c r="AQ644" s="89"/>
      <c r="AR644" s="89"/>
      <c r="AS644" s="89"/>
      <c r="AT644" s="89"/>
      <c r="AU644" s="89"/>
      <c r="AV644" s="89"/>
      <c r="AW644" s="89"/>
      <c r="AX644" s="89"/>
      <c r="AY644" s="89"/>
      <c r="AZ644" s="89"/>
      <c r="BA644" s="89"/>
      <c r="BB644" s="89"/>
      <c r="BC644" s="89"/>
      <c r="BD644" s="89"/>
      <c r="BE644" s="89"/>
      <c r="BF644" s="89"/>
      <c r="BG644" s="89"/>
      <c r="BH644" s="89"/>
      <c r="BI644" s="89"/>
      <c r="BJ644" s="89"/>
      <c r="BK644" s="89"/>
      <c r="BL644" s="89"/>
      <c r="BM644" s="89"/>
      <c r="BN644" s="89"/>
      <c r="BO644" s="89"/>
      <c r="BP644" s="89"/>
      <c r="BQ644" s="89"/>
      <c r="BR644" s="89"/>
      <c r="BS644" s="89"/>
      <c r="BT644" s="89"/>
      <c r="BU644" s="89"/>
      <c r="BV644" s="89"/>
      <c r="BW644" s="89"/>
      <c r="BX644" s="89"/>
      <c r="BY644" s="89"/>
      <c r="BZ644" s="89"/>
      <c r="CA644" s="89"/>
      <c r="CB644" s="89"/>
      <c r="CC644" s="89"/>
      <c r="CD644" s="89"/>
      <c r="CE644" s="89"/>
      <c r="CF644" s="89"/>
      <c r="CG644" s="89"/>
      <c r="CH644" s="89"/>
      <c r="CI644" s="89"/>
      <c r="CJ644" s="89"/>
      <c r="CK644" s="89"/>
      <c r="CL644" s="89"/>
      <c r="CM644" s="89"/>
      <c r="CN644" s="89"/>
      <c r="CO644" s="89"/>
      <c r="CP644" s="89"/>
      <c r="CQ644" s="89"/>
      <c r="CR644" s="89"/>
      <c r="CS644" s="89"/>
      <c r="CT644" s="89"/>
      <c r="CU644" s="89"/>
      <c r="CV644" s="89"/>
      <c r="CW644" s="89"/>
      <c r="CX644" s="89"/>
      <c r="CY644" s="89"/>
      <c r="CZ644" s="98"/>
      <c r="DA644" s="98"/>
      <c r="DB644" s="98"/>
      <c r="DC644" s="98"/>
      <c r="DD644" s="98"/>
      <c r="DE644" s="98"/>
      <c r="DF644" s="98"/>
      <c r="DG644" s="98"/>
      <c r="DH644" s="98"/>
      <c r="DI644" s="98"/>
      <c r="DJ644" s="98"/>
      <c r="DK644" s="98"/>
      <c r="DL644" s="98"/>
      <c r="DM644" s="98"/>
      <c r="DN644" s="98"/>
      <c r="DO644" s="98"/>
      <c r="DP644" s="98"/>
      <c r="DQ644" s="98"/>
      <c r="DR644" s="98"/>
      <c r="DS644" s="98"/>
      <c r="DT644" s="98"/>
      <c r="DU644" s="98"/>
      <c r="DV644" s="98"/>
      <c r="DW644" s="98"/>
      <c r="DX644" s="98"/>
      <c r="DY644" s="98"/>
      <c r="DZ644" s="98"/>
      <c r="EA644" s="98"/>
      <c r="EB644" s="98"/>
      <c r="EC644" s="98"/>
      <c r="ED644" s="98"/>
    </row>
    <row r="645" spans="1:134" ht="11.25" customHeight="1" x14ac:dyDescent="0.3">
      <c r="A645" s="28" t="e">
        <f t="array" aca="1" ref="A645" ca="1">_xludf.XLOOKUP(S645,Master_Registrations!P:P,Master_Registrations!A:A,"")</f>
        <v>#NAME?</v>
      </c>
      <c r="B645" s="89" t="s">
        <v>182</v>
      </c>
      <c r="C645" s="89">
        <v>2025</v>
      </c>
      <c r="D645" s="89" t="s">
        <v>4886</v>
      </c>
      <c r="E645" s="89">
        <v>7</v>
      </c>
      <c r="F645" s="90" t="str">
        <f t="shared" si="8"/>
        <v>VED-01-2025-GR-7</v>
      </c>
      <c r="G645" s="89" t="s">
        <v>5323</v>
      </c>
      <c r="H645" s="89" t="s">
        <v>7136</v>
      </c>
      <c r="I645" s="89"/>
      <c r="J645" s="89" t="s">
        <v>7094</v>
      </c>
      <c r="K645" s="107">
        <v>2</v>
      </c>
      <c r="L645" s="104">
        <v>-1</v>
      </c>
      <c r="M645" s="109"/>
      <c r="N645" s="90" t="s">
        <v>7095</v>
      </c>
      <c r="O645" s="89" t="s">
        <v>1863</v>
      </c>
      <c r="P645" s="89" t="s">
        <v>1864</v>
      </c>
      <c r="Q645" s="89" t="e">
        <f t="shared" ca="1" si="9"/>
        <v>#NAME?</v>
      </c>
      <c r="R645" s="39" t="s">
        <v>112</v>
      </c>
      <c r="S645" s="105">
        <v>9441592219</v>
      </c>
      <c r="T645" s="90" t="s">
        <v>111</v>
      </c>
      <c r="U645" s="89">
        <v>1987</v>
      </c>
      <c r="V645" s="95">
        <v>-1</v>
      </c>
      <c r="W645" s="95">
        <v>-1</v>
      </c>
      <c r="X645" s="99">
        <v>2</v>
      </c>
      <c r="Y645" s="99">
        <v>2</v>
      </c>
      <c r="Z645" s="99">
        <v>2</v>
      </c>
      <c r="AA645" s="99">
        <v>2</v>
      </c>
      <c r="AB645" s="99">
        <v>1</v>
      </c>
      <c r="AC645" s="95">
        <v>-1</v>
      </c>
      <c r="AD645" s="95">
        <v>-1</v>
      </c>
      <c r="AE645" s="99">
        <v>1</v>
      </c>
      <c r="AF645" s="99">
        <v>1</v>
      </c>
      <c r="AG645" s="99">
        <v>1</v>
      </c>
      <c r="AH645" s="95">
        <v>-1</v>
      </c>
      <c r="AI645" s="95">
        <v>-1</v>
      </c>
      <c r="AJ645" s="89"/>
      <c r="AK645" s="89"/>
      <c r="AL645" s="89"/>
      <c r="AM645" s="89"/>
      <c r="AN645" s="89"/>
      <c r="AO645" s="89"/>
      <c r="AP645" s="89"/>
      <c r="AQ645" s="89"/>
      <c r="AR645" s="89"/>
      <c r="AS645" s="89"/>
      <c r="AT645" s="89"/>
      <c r="AU645" s="89"/>
      <c r="AV645" s="89"/>
      <c r="AW645" s="89"/>
      <c r="AX645" s="89"/>
      <c r="AY645" s="89"/>
      <c r="AZ645" s="89"/>
      <c r="BA645" s="89"/>
      <c r="BB645" s="89"/>
      <c r="BC645" s="89"/>
      <c r="BD645" s="89"/>
      <c r="BE645" s="89"/>
      <c r="BF645" s="89"/>
      <c r="BG645" s="89"/>
      <c r="BH645" s="89"/>
      <c r="BI645" s="89"/>
      <c r="BJ645" s="89"/>
      <c r="BK645" s="89"/>
      <c r="BL645" s="89"/>
      <c r="BM645" s="89"/>
      <c r="BN645" s="89"/>
      <c r="BO645" s="89"/>
      <c r="BP645" s="89"/>
      <c r="BQ645" s="89"/>
      <c r="BR645" s="89"/>
      <c r="BS645" s="89"/>
      <c r="BT645" s="89"/>
      <c r="BU645" s="89"/>
      <c r="BV645" s="89"/>
      <c r="BW645" s="89"/>
      <c r="BX645" s="89"/>
      <c r="BY645" s="89"/>
      <c r="BZ645" s="89"/>
      <c r="CA645" s="89"/>
      <c r="CB645" s="89"/>
      <c r="CC645" s="89"/>
      <c r="CD645" s="89"/>
      <c r="CE645" s="89"/>
      <c r="CF645" s="89"/>
      <c r="CG645" s="89"/>
      <c r="CH645" s="89"/>
      <c r="CI645" s="89"/>
      <c r="CJ645" s="89"/>
      <c r="CK645" s="89"/>
      <c r="CL645" s="89"/>
      <c r="CM645" s="89"/>
      <c r="CN645" s="89"/>
      <c r="CO645" s="89"/>
      <c r="CP645" s="89"/>
      <c r="CQ645" s="89"/>
      <c r="CR645" s="89"/>
      <c r="CS645" s="89"/>
      <c r="CT645" s="89"/>
      <c r="CU645" s="89"/>
      <c r="CV645" s="89"/>
      <c r="CW645" s="89"/>
      <c r="CX645" s="89"/>
      <c r="CY645" s="89"/>
      <c r="CZ645" s="98"/>
      <c r="DA645" s="98"/>
      <c r="DB645" s="98"/>
      <c r="DC645" s="98"/>
      <c r="DD645" s="98"/>
      <c r="DE645" s="98"/>
      <c r="DF645" s="98"/>
      <c r="DG645" s="98"/>
      <c r="DH645" s="98"/>
      <c r="DI645" s="98"/>
      <c r="DJ645" s="98"/>
      <c r="DK645" s="98"/>
      <c r="DL645" s="98"/>
      <c r="DM645" s="98"/>
      <c r="DN645" s="98"/>
      <c r="DO645" s="98"/>
      <c r="DP645" s="98"/>
      <c r="DQ645" s="98"/>
      <c r="DR645" s="98"/>
      <c r="DS645" s="98"/>
      <c r="DT645" s="98"/>
      <c r="DU645" s="98"/>
      <c r="DV645" s="98"/>
      <c r="DW645" s="98"/>
      <c r="DX645" s="98"/>
      <c r="DY645" s="98"/>
      <c r="DZ645" s="98"/>
      <c r="EA645" s="98"/>
      <c r="EB645" s="98"/>
      <c r="EC645" s="98"/>
      <c r="ED645" s="98"/>
    </row>
    <row r="646" spans="1:134" ht="11.25" customHeight="1" x14ac:dyDescent="0.3">
      <c r="A646" s="28" t="e">
        <f t="array" aca="1" ref="A646" ca="1">_xludf.XLOOKUP(S646,Master_Registrations!P:P,Master_Registrations!A:A,"")</f>
        <v>#NAME?</v>
      </c>
      <c r="B646" s="89" t="s">
        <v>182</v>
      </c>
      <c r="C646" s="89">
        <v>2025</v>
      </c>
      <c r="D646" s="89" t="s">
        <v>4886</v>
      </c>
      <c r="E646" s="89">
        <v>7</v>
      </c>
      <c r="F646" s="90" t="str">
        <f t="shared" si="8"/>
        <v>VED-01-2025-GR-7</v>
      </c>
      <c r="G646" s="89" t="s">
        <v>5323</v>
      </c>
      <c r="H646" s="89" t="s">
        <v>7137</v>
      </c>
      <c r="I646" s="89"/>
      <c r="J646" s="89" t="s">
        <v>7094</v>
      </c>
      <c r="K646" s="99">
        <v>1</v>
      </c>
      <c r="L646" s="104">
        <v>-1</v>
      </c>
      <c r="M646" s="109"/>
      <c r="N646" s="90" t="s">
        <v>7095</v>
      </c>
      <c r="O646" s="89" t="s">
        <v>6728</v>
      </c>
      <c r="P646" s="89" t="s">
        <v>6729</v>
      </c>
      <c r="Q646" s="89" t="e">
        <f t="shared" ca="1" si="9"/>
        <v>#NAME?</v>
      </c>
      <c r="R646" s="39" t="s">
        <v>112</v>
      </c>
      <c r="S646" s="105">
        <v>9866715186</v>
      </c>
      <c r="T646" s="90" t="s">
        <v>111</v>
      </c>
      <c r="U646" s="89">
        <v>1954</v>
      </c>
      <c r="V646" s="95">
        <v>-1</v>
      </c>
      <c r="W646" s="95">
        <v>-1</v>
      </c>
      <c r="X646" s="99">
        <v>-1</v>
      </c>
      <c r="Y646" s="95">
        <v>-1</v>
      </c>
      <c r="Z646" s="95">
        <v>-1</v>
      </c>
      <c r="AA646" s="95">
        <v>-1</v>
      </c>
      <c r="AB646" s="95">
        <v>-1</v>
      </c>
      <c r="AC646" s="95">
        <v>-1</v>
      </c>
      <c r="AD646" s="95">
        <v>-1</v>
      </c>
      <c r="AE646" s="95">
        <v>-1</v>
      </c>
      <c r="AF646" s="95">
        <v>-1</v>
      </c>
      <c r="AG646" s="95">
        <v>-1</v>
      </c>
      <c r="AH646" s="95">
        <v>-1</v>
      </c>
      <c r="AI646" s="95">
        <v>-1</v>
      </c>
      <c r="AJ646" s="89"/>
      <c r="AK646" s="89"/>
      <c r="AL646" s="89"/>
      <c r="AM646" s="89"/>
      <c r="AN646" s="89"/>
      <c r="AO646" s="89"/>
      <c r="AP646" s="89"/>
      <c r="AQ646" s="89"/>
      <c r="AR646" s="89"/>
      <c r="AS646" s="89"/>
      <c r="AT646" s="89"/>
      <c r="AU646" s="89"/>
      <c r="AV646" s="89"/>
      <c r="AW646" s="89"/>
      <c r="AX646" s="89"/>
      <c r="AY646" s="89"/>
      <c r="AZ646" s="89"/>
      <c r="BA646" s="89"/>
      <c r="BB646" s="89"/>
      <c r="BC646" s="89"/>
      <c r="BD646" s="89"/>
      <c r="BE646" s="89"/>
      <c r="BF646" s="89"/>
      <c r="BG646" s="89"/>
      <c r="BH646" s="89"/>
      <c r="BI646" s="89"/>
      <c r="BJ646" s="89"/>
      <c r="BK646" s="89"/>
      <c r="BL646" s="89"/>
      <c r="BM646" s="89"/>
      <c r="BN646" s="89"/>
      <c r="BO646" s="89"/>
      <c r="BP646" s="89"/>
      <c r="BQ646" s="89"/>
      <c r="BR646" s="89"/>
      <c r="BS646" s="89"/>
      <c r="BT646" s="89"/>
      <c r="BU646" s="89"/>
      <c r="BV646" s="89"/>
      <c r="BW646" s="89"/>
      <c r="BX646" s="89"/>
      <c r="BY646" s="89"/>
      <c r="BZ646" s="89"/>
      <c r="CA646" s="89"/>
      <c r="CB646" s="89"/>
      <c r="CC646" s="89"/>
      <c r="CD646" s="89"/>
      <c r="CE646" s="89"/>
      <c r="CF646" s="89"/>
      <c r="CG646" s="89"/>
      <c r="CH646" s="89"/>
      <c r="CI646" s="89"/>
      <c r="CJ646" s="89"/>
      <c r="CK646" s="89"/>
      <c r="CL646" s="89"/>
      <c r="CM646" s="89"/>
      <c r="CN646" s="89"/>
      <c r="CO646" s="89"/>
      <c r="CP646" s="89"/>
      <c r="CQ646" s="89"/>
      <c r="CR646" s="89"/>
      <c r="CS646" s="89"/>
      <c r="CT646" s="89"/>
      <c r="CU646" s="89"/>
      <c r="CV646" s="89"/>
      <c r="CW646" s="89"/>
      <c r="CX646" s="89"/>
      <c r="CY646" s="89"/>
      <c r="CZ646" s="98"/>
      <c r="DA646" s="98"/>
      <c r="DB646" s="98"/>
      <c r="DC646" s="98"/>
      <c r="DD646" s="98"/>
      <c r="DE646" s="98"/>
      <c r="DF646" s="98"/>
      <c r="DG646" s="98"/>
      <c r="DH646" s="98"/>
      <c r="DI646" s="98"/>
      <c r="DJ646" s="98"/>
      <c r="DK646" s="98"/>
      <c r="DL646" s="98"/>
      <c r="DM646" s="98"/>
      <c r="DN646" s="98"/>
      <c r="DO646" s="98"/>
      <c r="DP646" s="98"/>
      <c r="DQ646" s="98"/>
      <c r="DR646" s="98"/>
      <c r="DS646" s="98"/>
      <c r="DT646" s="98"/>
      <c r="DU646" s="98"/>
      <c r="DV646" s="98"/>
      <c r="DW646" s="98"/>
      <c r="DX646" s="98"/>
      <c r="DY646" s="98"/>
      <c r="DZ646" s="98"/>
      <c r="EA646" s="98"/>
      <c r="EB646" s="98"/>
      <c r="EC646" s="98"/>
      <c r="ED646" s="98"/>
    </row>
    <row r="647" spans="1:134" ht="11.25" customHeight="1" x14ac:dyDescent="0.3">
      <c r="A647" s="28" t="e">
        <f t="array" aca="1" ref="A647" ca="1">_xludf.XLOOKUP(S647,Master_Registrations!P:P,Master_Registrations!A:A,"")</f>
        <v>#NAME?</v>
      </c>
      <c r="B647" s="89" t="s">
        <v>182</v>
      </c>
      <c r="C647" s="89">
        <v>2025</v>
      </c>
      <c r="D647" s="89" t="s">
        <v>4886</v>
      </c>
      <c r="E647" s="89">
        <v>7</v>
      </c>
      <c r="F647" s="90" t="str">
        <f t="shared" si="8"/>
        <v>VED-01-2025-GR-7</v>
      </c>
      <c r="G647" s="89" t="s">
        <v>5323</v>
      </c>
      <c r="H647" s="89" t="s">
        <v>7137</v>
      </c>
      <c r="I647" s="89"/>
      <c r="J647" s="89" t="s">
        <v>7094</v>
      </c>
      <c r="K647" s="99">
        <v>-1</v>
      </c>
      <c r="L647" s="99">
        <v>-1</v>
      </c>
      <c r="M647" s="109"/>
      <c r="N647" s="90" t="s">
        <v>7095</v>
      </c>
      <c r="O647" s="89" t="s">
        <v>1908</v>
      </c>
      <c r="P647" s="89" t="s">
        <v>1921</v>
      </c>
      <c r="Q647" s="89" t="e">
        <f t="shared" ca="1" si="9"/>
        <v>#NAME?</v>
      </c>
      <c r="R647" s="39" t="s">
        <v>112</v>
      </c>
      <c r="S647" s="105">
        <v>9154883909</v>
      </c>
      <c r="T647" s="90" t="s">
        <v>111</v>
      </c>
      <c r="U647" s="89">
        <v>1995</v>
      </c>
      <c r="V647" s="95">
        <v>-1</v>
      </c>
      <c r="W647" s="95">
        <v>-1</v>
      </c>
      <c r="X647" s="99">
        <v>-1</v>
      </c>
      <c r="Y647" s="95">
        <v>-1</v>
      </c>
      <c r="Z647" s="95">
        <v>-1</v>
      </c>
      <c r="AA647" s="95">
        <v>-1</v>
      </c>
      <c r="AB647" s="95">
        <v>-1</v>
      </c>
      <c r="AC647" s="95">
        <v>-1</v>
      </c>
      <c r="AD647" s="95">
        <v>-1</v>
      </c>
      <c r="AE647" s="95">
        <v>-1</v>
      </c>
      <c r="AF647" s="95">
        <v>-1</v>
      </c>
      <c r="AG647" s="95">
        <v>-1</v>
      </c>
      <c r="AH647" s="95">
        <v>-1</v>
      </c>
      <c r="AI647" s="95">
        <v>-1</v>
      </c>
      <c r="AJ647" s="89"/>
      <c r="AK647" s="89"/>
      <c r="AL647" s="89"/>
      <c r="AM647" s="89"/>
      <c r="AN647" s="89"/>
      <c r="AO647" s="89"/>
      <c r="AP647" s="89"/>
      <c r="AQ647" s="89"/>
      <c r="AR647" s="89"/>
      <c r="AS647" s="89"/>
      <c r="AT647" s="89"/>
      <c r="AU647" s="89"/>
      <c r="AV647" s="89"/>
      <c r="AW647" s="89"/>
      <c r="AX647" s="89"/>
      <c r="AY647" s="89"/>
      <c r="AZ647" s="89"/>
      <c r="BA647" s="89"/>
      <c r="BB647" s="89"/>
      <c r="BC647" s="89"/>
      <c r="BD647" s="89"/>
      <c r="BE647" s="89"/>
      <c r="BF647" s="89"/>
      <c r="BG647" s="89"/>
      <c r="BH647" s="89"/>
      <c r="BI647" s="89"/>
      <c r="BJ647" s="89"/>
      <c r="BK647" s="89"/>
      <c r="BL647" s="89"/>
      <c r="BM647" s="89"/>
      <c r="BN647" s="89"/>
      <c r="BO647" s="89"/>
      <c r="BP647" s="89"/>
      <c r="BQ647" s="89"/>
      <c r="BR647" s="89"/>
      <c r="BS647" s="89"/>
      <c r="BT647" s="89"/>
      <c r="BU647" s="89"/>
      <c r="BV647" s="89"/>
      <c r="BW647" s="89"/>
      <c r="BX647" s="89"/>
      <c r="BY647" s="89"/>
      <c r="BZ647" s="89"/>
      <c r="CA647" s="89"/>
      <c r="CB647" s="89"/>
      <c r="CC647" s="89"/>
      <c r="CD647" s="89"/>
      <c r="CE647" s="89"/>
      <c r="CF647" s="89"/>
      <c r="CG647" s="89"/>
      <c r="CH647" s="89"/>
      <c r="CI647" s="89"/>
      <c r="CJ647" s="89"/>
      <c r="CK647" s="89"/>
      <c r="CL647" s="89"/>
      <c r="CM647" s="89"/>
      <c r="CN647" s="89"/>
      <c r="CO647" s="89"/>
      <c r="CP647" s="89"/>
      <c r="CQ647" s="89"/>
      <c r="CR647" s="89"/>
      <c r="CS647" s="89"/>
      <c r="CT647" s="89"/>
      <c r="CU647" s="89"/>
      <c r="CV647" s="89"/>
      <c r="CW647" s="89"/>
      <c r="CX647" s="89"/>
      <c r="CY647" s="89"/>
      <c r="CZ647" s="98"/>
      <c r="DA647" s="98"/>
      <c r="DB647" s="98"/>
      <c r="DC647" s="98"/>
      <c r="DD647" s="98"/>
      <c r="DE647" s="98"/>
      <c r="DF647" s="98"/>
      <c r="DG647" s="98"/>
      <c r="DH647" s="98"/>
      <c r="DI647" s="98"/>
      <c r="DJ647" s="98"/>
      <c r="DK647" s="98"/>
      <c r="DL647" s="98"/>
      <c r="DM647" s="98"/>
      <c r="DN647" s="98"/>
      <c r="DO647" s="98"/>
      <c r="DP647" s="98"/>
      <c r="DQ647" s="98"/>
      <c r="DR647" s="98"/>
      <c r="DS647" s="98"/>
      <c r="DT647" s="98"/>
      <c r="DU647" s="98"/>
      <c r="DV647" s="98"/>
      <c r="DW647" s="98"/>
      <c r="DX647" s="98"/>
      <c r="DY647" s="98"/>
      <c r="DZ647" s="98"/>
      <c r="EA647" s="98"/>
      <c r="EB647" s="98"/>
      <c r="EC647" s="98"/>
      <c r="ED647" s="98"/>
    </row>
    <row r="648" spans="1:134" ht="11.25" customHeight="1" x14ac:dyDescent="0.3">
      <c r="A648" s="28" t="e">
        <f t="array" aca="1" ref="A648" ca="1">_xludf.XLOOKUP(S648,Master_Registrations!P:P,Master_Registrations!A:A,"")</f>
        <v>#NAME?</v>
      </c>
      <c r="B648" s="89" t="s">
        <v>182</v>
      </c>
      <c r="C648" s="89">
        <v>2025</v>
      </c>
      <c r="D648" s="89" t="s">
        <v>4886</v>
      </c>
      <c r="E648" s="89">
        <v>8</v>
      </c>
      <c r="F648" s="90" t="str">
        <f t="shared" si="8"/>
        <v>VED-01-2025-GR-8</v>
      </c>
      <c r="G648" s="89" t="s">
        <v>7062</v>
      </c>
      <c r="H648" s="89" t="s">
        <v>195</v>
      </c>
      <c r="I648" s="89"/>
      <c r="J648" s="89" t="s">
        <v>7094</v>
      </c>
      <c r="K648" s="99">
        <v>1</v>
      </c>
      <c r="L648" s="99">
        <v>1</v>
      </c>
      <c r="M648" s="109"/>
      <c r="N648" s="90" t="s">
        <v>7095</v>
      </c>
      <c r="O648" s="89" t="s">
        <v>2361</v>
      </c>
      <c r="P648" s="89" t="s">
        <v>2362</v>
      </c>
      <c r="Q648" s="89" t="e">
        <f t="shared" ca="1" si="9"/>
        <v>#NAME?</v>
      </c>
      <c r="R648" s="39" t="s">
        <v>316</v>
      </c>
      <c r="S648" s="105">
        <v>3023459014</v>
      </c>
      <c r="T648" s="90" t="s">
        <v>402</v>
      </c>
      <c r="U648" s="89">
        <v>1964</v>
      </c>
      <c r="V648" s="95">
        <v>-1</v>
      </c>
      <c r="W648" s="95">
        <v>-1</v>
      </c>
      <c r="X648" s="99">
        <v>1</v>
      </c>
      <c r="Y648" s="96">
        <v>-1</v>
      </c>
      <c r="Z648" s="96">
        <v>-1</v>
      </c>
      <c r="AA648" s="96">
        <v>-1</v>
      </c>
      <c r="AB648" s="96">
        <v>-1</v>
      </c>
      <c r="AC648" s="95">
        <v>-1</v>
      </c>
      <c r="AD648" s="95">
        <v>-1</v>
      </c>
      <c r="AE648" s="95">
        <v>-1</v>
      </c>
      <c r="AF648" s="95">
        <v>-1</v>
      </c>
      <c r="AG648" s="95">
        <v>-1</v>
      </c>
      <c r="AH648" s="95">
        <v>-1</v>
      </c>
      <c r="AI648" s="96">
        <v>-1</v>
      </c>
      <c r="AJ648" s="89"/>
      <c r="AK648" s="89"/>
      <c r="AL648" s="89"/>
      <c r="AM648" s="89"/>
      <c r="AN648" s="89"/>
      <c r="AO648" s="89"/>
      <c r="AP648" s="89"/>
      <c r="AQ648" s="89"/>
      <c r="AR648" s="89"/>
      <c r="AS648" s="89"/>
      <c r="AT648" s="89"/>
      <c r="AU648" s="89"/>
      <c r="AV648" s="89"/>
      <c r="AW648" s="89"/>
      <c r="AX648" s="89"/>
      <c r="AY648" s="89"/>
      <c r="AZ648" s="89"/>
      <c r="BA648" s="89"/>
      <c r="BB648" s="89"/>
      <c r="BC648" s="89"/>
      <c r="BD648" s="89"/>
      <c r="BE648" s="89"/>
      <c r="BF648" s="89"/>
      <c r="BG648" s="89"/>
      <c r="BH648" s="89"/>
      <c r="BI648" s="89"/>
      <c r="BJ648" s="89"/>
      <c r="BK648" s="89"/>
      <c r="BL648" s="89"/>
      <c r="BM648" s="89"/>
      <c r="BN648" s="89"/>
      <c r="BO648" s="89"/>
      <c r="BP648" s="89"/>
      <c r="BQ648" s="89"/>
      <c r="BR648" s="89"/>
      <c r="BS648" s="89"/>
      <c r="BT648" s="89"/>
      <c r="BU648" s="89"/>
      <c r="BV648" s="89"/>
      <c r="BW648" s="89"/>
      <c r="BX648" s="89"/>
      <c r="BY648" s="89"/>
      <c r="BZ648" s="89"/>
      <c r="CA648" s="89"/>
      <c r="CB648" s="89"/>
      <c r="CC648" s="89"/>
      <c r="CD648" s="89"/>
      <c r="CE648" s="89"/>
      <c r="CF648" s="89"/>
      <c r="CG648" s="89"/>
      <c r="CH648" s="89"/>
      <c r="CI648" s="89"/>
      <c r="CJ648" s="89"/>
      <c r="CK648" s="89"/>
      <c r="CL648" s="89"/>
      <c r="CM648" s="89"/>
      <c r="CN648" s="89"/>
      <c r="CO648" s="89"/>
      <c r="CP648" s="89"/>
      <c r="CQ648" s="89"/>
      <c r="CR648" s="89"/>
      <c r="CS648" s="89"/>
      <c r="CT648" s="89"/>
      <c r="CU648" s="89"/>
      <c r="CV648" s="89"/>
      <c r="CW648" s="89"/>
      <c r="CX648" s="89"/>
      <c r="CY648" s="89"/>
      <c r="CZ648" s="98"/>
      <c r="DA648" s="98"/>
      <c r="DB648" s="98"/>
      <c r="DC648" s="98"/>
      <c r="DD648" s="98"/>
      <c r="DE648" s="98"/>
      <c r="DF648" s="98"/>
      <c r="DG648" s="98"/>
      <c r="DH648" s="98"/>
      <c r="DI648" s="98"/>
      <c r="DJ648" s="98"/>
      <c r="DK648" s="98"/>
      <c r="DL648" s="98"/>
      <c r="DM648" s="98"/>
      <c r="DN648" s="98"/>
      <c r="DO648" s="98"/>
      <c r="DP648" s="98"/>
      <c r="DQ648" s="98"/>
      <c r="DR648" s="98"/>
      <c r="DS648" s="98"/>
      <c r="DT648" s="98"/>
      <c r="DU648" s="98"/>
      <c r="DV648" s="98"/>
      <c r="DW648" s="98"/>
      <c r="DX648" s="98"/>
      <c r="DY648" s="98"/>
      <c r="DZ648" s="98"/>
      <c r="EA648" s="98"/>
      <c r="EB648" s="98"/>
      <c r="EC648" s="98"/>
      <c r="ED648" s="98"/>
    </row>
    <row r="649" spans="1:134" ht="11.25" customHeight="1" x14ac:dyDescent="0.3">
      <c r="A649" s="28" t="e">
        <f t="array" aca="1" ref="A649" ca="1">_xludf.XLOOKUP(S649,Master_Registrations!P:P,Master_Registrations!A:A,"")</f>
        <v>#NAME?</v>
      </c>
      <c r="B649" s="89" t="s">
        <v>182</v>
      </c>
      <c r="C649" s="89">
        <v>2025</v>
      </c>
      <c r="D649" s="89" t="s">
        <v>4886</v>
      </c>
      <c r="E649" s="89">
        <v>8</v>
      </c>
      <c r="F649" s="90" t="str">
        <f t="shared" si="8"/>
        <v>VED-01-2025-GR-8</v>
      </c>
      <c r="G649" s="89" t="s">
        <v>7062</v>
      </c>
      <c r="H649" s="89" t="s">
        <v>195</v>
      </c>
      <c r="I649" s="89"/>
      <c r="J649" s="89" t="s">
        <v>7094</v>
      </c>
      <c r="K649" s="99">
        <v>-1</v>
      </c>
      <c r="L649" s="99">
        <v>-1</v>
      </c>
      <c r="M649" s="109"/>
      <c r="N649" s="90" t="s">
        <v>7095</v>
      </c>
      <c r="O649" s="89" t="s">
        <v>2749</v>
      </c>
      <c r="P649" s="89" t="s">
        <v>1670</v>
      </c>
      <c r="Q649" s="89" t="e">
        <f t="shared" ca="1" si="9"/>
        <v>#NAME?</v>
      </c>
      <c r="R649" s="39" t="s">
        <v>316</v>
      </c>
      <c r="S649" s="105">
        <v>2035210971</v>
      </c>
      <c r="T649" s="90" t="s">
        <v>402</v>
      </c>
      <c r="U649" s="90">
        <v>1961</v>
      </c>
      <c r="V649" s="95">
        <v>-1</v>
      </c>
      <c r="W649" s="95">
        <v>-1</v>
      </c>
      <c r="X649" s="96">
        <v>-1</v>
      </c>
      <c r="Y649" s="96">
        <v>-1</v>
      </c>
      <c r="Z649" s="96">
        <v>-1</v>
      </c>
      <c r="AA649" s="96">
        <v>-1</v>
      </c>
      <c r="AB649" s="96">
        <v>-1</v>
      </c>
      <c r="AC649" s="95">
        <v>-1</v>
      </c>
      <c r="AD649" s="95">
        <v>-1</v>
      </c>
      <c r="AE649" s="95">
        <v>-1</v>
      </c>
      <c r="AF649" s="95">
        <v>-1</v>
      </c>
      <c r="AG649" s="95">
        <v>-1</v>
      </c>
      <c r="AH649" s="95">
        <v>-1</v>
      </c>
      <c r="AI649" s="96">
        <v>-1</v>
      </c>
      <c r="AJ649" s="89"/>
      <c r="AK649" s="89"/>
      <c r="AL649" s="89"/>
      <c r="AM649" s="89"/>
      <c r="AN649" s="89"/>
      <c r="AO649" s="89"/>
      <c r="AP649" s="89"/>
      <c r="AQ649" s="89"/>
      <c r="AR649" s="89"/>
      <c r="AS649" s="89"/>
      <c r="AT649" s="89"/>
      <c r="AU649" s="89"/>
      <c r="AV649" s="89"/>
      <c r="AW649" s="89"/>
      <c r="AX649" s="89"/>
      <c r="AY649" s="89"/>
      <c r="AZ649" s="89"/>
      <c r="BA649" s="89"/>
      <c r="BB649" s="89"/>
      <c r="BC649" s="89"/>
      <c r="BD649" s="89"/>
      <c r="BE649" s="89"/>
      <c r="BF649" s="89"/>
      <c r="BG649" s="89"/>
      <c r="BH649" s="89"/>
      <c r="BI649" s="89"/>
      <c r="BJ649" s="89"/>
      <c r="BK649" s="89"/>
      <c r="BL649" s="89"/>
      <c r="BM649" s="89"/>
      <c r="BN649" s="89"/>
      <c r="BO649" s="89"/>
      <c r="BP649" s="89"/>
      <c r="BQ649" s="89"/>
      <c r="BR649" s="89"/>
      <c r="BS649" s="89"/>
      <c r="BT649" s="89"/>
      <c r="BU649" s="89"/>
      <c r="BV649" s="89"/>
      <c r="BW649" s="89"/>
      <c r="BX649" s="89"/>
      <c r="BY649" s="89"/>
      <c r="BZ649" s="89"/>
      <c r="CA649" s="89"/>
      <c r="CB649" s="89"/>
      <c r="CC649" s="89"/>
      <c r="CD649" s="89"/>
      <c r="CE649" s="89"/>
      <c r="CF649" s="89"/>
      <c r="CG649" s="89"/>
      <c r="CH649" s="89"/>
      <c r="CI649" s="89"/>
      <c r="CJ649" s="89"/>
      <c r="CK649" s="89"/>
      <c r="CL649" s="89"/>
      <c r="CM649" s="89"/>
      <c r="CN649" s="89"/>
      <c r="CO649" s="89"/>
      <c r="CP649" s="89"/>
      <c r="CQ649" s="89"/>
      <c r="CR649" s="89"/>
      <c r="CS649" s="89"/>
      <c r="CT649" s="89"/>
      <c r="CU649" s="89"/>
      <c r="CV649" s="89"/>
      <c r="CW649" s="89"/>
      <c r="CX649" s="89"/>
      <c r="CY649" s="89"/>
      <c r="CZ649" s="98"/>
      <c r="DA649" s="98"/>
      <c r="DB649" s="98"/>
      <c r="DC649" s="98"/>
      <c r="DD649" s="98"/>
      <c r="DE649" s="98"/>
      <c r="DF649" s="98"/>
      <c r="DG649" s="98"/>
      <c r="DH649" s="98"/>
      <c r="DI649" s="98"/>
      <c r="DJ649" s="98"/>
      <c r="DK649" s="98"/>
      <c r="DL649" s="98"/>
      <c r="DM649" s="98"/>
      <c r="DN649" s="98"/>
      <c r="DO649" s="98"/>
      <c r="DP649" s="98"/>
      <c r="DQ649" s="98"/>
      <c r="DR649" s="98"/>
      <c r="DS649" s="98"/>
      <c r="DT649" s="98"/>
      <c r="DU649" s="98"/>
      <c r="DV649" s="98"/>
      <c r="DW649" s="98"/>
      <c r="DX649" s="98"/>
      <c r="DY649" s="98"/>
      <c r="DZ649" s="98"/>
      <c r="EA649" s="98"/>
      <c r="EB649" s="98"/>
      <c r="EC649" s="98"/>
      <c r="ED649" s="98"/>
    </row>
    <row r="650" spans="1:134" ht="11.25" customHeight="1" x14ac:dyDescent="0.3">
      <c r="A650" s="28" t="e">
        <f t="array" aca="1" ref="A650" ca="1">_xludf.XLOOKUP(S650,Master_Registrations!P:P,Master_Registrations!A:A,"")</f>
        <v>#NAME?</v>
      </c>
      <c r="B650" s="89" t="s">
        <v>182</v>
      </c>
      <c r="C650" s="89">
        <v>2025</v>
      </c>
      <c r="D650" s="89" t="s">
        <v>4886</v>
      </c>
      <c r="E650" s="89">
        <v>8</v>
      </c>
      <c r="F650" s="90" t="str">
        <f t="shared" si="8"/>
        <v>VED-01-2025-GR-8</v>
      </c>
      <c r="G650" s="89" t="s">
        <v>7062</v>
      </c>
      <c r="H650" s="89" t="s">
        <v>195</v>
      </c>
      <c r="I650" s="89"/>
      <c r="J650" s="89" t="s">
        <v>7094</v>
      </c>
      <c r="K650" s="104">
        <v>-1</v>
      </c>
      <c r="L650" s="104">
        <v>-1</v>
      </c>
      <c r="M650" s="109"/>
      <c r="N650" s="90" t="s">
        <v>7095</v>
      </c>
      <c r="O650" s="89" t="s">
        <v>370</v>
      </c>
      <c r="P650" s="89" t="s">
        <v>2576</v>
      </c>
      <c r="Q650" s="89" t="e">
        <f t="shared" ca="1" si="9"/>
        <v>#NAME?</v>
      </c>
      <c r="R650" s="39" t="s">
        <v>316</v>
      </c>
      <c r="S650" s="105">
        <v>5129683538</v>
      </c>
      <c r="T650" s="90" t="s">
        <v>315</v>
      </c>
      <c r="U650" s="89">
        <v>2001</v>
      </c>
      <c r="V650" s="95">
        <v>-1</v>
      </c>
      <c r="W650" s="95">
        <v>-1</v>
      </c>
      <c r="X650" s="99">
        <v>-1</v>
      </c>
      <c r="Y650" s="96">
        <v>-1</v>
      </c>
      <c r="Z650" s="96">
        <v>-1</v>
      </c>
      <c r="AA650" s="96">
        <v>-1</v>
      </c>
      <c r="AB650" s="96">
        <v>-1</v>
      </c>
      <c r="AC650" s="95">
        <v>-1</v>
      </c>
      <c r="AD650" s="95">
        <v>-1</v>
      </c>
      <c r="AE650" s="95">
        <v>-1</v>
      </c>
      <c r="AF650" s="95">
        <v>-1</v>
      </c>
      <c r="AG650" s="95">
        <v>-1</v>
      </c>
      <c r="AH650" s="95">
        <v>-1</v>
      </c>
      <c r="AI650" s="96">
        <v>-1</v>
      </c>
      <c r="AJ650" s="89"/>
      <c r="AK650" s="89"/>
      <c r="AL650" s="89"/>
      <c r="AM650" s="89"/>
      <c r="AN650" s="89"/>
      <c r="AO650" s="89"/>
      <c r="AP650" s="89"/>
      <c r="AQ650" s="89"/>
      <c r="AR650" s="89"/>
      <c r="AS650" s="89"/>
      <c r="AT650" s="89"/>
      <c r="AU650" s="89"/>
      <c r="AV650" s="89"/>
      <c r="AW650" s="89"/>
      <c r="AX650" s="89"/>
      <c r="AY650" s="89"/>
      <c r="AZ650" s="89"/>
      <c r="BA650" s="89"/>
      <c r="BB650" s="89"/>
      <c r="BC650" s="89"/>
      <c r="BD650" s="89"/>
      <c r="BE650" s="89"/>
      <c r="BF650" s="89"/>
      <c r="BG650" s="89"/>
      <c r="BH650" s="89"/>
      <c r="BI650" s="89"/>
      <c r="BJ650" s="89"/>
      <c r="BK650" s="89"/>
      <c r="BL650" s="89"/>
      <c r="BM650" s="89"/>
      <c r="BN650" s="89"/>
      <c r="BO650" s="89"/>
      <c r="BP650" s="89"/>
      <c r="BQ650" s="89"/>
      <c r="BR650" s="89"/>
      <c r="BS650" s="89"/>
      <c r="BT650" s="89"/>
      <c r="BU650" s="89"/>
      <c r="BV650" s="89"/>
      <c r="BW650" s="89"/>
      <c r="BX650" s="89"/>
      <c r="BY650" s="89"/>
      <c r="BZ650" s="89"/>
      <c r="CA650" s="89"/>
      <c r="CB650" s="89"/>
      <c r="CC650" s="89"/>
      <c r="CD650" s="89"/>
      <c r="CE650" s="89"/>
      <c r="CF650" s="89"/>
      <c r="CG650" s="89"/>
      <c r="CH650" s="89"/>
      <c r="CI650" s="89"/>
      <c r="CJ650" s="89"/>
      <c r="CK650" s="89"/>
      <c r="CL650" s="89"/>
      <c r="CM650" s="89"/>
      <c r="CN650" s="89"/>
      <c r="CO650" s="89"/>
      <c r="CP650" s="89"/>
      <c r="CQ650" s="89"/>
      <c r="CR650" s="89"/>
      <c r="CS650" s="89"/>
      <c r="CT650" s="89"/>
      <c r="CU650" s="89"/>
      <c r="CV650" s="89"/>
      <c r="CW650" s="89"/>
      <c r="CX650" s="89"/>
      <c r="CY650" s="89"/>
      <c r="CZ650" s="98"/>
      <c r="DA650" s="98"/>
      <c r="DB650" s="98"/>
      <c r="DC650" s="98"/>
      <c r="DD650" s="98"/>
      <c r="DE650" s="98"/>
      <c r="DF650" s="98"/>
      <c r="DG650" s="98"/>
      <c r="DH650" s="98"/>
      <c r="DI650" s="98"/>
      <c r="DJ650" s="98"/>
      <c r="DK650" s="98"/>
      <c r="DL650" s="98"/>
      <c r="DM650" s="98"/>
      <c r="DN650" s="98"/>
      <c r="DO650" s="98"/>
      <c r="DP650" s="98"/>
      <c r="DQ650" s="98"/>
      <c r="DR650" s="98"/>
      <c r="DS650" s="98"/>
      <c r="DT650" s="98"/>
      <c r="DU650" s="98"/>
      <c r="DV650" s="98"/>
      <c r="DW650" s="98"/>
      <c r="DX650" s="98"/>
      <c r="DY650" s="98"/>
      <c r="DZ650" s="98"/>
      <c r="EA650" s="98"/>
      <c r="EB650" s="98"/>
      <c r="EC650" s="98"/>
      <c r="ED650" s="98"/>
    </row>
    <row r="651" spans="1:134" ht="11.25" customHeight="1" x14ac:dyDescent="0.3">
      <c r="A651" s="28" t="e">
        <f t="array" aca="1" ref="A651" ca="1">_xludf.XLOOKUP(S651,Master_Registrations!P:P,Master_Registrations!A:A,"")</f>
        <v>#NAME?</v>
      </c>
      <c r="B651" s="89" t="s">
        <v>182</v>
      </c>
      <c r="C651" s="89">
        <v>2025</v>
      </c>
      <c r="D651" s="89" t="s">
        <v>4886</v>
      </c>
      <c r="E651" s="89">
        <v>8</v>
      </c>
      <c r="F651" s="90" t="str">
        <f t="shared" si="8"/>
        <v>VED-01-2025-GR-8</v>
      </c>
      <c r="G651" s="89" t="s">
        <v>7062</v>
      </c>
      <c r="H651" s="89" t="s">
        <v>1723</v>
      </c>
      <c r="I651" s="89"/>
      <c r="J651" s="89" t="s">
        <v>7094</v>
      </c>
      <c r="K651" s="99">
        <v>1</v>
      </c>
      <c r="L651" s="104">
        <v>-1</v>
      </c>
      <c r="M651" s="109"/>
      <c r="N651" s="90" t="s">
        <v>7095</v>
      </c>
      <c r="O651" s="89" t="s">
        <v>2206</v>
      </c>
      <c r="P651" s="89" t="s">
        <v>2207</v>
      </c>
      <c r="Q651" s="89" t="e">
        <f t="shared" ca="1" si="9"/>
        <v>#NAME?</v>
      </c>
      <c r="R651" s="39" t="s">
        <v>112</v>
      </c>
      <c r="S651" s="105">
        <v>9490988255</v>
      </c>
      <c r="T651" s="90" t="s">
        <v>111</v>
      </c>
      <c r="U651" s="89">
        <v>1961</v>
      </c>
      <c r="V651" s="95">
        <v>-1</v>
      </c>
      <c r="W651" s="95">
        <v>-1</v>
      </c>
      <c r="X651" s="99">
        <v>-1</v>
      </c>
      <c r="Y651" s="96">
        <v>-1</v>
      </c>
      <c r="Z651" s="96">
        <v>-1</v>
      </c>
      <c r="AA651" s="96">
        <v>-1</v>
      </c>
      <c r="AB651" s="96">
        <v>-1</v>
      </c>
      <c r="AC651" s="95">
        <v>-1</v>
      </c>
      <c r="AD651" s="95">
        <v>-1</v>
      </c>
      <c r="AE651" s="95">
        <v>-1</v>
      </c>
      <c r="AF651" s="95">
        <v>-1</v>
      </c>
      <c r="AG651" s="95">
        <v>-1</v>
      </c>
      <c r="AH651" s="95">
        <v>-1</v>
      </c>
      <c r="AI651" s="96">
        <v>-1</v>
      </c>
      <c r="AJ651" s="89"/>
      <c r="AK651" s="89"/>
      <c r="AL651" s="89"/>
      <c r="AM651" s="89"/>
      <c r="AN651" s="89"/>
      <c r="AO651" s="89"/>
      <c r="AP651" s="89"/>
      <c r="AQ651" s="89"/>
      <c r="AR651" s="89"/>
      <c r="AS651" s="89"/>
      <c r="AT651" s="89"/>
      <c r="AU651" s="89"/>
      <c r="AV651" s="89"/>
      <c r="AW651" s="89"/>
      <c r="AX651" s="89"/>
      <c r="AY651" s="89"/>
      <c r="AZ651" s="89"/>
      <c r="BA651" s="89"/>
      <c r="BB651" s="89"/>
      <c r="BC651" s="89"/>
      <c r="BD651" s="89"/>
      <c r="BE651" s="89"/>
      <c r="BF651" s="89"/>
      <c r="BG651" s="89"/>
      <c r="BH651" s="89"/>
      <c r="BI651" s="89"/>
      <c r="BJ651" s="89"/>
      <c r="BK651" s="89"/>
      <c r="BL651" s="89"/>
      <c r="BM651" s="89"/>
      <c r="BN651" s="89"/>
      <c r="BO651" s="89"/>
      <c r="BP651" s="89"/>
      <c r="BQ651" s="89"/>
      <c r="BR651" s="89"/>
      <c r="BS651" s="89"/>
      <c r="BT651" s="89"/>
      <c r="BU651" s="89"/>
      <c r="BV651" s="89"/>
      <c r="BW651" s="89"/>
      <c r="BX651" s="89"/>
      <c r="BY651" s="89"/>
      <c r="BZ651" s="89"/>
      <c r="CA651" s="89"/>
      <c r="CB651" s="89"/>
      <c r="CC651" s="89"/>
      <c r="CD651" s="89"/>
      <c r="CE651" s="89"/>
      <c r="CF651" s="89"/>
      <c r="CG651" s="89"/>
      <c r="CH651" s="89"/>
      <c r="CI651" s="89"/>
      <c r="CJ651" s="89"/>
      <c r="CK651" s="89"/>
      <c r="CL651" s="89"/>
      <c r="CM651" s="89"/>
      <c r="CN651" s="89"/>
      <c r="CO651" s="89"/>
      <c r="CP651" s="89"/>
      <c r="CQ651" s="89"/>
      <c r="CR651" s="89"/>
      <c r="CS651" s="89"/>
      <c r="CT651" s="89"/>
      <c r="CU651" s="89"/>
      <c r="CV651" s="89"/>
      <c r="CW651" s="89"/>
      <c r="CX651" s="89"/>
      <c r="CY651" s="89"/>
      <c r="CZ651" s="98"/>
      <c r="DA651" s="98"/>
      <c r="DB651" s="98"/>
      <c r="DC651" s="98"/>
      <c r="DD651" s="98"/>
      <c r="DE651" s="98"/>
      <c r="DF651" s="98"/>
      <c r="DG651" s="98"/>
      <c r="DH651" s="98"/>
      <c r="DI651" s="98"/>
      <c r="DJ651" s="98"/>
      <c r="DK651" s="98"/>
      <c r="DL651" s="98"/>
      <c r="DM651" s="98"/>
      <c r="DN651" s="98"/>
      <c r="DO651" s="98"/>
      <c r="DP651" s="98"/>
      <c r="DQ651" s="98"/>
      <c r="DR651" s="98"/>
      <c r="DS651" s="98"/>
      <c r="DT651" s="98"/>
      <c r="DU651" s="98"/>
      <c r="DV651" s="98"/>
      <c r="DW651" s="98"/>
      <c r="DX651" s="98"/>
      <c r="DY651" s="98"/>
      <c r="DZ651" s="98"/>
      <c r="EA651" s="98"/>
      <c r="EB651" s="98"/>
      <c r="EC651" s="98"/>
      <c r="ED651" s="98"/>
    </row>
    <row r="652" spans="1:134" ht="11.25" customHeight="1" x14ac:dyDescent="0.3">
      <c r="A652" s="28" t="e">
        <f t="array" aca="1" ref="A652" ca="1">_xludf.XLOOKUP(S652,Master_Registrations!P:P,Master_Registrations!A:A,"")</f>
        <v>#NAME?</v>
      </c>
      <c r="B652" s="89" t="s">
        <v>182</v>
      </c>
      <c r="C652" s="89">
        <v>2025</v>
      </c>
      <c r="D652" s="89" t="s">
        <v>4886</v>
      </c>
      <c r="E652" s="89">
        <v>8</v>
      </c>
      <c r="F652" s="90" t="str">
        <f t="shared" si="8"/>
        <v>VED-01-2025-GR-8</v>
      </c>
      <c r="G652" s="89" t="s">
        <v>7062</v>
      </c>
      <c r="H652" s="89" t="s">
        <v>1723</v>
      </c>
      <c r="I652" s="89"/>
      <c r="J652" s="89" t="s">
        <v>7094</v>
      </c>
      <c r="K652" s="104">
        <v>-1</v>
      </c>
      <c r="L652" s="99">
        <v>1</v>
      </c>
      <c r="M652" s="109"/>
      <c r="N652" s="90" t="s">
        <v>7095</v>
      </c>
      <c r="O652" s="89" t="s">
        <v>6718</v>
      </c>
      <c r="P652" s="89" t="s">
        <v>6719</v>
      </c>
      <c r="Q652" s="89" t="e">
        <f t="shared" ca="1" si="9"/>
        <v>#NAME?</v>
      </c>
      <c r="R652" s="39" t="s">
        <v>112</v>
      </c>
      <c r="S652" s="105">
        <v>9441125012</v>
      </c>
      <c r="T652" s="90" t="s">
        <v>111</v>
      </c>
      <c r="U652" s="89">
        <v>1988</v>
      </c>
      <c r="V652" s="95">
        <v>-1</v>
      </c>
      <c r="W652" s="95">
        <v>-1</v>
      </c>
      <c r="X652" s="99">
        <v>1</v>
      </c>
      <c r="Y652" s="95">
        <v>-1</v>
      </c>
      <c r="Z652" s="96">
        <v>-1</v>
      </c>
      <c r="AA652" s="96">
        <v>-1</v>
      </c>
      <c r="AB652" s="96">
        <v>-1</v>
      </c>
      <c r="AC652" s="95">
        <v>-1</v>
      </c>
      <c r="AD652" s="95">
        <v>-1</v>
      </c>
      <c r="AE652" s="95">
        <v>-1</v>
      </c>
      <c r="AF652" s="95">
        <v>-1</v>
      </c>
      <c r="AG652" s="95">
        <v>-1</v>
      </c>
      <c r="AH652" s="95">
        <v>-1</v>
      </c>
      <c r="AI652" s="96">
        <v>-1</v>
      </c>
      <c r="AJ652" s="89"/>
      <c r="AK652" s="89"/>
      <c r="AL652" s="89"/>
      <c r="AM652" s="89"/>
      <c r="AN652" s="89"/>
      <c r="AO652" s="89"/>
      <c r="AP652" s="89"/>
      <c r="AQ652" s="89"/>
      <c r="AR652" s="89"/>
      <c r="AS652" s="89"/>
      <c r="AT652" s="89"/>
      <c r="AU652" s="89"/>
      <c r="AV652" s="89"/>
      <c r="AW652" s="89"/>
      <c r="AX652" s="89"/>
      <c r="AY652" s="89"/>
      <c r="AZ652" s="89"/>
      <c r="BA652" s="89"/>
      <c r="BB652" s="89"/>
      <c r="BC652" s="89"/>
      <c r="BD652" s="89"/>
      <c r="BE652" s="89"/>
      <c r="BF652" s="89"/>
      <c r="BG652" s="89"/>
      <c r="BH652" s="89"/>
      <c r="BI652" s="89"/>
      <c r="BJ652" s="89"/>
      <c r="BK652" s="89"/>
      <c r="BL652" s="89"/>
      <c r="BM652" s="89"/>
      <c r="BN652" s="89"/>
      <c r="BO652" s="89"/>
      <c r="BP652" s="89"/>
      <c r="BQ652" s="89"/>
      <c r="BR652" s="89"/>
      <c r="BS652" s="89"/>
      <c r="BT652" s="89"/>
      <c r="BU652" s="89"/>
      <c r="BV652" s="89"/>
      <c r="BW652" s="89"/>
      <c r="BX652" s="89"/>
      <c r="BY652" s="89"/>
      <c r="BZ652" s="89"/>
      <c r="CA652" s="89"/>
      <c r="CB652" s="89"/>
      <c r="CC652" s="89"/>
      <c r="CD652" s="89"/>
      <c r="CE652" s="89"/>
      <c r="CF652" s="89"/>
      <c r="CG652" s="89"/>
      <c r="CH652" s="89"/>
      <c r="CI652" s="89"/>
      <c r="CJ652" s="89"/>
      <c r="CK652" s="89"/>
      <c r="CL652" s="89"/>
      <c r="CM652" s="89"/>
      <c r="CN652" s="89"/>
      <c r="CO652" s="89"/>
      <c r="CP652" s="89"/>
      <c r="CQ652" s="89"/>
      <c r="CR652" s="89"/>
      <c r="CS652" s="89"/>
      <c r="CT652" s="89"/>
      <c r="CU652" s="89"/>
      <c r="CV652" s="89"/>
      <c r="CW652" s="89"/>
      <c r="CX652" s="89"/>
      <c r="CY652" s="89"/>
      <c r="CZ652" s="98"/>
      <c r="DA652" s="98"/>
      <c r="DB652" s="98"/>
      <c r="DC652" s="98"/>
      <c r="DD652" s="98"/>
      <c r="DE652" s="98"/>
      <c r="DF652" s="98"/>
      <c r="DG652" s="98"/>
      <c r="DH652" s="98"/>
      <c r="DI652" s="98"/>
      <c r="DJ652" s="98"/>
      <c r="DK652" s="98"/>
      <c r="DL652" s="98"/>
      <c r="DM652" s="98"/>
      <c r="DN652" s="98"/>
      <c r="DO652" s="98"/>
      <c r="DP652" s="98"/>
      <c r="DQ652" s="98"/>
      <c r="DR652" s="98"/>
      <c r="DS652" s="98"/>
      <c r="DT652" s="98"/>
      <c r="DU652" s="98"/>
      <c r="DV652" s="98"/>
      <c r="DW652" s="98"/>
      <c r="DX652" s="98"/>
      <c r="DY652" s="98"/>
      <c r="DZ652" s="98"/>
      <c r="EA652" s="98"/>
      <c r="EB652" s="98"/>
      <c r="EC652" s="98"/>
      <c r="ED652" s="98"/>
    </row>
    <row r="653" spans="1:134" ht="11.25" customHeight="1" x14ac:dyDescent="0.3">
      <c r="A653" s="28" t="e">
        <f t="array" aca="1" ref="A653" ca="1">_xludf.XLOOKUP(S653,Master_Registrations!P:P,Master_Registrations!A:A,"")</f>
        <v>#NAME?</v>
      </c>
      <c r="B653" s="89" t="s">
        <v>182</v>
      </c>
      <c r="C653" s="89">
        <v>2025</v>
      </c>
      <c r="D653" s="89" t="s">
        <v>4886</v>
      </c>
      <c r="E653" s="89">
        <v>8</v>
      </c>
      <c r="F653" s="90" t="str">
        <f t="shared" si="8"/>
        <v>VED-01-2025-GR-8</v>
      </c>
      <c r="G653" s="89" t="s">
        <v>7062</v>
      </c>
      <c r="H653" s="89" t="s">
        <v>1723</v>
      </c>
      <c r="I653" s="89"/>
      <c r="J653" s="89" t="s">
        <v>7094</v>
      </c>
      <c r="K653" s="104">
        <v>-1</v>
      </c>
      <c r="L653" s="99">
        <v>1</v>
      </c>
      <c r="M653" s="104">
        <v>-1</v>
      </c>
      <c r="N653" s="90" t="s">
        <v>7095</v>
      </c>
      <c r="O653" s="89" t="s">
        <v>2726</v>
      </c>
      <c r="P653" s="89" t="s">
        <v>2727</v>
      </c>
      <c r="Q653" s="89" t="e">
        <f t="shared" ca="1" si="9"/>
        <v>#NAME?</v>
      </c>
      <c r="R653" s="39" t="s">
        <v>112</v>
      </c>
      <c r="S653" s="105">
        <v>9581111834</v>
      </c>
      <c r="T653" s="90" t="s">
        <v>111</v>
      </c>
      <c r="U653" s="89">
        <v>1980</v>
      </c>
      <c r="V653" s="95">
        <v>-1</v>
      </c>
      <c r="W653" s="95">
        <v>-1</v>
      </c>
      <c r="X653" s="99">
        <v>1</v>
      </c>
      <c r="Y653" s="99">
        <v>1</v>
      </c>
      <c r="Z653" s="95">
        <v>-1</v>
      </c>
      <c r="AA653" s="95">
        <v>-1</v>
      </c>
      <c r="AB653" s="95">
        <v>-1</v>
      </c>
      <c r="AC653" s="95">
        <v>-1</v>
      </c>
      <c r="AD653" s="95">
        <v>-1</v>
      </c>
      <c r="AE653" s="95">
        <v>-1</v>
      </c>
      <c r="AF653" s="95">
        <v>-1</v>
      </c>
      <c r="AG653" s="95">
        <v>-1</v>
      </c>
      <c r="AH653" s="95">
        <v>-1</v>
      </c>
      <c r="AI653" s="96">
        <v>-1</v>
      </c>
      <c r="AJ653" s="89"/>
      <c r="AK653" s="89"/>
      <c r="AL653" s="89"/>
      <c r="AM653" s="89"/>
      <c r="AN653" s="89"/>
      <c r="AO653" s="89"/>
      <c r="AP653" s="89"/>
      <c r="AQ653" s="89"/>
      <c r="AR653" s="89"/>
      <c r="AS653" s="89"/>
      <c r="AT653" s="89"/>
      <c r="AU653" s="89"/>
      <c r="AV653" s="89"/>
      <c r="AW653" s="89"/>
      <c r="AX653" s="89"/>
      <c r="AY653" s="89"/>
      <c r="AZ653" s="89"/>
      <c r="BA653" s="89"/>
      <c r="BB653" s="89"/>
      <c r="BC653" s="89"/>
      <c r="BD653" s="89"/>
      <c r="BE653" s="89"/>
      <c r="BF653" s="89"/>
      <c r="BG653" s="89"/>
      <c r="BH653" s="89"/>
      <c r="BI653" s="89"/>
      <c r="BJ653" s="89"/>
      <c r="BK653" s="89"/>
      <c r="BL653" s="89"/>
      <c r="BM653" s="89"/>
      <c r="BN653" s="89"/>
      <c r="BO653" s="89"/>
      <c r="BP653" s="89"/>
      <c r="BQ653" s="89"/>
      <c r="BR653" s="89"/>
      <c r="BS653" s="89"/>
      <c r="BT653" s="89"/>
      <c r="BU653" s="89"/>
      <c r="BV653" s="89"/>
      <c r="BW653" s="89"/>
      <c r="BX653" s="89"/>
      <c r="BY653" s="89"/>
      <c r="BZ653" s="89"/>
      <c r="CA653" s="89"/>
      <c r="CB653" s="89"/>
      <c r="CC653" s="89"/>
      <c r="CD653" s="89"/>
      <c r="CE653" s="89"/>
      <c r="CF653" s="89"/>
      <c r="CG653" s="89"/>
      <c r="CH653" s="89"/>
      <c r="CI653" s="89"/>
      <c r="CJ653" s="89"/>
      <c r="CK653" s="89"/>
      <c r="CL653" s="89"/>
      <c r="CM653" s="89"/>
      <c r="CN653" s="89"/>
      <c r="CO653" s="89"/>
      <c r="CP653" s="89"/>
      <c r="CQ653" s="89"/>
      <c r="CR653" s="89"/>
      <c r="CS653" s="89"/>
      <c r="CT653" s="89"/>
      <c r="CU653" s="89"/>
      <c r="CV653" s="89"/>
      <c r="CW653" s="89"/>
      <c r="CX653" s="89"/>
      <c r="CY653" s="89"/>
      <c r="CZ653" s="98"/>
      <c r="DA653" s="98"/>
      <c r="DB653" s="98"/>
      <c r="DC653" s="98"/>
      <c r="DD653" s="98"/>
      <c r="DE653" s="98"/>
      <c r="DF653" s="98"/>
      <c r="DG653" s="98"/>
      <c r="DH653" s="98"/>
      <c r="DI653" s="98"/>
      <c r="DJ653" s="98"/>
      <c r="DK653" s="98"/>
      <c r="DL653" s="98"/>
      <c r="DM653" s="98"/>
      <c r="DN653" s="98"/>
      <c r="DO653" s="98"/>
      <c r="DP653" s="98"/>
      <c r="DQ653" s="98"/>
      <c r="DR653" s="98"/>
      <c r="DS653" s="98"/>
      <c r="DT653" s="98"/>
      <c r="DU653" s="98"/>
      <c r="DV653" s="98"/>
      <c r="DW653" s="98"/>
      <c r="DX653" s="98"/>
      <c r="DY653" s="98"/>
      <c r="DZ653" s="98"/>
      <c r="EA653" s="98"/>
      <c r="EB653" s="98"/>
      <c r="EC653" s="98"/>
      <c r="ED653" s="98"/>
    </row>
    <row r="654" spans="1:134" ht="11.25" customHeight="1" x14ac:dyDescent="0.3">
      <c r="A654" s="28" t="e">
        <f t="array" aca="1" ref="A654" ca="1">_xludf.XLOOKUP(S654,Master_Registrations!P:P,Master_Registrations!A:A,"")</f>
        <v>#NAME?</v>
      </c>
      <c r="B654" s="89" t="s">
        <v>182</v>
      </c>
      <c r="C654" s="89">
        <v>2025</v>
      </c>
      <c r="D654" s="89" t="s">
        <v>4886</v>
      </c>
      <c r="E654" s="89">
        <v>8</v>
      </c>
      <c r="F654" s="90" t="str">
        <f t="shared" si="8"/>
        <v>VED-01-2025-GR-8</v>
      </c>
      <c r="G654" s="89" t="s">
        <v>7060</v>
      </c>
      <c r="H654" s="89" t="s">
        <v>7061</v>
      </c>
      <c r="I654" s="89"/>
      <c r="J654" s="89" t="s">
        <v>7094</v>
      </c>
      <c r="K654" s="99"/>
      <c r="L654" s="99"/>
      <c r="M654" s="110"/>
      <c r="N654" s="90" t="s">
        <v>7095</v>
      </c>
      <c r="O654" s="89" t="s">
        <v>3542</v>
      </c>
      <c r="P654" s="89" t="s">
        <v>3543</v>
      </c>
      <c r="Q654" s="89" t="e">
        <f t="shared" ca="1" si="9"/>
        <v>#NAME?</v>
      </c>
      <c r="R654" s="39" t="s">
        <v>112</v>
      </c>
      <c r="S654" s="105">
        <v>7382195576</v>
      </c>
      <c r="T654" s="90" t="s">
        <v>111</v>
      </c>
      <c r="U654" s="89">
        <v>1978</v>
      </c>
      <c r="V654" s="95">
        <v>-1</v>
      </c>
      <c r="W654" s="95">
        <v>-1</v>
      </c>
      <c r="X654" s="95">
        <v>-1</v>
      </c>
      <c r="Y654" s="95">
        <v>-1</v>
      </c>
      <c r="Z654" s="95">
        <v>-1</v>
      </c>
      <c r="AA654" s="95">
        <v>-1</v>
      </c>
      <c r="AB654" s="95">
        <v>-1</v>
      </c>
      <c r="AC654" s="95">
        <v>-1</v>
      </c>
      <c r="AD654" s="95">
        <v>-1</v>
      </c>
      <c r="AE654" s="95">
        <v>-1</v>
      </c>
      <c r="AF654" s="95">
        <v>-1</v>
      </c>
      <c r="AG654" s="95">
        <v>-1</v>
      </c>
      <c r="AH654" s="95">
        <v>-1</v>
      </c>
      <c r="AI654" s="95">
        <v>-1</v>
      </c>
      <c r="AJ654" s="89"/>
      <c r="AK654" s="89"/>
      <c r="AL654" s="89"/>
      <c r="AM654" s="89"/>
      <c r="AN654" s="89"/>
      <c r="AO654" s="89"/>
      <c r="AP654" s="89"/>
      <c r="AQ654" s="89"/>
      <c r="AR654" s="89"/>
      <c r="AS654" s="89"/>
      <c r="AT654" s="89"/>
      <c r="AU654" s="89"/>
      <c r="AV654" s="89"/>
      <c r="AW654" s="89"/>
      <c r="AX654" s="89"/>
      <c r="AY654" s="89"/>
      <c r="AZ654" s="89"/>
      <c r="BA654" s="89"/>
      <c r="BB654" s="89"/>
      <c r="BC654" s="89"/>
      <c r="BD654" s="89"/>
      <c r="BE654" s="89"/>
      <c r="BF654" s="89"/>
      <c r="BG654" s="89"/>
      <c r="BH654" s="89"/>
      <c r="BI654" s="89"/>
      <c r="BJ654" s="89"/>
      <c r="BK654" s="89"/>
      <c r="BL654" s="89"/>
      <c r="BM654" s="89"/>
      <c r="BN654" s="89"/>
      <c r="BO654" s="89"/>
      <c r="BP654" s="89"/>
      <c r="BQ654" s="89"/>
      <c r="BR654" s="89"/>
      <c r="BS654" s="89"/>
      <c r="BT654" s="89"/>
      <c r="BU654" s="89"/>
      <c r="BV654" s="89"/>
      <c r="BW654" s="89"/>
      <c r="BX654" s="89"/>
      <c r="BY654" s="89"/>
      <c r="BZ654" s="89"/>
      <c r="CA654" s="89"/>
      <c r="CB654" s="89"/>
      <c r="CC654" s="89"/>
      <c r="CD654" s="89"/>
      <c r="CE654" s="89"/>
      <c r="CF654" s="89"/>
      <c r="CG654" s="89"/>
      <c r="CH654" s="89"/>
      <c r="CI654" s="89"/>
      <c r="CJ654" s="89"/>
      <c r="CK654" s="89"/>
      <c r="CL654" s="89"/>
      <c r="CM654" s="89"/>
      <c r="CN654" s="89"/>
      <c r="CO654" s="89"/>
      <c r="CP654" s="89"/>
      <c r="CQ654" s="89"/>
      <c r="CR654" s="89"/>
      <c r="CS654" s="89"/>
      <c r="CT654" s="89"/>
      <c r="CU654" s="89"/>
      <c r="CV654" s="89"/>
      <c r="CW654" s="89"/>
      <c r="CX654" s="89"/>
      <c r="CY654" s="89"/>
      <c r="CZ654" s="98"/>
      <c r="DA654" s="98"/>
      <c r="DB654" s="98"/>
      <c r="DC654" s="98"/>
      <c r="DD654" s="98"/>
      <c r="DE654" s="98"/>
      <c r="DF654" s="98"/>
      <c r="DG654" s="98"/>
      <c r="DH654" s="98"/>
      <c r="DI654" s="98"/>
      <c r="DJ654" s="98"/>
      <c r="DK654" s="98"/>
      <c r="DL654" s="98"/>
      <c r="DM654" s="98"/>
      <c r="DN654" s="98"/>
      <c r="DO654" s="98"/>
      <c r="DP654" s="98"/>
      <c r="DQ654" s="98"/>
      <c r="DR654" s="98"/>
      <c r="DS654" s="98"/>
      <c r="DT654" s="98"/>
      <c r="DU654" s="98"/>
      <c r="DV654" s="98"/>
      <c r="DW654" s="98"/>
      <c r="DX654" s="98"/>
      <c r="DY654" s="98"/>
      <c r="DZ654" s="98"/>
      <c r="EA654" s="98"/>
      <c r="EB654" s="98"/>
      <c r="EC654" s="98"/>
      <c r="ED654" s="98"/>
    </row>
    <row r="655" spans="1:134" ht="11.25" customHeight="1" x14ac:dyDescent="0.3">
      <c r="A655" s="28" t="e">
        <f t="array" aca="1" ref="A655" ca="1">_xludf.XLOOKUP(S655,Master_Registrations!P:P,Master_Registrations!A:A,"")</f>
        <v>#NAME?</v>
      </c>
      <c r="B655" s="89" t="s">
        <v>182</v>
      </c>
      <c r="C655" s="89">
        <v>2025</v>
      </c>
      <c r="D655" s="89" t="s">
        <v>4886</v>
      </c>
      <c r="E655" s="89">
        <v>8</v>
      </c>
      <c r="F655" s="90" t="str">
        <f t="shared" si="8"/>
        <v>VED-01-2025-GR-8</v>
      </c>
      <c r="G655" s="89" t="s">
        <v>7060</v>
      </c>
      <c r="H655" s="89" t="s">
        <v>7061</v>
      </c>
      <c r="I655" s="89"/>
      <c r="J655" s="89" t="s">
        <v>7094</v>
      </c>
      <c r="K655" s="99"/>
      <c r="L655" s="110"/>
      <c r="M655" s="110"/>
      <c r="N655" s="90" t="s">
        <v>7095</v>
      </c>
      <c r="O655" s="89" t="s">
        <v>3317</v>
      </c>
      <c r="P655" s="89" t="s">
        <v>3318</v>
      </c>
      <c r="Q655" s="89" t="e">
        <f t="shared" ca="1" si="9"/>
        <v>#NAME?</v>
      </c>
      <c r="R655" s="39" t="s">
        <v>112</v>
      </c>
      <c r="S655" s="105">
        <v>8125376105</v>
      </c>
      <c r="T655" s="90" t="s">
        <v>111</v>
      </c>
      <c r="U655" s="89">
        <v>1965</v>
      </c>
      <c r="V655" s="95">
        <v>-1</v>
      </c>
      <c r="W655" s="95">
        <v>-1</v>
      </c>
      <c r="X655" s="95">
        <v>-1</v>
      </c>
      <c r="Y655" s="95">
        <v>-1</v>
      </c>
      <c r="Z655" s="95">
        <v>-1</v>
      </c>
      <c r="AA655" s="95">
        <v>-1</v>
      </c>
      <c r="AB655" s="95">
        <v>-1</v>
      </c>
      <c r="AC655" s="95">
        <v>-1</v>
      </c>
      <c r="AD655" s="95">
        <v>-1</v>
      </c>
      <c r="AE655" s="95">
        <v>-1</v>
      </c>
      <c r="AF655" s="95">
        <v>-1</v>
      </c>
      <c r="AG655" s="95">
        <v>-1</v>
      </c>
      <c r="AH655" s="95">
        <v>-1</v>
      </c>
      <c r="AI655" s="95">
        <v>-1</v>
      </c>
      <c r="AJ655" s="89"/>
      <c r="AK655" s="89"/>
      <c r="AL655" s="89"/>
      <c r="AM655" s="89"/>
      <c r="AN655" s="89"/>
      <c r="AO655" s="89"/>
      <c r="AP655" s="89"/>
      <c r="AQ655" s="89"/>
      <c r="AR655" s="89"/>
      <c r="AS655" s="89"/>
      <c r="AT655" s="89"/>
      <c r="AU655" s="89"/>
      <c r="AV655" s="89"/>
      <c r="AW655" s="89"/>
      <c r="AX655" s="89"/>
      <c r="AY655" s="89"/>
      <c r="AZ655" s="89"/>
      <c r="BA655" s="89"/>
      <c r="BB655" s="89"/>
      <c r="BC655" s="89"/>
      <c r="BD655" s="89"/>
      <c r="BE655" s="89"/>
      <c r="BF655" s="89"/>
      <c r="BG655" s="89"/>
      <c r="BH655" s="89"/>
      <c r="BI655" s="89"/>
      <c r="BJ655" s="89"/>
      <c r="BK655" s="89"/>
      <c r="BL655" s="89"/>
      <c r="BM655" s="89"/>
      <c r="BN655" s="89"/>
      <c r="BO655" s="89"/>
      <c r="BP655" s="89"/>
      <c r="BQ655" s="89"/>
      <c r="BR655" s="89"/>
      <c r="BS655" s="89"/>
      <c r="BT655" s="89"/>
      <c r="BU655" s="89"/>
      <c r="BV655" s="89"/>
      <c r="BW655" s="89"/>
      <c r="BX655" s="89"/>
      <c r="BY655" s="89"/>
      <c r="BZ655" s="89"/>
      <c r="CA655" s="89"/>
      <c r="CB655" s="89"/>
      <c r="CC655" s="89"/>
      <c r="CD655" s="89"/>
      <c r="CE655" s="89"/>
      <c r="CF655" s="89"/>
      <c r="CG655" s="89"/>
      <c r="CH655" s="89"/>
      <c r="CI655" s="89"/>
      <c r="CJ655" s="89"/>
      <c r="CK655" s="89"/>
      <c r="CL655" s="89"/>
      <c r="CM655" s="89"/>
      <c r="CN655" s="89"/>
      <c r="CO655" s="89"/>
      <c r="CP655" s="89"/>
      <c r="CQ655" s="89"/>
      <c r="CR655" s="89"/>
      <c r="CS655" s="89"/>
      <c r="CT655" s="89"/>
      <c r="CU655" s="89"/>
      <c r="CV655" s="89"/>
      <c r="CW655" s="89"/>
      <c r="CX655" s="89"/>
      <c r="CY655" s="89"/>
      <c r="CZ655" s="98"/>
      <c r="DA655" s="98"/>
      <c r="DB655" s="98"/>
      <c r="DC655" s="98"/>
      <c r="DD655" s="98"/>
      <c r="DE655" s="98"/>
      <c r="DF655" s="98"/>
      <c r="DG655" s="98"/>
      <c r="DH655" s="98"/>
      <c r="DI655" s="98"/>
      <c r="DJ655" s="98"/>
      <c r="DK655" s="98"/>
      <c r="DL655" s="98"/>
      <c r="DM655" s="98"/>
      <c r="DN655" s="98"/>
      <c r="DO655" s="98"/>
      <c r="DP655" s="98"/>
      <c r="DQ655" s="98"/>
      <c r="DR655" s="98"/>
      <c r="DS655" s="98"/>
      <c r="DT655" s="98"/>
      <c r="DU655" s="98"/>
      <c r="DV655" s="98"/>
      <c r="DW655" s="98"/>
      <c r="DX655" s="98"/>
      <c r="DY655" s="98"/>
      <c r="DZ655" s="98"/>
      <c r="EA655" s="98"/>
      <c r="EB655" s="98"/>
      <c r="EC655" s="98"/>
      <c r="ED655" s="98"/>
    </row>
    <row r="656" spans="1:134" ht="11.25" customHeight="1" x14ac:dyDescent="0.3">
      <c r="A656" s="28" t="e">
        <f t="array" aca="1" ref="A656" ca="1">_xludf.XLOOKUP(S656,Master_Registrations!P:P,Master_Registrations!A:A,"")</f>
        <v>#NAME?</v>
      </c>
      <c r="B656" s="89" t="s">
        <v>182</v>
      </c>
      <c r="C656" s="89">
        <v>2025</v>
      </c>
      <c r="D656" s="89" t="s">
        <v>4886</v>
      </c>
      <c r="E656" s="89">
        <v>8</v>
      </c>
      <c r="F656" s="90" t="str">
        <f t="shared" si="8"/>
        <v>VED-01-2025-GR-8</v>
      </c>
      <c r="G656" s="89" t="s">
        <v>7060</v>
      </c>
      <c r="H656" s="89" t="s">
        <v>7061</v>
      </c>
      <c r="I656" s="89"/>
      <c r="J656" s="89" t="s">
        <v>7094</v>
      </c>
      <c r="K656" s="104"/>
      <c r="L656" s="104"/>
      <c r="M656" s="110"/>
      <c r="N656" s="90" t="s">
        <v>7095</v>
      </c>
      <c r="O656" s="89" t="s">
        <v>3502</v>
      </c>
      <c r="P656" s="89" t="s">
        <v>1759</v>
      </c>
      <c r="Q656" s="89" t="e">
        <f t="shared" ca="1" si="9"/>
        <v>#NAME?</v>
      </c>
      <c r="R656" s="39" t="s">
        <v>112</v>
      </c>
      <c r="S656" s="105">
        <v>8374840399</v>
      </c>
      <c r="T656" s="90" t="s">
        <v>111</v>
      </c>
      <c r="U656" s="89">
        <v>1972</v>
      </c>
      <c r="V656" s="95">
        <v>-1</v>
      </c>
      <c r="W656" s="95">
        <v>-1</v>
      </c>
      <c r="X656" s="95">
        <v>-1</v>
      </c>
      <c r="Y656" s="95">
        <v>-1</v>
      </c>
      <c r="Z656" s="95">
        <v>-1</v>
      </c>
      <c r="AA656" s="95">
        <v>-1</v>
      </c>
      <c r="AB656" s="95">
        <v>-1</v>
      </c>
      <c r="AC656" s="95">
        <v>-1</v>
      </c>
      <c r="AD656" s="95">
        <v>-1</v>
      </c>
      <c r="AE656" s="95">
        <v>-1</v>
      </c>
      <c r="AF656" s="95">
        <v>-1</v>
      </c>
      <c r="AG656" s="95">
        <v>-1</v>
      </c>
      <c r="AH656" s="95">
        <v>-1</v>
      </c>
      <c r="AI656" s="95">
        <v>-1</v>
      </c>
      <c r="AJ656" s="89"/>
      <c r="AK656" s="89"/>
      <c r="AL656" s="89"/>
      <c r="AM656" s="89"/>
      <c r="AN656" s="89"/>
      <c r="AO656" s="89"/>
      <c r="AP656" s="89"/>
      <c r="AQ656" s="89"/>
      <c r="AR656" s="89"/>
      <c r="AS656" s="89"/>
      <c r="AT656" s="89"/>
      <c r="AU656" s="89"/>
      <c r="AV656" s="89"/>
      <c r="AW656" s="89"/>
      <c r="AX656" s="89"/>
      <c r="AY656" s="89"/>
      <c r="AZ656" s="89"/>
      <c r="BA656" s="89"/>
      <c r="BB656" s="89"/>
      <c r="BC656" s="89"/>
      <c r="BD656" s="89"/>
      <c r="BE656" s="89"/>
      <c r="BF656" s="89"/>
      <c r="BG656" s="89"/>
      <c r="BH656" s="89"/>
      <c r="BI656" s="89"/>
      <c r="BJ656" s="89"/>
      <c r="BK656" s="89"/>
      <c r="BL656" s="89"/>
      <c r="BM656" s="89"/>
      <c r="BN656" s="89"/>
      <c r="BO656" s="89"/>
      <c r="BP656" s="89"/>
      <c r="BQ656" s="89"/>
      <c r="BR656" s="89"/>
      <c r="BS656" s="89"/>
      <c r="BT656" s="89"/>
      <c r="BU656" s="89"/>
      <c r="BV656" s="89"/>
      <c r="BW656" s="89"/>
      <c r="BX656" s="89"/>
      <c r="BY656" s="89"/>
      <c r="BZ656" s="89"/>
      <c r="CA656" s="89"/>
      <c r="CB656" s="89"/>
      <c r="CC656" s="89"/>
      <c r="CD656" s="89"/>
      <c r="CE656" s="89"/>
      <c r="CF656" s="89"/>
      <c r="CG656" s="89"/>
      <c r="CH656" s="89"/>
      <c r="CI656" s="89"/>
      <c r="CJ656" s="89"/>
      <c r="CK656" s="89"/>
      <c r="CL656" s="89"/>
      <c r="CM656" s="89"/>
      <c r="CN656" s="89"/>
      <c r="CO656" s="89"/>
      <c r="CP656" s="89"/>
      <c r="CQ656" s="89"/>
      <c r="CR656" s="89"/>
      <c r="CS656" s="89"/>
      <c r="CT656" s="89"/>
      <c r="CU656" s="89"/>
      <c r="CV656" s="89"/>
      <c r="CW656" s="89"/>
      <c r="CX656" s="89"/>
      <c r="CY656" s="89"/>
      <c r="CZ656" s="98"/>
      <c r="DA656" s="98"/>
      <c r="DB656" s="98"/>
      <c r="DC656" s="98"/>
      <c r="DD656" s="98"/>
      <c r="DE656" s="98"/>
      <c r="DF656" s="98"/>
      <c r="DG656" s="98"/>
      <c r="DH656" s="98"/>
      <c r="DI656" s="98"/>
      <c r="DJ656" s="98"/>
      <c r="DK656" s="98"/>
      <c r="DL656" s="98"/>
      <c r="DM656" s="98"/>
      <c r="DN656" s="98"/>
      <c r="DO656" s="98"/>
      <c r="DP656" s="98"/>
      <c r="DQ656" s="98"/>
      <c r="DR656" s="98"/>
      <c r="DS656" s="98"/>
      <c r="DT656" s="98"/>
      <c r="DU656" s="98"/>
      <c r="DV656" s="98"/>
      <c r="DW656" s="98"/>
      <c r="DX656" s="98"/>
      <c r="DY656" s="98"/>
      <c r="DZ656" s="98"/>
      <c r="EA656" s="98"/>
      <c r="EB656" s="98"/>
      <c r="EC656" s="98"/>
      <c r="ED656" s="98"/>
    </row>
    <row r="657" spans="1:134" ht="11.25" customHeight="1" x14ac:dyDescent="0.3">
      <c r="A657" s="28" t="e">
        <f t="array" aca="1" ref="A657" ca="1">_xludf.XLOOKUP(S657,Master_Registrations!P:P,Master_Registrations!A:A,"")</f>
        <v>#NAME?</v>
      </c>
      <c r="B657" s="89" t="s">
        <v>182</v>
      </c>
      <c r="C657" s="89">
        <v>2025</v>
      </c>
      <c r="D657" s="89" t="s">
        <v>4886</v>
      </c>
      <c r="E657" s="89">
        <v>8</v>
      </c>
      <c r="F657" s="90" t="str">
        <f t="shared" si="8"/>
        <v>VED-01-2025-GR-8</v>
      </c>
      <c r="G657" s="89" t="s">
        <v>7060</v>
      </c>
      <c r="H657" s="89" t="s">
        <v>7061</v>
      </c>
      <c r="I657" s="89"/>
      <c r="J657" s="89" t="s">
        <v>7094</v>
      </c>
      <c r="K657" s="99"/>
      <c r="L657" s="99"/>
      <c r="M657" s="110"/>
      <c r="N657" s="90" t="s">
        <v>7095</v>
      </c>
      <c r="O657" s="89" t="s">
        <v>1551</v>
      </c>
      <c r="P657" s="89" t="s">
        <v>3442</v>
      </c>
      <c r="Q657" s="89" t="e">
        <f t="shared" ca="1" si="9"/>
        <v>#NAME?</v>
      </c>
      <c r="R657" s="39" t="s">
        <v>112</v>
      </c>
      <c r="S657" s="105">
        <v>9845261267</v>
      </c>
      <c r="T657" s="90" t="s">
        <v>111</v>
      </c>
      <c r="U657" s="89">
        <v>1977</v>
      </c>
      <c r="V657" s="95">
        <v>-1</v>
      </c>
      <c r="W657" s="95">
        <v>-1</v>
      </c>
      <c r="X657" s="99">
        <v>1</v>
      </c>
      <c r="Y657" s="99">
        <v>1</v>
      </c>
      <c r="Z657" s="99">
        <v>1</v>
      </c>
      <c r="AA657" s="99">
        <v>1</v>
      </c>
      <c r="AB657" s="99">
        <v>1</v>
      </c>
      <c r="AC657" s="99">
        <v>1</v>
      </c>
      <c r="AD657" s="99">
        <v>1</v>
      </c>
      <c r="AE657" s="95">
        <v>-1</v>
      </c>
      <c r="AF657" s="95">
        <v>-1</v>
      </c>
      <c r="AG657" s="95">
        <v>-1</v>
      </c>
      <c r="AH657" s="95">
        <v>-1</v>
      </c>
      <c r="AI657" s="95">
        <v>-1</v>
      </c>
      <c r="AJ657" s="89"/>
      <c r="AK657" s="89"/>
      <c r="AL657" s="89"/>
      <c r="AM657" s="89"/>
      <c r="AN657" s="89"/>
      <c r="AO657" s="89"/>
      <c r="AP657" s="89"/>
      <c r="AQ657" s="89"/>
      <c r="AR657" s="89"/>
      <c r="AS657" s="89"/>
      <c r="AT657" s="89"/>
      <c r="AU657" s="89"/>
      <c r="AV657" s="89"/>
      <c r="AW657" s="89"/>
      <c r="AX657" s="89"/>
      <c r="AY657" s="89"/>
      <c r="AZ657" s="89"/>
      <c r="BA657" s="89"/>
      <c r="BB657" s="89"/>
      <c r="BC657" s="89"/>
      <c r="BD657" s="89"/>
      <c r="BE657" s="89"/>
      <c r="BF657" s="89"/>
      <c r="BG657" s="89"/>
      <c r="BH657" s="89"/>
      <c r="BI657" s="89"/>
      <c r="BJ657" s="89"/>
      <c r="BK657" s="89"/>
      <c r="BL657" s="89"/>
      <c r="BM657" s="89"/>
      <c r="BN657" s="89"/>
      <c r="BO657" s="89"/>
      <c r="BP657" s="89"/>
      <c r="BQ657" s="89"/>
      <c r="BR657" s="89"/>
      <c r="BS657" s="89"/>
      <c r="BT657" s="89"/>
      <c r="BU657" s="89"/>
      <c r="BV657" s="89"/>
      <c r="BW657" s="89"/>
      <c r="BX657" s="89"/>
      <c r="BY657" s="89"/>
      <c r="BZ657" s="89"/>
      <c r="CA657" s="89"/>
      <c r="CB657" s="89"/>
      <c r="CC657" s="89"/>
      <c r="CD657" s="89"/>
      <c r="CE657" s="89"/>
      <c r="CF657" s="89"/>
      <c r="CG657" s="89"/>
      <c r="CH657" s="89"/>
      <c r="CI657" s="89"/>
      <c r="CJ657" s="89"/>
      <c r="CK657" s="89"/>
      <c r="CL657" s="89"/>
      <c r="CM657" s="89"/>
      <c r="CN657" s="89"/>
      <c r="CO657" s="89"/>
      <c r="CP657" s="89"/>
      <c r="CQ657" s="89"/>
      <c r="CR657" s="89"/>
      <c r="CS657" s="89"/>
      <c r="CT657" s="89"/>
      <c r="CU657" s="89"/>
      <c r="CV657" s="89"/>
      <c r="CW657" s="89"/>
      <c r="CX657" s="89"/>
      <c r="CY657" s="89"/>
      <c r="CZ657" s="98"/>
      <c r="DA657" s="98"/>
      <c r="DB657" s="98"/>
      <c r="DC657" s="98"/>
      <c r="DD657" s="98"/>
      <c r="DE657" s="98"/>
      <c r="DF657" s="98"/>
      <c r="DG657" s="98"/>
      <c r="DH657" s="98"/>
      <c r="DI657" s="98"/>
      <c r="DJ657" s="98"/>
      <c r="DK657" s="98"/>
      <c r="DL657" s="98"/>
      <c r="DM657" s="98"/>
      <c r="DN657" s="98"/>
      <c r="DO657" s="98"/>
      <c r="DP657" s="98"/>
      <c r="DQ657" s="98"/>
      <c r="DR657" s="98"/>
      <c r="DS657" s="98"/>
      <c r="DT657" s="98"/>
      <c r="DU657" s="98"/>
      <c r="DV657" s="98"/>
      <c r="DW657" s="98"/>
      <c r="DX657" s="98"/>
      <c r="DY657" s="98"/>
      <c r="DZ657" s="98"/>
      <c r="EA657" s="98"/>
      <c r="EB657" s="98"/>
      <c r="EC657" s="98"/>
      <c r="ED657" s="98"/>
    </row>
    <row r="658" spans="1:134" ht="11.25" customHeight="1" x14ac:dyDescent="0.3">
      <c r="A658" s="28" t="e">
        <f t="array" aca="1" ref="A658" ca="1">_xludf.XLOOKUP(S658,Master_Registrations!P:P,Master_Registrations!A:A,"")</f>
        <v>#NAME?</v>
      </c>
      <c r="B658" s="89" t="s">
        <v>182</v>
      </c>
      <c r="C658" s="89">
        <v>2025</v>
      </c>
      <c r="D658" s="89" t="s">
        <v>4886</v>
      </c>
      <c r="E658" s="89">
        <v>8</v>
      </c>
      <c r="F658" s="90" t="str">
        <f t="shared" si="8"/>
        <v>VED-01-2025-GR-8</v>
      </c>
      <c r="G658" s="89" t="s">
        <v>7060</v>
      </c>
      <c r="H658" s="89" t="s">
        <v>7061</v>
      </c>
      <c r="I658" s="89"/>
      <c r="J658" s="89" t="s">
        <v>7094</v>
      </c>
      <c r="K658" s="99"/>
      <c r="L658" s="104"/>
      <c r="M658" s="110"/>
      <c r="N658" s="90" t="s">
        <v>7095</v>
      </c>
      <c r="O658" s="89" t="s">
        <v>3028</v>
      </c>
      <c r="P658" s="89" t="s">
        <v>3029</v>
      </c>
      <c r="Q658" s="89" t="e">
        <f t="shared" ca="1" si="9"/>
        <v>#NAME?</v>
      </c>
      <c r="R658" s="39" t="s">
        <v>112</v>
      </c>
      <c r="S658" s="105">
        <v>9000227675</v>
      </c>
      <c r="T658" s="90" t="s">
        <v>111</v>
      </c>
      <c r="U658" s="89">
        <v>1981</v>
      </c>
      <c r="V658" s="95">
        <v>-1</v>
      </c>
      <c r="W658" s="95">
        <v>-1</v>
      </c>
      <c r="X658" s="99">
        <v>1</v>
      </c>
      <c r="Y658" s="99">
        <v>1</v>
      </c>
      <c r="Z658" s="95">
        <v>-1</v>
      </c>
      <c r="AA658" s="95">
        <v>-1</v>
      </c>
      <c r="AB658" s="95">
        <v>-1</v>
      </c>
      <c r="AC658" s="95">
        <v>-1</v>
      </c>
      <c r="AD658" s="95">
        <v>-1</v>
      </c>
      <c r="AE658" s="95">
        <v>-1</v>
      </c>
      <c r="AF658" s="95">
        <v>-1</v>
      </c>
      <c r="AG658" s="95">
        <v>-1</v>
      </c>
      <c r="AH658" s="95">
        <v>-1</v>
      </c>
      <c r="AI658" s="95">
        <v>-1</v>
      </c>
      <c r="AJ658" s="89"/>
      <c r="AK658" s="89"/>
      <c r="AL658" s="89"/>
      <c r="AM658" s="89"/>
      <c r="AN658" s="89"/>
      <c r="AO658" s="89"/>
      <c r="AP658" s="89"/>
      <c r="AQ658" s="89"/>
      <c r="AR658" s="89"/>
      <c r="AS658" s="89"/>
      <c r="AT658" s="89"/>
      <c r="AU658" s="89"/>
      <c r="AV658" s="89"/>
      <c r="AW658" s="89"/>
      <c r="AX658" s="89"/>
      <c r="AY658" s="89"/>
      <c r="AZ658" s="89"/>
      <c r="BA658" s="89"/>
      <c r="BB658" s="89"/>
      <c r="BC658" s="89"/>
      <c r="BD658" s="89"/>
      <c r="BE658" s="89"/>
      <c r="BF658" s="89"/>
      <c r="BG658" s="89"/>
      <c r="BH658" s="89"/>
      <c r="BI658" s="89"/>
      <c r="BJ658" s="89"/>
      <c r="BK658" s="89"/>
      <c r="BL658" s="89"/>
      <c r="BM658" s="89"/>
      <c r="BN658" s="89"/>
      <c r="BO658" s="89"/>
      <c r="BP658" s="89"/>
      <c r="BQ658" s="89"/>
      <c r="BR658" s="89"/>
      <c r="BS658" s="89"/>
      <c r="BT658" s="89"/>
      <c r="BU658" s="89"/>
      <c r="BV658" s="89"/>
      <c r="BW658" s="89"/>
      <c r="BX658" s="89"/>
      <c r="BY658" s="89"/>
      <c r="BZ658" s="89"/>
      <c r="CA658" s="89"/>
      <c r="CB658" s="89"/>
      <c r="CC658" s="89"/>
      <c r="CD658" s="89"/>
      <c r="CE658" s="89"/>
      <c r="CF658" s="89"/>
      <c r="CG658" s="89"/>
      <c r="CH658" s="89"/>
      <c r="CI658" s="89"/>
      <c r="CJ658" s="89"/>
      <c r="CK658" s="89"/>
      <c r="CL658" s="89"/>
      <c r="CM658" s="89"/>
      <c r="CN658" s="89"/>
      <c r="CO658" s="89"/>
      <c r="CP658" s="89"/>
      <c r="CQ658" s="89"/>
      <c r="CR658" s="89"/>
      <c r="CS658" s="89"/>
      <c r="CT658" s="89"/>
      <c r="CU658" s="89"/>
      <c r="CV658" s="89"/>
      <c r="CW658" s="89"/>
      <c r="CX658" s="89"/>
      <c r="CY658" s="89"/>
      <c r="CZ658" s="98"/>
      <c r="DA658" s="98"/>
      <c r="DB658" s="98"/>
      <c r="DC658" s="98"/>
      <c r="DD658" s="98"/>
      <c r="DE658" s="98"/>
      <c r="DF658" s="98"/>
      <c r="DG658" s="98"/>
      <c r="DH658" s="98"/>
      <c r="DI658" s="98"/>
      <c r="DJ658" s="98"/>
      <c r="DK658" s="98"/>
      <c r="DL658" s="98"/>
      <c r="DM658" s="98"/>
      <c r="DN658" s="98"/>
      <c r="DO658" s="98"/>
      <c r="DP658" s="98"/>
      <c r="DQ658" s="98"/>
      <c r="DR658" s="98"/>
      <c r="DS658" s="98"/>
      <c r="DT658" s="98"/>
      <c r="DU658" s="98"/>
      <c r="DV658" s="98"/>
      <c r="DW658" s="98"/>
      <c r="DX658" s="98"/>
      <c r="DY658" s="98"/>
      <c r="DZ658" s="98"/>
      <c r="EA658" s="98"/>
      <c r="EB658" s="98"/>
      <c r="EC658" s="98"/>
      <c r="ED658" s="98"/>
    </row>
    <row r="659" spans="1:134" ht="11.25" customHeight="1" x14ac:dyDescent="0.3">
      <c r="A659" s="28" t="e">
        <f t="array" aca="1" ref="A659" ca="1">_xludf.XLOOKUP(S659,Master_Registrations!P:P,Master_Registrations!A:A,"")</f>
        <v>#NAME?</v>
      </c>
      <c r="B659" s="89" t="s">
        <v>182</v>
      </c>
      <c r="C659" s="89">
        <v>2025</v>
      </c>
      <c r="D659" s="89" t="s">
        <v>4886</v>
      </c>
      <c r="E659" s="89">
        <v>8</v>
      </c>
      <c r="F659" s="90" t="str">
        <f t="shared" si="8"/>
        <v>VED-01-2025-GR-8</v>
      </c>
      <c r="G659" s="89" t="s">
        <v>7060</v>
      </c>
      <c r="H659" s="89" t="s">
        <v>7061</v>
      </c>
      <c r="I659" s="89"/>
      <c r="J659" s="89" t="s">
        <v>7094</v>
      </c>
      <c r="K659" s="99"/>
      <c r="L659" s="104"/>
      <c r="M659" s="110"/>
      <c r="N659" s="90" t="s">
        <v>7095</v>
      </c>
      <c r="O659" s="89" t="s">
        <v>3455</v>
      </c>
      <c r="P659" s="89" t="s">
        <v>3456</v>
      </c>
      <c r="Q659" s="89" t="e">
        <f t="shared" ca="1" si="9"/>
        <v>#NAME?</v>
      </c>
      <c r="R659" s="39" t="s">
        <v>112</v>
      </c>
      <c r="S659" s="105">
        <v>7702093345</v>
      </c>
      <c r="T659" s="90" t="s">
        <v>111</v>
      </c>
      <c r="U659" s="89">
        <v>1983</v>
      </c>
      <c r="V659" s="95">
        <v>-1</v>
      </c>
      <c r="W659" s="95">
        <v>-1</v>
      </c>
      <c r="X659" s="99">
        <v>-1</v>
      </c>
      <c r="Y659" s="95">
        <v>-1</v>
      </c>
      <c r="Z659" s="95">
        <v>-1</v>
      </c>
      <c r="AA659" s="95">
        <v>-1</v>
      </c>
      <c r="AB659" s="95">
        <v>-1</v>
      </c>
      <c r="AC659" s="95">
        <v>-1</v>
      </c>
      <c r="AD659" s="95">
        <v>-1</v>
      </c>
      <c r="AE659" s="95">
        <v>-1</v>
      </c>
      <c r="AF659" s="95">
        <v>-1</v>
      </c>
      <c r="AG659" s="95">
        <v>-1</v>
      </c>
      <c r="AH659" s="95">
        <v>-1</v>
      </c>
      <c r="AI659" s="95">
        <v>-1</v>
      </c>
      <c r="AJ659" s="89"/>
      <c r="AK659" s="89"/>
      <c r="AL659" s="89"/>
      <c r="AM659" s="89"/>
      <c r="AN659" s="89"/>
      <c r="AO659" s="89"/>
      <c r="AP659" s="89"/>
      <c r="AQ659" s="89"/>
      <c r="AR659" s="89"/>
      <c r="AS659" s="89"/>
      <c r="AT659" s="89"/>
      <c r="AU659" s="89"/>
      <c r="AV659" s="89"/>
      <c r="AW659" s="89"/>
      <c r="AX659" s="89"/>
      <c r="AY659" s="89"/>
      <c r="AZ659" s="89"/>
      <c r="BA659" s="89"/>
      <c r="BB659" s="89"/>
      <c r="BC659" s="89"/>
      <c r="BD659" s="89"/>
      <c r="BE659" s="89"/>
      <c r="BF659" s="89"/>
      <c r="BG659" s="89"/>
      <c r="BH659" s="89"/>
      <c r="BI659" s="89"/>
      <c r="BJ659" s="89"/>
      <c r="BK659" s="89"/>
      <c r="BL659" s="89"/>
      <c r="BM659" s="89"/>
      <c r="BN659" s="89"/>
      <c r="BO659" s="89"/>
      <c r="BP659" s="89"/>
      <c r="BQ659" s="89"/>
      <c r="BR659" s="89"/>
      <c r="BS659" s="89"/>
      <c r="BT659" s="89"/>
      <c r="BU659" s="89"/>
      <c r="BV659" s="89"/>
      <c r="BW659" s="89"/>
      <c r="BX659" s="89"/>
      <c r="BY659" s="89"/>
      <c r="BZ659" s="89"/>
      <c r="CA659" s="89"/>
      <c r="CB659" s="89"/>
      <c r="CC659" s="89"/>
      <c r="CD659" s="89"/>
      <c r="CE659" s="89"/>
      <c r="CF659" s="89"/>
      <c r="CG659" s="89"/>
      <c r="CH659" s="89"/>
      <c r="CI659" s="89"/>
      <c r="CJ659" s="89"/>
      <c r="CK659" s="89"/>
      <c r="CL659" s="89"/>
      <c r="CM659" s="89"/>
      <c r="CN659" s="89"/>
      <c r="CO659" s="89"/>
      <c r="CP659" s="89"/>
      <c r="CQ659" s="89"/>
      <c r="CR659" s="89"/>
      <c r="CS659" s="89"/>
      <c r="CT659" s="89"/>
      <c r="CU659" s="89"/>
      <c r="CV659" s="89"/>
      <c r="CW659" s="89"/>
      <c r="CX659" s="89"/>
      <c r="CY659" s="89"/>
      <c r="CZ659" s="98"/>
      <c r="DA659" s="98"/>
      <c r="DB659" s="98"/>
      <c r="DC659" s="98"/>
      <c r="DD659" s="98"/>
      <c r="DE659" s="98"/>
      <c r="DF659" s="98"/>
      <c r="DG659" s="98"/>
      <c r="DH659" s="98"/>
      <c r="DI659" s="98"/>
      <c r="DJ659" s="98"/>
      <c r="DK659" s="98"/>
      <c r="DL659" s="98"/>
      <c r="DM659" s="98"/>
      <c r="DN659" s="98"/>
      <c r="DO659" s="98"/>
      <c r="DP659" s="98"/>
      <c r="DQ659" s="98"/>
      <c r="DR659" s="98"/>
      <c r="DS659" s="98"/>
      <c r="DT659" s="98"/>
      <c r="DU659" s="98"/>
      <c r="DV659" s="98"/>
      <c r="DW659" s="98"/>
      <c r="DX659" s="98"/>
      <c r="DY659" s="98"/>
      <c r="DZ659" s="98"/>
      <c r="EA659" s="98"/>
      <c r="EB659" s="98"/>
      <c r="EC659" s="98"/>
      <c r="ED659" s="98"/>
    </row>
    <row r="660" spans="1:134" ht="11.25" customHeight="1" x14ac:dyDescent="0.3">
      <c r="A660" s="28" t="e">
        <f t="array" aca="1" ref="A660" ca="1">_xludf.XLOOKUP(S660,Master_Registrations!P:P,Master_Registrations!A:A,"")</f>
        <v>#NAME?</v>
      </c>
      <c r="B660" s="89" t="s">
        <v>182</v>
      </c>
      <c r="C660" s="89">
        <v>2025</v>
      </c>
      <c r="D660" s="89" t="s">
        <v>4886</v>
      </c>
      <c r="E660" s="89">
        <v>8</v>
      </c>
      <c r="F660" s="90" t="str">
        <f t="shared" si="8"/>
        <v>VED-01-2025-GR-8</v>
      </c>
      <c r="G660" s="89" t="s">
        <v>7060</v>
      </c>
      <c r="H660" s="89" t="s">
        <v>7138</v>
      </c>
      <c r="I660" s="89"/>
      <c r="J660" s="89" t="s">
        <v>7094</v>
      </c>
      <c r="K660" s="104"/>
      <c r="L660" s="99"/>
      <c r="M660" s="110"/>
      <c r="N660" s="90" t="s">
        <v>7095</v>
      </c>
      <c r="O660" s="89" t="s">
        <v>3737</v>
      </c>
      <c r="P660" s="89" t="s">
        <v>3738</v>
      </c>
      <c r="Q660" s="89" t="e">
        <f t="shared" ca="1" si="9"/>
        <v>#NAME?</v>
      </c>
      <c r="R660" s="39" t="s">
        <v>112</v>
      </c>
      <c r="S660" s="105">
        <v>9494925858</v>
      </c>
      <c r="T660" s="90" t="s">
        <v>111</v>
      </c>
      <c r="U660" s="89">
        <v>1977</v>
      </c>
      <c r="V660" s="95">
        <v>-1</v>
      </c>
      <c r="W660" s="95">
        <v>-1</v>
      </c>
      <c r="X660" s="95">
        <v>-1</v>
      </c>
      <c r="Y660" s="95">
        <v>-1</v>
      </c>
      <c r="Z660" s="95">
        <v>-1</v>
      </c>
      <c r="AA660" s="95">
        <v>-1</v>
      </c>
      <c r="AB660" s="95">
        <v>-1</v>
      </c>
      <c r="AC660" s="95">
        <v>-1</v>
      </c>
      <c r="AD660" s="95">
        <v>-1</v>
      </c>
      <c r="AE660" s="95">
        <v>-1</v>
      </c>
      <c r="AF660" s="95">
        <v>-1</v>
      </c>
      <c r="AG660" s="95">
        <v>-1</v>
      </c>
      <c r="AH660" s="95">
        <v>-1</v>
      </c>
      <c r="AI660" s="95">
        <v>-1</v>
      </c>
      <c r="AJ660" s="89"/>
      <c r="AK660" s="89"/>
      <c r="AL660" s="89"/>
      <c r="AM660" s="89"/>
      <c r="AN660" s="89"/>
      <c r="AO660" s="89"/>
      <c r="AP660" s="89"/>
      <c r="AQ660" s="89"/>
      <c r="AR660" s="89"/>
      <c r="AS660" s="89"/>
      <c r="AT660" s="89"/>
      <c r="AU660" s="89"/>
      <c r="AV660" s="89"/>
      <c r="AW660" s="89"/>
      <c r="AX660" s="89"/>
      <c r="AY660" s="89"/>
      <c r="AZ660" s="89"/>
      <c r="BA660" s="89"/>
      <c r="BB660" s="89"/>
      <c r="BC660" s="89"/>
      <c r="BD660" s="89"/>
      <c r="BE660" s="89"/>
      <c r="BF660" s="89"/>
      <c r="BG660" s="89"/>
      <c r="BH660" s="89"/>
      <c r="BI660" s="89"/>
      <c r="BJ660" s="89"/>
      <c r="BK660" s="89"/>
      <c r="BL660" s="89"/>
      <c r="BM660" s="89"/>
      <c r="BN660" s="89"/>
      <c r="BO660" s="89"/>
      <c r="BP660" s="89"/>
      <c r="BQ660" s="89"/>
      <c r="BR660" s="89"/>
      <c r="BS660" s="89"/>
      <c r="BT660" s="89"/>
      <c r="BU660" s="89"/>
      <c r="BV660" s="89"/>
      <c r="BW660" s="89"/>
      <c r="BX660" s="89"/>
      <c r="BY660" s="89"/>
      <c r="BZ660" s="89"/>
      <c r="CA660" s="89"/>
      <c r="CB660" s="89"/>
      <c r="CC660" s="89"/>
      <c r="CD660" s="89"/>
      <c r="CE660" s="89"/>
      <c r="CF660" s="89"/>
      <c r="CG660" s="89"/>
      <c r="CH660" s="89"/>
      <c r="CI660" s="89"/>
      <c r="CJ660" s="89"/>
      <c r="CK660" s="89"/>
      <c r="CL660" s="89"/>
      <c r="CM660" s="89"/>
      <c r="CN660" s="89"/>
      <c r="CO660" s="89"/>
      <c r="CP660" s="89"/>
      <c r="CQ660" s="89"/>
      <c r="CR660" s="89"/>
      <c r="CS660" s="89"/>
      <c r="CT660" s="89"/>
      <c r="CU660" s="89"/>
      <c r="CV660" s="89"/>
      <c r="CW660" s="89"/>
      <c r="CX660" s="89"/>
      <c r="CY660" s="89"/>
      <c r="CZ660" s="98"/>
      <c r="DA660" s="98"/>
      <c r="DB660" s="98"/>
      <c r="DC660" s="98"/>
      <c r="DD660" s="98"/>
      <c r="DE660" s="98"/>
      <c r="DF660" s="98"/>
      <c r="DG660" s="98"/>
      <c r="DH660" s="98"/>
      <c r="DI660" s="98"/>
      <c r="DJ660" s="98"/>
      <c r="DK660" s="98"/>
      <c r="DL660" s="98"/>
      <c r="DM660" s="98"/>
      <c r="DN660" s="98"/>
      <c r="DO660" s="98"/>
      <c r="DP660" s="98"/>
      <c r="DQ660" s="98"/>
      <c r="DR660" s="98"/>
      <c r="DS660" s="98"/>
      <c r="DT660" s="98"/>
      <c r="DU660" s="98"/>
      <c r="DV660" s="98"/>
      <c r="DW660" s="98"/>
      <c r="DX660" s="98"/>
      <c r="DY660" s="98"/>
      <c r="DZ660" s="98"/>
      <c r="EA660" s="98"/>
      <c r="EB660" s="98"/>
      <c r="EC660" s="98"/>
      <c r="ED660" s="98"/>
    </row>
    <row r="661" spans="1:134" ht="11.25" customHeight="1" x14ac:dyDescent="0.3">
      <c r="A661" s="28" t="e">
        <f t="array" aca="1" ref="A661" ca="1">_xludf.XLOOKUP(S661,Master_Registrations!P:P,Master_Registrations!A:A,"")</f>
        <v>#NAME?</v>
      </c>
      <c r="B661" s="89" t="s">
        <v>182</v>
      </c>
      <c r="C661" s="89">
        <v>2025</v>
      </c>
      <c r="D661" s="89" t="s">
        <v>4886</v>
      </c>
      <c r="E661" s="89">
        <v>8</v>
      </c>
      <c r="F661" s="90" t="str">
        <f t="shared" si="8"/>
        <v>VED-01-2025-GR-8</v>
      </c>
      <c r="G661" s="89" t="s">
        <v>7060</v>
      </c>
      <c r="H661" s="89" t="s">
        <v>7138</v>
      </c>
      <c r="I661" s="89"/>
      <c r="J661" s="89" t="s">
        <v>7094</v>
      </c>
      <c r="K661" s="99"/>
      <c r="L661" s="99"/>
      <c r="M661" s="110"/>
      <c r="N661" s="90" t="s">
        <v>7095</v>
      </c>
      <c r="O661" s="89" t="s">
        <v>1927</v>
      </c>
      <c r="P661" s="89" t="s">
        <v>1928</v>
      </c>
      <c r="Q661" s="89" t="e">
        <f t="shared" ca="1" si="9"/>
        <v>#NAME?</v>
      </c>
      <c r="R661" s="39" t="s">
        <v>112</v>
      </c>
      <c r="S661" s="105">
        <v>9177141449</v>
      </c>
      <c r="T661" s="90" t="s">
        <v>111</v>
      </c>
      <c r="U661" s="89">
        <v>1959</v>
      </c>
      <c r="V661" s="95">
        <v>-1</v>
      </c>
      <c r="W661" s="95">
        <v>-1</v>
      </c>
      <c r="X661" s="95">
        <v>-1</v>
      </c>
      <c r="Y661" s="95">
        <v>-1</v>
      </c>
      <c r="Z661" s="95">
        <v>-1</v>
      </c>
      <c r="AA661" s="95">
        <v>-1</v>
      </c>
      <c r="AB661" s="95">
        <v>-1</v>
      </c>
      <c r="AC661" s="95">
        <v>-1</v>
      </c>
      <c r="AD661" s="95">
        <v>-1</v>
      </c>
      <c r="AE661" s="95">
        <v>-1</v>
      </c>
      <c r="AF661" s="95">
        <v>-1</v>
      </c>
      <c r="AG661" s="95">
        <v>-1</v>
      </c>
      <c r="AH661" s="95">
        <v>-1</v>
      </c>
      <c r="AI661" s="95">
        <v>-1</v>
      </c>
      <c r="AJ661" s="89"/>
      <c r="AK661" s="89"/>
      <c r="AL661" s="89"/>
      <c r="AM661" s="89"/>
      <c r="AN661" s="89"/>
      <c r="AO661" s="89"/>
      <c r="AP661" s="89"/>
      <c r="AQ661" s="89"/>
      <c r="AR661" s="89"/>
      <c r="AS661" s="89"/>
      <c r="AT661" s="89"/>
      <c r="AU661" s="89"/>
      <c r="AV661" s="89"/>
      <c r="AW661" s="89"/>
      <c r="AX661" s="89"/>
      <c r="AY661" s="89"/>
      <c r="AZ661" s="89"/>
      <c r="BA661" s="89"/>
      <c r="BB661" s="89"/>
      <c r="BC661" s="89"/>
      <c r="BD661" s="89"/>
      <c r="BE661" s="89"/>
      <c r="BF661" s="89"/>
      <c r="BG661" s="89"/>
      <c r="BH661" s="89"/>
      <c r="BI661" s="89"/>
      <c r="BJ661" s="89"/>
      <c r="BK661" s="89"/>
      <c r="BL661" s="89"/>
      <c r="BM661" s="89"/>
      <c r="BN661" s="89"/>
      <c r="BO661" s="89"/>
      <c r="BP661" s="89"/>
      <c r="BQ661" s="89"/>
      <c r="BR661" s="89"/>
      <c r="BS661" s="89"/>
      <c r="BT661" s="89"/>
      <c r="BU661" s="89"/>
      <c r="BV661" s="89"/>
      <c r="BW661" s="89"/>
      <c r="BX661" s="89"/>
      <c r="BY661" s="89"/>
      <c r="BZ661" s="89"/>
      <c r="CA661" s="89"/>
      <c r="CB661" s="89"/>
      <c r="CC661" s="89"/>
      <c r="CD661" s="89"/>
      <c r="CE661" s="89"/>
      <c r="CF661" s="89"/>
      <c r="CG661" s="89"/>
      <c r="CH661" s="89"/>
      <c r="CI661" s="89"/>
      <c r="CJ661" s="89"/>
      <c r="CK661" s="89"/>
      <c r="CL661" s="89"/>
      <c r="CM661" s="89"/>
      <c r="CN661" s="89"/>
      <c r="CO661" s="89"/>
      <c r="CP661" s="89"/>
      <c r="CQ661" s="89"/>
      <c r="CR661" s="89"/>
      <c r="CS661" s="89"/>
      <c r="CT661" s="89"/>
      <c r="CU661" s="89"/>
      <c r="CV661" s="89"/>
      <c r="CW661" s="89"/>
      <c r="CX661" s="89"/>
      <c r="CY661" s="89"/>
      <c r="CZ661" s="98"/>
      <c r="DA661" s="98"/>
      <c r="DB661" s="98"/>
      <c r="DC661" s="98"/>
      <c r="DD661" s="98"/>
      <c r="DE661" s="98"/>
      <c r="DF661" s="98"/>
      <c r="DG661" s="98"/>
      <c r="DH661" s="98"/>
      <c r="DI661" s="98"/>
      <c r="DJ661" s="98"/>
      <c r="DK661" s="98"/>
      <c r="DL661" s="98"/>
      <c r="DM661" s="98"/>
      <c r="DN661" s="98"/>
      <c r="DO661" s="98"/>
      <c r="DP661" s="98"/>
      <c r="DQ661" s="98"/>
      <c r="DR661" s="98"/>
      <c r="DS661" s="98"/>
      <c r="DT661" s="98"/>
      <c r="DU661" s="98"/>
      <c r="DV661" s="98"/>
      <c r="DW661" s="98"/>
      <c r="DX661" s="98"/>
      <c r="DY661" s="98"/>
      <c r="DZ661" s="98"/>
      <c r="EA661" s="98"/>
      <c r="EB661" s="98"/>
      <c r="EC661" s="98"/>
      <c r="ED661" s="98"/>
    </row>
    <row r="662" spans="1:134" ht="11.25" customHeight="1" x14ac:dyDescent="0.3">
      <c r="A662" s="28" t="e">
        <f t="array" aca="1" ref="A662" ca="1">_xludf.XLOOKUP(S662,Master_Registrations!P:P,Master_Registrations!A:A,"")</f>
        <v>#NAME?</v>
      </c>
      <c r="B662" s="89" t="s">
        <v>182</v>
      </c>
      <c r="C662" s="89">
        <v>2025</v>
      </c>
      <c r="D662" s="89" t="s">
        <v>4886</v>
      </c>
      <c r="E662" s="89">
        <v>8</v>
      </c>
      <c r="F662" s="90" t="str">
        <f t="shared" si="8"/>
        <v>VED-01-2025-GR-8</v>
      </c>
      <c r="G662" s="89" t="s">
        <v>7060</v>
      </c>
      <c r="H662" s="89" t="s">
        <v>7138</v>
      </c>
      <c r="I662" s="89"/>
      <c r="J662" s="89" t="s">
        <v>7094</v>
      </c>
      <c r="K662" s="99"/>
      <c r="L662" s="99"/>
      <c r="M662" s="110"/>
      <c r="N662" s="90" t="s">
        <v>7095</v>
      </c>
      <c r="O662" s="89" t="s">
        <v>3419</v>
      </c>
      <c r="P662" s="89" t="s">
        <v>3420</v>
      </c>
      <c r="Q662" s="89" t="e">
        <f t="shared" ca="1" si="9"/>
        <v>#NAME?</v>
      </c>
      <c r="R662" s="39" t="s">
        <v>112</v>
      </c>
      <c r="S662" s="105">
        <v>8074697587</v>
      </c>
      <c r="T662" s="90" t="s">
        <v>111</v>
      </c>
      <c r="U662" s="89">
        <v>1993</v>
      </c>
      <c r="V662" s="95">
        <v>-1</v>
      </c>
      <c r="W662" s="95">
        <v>-1</v>
      </c>
      <c r="X662" s="95">
        <v>-1</v>
      </c>
      <c r="Y662" s="95">
        <v>-1</v>
      </c>
      <c r="Z662" s="95">
        <v>-1</v>
      </c>
      <c r="AA662" s="95">
        <v>-1</v>
      </c>
      <c r="AB662" s="95">
        <v>-1</v>
      </c>
      <c r="AC662" s="95">
        <v>-1</v>
      </c>
      <c r="AD662" s="95">
        <v>-1</v>
      </c>
      <c r="AE662" s="95">
        <v>-1</v>
      </c>
      <c r="AF662" s="95">
        <v>-1</v>
      </c>
      <c r="AG662" s="95">
        <v>-1</v>
      </c>
      <c r="AH662" s="95">
        <v>-1</v>
      </c>
      <c r="AI662" s="95">
        <v>-1</v>
      </c>
      <c r="AJ662" s="89"/>
      <c r="AK662" s="89"/>
      <c r="AL662" s="89"/>
      <c r="AM662" s="89"/>
      <c r="AN662" s="89"/>
      <c r="AO662" s="89"/>
      <c r="AP662" s="89"/>
      <c r="AQ662" s="89"/>
      <c r="AR662" s="89"/>
      <c r="AS662" s="89"/>
      <c r="AT662" s="89"/>
      <c r="AU662" s="89"/>
      <c r="AV662" s="89"/>
      <c r="AW662" s="89"/>
      <c r="AX662" s="89"/>
      <c r="AY662" s="89"/>
      <c r="AZ662" s="89"/>
      <c r="BA662" s="89"/>
      <c r="BB662" s="89"/>
      <c r="BC662" s="89"/>
      <c r="BD662" s="89"/>
      <c r="BE662" s="89"/>
      <c r="BF662" s="89"/>
      <c r="BG662" s="89"/>
      <c r="BH662" s="89"/>
      <c r="BI662" s="89"/>
      <c r="BJ662" s="89"/>
      <c r="BK662" s="89"/>
      <c r="BL662" s="89"/>
      <c r="BM662" s="89"/>
      <c r="BN662" s="89"/>
      <c r="BO662" s="89"/>
      <c r="BP662" s="89"/>
      <c r="BQ662" s="89"/>
      <c r="BR662" s="89"/>
      <c r="BS662" s="89"/>
      <c r="BT662" s="89"/>
      <c r="BU662" s="89"/>
      <c r="BV662" s="89"/>
      <c r="BW662" s="89"/>
      <c r="BX662" s="89"/>
      <c r="BY662" s="89"/>
      <c r="BZ662" s="89"/>
      <c r="CA662" s="89"/>
      <c r="CB662" s="89"/>
      <c r="CC662" s="89"/>
      <c r="CD662" s="89"/>
      <c r="CE662" s="89"/>
      <c r="CF662" s="89"/>
      <c r="CG662" s="89"/>
      <c r="CH662" s="89"/>
      <c r="CI662" s="89"/>
      <c r="CJ662" s="89"/>
      <c r="CK662" s="89"/>
      <c r="CL662" s="89"/>
      <c r="CM662" s="89"/>
      <c r="CN662" s="89"/>
      <c r="CO662" s="89"/>
      <c r="CP662" s="89"/>
      <c r="CQ662" s="89"/>
      <c r="CR662" s="89"/>
      <c r="CS662" s="89"/>
      <c r="CT662" s="89"/>
      <c r="CU662" s="89"/>
      <c r="CV662" s="89"/>
      <c r="CW662" s="89"/>
      <c r="CX662" s="89"/>
      <c r="CY662" s="89"/>
      <c r="CZ662" s="98"/>
      <c r="DA662" s="98"/>
      <c r="DB662" s="98"/>
      <c r="DC662" s="98"/>
      <c r="DD662" s="98"/>
      <c r="DE662" s="98"/>
      <c r="DF662" s="98"/>
      <c r="DG662" s="98"/>
      <c r="DH662" s="98"/>
      <c r="DI662" s="98"/>
      <c r="DJ662" s="98"/>
      <c r="DK662" s="98"/>
      <c r="DL662" s="98"/>
      <c r="DM662" s="98"/>
      <c r="DN662" s="98"/>
      <c r="DO662" s="98"/>
      <c r="DP662" s="98"/>
      <c r="DQ662" s="98"/>
      <c r="DR662" s="98"/>
      <c r="DS662" s="98"/>
      <c r="DT662" s="98"/>
      <c r="DU662" s="98"/>
      <c r="DV662" s="98"/>
      <c r="DW662" s="98"/>
      <c r="DX662" s="98"/>
      <c r="DY662" s="98"/>
      <c r="DZ662" s="98"/>
      <c r="EA662" s="98"/>
      <c r="EB662" s="98"/>
      <c r="EC662" s="98"/>
      <c r="ED662" s="98"/>
    </row>
    <row r="663" spans="1:134" ht="11.25" customHeight="1" x14ac:dyDescent="0.3">
      <c r="A663" s="28" t="e">
        <f t="array" aca="1" ref="A663" ca="1">_xludf.XLOOKUP(S663,Master_Registrations!P:P,Master_Registrations!A:A,"")</f>
        <v>#NAME?</v>
      </c>
      <c r="B663" s="89" t="s">
        <v>182</v>
      </c>
      <c r="C663" s="89">
        <v>2025</v>
      </c>
      <c r="D663" s="89" t="s">
        <v>4886</v>
      </c>
      <c r="E663" s="89">
        <v>9</v>
      </c>
      <c r="F663" s="90" t="str">
        <f t="shared" si="8"/>
        <v>VED-01-2025-GR-9</v>
      </c>
      <c r="G663" s="89" t="s">
        <v>1200</v>
      </c>
      <c r="H663" s="89" t="s">
        <v>7060</v>
      </c>
      <c r="I663" s="89"/>
      <c r="J663" s="89" t="s">
        <v>7094</v>
      </c>
      <c r="K663" s="99"/>
      <c r="L663" s="104"/>
      <c r="M663" s="104"/>
      <c r="N663" s="90" t="s">
        <v>7095</v>
      </c>
      <c r="O663" s="89" t="s">
        <v>6803</v>
      </c>
      <c r="P663" s="89" t="s">
        <v>6804</v>
      </c>
      <c r="Q663" s="89" t="e">
        <f t="shared" ca="1" si="9"/>
        <v>#NAME?</v>
      </c>
      <c r="R663" s="39" t="s">
        <v>112</v>
      </c>
      <c r="S663" s="105">
        <v>9666687666</v>
      </c>
      <c r="T663" s="90" t="s">
        <v>111</v>
      </c>
      <c r="U663" s="89">
        <v>1979</v>
      </c>
      <c r="V663" s="99">
        <v>1</v>
      </c>
      <c r="W663" s="99">
        <v>1</v>
      </c>
      <c r="X663" s="99">
        <v>1</v>
      </c>
      <c r="Y663" s="95">
        <v>-1</v>
      </c>
      <c r="Z663" s="99">
        <v>-1</v>
      </c>
      <c r="AA663" s="95">
        <v>-1</v>
      </c>
      <c r="AB663" s="95">
        <v>-1</v>
      </c>
      <c r="AC663" s="95">
        <v>-1</v>
      </c>
      <c r="AD663" s="95">
        <v>-1</v>
      </c>
      <c r="AE663" s="95">
        <v>-1</v>
      </c>
      <c r="AF663" s="95">
        <v>-1</v>
      </c>
      <c r="AG663" s="95">
        <v>-1</v>
      </c>
      <c r="AH663" s="95">
        <v>-1</v>
      </c>
      <c r="AI663" s="95">
        <v>-1</v>
      </c>
      <c r="AJ663" s="89"/>
      <c r="AK663" s="89"/>
      <c r="AL663" s="89"/>
      <c r="AM663" s="89"/>
      <c r="AN663" s="89"/>
      <c r="AO663" s="89"/>
      <c r="AP663" s="89"/>
      <c r="AQ663" s="89"/>
      <c r="AR663" s="89"/>
      <c r="AS663" s="89"/>
      <c r="AT663" s="89"/>
      <c r="AU663" s="89"/>
      <c r="AV663" s="89"/>
      <c r="AW663" s="89"/>
      <c r="AX663" s="89"/>
      <c r="AY663" s="89"/>
      <c r="AZ663" s="89"/>
      <c r="BA663" s="89"/>
      <c r="BB663" s="89"/>
      <c r="BC663" s="89"/>
      <c r="BD663" s="89"/>
      <c r="BE663" s="89"/>
      <c r="BF663" s="89"/>
      <c r="BG663" s="89"/>
      <c r="BH663" s="89"/>
      <c r="BI663" s="89"/>
      <c r="BJ663" s="89"/>
      <c r="BK663" s="89"/>
      <c r="BL663" s="89"/>
      <c r="BM663" s="89"/>
      <c r="BN663" s="89"/>
      <c r="BO663" s="89"/>
      <c r="BP663" s="89"/>
      <c r="BQ663" s="89"/>
      <c r="BR663" s="89"/>
      <c r="BS663" s="89"/>
      <c r="BT663" s="89"/>
      <c r="BU663" s="89"/>
      <c r="BV663" s="89"/>
      <c r="BW663" s="89"/>
      <c r="BX663" s="89"/>
      <c r="BY663" s="89"/>
      <c r="BZ663" s="89"/>
      <c r="CA663" s="89"/>
      <c r="CB663" s="89"/>
      <c r="CC663" s="89"/>
      <c r="CD663" s="89"/>
      <c r="CE663" s="89"/>
      <c r="CF663" s="89"/>
      <c r="CG663" s="89"/>
      <c r="CH663" s="89"/>
      <c r="CI663" s="89"/>
      <c r="CJ663" s="89"/>
      <c r="CK663" s="89"/>
      <c r="CL663" s="89"/>
      <c r="CM663" s="89"/>
      <c r="CN663" s="89"/>
      <c r="CO663" s="89"/>
      <c r="CP663" s="89"/>
      <c r="CQ663" s="89"/>
      <c r="CR663" s="89"/>
      <c r="CS663" s="89"/>
      <c r="CT663" s="89"/>
      <c r="CU663" s="89"/>
      <c r="CV663" s="89"/>
      <c r="CW663" s="89"/>
      <c r="CX663" s="89"/>
      <c r="CY663" s="89"/>
      <c r="CZ663" s="98"/>
      <c r="DA663" s="98"/>
      <c r="DB663" s="98"/>
      <c r="DC663" s="98"/>
      <c r="DD663" s="98"/>
      <c r="DE663" s="98"/>
      <c r="DF663" s="98"/>
      <c r="DG663" s="98"/>
      <c r="DH663" s="98"/>
      <c r="DI663" s="98"/>
      <c r="DJ663" s="98"/>
      <c r="DK663" s="98"/>
      <c r="DL663" s="98"/>
      <c r="DM663" s="98"/>
      <c r="DN663" s="98"/>
      <c r="DO663" s="98"/>
      <c r="DP663" s="98"/>
      <c r="DQ663" s="98"/>
      <c r="DR663" s="98"/>
      <c r="DS663" s="98"/>
      <c r="DT663" s="98"/>
      <c r="DU663" s="98"/>
      <c r="DV663" s="98"/>
      <c r="DW663" s="98"/>
      <c r="DX663" s="98"/>
      <c r="DY663" s="98"/>
      <c r="DZ663" s="98"/>
      <c r="EA663" s="98"/>
      <c r="EB663" s="98"/>
      <c r="EC663" s="98"/>
      <c r="ED663" s="98"/>
    </row>
    <row r="664" spans="1:134" ht="11.25" customHeight="1" x14ac:dyDescent="0.3">
      <c r="A664" s="28" t="e">
        <f t="array" aca="1" ref="A664" ca="1">_xludf.XLOOKUP(S664,Master_Registrations!P:P,Master_Registrations!A:A,"")</f>
        <v>#NAME?</v>
      </c>
      <c r="B664" s="89" t="s">
        <v>182</v>
      </c>
      <c r="C664" s="89">
        <v>2025</v>
      </c>
      <c r="D664" s="89" t="s">
        <v>4886</v>
      </c>
      <c r="E664" s="89">
        <v>9</v>
      </c>
      <c r="F664" s="90" t="str">
        <f t="shared" si="8"/>
        <v>VED-01-2025-GR-9</v>
      </c>
      <c r="G664" s="89" t="s">
        <v>1200</v>
      </c>
      <c r="H664" s="89" t="s">
        <v>7060</v>
      </c>
      <c r="I664" s="89"/>
      <c r="J664" s="89" t="s">
        <v>7094</v>
      </c>
      <c r="K664" s="99"/>
      <c r="L664" s="99"/>
      <c r="M664" s="104"/>
      <c r="N664" s="90" t="s">
        <v>7095</v>
      </c>
      <c r="O664" s="89" t="s">
        <v>947</v>
      </c>
      <c r="P664" s="89" t="s">
        <v>6709</v>
      </c>
      <c r="Q664" s="89" t="e">
        <f t="shared" ca="1" si="9"/>
        <v>#NAME?</v>
      </c>
      <c r="R664" s="39" t="s">
        <v>112</v>
      </c>
      <c r="S664" s="105">
        <v>9379681905</v>
      </c>
      <c r="T664" s="90" t="s">
        <v>111</v>
      </c>
      <c r="U664" s="89">
        <v>1973</v>
      </c>
      <c r="V664" s="99">
        <v>1</v>
      </c>
      <c r="W664" s="99">
        <v>1</v>
      </c>
      <c r="X664" s="99">
        <v>1</v>
      </c>
      <c r="Y664" s="95">
        <v>-1</v>
      </c>
      <c r="Z664" s="95">
        <v>-1</v>
      </c>
      <c r="AA664" s="95">
        <v>-1</v>
      </c>
      <c r="AB664" s="95">
        <v>-1</v>
      </c>
      <c r="AC664" s="95">
        <v>-1</v>
      </c>
      <c r="AD664" s="95">
        <v>-1</v>
      </c>
      <c r="AE664" s="95">
        <v>-1</v>
      </c>
      <c r="AF664" s="95">
        <v>-1</v>
      </c>
      <c r="AG664" s="95">
        <v>-1</v>
      </c>
      <c r="AH664" s="99">
        <v>1</v>
      </c>
      <c r="AI664" s="95">
        <v>-1</v>
      </c>
      <c r="AJ664" s="89"/>
      <c r="AK664" s="89"/>
      <c r="AL664" s="89"/>
      <c r="AM664" s="89"/>
      <c r="AN664" s="89"/>
      <c r="AO664" s="89"/>
      <c r="AP664" s="89"/>
      <c r="AQ664" s="89"/>
      <c r="AR664" s="89"/>
      <c r="AS664" s="89"/>
      <c r="AT664" s="89"/>
      <c r="AU664" s="89"/>
      <c r="AV664" s="89"/>
      <c r="AW664" s="89"/>
      <c r="AX664" s="89"/>
      <c r="AY664" s="89"/>
      <c r="AZ664" s="89"/>
      <c r="BA664" s="89"/>
      <c r="BB664" s="89"/>
      <c r="BC664" s="89"/>
      <c r="BD664" s="89"/>
      <c r="BE664" s="89"/>
      <c r="BF664" s="89"/>
      <c r="BG664" s="89"/>
      <c r="BH664" s="89"/>
      <c r="BI664" s="89"/>
      <c r="BJ664" s="89"/>
      <c r="BK664" s="89"/>
      <c r="BL664" s="89"/>
      <c r="BM664" s="89"/>
      <c r="BN664" s="89"/>
      <c r="BO664" s="89"/>
      <c r="BP664" s="89"/>
      <c r="BQ664" s="89"/>
      <c r="BR664" s="89"/>
      <c r="BS664" s="89"/>
      <c r="BT664" s="89"/>
      <c r="BU664" s="89"/>
      <c r="BV664" s="89"/>
      <c r="BW664" s="89"/>
      <c r="BX664" s="89"/>
      <c r="BY664" s="89"/>
      <c r="BZ664" s="89"/>
      <c r="CA664" s="89"/>
      <c r="CB664" s="89"/>
      <c r="CC664" s="89"/>
      <c r="CD664" s="89"/>
      <c r="CE664" s="89"/>
      <c r="CF664" s="89"/>
      <c r="CG664" s="89"/>
      <c r="CH664" s="89"/>
      <c r="CI664" s="89"/>
      <c r="CJ664" s="89"/>
      <c r="CK664" s="89"/>
      <c r="CL664" s="89"/>
      <c r="CM664" s="89"/>
      <c r="CN664" s="89"/>
      <c r="CO664" s="89"/>
      <c r="CP664" s="89"/>
      <c r="CQ664" s="89"/>
      <c r="CR664" s="89"/>
      <c r="CS664" s="89"/>
      <c r="CT664" s="89"/>
      <c r="CU664" s="89"/>
      <c r="CV664" s="89"/>
      <c r="CW664" s="89"/>
      <c r="CX664" s="89"/>
      <c r="CY664" s="89"/>
      <c r="CZ664" s="98"/>
      <c r="DA664" s="98"/>
      <c r="DB664" s="98"/>
      <c r="DC664" s="98"/>
      <c r="DD664" s="98"/>
      <c r="DE664" s="98"/>
      <c r="DF664" s="98"/>
      <c r="DG664" s="98"/>
      <c r="DH664" s="98"/>
      <c r="DI664" s="98"/>
      <c r="DJ664" s="98"/>
      <c r="DK664" s="98"/>
      <c r="DL664" s="98"/>
      <c r="DM664" s="98"/>
      <c r="DN664" s="98"/>
      <c r="DO664" s="98"/>
      <c r="DP664" s="98"/>
      <c r="DQ664" s="98"/>
      <c r="DR664" s="98"/>
      <c r="DS664" s="98"/>
      <c r="DT664" s="98"/>
      <c r="DU664" s="98"/>
      <c r="DV664" s="98"/>
      <c r="DW664" s="98"/>
      <c r="DX664" s="98"/>
      <c r="DY664" s="98"/>
      <c r="DZ664" s="98"/>
      <c r="EA664" s="98"/>
      <c r="EB664" s="98"/>
      <c r="EC664" s="98"/>
      <c r="ED664" s="98"/>
    </row>
    <row r="665" spans="1:134" ht="11.25" customHeight="1" x14ac:dyDescent="0.3">
      <c r="A665" s="28" t="e">
        <f t="array" aca="1" ref="A665" ca="1">_xludf.XLOOKUP(S665,Master_Registrations!P:P,Master_Registrations!A:A,"")</f>
        <v>#NAME?</v>
      </c>
      <c r="B665" s="89" t="s">
        <v>182</v>
      </c>
      <c r="C665" s="89">
        <v>2025</v>
      </c>
      <c r="D665" s="89" t="s">
        <v>4886</v>
      </c>
      <c r="E665" s="89">
        <v>9</v>
      </c>
      <c r="F665" s="90" t="str">
        <f t="shared" si="8"/>
        <v>VED-01-2025-GR-9</v>
      </c>
      <c r="G665" s="89" t="s">
        <v>1200</v>
      </c>
      <c r="H665" s="89" t="s">
        <v>7060</v>
      </c>
      <c r="I665" s="89"/>
      <c r="J665" s="89" t="s">
        <v>7094</v>
      </c>
      <c r="K665" s="99"/>
      <c r="L665" s="104"/>
      <c r="M665" s="104"/>
      <c r="N665" s="90" t="s">
        <v>7095</v>
      </c>
      <c r="O665" s="89" t="s">
        <v>1945</v>
      </c>
      <c r="P665" s="89" t="s">
        <v>1944</v>
      </c>
      <c r="Q665" s="89" t="e">
        <f t="shared" ca="1" si="9"/>
        <v>#NAME?</v>
      </c>
      <c r="R665" s="39" t="s">
        <v>112</v>
      </c>
      <c r="S665" s="105">
        <v>9849639880</v>
      </c>
      <c r="T665" s="90" t="s">
        <v>111</v>
      </c>
      <c r="U665" s="89">
        <v>1982</v>
      </c>
      <c r="V665" s="99">
        <v>1</v>
      </c>
      <c r="W665" s="99">
        <v>1</v>
      </c>
      <c r="X665" s="99">
        <v>2</v>
      </c>
      <c r="Y665" s="95">
        <v>2</v>
      </c>
      <c r="Z665" s="99">
        <v>-1</v>
      </c>
      <c r="AA665" s="95">
        <v>-1</v>
      </c>
      <c r="AB665" s="95">
        <v>-1</v>
      </c>
      <c r="AC665" s="95">
        <v>-1</v>
      </c>
      <c r="AD665" s="95">
        <v>-1</v>
      </c>
      <c r="AE665" s="95">
        <v>-1</v>
      </c>
      <c r="AF665" s="95">
        <v>-1</v>
      </c>
      <c r="AG665" s="95">
        <v>-1</v>
      </c>
      <c r="AH665" s="95">
        <v>-1</v>
      </c>
      <c r="AI665" s="95">
        <v>-1</v>
      </c>
      <c r="AJ665" s="89"/>
      <c r="AK665" s="89"/>
      <c r="AL665" s="89"/>
      <c r="AM665" s="89"/>
      <c r="AN665" s="89"/>
      <c r="AO665" s="89"/>
      <c r="AP665" s="89"/>
      <c r="AQ665" s="89"/>
      <c r="AR665" s="89"/>
      <c r="AS665" s="89"/>
      <c r="AT665" s="89"/>
      <c r="AU665" s="89"/>
      <c r="AV665" s="89"/>
      <c r="AW665" s="89"/>
      <c r="AX665" s="89"/>
      <c r="AY665" s="89"/>
      <c r="AZ665" s="89"/>
      <c r="BA665" s="89"/>
      <c r="BB665" s="89"/>
      <c r="BC665" s="89"/>
      <c r="BD665" s="89"/>
      <c r="BE665" s="89"/>
      <c r="BF665" s="89"/>
      <c r="BG665" s="89"/>
      <c r="BH665" s="89"/>
      <c r="BI665" s="89"/>
      <c r="BJ665" s="89"/>
      <c r="BK665" s="89"/>
      <c r="BL665" s="89"/>
      <c r="BM665" s="89"/>
      <c r="BN665" s="89"/>
      <c r="BO665" s="89"/>
      <c r="BP665" s="89"/>
      <c r="BQ665" s="89"/>
      <c r="BR665" s="89"/>
      <c r="BS665" s="89"/>
      <c r="BT665" s="89"/>
      <c r="BU665" s="89"/>
      <c r="BV665" s="89"/>
      <c r="BW665" s="89"/>
      <c r="BX665" s="89"/>
      <c r="BY665" s="89"/>
      <c r="BZ665" s="89"/>
      <c r="CA665" s="89"/>
      <c r="CB665" s="89"/>
      <c r="CC665" s="89"/>
      <c r="CD665" s="89"/>
      <c r="CE665" s="89"/>
      <c r="CF665" s="89"/>
      <c r="CG665" s="89"/>
      <c r="CH665" s="89"/>
      <c r="CI665" s="89"/>
      <c r="CJ665" s="89"/>
      <c r="CK665" s="89"/>
      <c r="CL665" s="89"/>
      <c r="CM665" s="89"/>
      <c r="CN665" s="89"/>
      <c r="CO665" s="89"/>
      <c r="CP665" s="89"/>
      <c r="CQ665" s="89"/>
      <c r="CR665" s="89"/>
      <c r="CS665" s="89"/>
      <c r="CT665" s="89"/>
      <c r="CU665" s="89"/>
      <c r="CV665" s="89"/>
      <c r="CW665" s="89"/>
      <c r="CX665" s="89"/>
      <c r="CY665" s="89"/>
      <c r="CZ665" s="98"/>
      <c r="DA665" s="98"/>
      <c r="DB665" s="98"/>
      <c r="DC665" s="98"/>
      <c r="DD665" s="98"/>
      <c r="DE665" s="98"/>
      <c r="DF665" s="98"/>
      <c r="DG665" s="98"/>
      <c r="DH665" s="98"/>
      <c r="DI665" s="98"/>
      <c r="DJ665" s="98"/>
      <c r="DK665" s="98"/>
      <c r="DL665" s="98"/>
      <c r="DM665" s="98"/>
      <c r="DN665" s="98"/>
      <c r="DO665" s="98"/>
      <c r="DP665" s="98"/>
      <c r="DQ665" s="98"/>
      <c r="DR665" s="98"/>
      <c r="DS665" s="98"/>
      <c r="DT665" s="98"/>
      <c r="DU665" s="98"/>
      <c r="DV665" s="98"/>
      <c r="DW665" s="98"/>
      <c r="DX665" s="98"/>
      <c r="DY665" s="98"/>
      <c r="DZ665" s="98"/>
      <c r="EA665" s="98"/>
      <c r="EB665" s="98"/>
      <c r="EC665" s="98"/>
      <c r="ED665" s="98"/>
    </row>
    <row r="666" spans="1:134" ht="11.25" customHeight="1" x14ac:dyDescent="0.3">
      <c r="A666" s="28" t="e">
        <f t="array" aca="1" ref="A666" ca="1">_xludf.XLOOKUP(S666,Master_Registrations!P:P,Master_Registrations!A:A,"")</f>
        <v>#NAME?</v>
      </c>
      <c r="B666" s="89" t="s">
        <v>182</v>
      </c>
      <c r="C666" s="89">
        <v>2025</v>
      </c>
      <c r="D666" s="89" t="s">
        <v>4886</v>
      </c>
      <c r="E666" s="89">
        <v>9</v>
      </c>
      <c r="F666" s="90" t="str">
        <f t="shared" si="8"/>
        <v>VED-01-2025-GR-9</v>
      </c>
      <c r="G666" s="89" t="s">
        <v>1200</v>
      </c>
      <c r="H666" s="89" t="s">
        <v>7060</v>
      </c>
      <c r="I666" s="89"/>
      <c r="J666" s="89" t="s">
        <v>7094</v>
      </c>
      <c r="K666" s="104"/>
      <c r="L666" s="104"/>
      <c r="M666" s="99"/>
      <c r="N666" s="90" t="s">
        <v>7095</v>
      </c>
      <c r="O666" s="89" t="s">
        <v>1641</v>
      </c>
      <c r="P666" s="141" t="s">
        <v>6700</v>
      </c>
      <c r="Q666" s="89" t="e">
        <f t="shared" ca="1" si="9"/>
        <v>#NAME?</v>
      </c>
      <c r="R666" s="39" t="s">
        <v>112</v>
      </c>
      <c r="S666" s="105">
        <v>9886888335</v>
      </c>
      <c r="T666" s="90" t="s">
        <v>111</v>
      </c>
      <c r="U666" s="89">
        <v>1987</v>
      </c>
      <c r="V666" s="99">
        <v>1</v>
      </c>
      <c r="W666" s="99">
        <v>1</v>
      </c>
      <c r="X666" s="99">
        <v>1</v>
      </c>
      <c r="Y666" s="99">
        <v>-1</v>
      </c>
      <c r="Z666" s="99">
        <v>-1</v>
      </c>
      <c r="AA666" s="99">
        <v>-1</v>
      </c>
      <c r="AB666" s="99">
        <v>1</v>
      </c>
      <c r="AC666" s="95">
        <v>-1</v>
      </c>
      <c r="AD666" s="95">
        <v>-1</v>
      </c>
      <c r="AE666" s="99">
        <v>-1</v>
      </c>
      <c r="AF666" s="99">
        <v>-1</v>
      </c>
      <c r="AG666" s="99">
        <v>-1</v>
      </c>
      <c r="AH666" s="99">
        <v>-1</v>
      </c>
      <c r="AI666" s="95">
        <v>-1</v>
      </c>
      <c r="AJ666" s="89"/>
      <c r="AK666" s="89"/>
      <c r="AL666" s="89"/>
      <c r="AM666" s="89"/>
      <c r="AN666" s="89"/>
      <c r="AO666" s="89"/>
      <c r="AP666" s="89"/>
      <c r="AQ666" s="89"/>
      <c r="AR666" s="89"/>
      <c r="AS666" s="89"/>
      <c r="AT666" s="89"/>
      <c r="AU666" s="89"/>
      <c r="AV666" s="89"/>
      <c r="AW666" s="89"/>
      <c r="AX666" s="89"/>
      <c r="AY666" s="89"/>
      <c r="AZ666" s="89"/>
      <c r="BA666" s="89"/>
      <c r="BB666" s="89"/>
      <c r="BC666" s="89"/>
      <c r="BD666" s="89"/>
      <c r="BE666" s="89"/>
      <c r="BF666" s="89"/>
      <c r="BG666" s="89"/>
      <c r="BH666" s="89"/>
      <c r="BI666" s="89"/>
      <c r="BJ666" s="89"/>
      <c r="BK666" s="89"/>
      <c r="BL666" s="89"/>
      <c r="BM666" s="89"/>
      <c r="BN666" s="89"/>
      <c r="BO666" s="89"/>
      <c r="BP666" s="89"/>
      <c r="BQ666" s="89"/>
      <c r="BR666" s="89"/>
      <c r="BS666" s="89"/>
      <c r="BT666" s="89"/>
      <c r="BU666" s="89"/>
      <c r="BV666" s="89"/>
      <c r="BW666" s="89"/>
      <c r="BX666" s="89"/>
      <c r="BY666" s="89"/>
      <c r="BZ666" s="89"/>
      <c r="CA666" s="89"/>
      <c r="CB666" s="89"/>
      <c r="CC666" s="89"/>
      <c r="CD666" s="89"/>
      <c r="CE666" s="89"/>
      <c r="CF666" s="89"/>
      <c r="CG666" s="89"/>
      <c r="CH666" s="89"/>
      <c r="CI666" s="89"/>
      <c r="CJ666" s="89"/>
      <c r="CK666" s="89"/>
      <c r="CL666" s="89"/>
      <c r="CM666" s="89"/>
      <c r="CN666" s="89"/>
      <c r="CO666" s="89"/>
      <c r="CP666" s="89"/>
      <c r="CQ666" s="89"/>
      <c r="CR666" s="89"/>
      <c r="CS666" s="89"/>
      <c r="CT666" s="89"/>
      <c r="CU666" s="89"/>
      <c r="CV666" s="89"/>
      <c r="CW666" s="89"/>
      <c r="CX666" s="89"/>
      <c r="CY666" s="89"/>
      <c r="CZ666" s="98"/>
      <c r="DA666" s="98"/>
      <c r="DB666" s="98"/>
      <c r="DC666" s="98"/>
      <c r="DD666" s="98"/>
      <c r="DE666" s="98"/>
      <c r="DF666" s="98"/>
      <c r="DG666" s="98"/>
      <c r="DH666" s="98"/>
      <c r="DI666" s="98"/>
      <c r="DJ666" s="98"/>
      <c r="DK666" s="98"/>
      <c r="DL666" s="98"/>
      <c r="DM666" s="98"/>
      <c r="DN666" s="98"/>
      <c r="DO666" s="98"/>
      <c r="DP666" s="98"/>
      <c r="DQ666" s="98"/>
      <c r="DR666" s="98"/>
      <c r="DS666" s="98"/>
      <c r="DT666" s="98"/>
      <c r="DU666" s="98"/>
      <c r="DV666" s="98"/>
      <c r="DW666" s="98"/>
      <c r="DX666" s="98"/>
      <c r="DY666" s="98"/>
      <c r="DZ666" s="98"/>
      <c r="EA666" s="98"/>
      <c r="EB666" s="98"/>
      <c r="EC666" s="98"/>
      <c r="ED666" s="98"/>
    </row>
    <row r="667" spans="1:134" ht="11.25" customHeight="1" x14ac:dyDescent="0.3">
      <c r="A667" s="28" t="e">
        <f t="array" aca="1" ref="A667" ca="1">_xludf.XLOOKUP(S667,Master_Registrations!P:P,Master_Registrations!A:A,"")</f>
        <v>#NAME?</v>
      </c>
      <c r="B667" s="89" t="s">
        <v>182</v>
      </c>
      <c r="C667" s="89">
        <v>2026</v>
      </c>
      <c r="D667" s="89" t="s">
        <v>184</v>
      </c>
      <c r="E667" s="89">
        <v>3</v>
      </c>
      <c r="F667" s="90" t="str">
        <f t="shared" si="8"/>
        <v>VED-01-2026-BR-3</v>
      </c>
      <c r="G667" s="90" t="s">
        <v>1270</v>
      </c>
      <c r="H667" s="90" t="s">
        <v>1271</v>
      </c>
      <c r="I667" s="90"/>
      <c r="J667" s="89" t="s">
        <v>7094</v>
      </c>
      <c r="K667" s="109">
        <v>1</v>
      </c>
      <c r="L667" s="109"/>
      <c r="M667" s="109"/>
      <c r="N667" s="90" t="s">
        <v>7095</v>
      </c>
      <c r="O667" s="141" t="s">
        <v>519</v>
      </c>
      <c r="P667" s="89" t="s">
        <v>6211</v>
      </c>
      <c r="Q667" s="89" t="e">
        <f t="shared" ca="1" si="9"/>
        <v>#NAME?</v>
      </c>
      <c r="R667" s="39" t="s">
        <v>316</v>
      </c>
      <c r="S667" s="94">
        <v>4805932217</v>
      </c>
      <c r="T667" s="90" t="s">
        <v>315</v>
      </c>
      <c r="U667" s="94">
        <v>2011</v>
      </c>
      <c r="V667" s="95">
        <v>2</v>
      </c>
      <c r="W667" s="95">
        <v>2</v>
      </c>
      <c r="X667" s="95">
        <v>2</v>
      </c>
      <c r="Y667" s="95">
        <v>2</v>
      </c>
      <c r="Z667" s="95">
        <v>-1</v>
      </c>
      <c r="AA667" s="95">
        <v>-1</v>
      </c>
      <c r="AB667" s="95">
        <v>-1</v>
      </c>
      <c r="AC667" s="95">
        <v>-1</v>
      </c>
      <c r="AD667" s="95">
        <v>-1</v>
      </c>
      <c r="AE667" s="95">
        <v>2</v>
      </c>
      <c r="AF667" s="95">
        <v>2</v>
      </c>
      <c r="AG667" s="95">
        <v>2</v>
      </c>
      <c r="AH667" s="95">
        <v>2</v>
      </c>
      <c r="AI667" s="95">
        <v>-1</v>
      </c>
      <c r="AJ667" s="89">
        <v>-1</v>
      </c>
      <c r="AK667" s="89">
        <v>-1</v>
      </c>
      <c r="AL667" s="89">
        <v>-1</v>
      </c>
      <c r="AM667" s="89">
        <v>-1</v>
      </c>
      <c r="AN667" s="89">
        <v>-1</v>
      </c>
      <c r="AO667" s="89">
        <v>-1</v>
      </c>
      <c r="AP667" s="89">
        <v>-1</v>
      </c>
      <c r="AQ667" s="89">
        <v>-1</v>
      </c>
      <c r="AR667" s="89">
        <v>-1</v>
      </c>
      <c r="AS667" s="89">
        <v>-1</v>
      </c>
      <c r="AT667" s="89">
        <v>-1</v>
      </c>
      <c r="AU667" s="89">
        <v>-1</v>
      </c>
      <c r="AV667" s="89">
        <v>-1</v>
      </c>
      <c r="AW667" s="89"/>
      <c r="AX667" s="89"/>
      <c r="AY667" s="89"/>
      <c r="AZ667" s="89"/>
      <c r="BA667" s="89"/>
      <c r="BB667" s="89"/>
      <c r="BC667" s="89"/>
      <c r="BD667" s="89"/>
      <c r="BE667" s="89"/>
      <c r="BF667" s="89"/>
      <c r="BG667" s="89"/>
      <c r="BH667" s="89"/>
      <c r="BI667" s="89"/>
      <c r="BJ667" s="89"/>
      <c r="BK667" s="89"/>
      <c r="BL667" s="89"/>
      <c r="BM667" s="89"/>
      <c r="BN667" s="89"/>
      <c r="BO667" s="89"/>
      <c r="BP667" s="89"/>
      <c r="BQ667" s="89"/>
      <c r="BR667" s="89"/>
      <c r="BS667" s="89"/>
      <c r="BT667" s="89"/>
      <c r="BU667" s="89"/>
      <c r="BV667" s="89"/>
      <c r="BW667" s="89"/>
      <c r="BX667" s="89"/>
      <c r="BY667" s="89"/>
      <c r="BZ667" s="89"/>
      <c r="CA667" s="89"/>
      <c r="CB667" s="89"/>
      <c r="CC667" s="89"/>
      <c r="CD667" s="89"/>
      <c r="CE667" s="89"/>
      <c r="CF667" s="89"/>
      <c r="CG667" s="89"/>
      <c r="CH667" s="89"/>
      <c r="CI667" s="89"/>
      <c r="CJ667" s="89"/>
      <c r="CK667" s="89"/>
      <c r="CL667" s="89"/>
      <c r="CM667" s="89"/>
      <c r="CN667" s="89"/>
      <c r="CO667" s="89"/>
      <c r="CP667" s="89"/>
      <c r="CQ667" s="89"/>
      <c r="CR667" s="89"/>
      <c r="CS667" s="89"/>
      <c r="CT667" s="89"/>
      <c r="CU667" s="89"/>
      <c r="CV667" s="89"/>
      <c r="CW667" s="89"/>
      <c r="CX667" s="89"/>
      <c r="CY667" s="89"/>
      <c r="CZ667" s="98"/>
      <c r="DA667" s="98"/>
      <c r="DB667" s="98"/>
      <c r="DC667" s="98"/>
      <c r="DD667" s="98"/>
      <c r="DE667" s="98"/>
      <c r="DF667" s="98"/>
      <c r="DG667" s="98"/>
      <c r="DH667" s="98"/>
      <c r="DI667" s="98"/>
      <c r="DJ667" s="98"/>
      <c r="DK667" s="98"/>
      <c r="DL667" s="98"/>
      <c r="DM667" s="98"/>
      <c r="DN667" s="98"/>
      <c r="DO667" s="98"/>
      <c r="DP667" s="98"/>
      <c r="DQ667" s="98"/>
      <c r="DR667" s="98"/>
      <c r="DS667" s="98"/>
      <c r="DT667" s="98"/>
      <c r="DU667" s="98"/>
      <c r="DV667" s="98"/>
      <c r="DW667" s="98"/>
      <c r="DX667" s="98"/>
      <c r="DY667" s="98"/>
      <c r="DZ667" s="98"/>
      <c r="EA667" s="98"/>
      <c r="EB667" s="98"/>
      <c r="EC667" s="98"/>
      <c r="ED667" s="98"/>
    </row>
    <row r="668" spans="1:134" ht="11.25" customHeight="1" x14ac:dyDescent="0.3">
      <c r="A668" s="28" t="e">
        <f t="array" aca="1" ref="A668" ca="1">_xludf.XLOOKUP(S668,Master_Registrations!P:P,Master_Registrations!A:A,"")</f>
        <v>#NAME?</v>
      </c>
      <c r="B668" s="89" t="s">
        <v>182</v>
      </c>
      <c r="C668" s="89">
        <v>2026</v>
      </c>
      <c r="D668" s="89" t="s">
        <v>4886</v>
      </c>
      <c r="E668" s="89">
        <v>11</v>
      </c>
      <c r="F668" s="90" t="str">
        <f t="shared" si="8"/>
        <v>VED-01-2026-GR-11</v>
      </c>
      <c r="G668" s="89" t="s">
        <v>7059</v>
      </c>
      <c r="H668" s="89" t="s">
        <v>7139</v>
      </c>
      <c r="I668" s="89"/>
      <c r="J668" s="89" t="s">
        <v>7094</v>
      </c>
      <c r="K668" s="99">
        <v>-1</v>
      </c>
      <c r="L668" s="99">
        <v>-1</v>
      </c>
      <c r="M668" s="109"/>
      <c r="N668" s="90" t="s">
        <v>7095</v>
      </c>
      <c r="O668" s="141" t="s">
        <v>2371</v>
      </c>
      <c r="P668" s="141" t="s">
        <v>2372</v>
      </c>
      <c r="Q668" s="89" t="e">
        <f t="shared" ca="1" si="9"/>
        <v>#NAME?</v>
      </c>
      <c r="R668" s="39" t="s">
        <v>316</v>
      </c>
      <c r="S668" s="105">
        <v>7047759095</v>
      </c>
      <c r="T668" s="90" t="s">
        <v>315</v>
      </c>
      <c r="U668" s="89">
        <v>1985</v>
      </c>
      <c r="V668" s="99">
        <v>-1</v>
      </c>
      <c r="W668" s="95">
        <v>-1</v>
      </c>
      <c r="X668" s="99">
        <v>-1</v>
      </c>
      <c r="Y668" s="99">
        <v>-1</v>
      </c>
      <c r="Z668" s="99">
        <v>-1</v>
      </c>
      <c r="AA668" s="99">
        <v>-1</v>
      </c>
      <c r="AB668" s="99">
        <v>-1</v>
      </c>
      <c r="AC668" s="95">
        <v>-1</v>
      </c>
      <c r="AD668" s="95">
        <v>-1</v>
      </c>
      <c r="AE668" s="99">
        <v>-1</v>
      </c>
      <c r="AF668" s="95">
        <v>-1</v>
      </c>
      <c r="AG668" s="95">
        <v>-1</v>
      </c>
      <c r="AH668" s="95">
        <v>-1</v>
      </c>
      <c r="AI668" s="95">
        <v>-1</v>
      </c>
      <c r="AJ668" s="89"/>
      <c r="AK668" s="89"/>
      <c r="AL668" s="89"/>
      <c r="AM668" s="89"/>
      <c r="AN668" s="89"/>
      <c r="AO668" s="89"/>
      <c r="AP668" s="89"/>
      <c r="AQ668" s="89"/>
      <c r="AR668" s="89"/>
      <c r="AS668" s="89"/>
      <c r="AT668" s="89"/>
      <c r="AU668" s="89"/>
      <c r="AV668" s="89"/>
      <c r="AW668" s="89"/>
      <c r="AX668" s="89"/>
      <c r="AY668" s="89"/>
      <c r="AZ668" s="89"/>
      <c r="BA668" s="89"/>
      <c r="BB668" s="89"/>
      <c r="BC668" s="89"/>
      <c r="BD668" s="89"/>
      <c r="BE668" s="89"/>
      <c r="BF668" s="89"/>
      <c r="BG668" s="89"/>
      <c r="BH668" s="89"/>
      <c r="BI668" s="89"/>
      <c r="BJ668" s="89"/>
      <c r="BK668" s="89"/>
      <c r="BL668" s="89"/>
      <c r="BM668" s="89"/>
      <c r="BN668" s="89"/>
      <c r="BO668" s="89"/>
      <c r="BP668" s="89"/>
      <c r="BQ668" s="89"/>
      <c r="BR668" s="89"/>
      <c r="BS668" s="89"/>
      <c r="BT668" s="89"/>
      <c r="BU668" s="89"/>
      <c r="BV668" s="89"/>
      <c r="BW668" s="89"/>
      <c r="BX668" s="89"/>
      <c r="BY668" s="89"/>
      <c r="BZ668" s="89"/>
      <c r="CA668" s="89"/>
      <c r="CB668" s="89"/>
      <c r="CC668" s="89"/>
      <c r="CD668" s="89"/>
      <c r="CE668" s="89"/>
      <c r="CF668" s="89"/>
      <c r="CG668" s="89"/>
      <c r="CH668" s="89"/>
      <c r="CI668" s="89"/>
      <c r="CJ668" s="89"/>
      <c r="CK668" s="89"/>
      <c r="CL668" s="89"/>
      <c r="CM668" s="89"/>
      <c r="CN668" s="89"/>
      <c r="CO668" s="89"/>
      <c r="CP668" s="89"/>
      <c r="CQ668" s="89"/>
      <c r="CR668" s="89"/>
      <c r="CS668" s="89"/>
      <c r="CT668" s="89"/>
      <c r="CU668" s="89"/>
      <c r="CV668" s="89"/>
      <c r="CW668" s="89"/>
      <c r="CX668" s="89"/>
      <c r="CY668" s="89"/>
      <c r="CZ668" s="98"/>
      <c r="DA668" s="98"/>
      <c r="DB668" s="98"/>
      <c r="DC668" s="98"/>
      <c r="DD668" s="98"/>
      <c r="DE668" s="98"/>
      <c r="DF668" s="98"/>
      <c r="DG668" s="98"/>
      <c r="DH668" s="98"/>
      <c r="DI668" s="98"/>
      <c r="DJ668" s="98"/>
      <c r="DK668" s="98"/>
      <c r="DL668" s="98"/>
      <c r="DM668" s="98"/>
      <c r="DN668" s="98"/>
      <c r="DO668" s="98"/>
      <c r="DP668" s="98"/>
      <c r="DQ668" s="98"/>
      <c r="DR668" s="98"/>
      <c r="DS668" s="98"/>
      <c r="DT668" s="98"/>
      <c r="DU668" s="98"/>
      <c r="DV668" s="98"/>
      <c r="DW668" s="98"/>
      <c r="DX668" s="98"/>
      <c r="DY668" s="98"/>
      <c r="DZ668" s="98"/>
      <c r="EA668" s="98"/>
      <c r="EB668" s="98"/>
      <c r="EC668" s="98"/>
      <c r="ED668" s="98"/>
    </row>
    <row r="669" spans="1:134" ht="11.25" customHeight="1" x14ac:dyDescent="0.3">
      <c r="A669" s="28" t="e">
        <f t="array" aca="1" ref="A669" ca="1">_xludf.XLOOKUP(S669,Master_Registrations!P:P,Master_Registrations!A:A,"")</f>
        <v>#NAME?</v>
      </c>
      <c r="B669" s="89" t="s">
        <v>182</v>
      </c>
      <c r="C669" s="89">
        <v>2026</v>
      </c>
      <c r="D669" s="89" t="s">
        <v>4886</v>
      </c>
      <c r="E669" s="89">
        <v>11</v>
      </c>
      <c r="F669" s="90" t="str">
        <f t="shared" si="8"/>
        <v>VED-01-2026-GR-11</v>
      </c>
      <c r="G669" s="89" t="s">
        <v>7059</v>
      </c>
      <c r="H669" s="89" t="s">
        <v>7139</v>
      </c>
      <c r="I669" s="89"/>
      <c r="J669" s="89" t="s">
        <v>7094</v>
      </c>
      <c r="K669" s="99">
        <v>-1</v>
      </c>
      <c r="L669" s="99">
        <v>-1</v>
      </c>
      <c r="M669" s="109"/>
      <c r="N669" s="90" t="s">
        <v>7095</v>
      </c>
      <c r="O669" s="141" t="s">
        <v>6713</v>
      </c>
      <c r="P669" s="89" t="s">
        <v>6714</v>
      </c>
      <c r="Q669" s="89" t="e">
        <f t="shared" ca="1" si="9"/>
        <v>#NAME?</v>
      </c>
      <c r="R669" s="39" t="s">
        <v>112</v>
      </c>
      <c r="S669" s="105">
        <v>9160952609</v>
      </c>
      <c r="T669" s="90" t="s">
        <v>111</v>
      </c>
      <c r="U669" s="89">
        <v>1990</v>
      </c>
      <c r="V669" s="99">
        <v>-1</v>
      </c>
      <c r="W669" s="95">
        <v>-1</v>
      </c>
      <c r="X669" s="99">
        <v>-1</v>
      </c>
      <c r="Y669" s="99">
        <v>-1</v>
      </c>
      <c r="Z669" s="99">
        <v>-1</v>
      </c>
      <c r="AA669" s="99">
        <v>-1</v>
      </c>
      <c r="AB669" s="99">
        <v>-1</v>
      </c>
      <c r="AC669" s="95">
        <v>-1</v>
      </c>
      <c r="AD669" s="95">
        <v>-1</v>
      </c>
      <c r="AE669" s="99">
        <v>-1</v>
      </c>
      <c r="AF669" s="95">
        <v>-1</v>
      </c>
      <c r="AG669" s="95">
        <v>-1</v>
      </c>
      <c r="AH669" s="95">
        <v>-1</v>
      </c>
      <c r="AI669" s="95">
        <v>-1</v>
      </c>
      <c r="AJ669" s="95">
        <v>-1</v>
      </c>
      <c r="AK669" s="95">
        <v>-1</v>
      </c>
      <c r="AL669" s="95">
        <v>-1</v>
      </c>
      <c r="AM669" s="95">
        <v>-1</v>
      </c>
      <c r="AN669" s="95">
        <v>-1</v>
      </c>
      <c r="AO669" s="95">
        <v>-1</v>
      </c>
      <c r="AP669" s="95">
        <v>-1</v>
      </c>
      <c r="AQ669" s="95">
        <v>-1</v>
      </c>
      <c r="AR669" s="95">
        <v>-1</v>
      </c>
      <c r="AS669" s="95">
        <v>-1</v>
      </c>
      <c r="AT669" s="95">
        <v>-1</v>
      </c>
      <c r="AU669" s="95">
        <v>-1</v>
      </c>
      <c r="AV669" s="95">
        <v>-1</v>
      </c>
      <c r="AW669" s="89"/>
      <c r="AX669" s="89"/>
      <c r="AY669" s="89"/>
      <c r="AZ669" s="89"/>
      <c r="BA669" s="89"/>
      <c r="BB669" s="89"/>
      <c r="BC669" s="89"/>
      <c r="BD669" s="89"/>
      <c r="BE669" s="89"/>
      <c r="BF669" s="89"/>
      <c r="BG669" s="89"/>
      <c r="BH669" s="89"/>
      <c r="BI669" s="89"/>
      <c r="BJ669" s="89"/>
      <c r="BK669" s="89"/>
      <c r="BL669" s="89"/>
      <c r="BM669" s="89"/>
      <c r="BN669" s="89"/>
      <c r="BO669" s="89"/>
      <c r="BP669" s="89"/>
      <c r="BQ669" s="89"/>
      <c r="BR669" s="89"/>
      <c r="BS669" s="89"/>
      <c r="BT669" s="89"/>
      <c r="BU669" s="89"/>
      <c r="BV669" s="89"/>
      <c r="BW669" s="89"/>
      <c r="BX669" s="89"/>
      <c r="BY669" s="89"/>
      <c r="BZ669" s="89"/>
      <c r="CA669" s="89"/>
      <c r="CB669" s="89"/>
      <c r="CC669" s="89"/>
      <c r="CD669" s="89"/>
      <c r="CE669" s="89"/>
      <c r="CF669" s="89"/>
      <c r="CG669" s="89"/>
      <c r="CH669" s="89"/>
      <c r="CI669" s="89"/>
      <c r="CJ669" s="89"/>
      <c r="CK669" s="89"/>
      <c r="CL669" s="89"/>
      <c r="CM669" s="89"/>
      <c r="CN669" s="89"/>
      <c r="CO669" s="89"/>
      <c r="CP669" s="89"/>
      <c r="CQ669" s="89"/>
      <c r="CR669" s="89"/>
      <c r="CS669" s="89"/>
      <c r="CT669" s="89"/>
      <c r="CU669" s="89"/>
      <c r="CV669" s="89"/>
      <c r="CW669" s="89"/>
      <c r="CX669" s="89"/>
      <c r="CY669" s="89"/>
      <c r="CZ669" s="98"/>
      <c r="DA669" s="98"/>
      <c r="DB669" s="98"/>
      <c r="DC669" s="98"/>
      <c r="DD669" s="98"/>
      <c r="DE669" s="98"/>
      <c r="DF669" s="98"/>
      <c r="DG669" s="98"/>
      <c r="DH669" s="98"/>
      <c r="DI669" s="98"/>
      <c r="DJ669" s="98"/>
      <c r="DK669" s="98"/>
      <c r="DL669" s="98"/>
      <c r="DM669" s="98"/>
      <c r="DN669" s="98"/>
      <c r="DO669" s="98"/>
      <c r="DP669" s="98"/>
      <c r="DQ669" s="98"/>
      <c r="DR669" s="98"/>
      <c r="DS669" s="98"/>
      <c r="DT669" s="98"/>
      <c r="DU669" s="98"/>
      <c r="DV669" s="98"/>
      <c r="DW669" s="98"/>
      <c r="DX669" s="98"/>
      <c r="DY669" s="98"/>
      <c r="DZ669" s="98"/>
      <c r="EA669" s="98"/>
      <c r="EB669" s="98"/>
      <c r="EC669" s="98"/>
      <c r="ED669" s="98"/>
    </row>
    <row r="670" spans="1:134" ht="11.25" customHeight="1" x14ac:dyDescent="0.3">
      <c r="A670" s="28" t="e">
        <f t="array" aca="1" ref="A670" ca="1">_xludf.XLOOKUP(S670,Master_Registrations!P:P,Master_Registrations!A:A,"")</f>
        <v>#NAME?</v>
      </c>
      <c r="B670" s="89" t="s">
        <v>182</v>
      </c>
      <c r="C670" s="89">
        <v>2026</v>
      </c>
      <c r="D670" s="89" t="s">
        <v>4886</v>
      </c>
      <c r="E670" s="89">
        <v>13</v>
      </c>
      <c r="F670" s="90" t="str">
        <f t="shared" si="8"/>
        <v>VED-01-2026-GR-13</v>
      </c>
      <c r="G670" s="89" t="s">
        <v>7126</v>
      </c>
      <c r="H670" s="89" t="s">
        <v>7127</v>
      </c>
      <c r="I670" s="89"/>
      <c r="J670" s="89" t="s">
        <v>7094</v>
      </c>
      <c r="K670" s="110">
        <v>-1</v>
      </c>
      <c r="L670" s="110">
        <v>-1</v>
      </c>
      <c r="M670" s="110">
        <v>-1</v>
      </c>
      <c r="N670" s="90" t="s">
        <v>7095</v>
      </c>
      <c r="O670" s="89" t="s">
        <v>2122</v>
      </c>
      <c r="P670" s="89" t="s">
        <v>4178</v>
      </c>
      <c r="Q670" s="89" t="e">
        <f t="shared" ca="1" si="9"/>
        <v>#NAME?</v>
      </c>
      <c r="R670" s="39" t="s">
        <v>112</v>
      </c>
      <c r="S670" s="105">
        <v>9491936321</v>
      </c>
      <c r="T670" s="90" t="s">
        <v>111</v>
      </c>
      <c r="U670" s="89">
        <v>1997</v>
      </c>
      <c r="V670" s="95">
        <v>-1</v>
      </c>
      <c r="W670" s="95">
        <v>-1</v>
      </c>
      <c r="X670" s="95">
        <v>-1</v>
      </c>
      <c r="Y670" s="95">
        <v>-1</v>
      </c>
      <c r="Z670" s="95">
        <v>-1</v>
      </c>
      <c r="AA670" s="95">
        <v>-1</v>
      </c>
      <c r="AB670" s="95">
        <v>-1</v>
      </c>
      <c r="AC670" s="95">
        <v>-1</v>
      </c>
      <c r="AD670" s="95">
        <v>-1</v>
      </c>
      <c r="AE670" s="95">
        <v>-1</v>
      </c>
      <c r="AF670" s="95">
        <v>-1</v>
      </c>
      <c r="AG670" s="95">
        <v>-1</v>
      </c>
      <c r="AH670" s="95">
        <v>-1</v>
      </c>
      <c r="AI670" s="95">
        <v>-1</v>
      </c>
      <c r="AJ670" s="89"/>
      <c r="AK670" s="89"/>
      <c r="AL670" s="89"/>
      <c r="AM670" s="89"/>
      <c r="AN670" s="89"/>
      <c r="AO670" s="89"/>
      <c r="AP670" s="89"/>
      <c r="AQ670" s="89"/>
      <c r="AR670" s="89"/>
      <c r="AS670" s="89"/>
      <c r="AT670" s="89"/>
      <c r="AU670" s="89"/>
      <c r="AV670" s="89"/>
      <c r="AW670" s="89"/>
      <c r="AX670" s="89"/>
      <c r="AY670" s="89"/>
      <c r="AZ670" s="89"/>
      <c r="BA670" s="89"/>
      <c r="BB670" s="89"/>
      <c r="BC670" s="89"/>
      <c r="BD670" s="89"/>
      <c r="BE670" s="89"/>
      <c r="BF670" s="89"/>
      <c r="BG670" s="89"/>
      <c r="BH670" s="89"/>
      <c r="BI670" s="89"/>
      <c r="BJ670" s="89"/>
      <c r="BK670" s="89"/>
      <c r="BL670" s="89"/>
      <c r="BM670" s="89"/>
      <c r="BN670" s="89"/>
      <c r="BO670" s="89"/>
      <c r="BP670" s="89"/>
      <c r="BQ670" s="89"/>
      <c r="BR670" s="89"/>
      <c r="BS670" s="89"/>
      <c r="BT670" s="89"/>
      <c r="BU670" s="89"/>
      <c r="BV670" s="89"/>
      <c r="BW670" s="89"/>
      <c r="BX670" s="89"/>
      <c r="BY670" s="89"/>
      <c r="BZ670" s="89"/>
      <c r="CA670" s="89"/>
      <c r="CB670" s="89"/>
      <c r="CC670" s="89"/>
      <c r="CD670" s="89"/>
      <c r="CE670" s="89"/>
      <c r="CF670" s="89"/>
      <c r="CG670" s="89"/>
      <c r="CH670" s="89"/>
      <c r="CI670" s="89"/>
      <c r="CJ670" s="89"/>
      <c r="CK670" s="89"/>
      <c r="CL670" s="89"/>
      <c r="CM670" s="89"/>
      <c r="CN670" s="89"/>
      <c r="CO670" s="89"/>
      <c r="CP670" s="89"/>
      <c r="CQ670" s="89"/>
      <c r="CR670" s="89"/>
      <c r="CS670" s="89"/>
      <c r="CT670" s="89"/>
      <c r="CU670" s="89"/>
      <c r="CV670" s="89"/>
      <c r="CW670" s="89"/>
      <c r="CX670" s="89"/>
      <c r="CY670" s="89"/>
      <c r="CZ670" s="98"/>
      <c r="DA670" s="98"/>
      <c r="DB670" s="98"/>
      <c r="DC670" s="98"/>
      <c r="DD670" s="98"/>
      <c r="DE670" s="98"/>
      <c r="DF670" s="98"/>
      <c r="DG670" s="98"/>
      <c r="DH670" s="98"/>
      <c r="DI670" s="98"/>
      <c r="DJ670" s="98"/>
      <c r="DK670" s="98"/>
      <c r="DL670" s="98"/>
      <c r="DM670" s="98"/>
      <c r="DN670" s="98"/>
      <c r="DO670" s="98"/>
      <c r="DP670" s="98"/>
      <c r="DQ670" s="98"/>
      <c r="DR670" s="98"/>
      <c r="DS670" s="98"/>
      <c r="DT670" s="98"/>
      <c r="DU670" s="98"/>
      <c r="DV670" s="98"/>
      <c r="DW670" s="98"/>
      <c r="DX670" s="98"/>
      <c r="DY670" s="98"/>
      <c r="DZ670" s="98"/>
      <c r="EA670" s="98"/>
      <c r="EB670" s="98"/>
      <c r="EC670" s="98"/>
      <c r="ED670" s="98"/>
    </row>
    <row r="671" spans="1:134" ht="11.25" customHeight="1" x14ac:dyDescent="0.3">
      <c r="A671" s="28" t="e">
        <f t="array" aca="1" ref="A671" ca="1">_xludf.XLOOKUP(S671,Master_Registrations!P:P,Master_Registrations!A:A,"")</f>
        <v>#NAME?</v>
      </c>
      <c r="B671" s="89" t="s">
        <v>182</v>
      </c>
      <c r="C671" s="89">
        <v>2026</v>
      </c>
      <c r="D671" s="89" t="s">
        <v>4886</v>
      </c>
      <c r="E671" s="89">
        <v>13</v>
      </c>
      <c r="F671" s="90" t="str">
        <f t="shared" si="8"/>
        <v>VED-01-2026-GR-13</v>
      </c>
      <c r="G671" s="89" t="s">
        <v>7126</v>
      </c>
      <c r="H671" s="89" t="s">
        <v>7127</v>
      </c>
      <c r="I671" s="89"/>
      <c r="J671" s="89" t="s">
        <v>7094</v>
      </c>
      <c r="K671" s="110">
        <v>-1</v>
      </c>
      <c r="L671" s="110">
        <v>-1</v>
      </c>
      <c r="M671" s="110">
        <v>-1</v>
      </c>
      <c r="N671" s="90" t="s">
        <v>7095</v>
      </c>
      <c r="O671" s="89" t="s">
        <v>4088</v>
      </c>
      <c r="P671" s="89" t="s">
        <v>520</v>
      </c>
      <c r="Q671" s="89" t="e">
        <f t="shared" ca="1" si="9"/>
        <v>#NAME?</v>
      </c>
      <c r="R671" s="39" t="s">
        <v>112</v>
      </c>
      <c r="S671" s="105">
        <v>7396914050</v>
      </c>
      <c r="T671" s="90" t="s">
        <v>111</v>
      </c>
      <c r="U671" s="89">
        <v>1994</v>
      </c>
      <c r="V671" s="95">
        <v>-1</v>
      </c>
      <c r="W671" s="95">
        <v>-1</v>
      </c>
      <c r="X671" s="95">
        <v>-1</v>
      </c>
      <c r="Y671" s="95">
        <v>-1</v>
      </c>
      <c r="Z671" s="95">
        <v>-1</v>
      </c>
      <c r="AA671" s="95">
        <v>-1</v>
      </c>
      <c r="AB671" s="95">
        <v>-1</v>
      </c>
      <c r="AC671" s="95">
        <v>-1</v>
      </c>
      <c r="AD671" s="95">
        <v>-1</v>
      </c>
      <c r="AE671" s="95">
        <v>-1</v>
      </c>
      <c r="AF671" s="95">
        <v>-1</v>
      </c>
      <c r="AG671" s="95">
        <v>-1</v>
      </c>
      <c r="AH671" s="95">
        <v>-1</v>
      </c>
      <c r="AI671" s="95">
        <v>-1</v>
      </c>
      <c r="AJ671" s="89"/>
      <c r="AK671" s="89"/>
      <c r="AL671" s="89"/>
      <c r="AM671" s="89"/>
      <c r="AN671" s="89"/>
      <c r="AO671" s="89"/>
      <c r="AP671" s="89"/>
      <c r="AQ671" s="89"/>
      <c r="AR671" s="89"/>
      <c r="AS671" s="89"/>
      <c r="AT671" s="89"/>
      <c r="AU671" s="89"/>
      <c r="AV671" s="89"/>
      <c r="AW671" s="89"/>
      <c r="AX671" s="89"/>
      <c r="AY671" s="89"/>
      <c r="AZ671" s="89"/>
      <c r="BA671" s="89"/>
      <c r="BB671" s="89"/>
      <c r="BC671" s="89"/>
      <c r="BD671" s="89"/>
      <c r="BE671" s="89"/>
      <c r="BF671" s="89"/>
      <c r="BG671" s="89"/>
      <c r="BH671" s="89"/>
      <c r="BI671" s="89"/>
      <c r="BJ671" s="89"/>
      <c r="BK671" s="89"/>
      <c r="BL671" s="89"/>
      <c r="BM671" s="89"/>
      <c r="BN671" s="89"/>
      <c r="BO671" s="89"/>
      <c r="BP671" s="89"/>
      <c r="BQ671" s="89"/>
      <c r="BR671" s="89"/>
      <c r="BS671" s="89"/>
      <c r="BT671" s="89"/>
      <c r="BU671" s="89"/>
      <c r="BV671" s="89"/>
      <c r="BW671" s="89"/>
      <c r="BX671" s="89"/>
      <c r="BY671" s="89"/>
      <c r="BZ671" s="89"/>
      <c r="CA671" s="89"/>
      <c r="CB671" s="89"/>
      <c r="CC671" s="89"/>
      <c r="CD671" s="89"/>
      <c r="CE671" s="89"/>
      <c r="CF671" s="89"/>
      <c r="CG671" s="89"/>
      <c r="CH671" s="89"/>
      <c r="CI671" s="89"/>
      <c r="CJ671" s="89"/>
      <c r="CK671" s="89"/>
      <c r="CL671" s="89"/>
      <c r="CM671" s="89"/>
      <c r="CN671" s="89"/>
      <c r="CO671" s="89"/>
      <c r="CP671" s="89"/>
      <c r="CQ671" s="89"/>
      <c r="CR671" s="89"/>
      <c r="CS671" s="89"/>
      <c r="CT671" s="89"/>
      <c r="CU671" s="89"/>
      <c r="CV671" s="89"/>
      <c r="CW671" s="89"/>
      <c r="CX671" s="89"/>
      <c r="CY671" s="89"/>
      <c r="CZ671" s="98"/>
      <c r="DA671" s="98"/>
      <c r="DB671" s="98"/>
      <c r="DC671" s="98"/>
      <c r="DD671" s="98"/>
      <c r="DE671" s="98"/>
      <c r="DF671" s="98"/>
      <c r="DG671" s="98"/>
      <c r="DH671" s="98"/>
      <c r="DI671" s="98"/>
      <c r="DJ671" s="98"/>
      <c r="DK671" s="98"/>
      <c r="DL671" s="98"/>
      <c r="DM671" s="98"/>
      <c r="DN671" s="98"/>
      <c r="DO671" s="98"/>
      <c r="DP671" s="98"/>
      <c r="DQ671" s="98"/>
      <c r="DR671" s="98"/>
      <c r="DS671" s="98"/>
      <c r="DT671" s="98"/>
      <c r="DU671" s="98"/>
      <c r="DV671" s="98"/>
      <c r="DW671" s="98"/>
      <c r="DX671" s="98"/>
      <c r="DY671" s="98"/>
      <c r="DZ671" s="98"/>
      <c r="EA671" s="98"/>
      <c r="EB671" s="98"/>
      <c r="EC671" s="98"/>
      <c r="ED671" s="98"/>
    </row>
    <row r="672" spans="1:134" ht="11.25" customHeight="1" x14ac:dyDescent="0.3">
      <c r="A672" s="28" t="e">
        <f t="array" aca="1" ref="A672" ca="1">_xludf.XLOOKUP(S672,Master_Registrations!P:P,Master_Registrations!A:A,"")</f>
        <v>#NAME?</v>
      </c>
      <c r="B672" s="89" t="s">
        <v>182</v>
      </c>
      <c r="C672" s="89">
        <v>2026</v>
      </c>
      <c r="D672" s="89" t="s">
        <v>4886</v>
      </c>
      <c r="E672" s="89">
        <v>13</v>
      </c>
      <c r="F672" s="90" t="str">
        <f t="shared" si="8"/>
        <v>VED-01-2026-GR-13</v>
      </c>
      <c r="G672" s="89" t="s">
        <v>7126</v>
      </c>
      <c r="H672" s="89" t="s">
        <v>7127</v>
      </c>
      <c r="I672" s="89"/>
      <c r="J672" s="89" t="s">
        <v>7094</v>
      </c>
      <c r="K672" s="110">
        <v>-1</v>
      </c>
      <c r="L672" s="110">
        <v>-1</v>
      </c>
      <c r="M672" s="110">
        <v>-1</v>
      </c>
      <c r="N672" s="90" t="s">
        <v>7095</v>
      </c>
      <c r="O672" s="89" t="s">
        <v>4146</v>
      </c>
      <c r="P672" s="141" t="s">
        <v>7140</v>
      </c>
      <c r="Q672" s="89" t="e">
        <f t="shared" ca="1" si="9"/>
        <v>#NAME?</v>
      </c>
      <c r="R672" s="39">
        <v>44</v>
      </c>
      <c r="S672" s="105">
        <v>7466292031</v>
      </c>
      <c r="T672" s="90" t="s">
        <v>260</v>
      </c>
      <c r="U672" s="89">
        <v>1985</v>
      </c>
      <c r="V672" s="95">
        <v>-1</v>
      </c>
      <c r="W672" s="95">
        <v>-1</v>
      </c>
      <c r="X672" s="95">
        <v>-1</v>
      </c>
      <c r="Y672" s="95">
        <v>-1</v>
      </c>
      <c r="Z672" s="95">
        <v>-1</v>
      </c>
      <c r="AA672" s="95">
        <v>-1</v>
      </c>
      <c r="AB672" s="95">
        <v>-1</v>
      </c>
      <c r="AC672" s="95">
        <v>-1</v>
      </c>
      <c r="AD672" s="95">
        <v>-1</v>
      </c>
      <c r="AE672" s="95">
        <v>-1</v>
      </c>
      <c r="AF672" s="95">
        <v>-1</v>
      </c>
      <c r="AG672" s="95">
        <v>-1</v>
      </c>
      <c r="AH672" s="95">
        <v>-1</v>
      </c>
      <c r="AI672" s="95">
        <v>-1</v>
      </c>
      <c r="AJ672" s="89"/>
      <c r="AK672" s="89"/>
      <c r="AL672" s="89"/>
      <c r="AM672" s="89"/>
      <c r="AN672" s="89"/>
      <c r="AO672" s="89"/>
      <c r="AP672" s="89"/>
      <c r="AQ672" s="89"/>
      <c r="AR672" s="89"/>
      <c r="AS672" s="89"/>
      <c r="AT672" s="89"/>
      <c r="AU672" s="89"/>
      <c r="AV672" s="89"/>
      <c r="AW672" s="89"/>
      <c r="AX672" s="89"/>
      <c r="AY672" s="89"/>
      <c r="AZ672" s="89"/>
      <c r="BA672" s="89"/>
      <c r="BB672" s="89"/>
      <c r="BC672" s="89"/>
      <c r="BD672" s="89"/>
      <c r="BE672" s="89"/>
      <c r="BF672" s="89"/>
      <c r="BG672" s="89"/>
      <c r="BH672" s="89"/>
      <c r="BI672" s="89"/>
      <c r="BJ672" s="89"/>
      <c r="BK672" s="89"/>
      <c r="BL672" s="89"/>
      <c r="BM672" s="89"/>
      <c r="BN672" s="89"/>
      <c r="BO672" s="89"/>
      <c r="BP672" s="89"/>
      <c r="BQ672" s="89"/>
      <c r="BR672" s="89"/>
      <c r="BS672" s="89"/>
      <c r="BT672" s="89"/>
      <c r="BU672" s="89"/>
      <c r="BV672" s="89"/>
      <c r="BW672" s="89"/>
      <c r="BX672" s="89"/>
      <c r="BY672" s="89"/>
      <c r="BZ672" s="89"/>
      <c r="CA672" s="89"/>
      <c r="CB672" s="89"/>
      <c r="CC672" s="89"/>
      <c r="CD672" s="89"/>
      <c r="CE672" s="89"/>
      <c r="CF672" s="89"/>
      <c r="CG672" s="89"/>
      <c r="CH672" s="89"/>
      <c r="CI672" s="89"/>
      <c r="CJ672" s="89"/>
      <c r="CK672" s="89"/>
      <c r="CL672" s="89"/>
      <c r="CM672" s="89"/>
      <c r="CN672" s="89"/>
      <c r="CO672" s="89"/>
      <c r="CP672" s="89"/>
      <c r="CQ672" s="89"/>
      <c r="CR672" s="89"/>
      <c r="CS672" s="89"/>
      <c r="CT672" s="89"/>
      <c r="CU672" s="89"/>
      <c r="CV672" s="89"/>
      <c r="CW672" s="89"/>
      <c r="CX672" s="89"/>
      <c r="CY672" s="89"/>
      <c r="CZ672" s="98"/>
      <c r="DA672" s="98"/>
      <c r="DB672" s="98"/>
      <c r="DC672" s="98"/>
      <c r="DD672" s="98"/>
      <c r="DE672" s="98"/>
      <c r="DF672" s="98"/>
      <c r="DG672" s="98"/>
      <c r="DH672" s="98"/>
      <c r="DI672" s="98"/>
      <c r="DJ672" s="98"/>
      <c r="DK672" s="98"/>
      <c r="DL672" s="98"/>
      <c r="DM672" s="98"/>
      <c r="DN672" s="98"/>
      <c r="DO672" s="98"/>
      <c r="DP672" s="98"/>
      <c r="DQ672" s="98"/>
      <c r="DR672" s="98"/>
      <c r="DS672" s="98"/>
      <c r="DT672" s="98"/>
      <c r="DU672" s="98"/>
      <c r="DV672" s="98"/>
      <c r="DW672" s="98"/>
      <c r="DX672" s="98"/>
      <c r="DY672" s="98"/>
      <c r="DZ672" s="98"/>
      <c r="EA672" s="98"/>
      <c r="EB672" s="98"/>
      <c r="EC672" s="98"/>
      <c r="ED672" s="98"/>
    </row>
    <row r="673" spans="1:134" ht="11.25" customHeight="1" x14ac:dyDescent="0.3">
      <c r="A673" s="28" t="e">
        <f t="array" aca="1" ref="A673" ca="1">_xludf.XLOOKUP(S673,Master_Registrations!P:P,Master_Registrations!A:A,"")</f>
        <v>#NAME?</v>
      </c>
      <c r="B673" s="89" t="s">
        <v>182</v>
      </c>
      <c r="C673" s="89">
        <v>2026</v>
      </c>
      <c r="D673" s="89" t="s">
        <v>4886</v>
      </c>
      <c r="E673" s="89">
        <v>13</v>
      </c>
      <c r="F673" s="90" t="str">
        <f t="shared" si="8"/>
        <v>VED-01-2026-GR-13</v>
      </c>
      <c r="G673" s="89" t="s">
        <v>7126</v>
      </c>
      <c r="H673" s="89" t="s">
        <v>7127</v>
      </c>
      <c r="I673" s="89"/>
      <c r="J673" s="89" t="s">
        <v>7094</v>
      </c>
      <c r="K673" s="110">
        <v>-1</v>
      </c>
      <c r="L673" s="110">
        <v>-1</v>
      </c>
      <c r="M673" s="110">
        <v>-1</v>
      </c>
      <c r="N673" s="90" t="s">
        <v>7095</v>
      </c>
      <c r="O673" s="89" t="s">
        <v>4140</v>
      </c>
      <c r="P673" s="89" t="s">
        <v>281</v>
      </c>
      <c r="Q673" s="89" t="e">
        <f t="shared" ca="1" si="9"/>
        <v>#NAME?</v>
      </c>
      <c r="R673" s="39" t="s">
        <v>112</v>
      </c>
      <c r="S673" s="105">
        <v>9177776718</v>
      </c>
      <c r="T673" s="90" t="s">
        <v>111</v>
      </c>
      <c r="U673" s="89">
        <v>1967</v>
      </c>
      <c r="V673" s="95">
        <v>-1</v>
      </c>
      <c r="W673" s="95">
        <v>-1</v>
      </c>
      <c r="X673" s="95">
        <v>-1</v>
      </c>
      <c r="Y673" s="95">
        <v>-1</v>
      </c>
      <c r="Z673" s="95">
        <v>-1</v>
      </c>
      <c r="AA673" s="95">
        <v>-1</v>
      </c>
      <c r="AB673" s="95">
        <v>-1</v>
      </c>
      <c r="AC673" s="95">
        <v>-1</v>
      </c>
      <c r="AD673" s="95">
        <v>-1</v>
      </c>
      <c r="AE673" s="95">
        <v>-1</v>
      </c>
      <c r="AF673" s="95">
        <v>-1</v>
      </c>
      <c r="AG673" s="95">
        <v>-1</v>
      </c>
      <c r="AH673" s="95">
        <v>-1</v>
      </c>
      <c r="AI673" s="95">
        <v>-1</v>
      </c>
      <c r="AJ673" s="89"/>
      <c r="AK673" s="89"/>
      <c r="AL673" s="89"/>
      <c r="AM673" s="89"/>
      <c r="AN673" s="89"/>
      <c r="AO673" s="89"/>
      <c r="AP673" s="89"/>
      <c r="AQ673" s="89"/>
      <c r="AR673" s="89"/>
      <c r="AS673" s="89"/>
      <c r="AT673" s="89"/>
      <c r="AU673" s="89"/>
      <c r="AV673" s="89"/>
      <c r="AW673" s="89"/>
      <c r="AX673" s="89"/>
      <c r="AY673" s="89"/>
      <c r="AZ673" s="89"/>
      <c r="BA673" s="89"/>
      <c r="BB673" s="89"/>
      <c r="BC673" s="89"/>
      <c r="BD673" s="89"/>
      <c r="BE673" s="89"/>
      <c r="BF673" s="89"/>
      <c r="BG673" s="89"/>
      <c r="BH673" s="89"/>
      <c r="BI673" s="89"/>
      <c r="BJ673" s="89"/>
      <c r="BK673" s="89"/>
      <c r="BL673" s="89"/>
      <c r="BM673" s="89"/>
      <c r="BN673" s="89"/>
      <c r="BO673" s="89"/>
      <c r="BP673" s="89"/>
      <c r="BQ673" s="89"/>
      <c r="BR673" s="89"/>
      <c r="BS673" s="89"/>
      <c r="BT673" s="89"/>
      <c r="BU673" s="89"/>
      <c r="BV673" s="89"/>
      <c r="BW673" s="89"/>
      <c r="BX673" s="89"/>
      <c r="BY673" s="89"/>
      <c r="BZ673" s="89"/>
      <c r="CA673" s="89"/>
      <c r="CB673" s="89"/>
      <c r="CC673" s="89"/>
      <c r="CD673" s="89"/>
      <c r="CE673" s="89"/>
      <c r="CF673" s="89"/>
      <c r="CG673" s="89"/>
      <c r="CH673" s="89"/>
      <c r="CI673" s="89"/>
      <c r="CJ673" s="89"/>
      <c r="CK673" s="89"/>
      <c r="CL673" s="89"/>
      <c r="CM673" s="89"/>
      <c r="CN673" s="89"/>
      <c r="CO673" s="89"/>
      <c r="CP673" s="89"/>
      <c r="CQ673" s="89"/>
      <c r="CR673" s="89"/>
      <c r="CS673" s="89"/>
      <c r="CT673" s="89"/>
      <c r="CU673" s="89"/>
      <c r="CV673" s="89"/>
      <c r="CW673" s="89"/>
      <c r="CX673" s="89"/>
      <c r="CY673" s="89"/>
      <c r="CZ673" s="98"/>
      <c r="DA673" s="98"/>
      <c r="DB673" s="98"/>
      <c r="DC673" s="98"/>
      <c r="DD673" s="98"/>
      <c r="DE673" s="98"/>
      <c r="DF673" s="98"/>
      <c r="DG673" s="98"/>
      <c r="DH673" s="98"/>
      <c r="DI673" s="98"/>
      <c r="DJ673" s="98"/>
      <c r="DK673" s="98"/>
      <c r="DL673" s="98"/>
      <c r="DM673" s="98"/>
      <c r="DN673" s="98"/>
      <c r="DO673" s="98"/>
      <c r="DP673" s="98"/>
      <c r="DQ673" s="98"/>
      <c r="DR673" s="98"/>
      <c r="DS673" s="98"/>
      <c r="DT673" s="98"/>
      <c r="DU673" s="98"/>
      <c r="DV673" s="98"/>
      <c r="DW673" s="98"/>
      <c r="DX673" s="98"/>
      <c r="DY673" s="98"/>
      <c r="DZ673" s="98"/>
      <c r="EA673" s="98"/>
      <c r="EB673" s="98"/>
      <c r="EC673" s="98"/>
      <c r="ED673" s="98"/>
    </row>
    <row r="674" spans="1:134" ht="11.25" customHeight="1" x14ac:dyDescent="0.3">
      <c r="A674" s="28" t="e">
        <f t="array" aca="1" ref="A674" ca="1">_xludf.XLOOKUP(S674,Master_Registrations!P:P,Master_Registrations!A:A,"")</f>
        <v>#NAME?</v>
      </c>
      <c r="B674" s="89" t="s">
        <v>182</v>
      </c>
      <c r="C674" s="89">
        <v>2026</v>
      </c>
      <c r="D674" s="89" t="s">
        <v>4886</v>
      </c>
      <c r="E674" s="89">
        <v>2</v>
      </c>
      <c r="F674" s="90" t="str">
        <f t="shared" si="8"/>
        <v>VED-01-2026-GR-2</v>
      </c>
      <c r="G674" s="89" t="s">
        <v>4569</v>
      </c>
      <c r="H674" s="89" t="s">
        <v>984</v>
      </c>
      <c r="I674" s="89"/>
      <c r="J674" s="89" t="s">
        <v>7094</v>
      </c>
      <c r="K674" s="99"/>
      <c r="L674" s="99"/>
      <c r="M674" s="99"/>
      <c r="N674" s="90" t="s">
        <v>7095</v>
      </c>
      <c r="O674" s="89" t="s">
        <v>2755</v>
      </c>
      <c r="P674" s="89" t="s">
        <v>1563</v>
      </c>
      <c r="Q674" s="89" t="e">
        <f t="shared" ca="1" si="9"/>
        <v>#NAME?</v>
      </c>
      <c r="R674" s="39" t="s">
        <v>112</v>
      </c>
      <c r="S674" s="105">
        <v>8885642424</v>
      </c>
      <c r="T674" s="90" t="s">
        <v>111</v>
      </c>
      <c r="U674" s="89">
        <v>1969</v>
      </c>
      <c r="V674" s="99">
        <v>-1</v>
      </c>
      <c r="W674" s="99">
        <v>-1</v>
      </c>
      <c r="X674" s="95">
        <v>-1</v>
      </c>
      <c r="Y674" s="95">
        <v>-1</v>
      </c>
      <c r="Z674" s="95">
        <v>-1</v>
      </c>
      <c r="AA674" s="95">
        <v>-1</v>
      </c>
      <c r="AB674" s="95">
        <v>-1</v>
      </c>
      <c r="AC674" s="95">
        <v>-1</v>
      </c>
      <c r="AD674" s="95">
        <v>-1</v>
      </c>
      <c r="AE674" s="99">
        <v>-1</v>
      </c>
      <c r="AF674" s="99">
        <v>-1</v>
      </c>
      <c r="AG674" s="99">
        <v>-1</v>
      </c>
      <c r="AH674" s="95">
        <v>-1</v>
      </c>
      <c r="AI674" s="95">
        <v>-1</v>
      </c>
      <c r="AJ674" s="89"/>
      <c r="AK674" s="89"/>
      <c r="AL674" s="89"/>
      <c r="AM674" s="89"/>
      <c r="AN674" s="89"/>
      <c r="AO674" s="89"/>
      <c r="AP674" s="89"/>
      <c r="AQ674" s="89"/>
      <c r="AR674" s="89"/>
      <c r="AS674" s="89"/>
      <c r="AT674" s="89"/>
      <c r="AU674" s="89"/>
      <c r="AV674" s="89"/>
      <c r="AW674" s="89"/>
      <c r="AX674" s="89"/>
      <c r="AY674" s="89"/>
      <c r="AZ674" s="89"/>
      <c r="BA674" s="89"/>
      <c r="BB674" s="89"/>
      <c r="BC674" s="89"/>
      <c r="BD674" s="89"/>
      <c r="BE674" s="89"/>
      <c r="BF674" s="89"/>
      <c r="BG674" s="89"/>
      <c r="BH674" s="89"/>
      <c r="BI674" s="89"/>
      <c r="BJ674" s="89"/>
      <c r="BK674" s="89"/>
      <c r="BL674" s="89"/>
      <c r="BM674" s="89"/>
      <c r="BN674" s="89"/>
      <c r="BO674" s="89"/>
      <c r="BP674" s="89"/>
      <c r="BQ674" s="89"/>
      <c r="BR674" s="89"/>
      <c r="BS674" s="89"/>
      <c r="BT674" s="89"/>
      <c r="BU674" s="89"/>
      <c r="BV674" s="89"/>
      <c r="BW674" s="89"/>
      <c r="BX674" s="89"/>
      <c r="BY674" s="89"/>
      <c r="BZ674" s="89"/>
      <c r="CA674" s="89"/>
      <c r="CB674" s="89"/>
      <c r="CC674" s="89"/>
      <c r="CD674" s="89"/>
      <c r="CE674" s="89"/>
      <c r="CF674" s="89"/>
      <c r="CG674" s="89"/>
      <c r="CH674" s="89"/>
      <c r="CI674" s="89"/>
      <c r="CJ674" s="89"/>
      <c r="CK674" s="89"/>
      <c r="CL674" s="89"/>
      <c r="CM674" s="89"/>
      <c r="CN674" s="89"/>
      <c r="CO674" s="89"/>
      <c r="CP674" s="89"/>
      <c r="CQ674" s="89"/>
      <c r="CR674" s="89"/>
      <c r="CS674" s="89"/>
      <c r="CT674" s="89"/>
      <c r="CU674" s="89"/>
      <c r="CV674" s="89"/>
      <c r="CW674" s="89"/>
      <c r="CX674" s="89"/>
      <c r="CY674" s="89"/>
      <c r="CZ674" s="98"/>
      <c r="DA674" s="98"/>
      <c r="DB674" s="98"/>
      <c r="DC674" s="98"/>
      <c r="DD674" s="98"/>
      <c r="DE674" s="98"/>
      <c r="DF674" s="98"/>
      <c r="DG674" s="98"/>
      <c r="DH674" s="98"/>
      <c r="DI674" s="98"/>
      <c r="DJ674" s="98"/>
      <c r="DK674" s="98"/>
      <c r="DL674" s="98"/>
      <c r="DM674" s="98"/>
      <c r="DN674" s="98"/>
      <c r="DO674" s="98"/>
      <c r="DP674" s="98"/>
      <c r="DQ674" s="98"/>
      <c r="DR674" s="98"/>
      <c r="DS674" s="98"/>
      <c r="DT674" s="98"/>
      <c r="DU674" s="98"/>
      <c r="DV674" s="98"/>
      <c r="DW674" s="98"/>
      <c r="DX674" s="98"/>
      <c r="DY674" s="98"/>
      <c r="DZ674" s="98"/>
      <c r="EA674" s="98"/>
      <c r="EB674" s="98"/>
      <c r="EC674" s="98"/>
      <c r="ED674" s="98"/>
    </row>
    <row r="675" spans="1:134" ht="11.25" customHeight="1" x14ac:dyDescent="0.3">
      <c r="A675" s="28" t="e">
        <f t="array" aca="1" ref="A675" ca="1">_xludf.XLOOKUP(S675,Master_Registrations!P:P,Master_Registrations!A:A,"")</f>
        <v>#NAME?</v>
      </c>
      <c r="B675" s="89" t="s">
        <v>182</v>
      </c>
      <c r="C675" s="89">
        <v>2026</v>
      </c>
      <c r="D675" s="89" t="s">
        <v>4886</v>
      </c>
      <c r="E675" s="89">
        <v>2</v>
      </c>
      <c r="F675" s="90" t="str">
        <f t="shared" si="8"/>
        <v>VED-01-2026-GR-2</v>
      </c>
      <c r="G675" s="89" t="s">
        <v>4569</v>
      </c>
      <c r="H675" s="89" t="s">
        <v>984</v>
      </c>
      <c r="I675" s="89"/>
      <c r="J675" s="89" t="s">
        <v>7094</v>
      </c>
      <c r="K675" s="99"/>
      <c r="L675" s="99"/>
      <c r="M675" s="99"/>
      <c r="N675" s="90" t="s">
        <v>7095</v>
      </c>
      <c r="O675" s="89" t="s">
        <v>143</v>
      </c>
      <c r="P675" s="89" t="s">
        <v>145</v>
      </c>
      <c r="Q675" s="89" t="e">
        <f t="shared" ca="1" si="9"/>
        <v>#NAME?</v>
      </c>
      <c r="R675" s="39" t="s">
        <v>112</v>
      </c>
      <c r="S675" s="105">
        <v>9963023525</v>
      </c>
      <c r="T675" s="90" t="s">
        <v>111</v>
      </c>
      <c r="U675" s="89">
        <v>1988</v>
      </c>
      <c r="V675" s="99">
        <v>-1</v>
      </c>
      <c r="W675" s="99">
        <v>-1</v>
      </c>
      <c r="X675" s="95">
        <v>-1</v>
      </c>
      <c r="Y675" s="95">
        <v>-1</v>
      </c>
      <c r="Z675" s="95">
        <v>-1</v>
      </c>
      <c r="AA675" s="95">
        <v>-1</v>
      </c>
      <c r="AB675" s="95">
        <v>-1</v>
      </c>
      <c r="AC675" s="95">
        <v>-1</v>
      </c>
      <c r="AD675" s="95">
        <v>-1</v>
      </c>
      <c r="AE675" s="99">
        <v>-1</v>
      </c>
      <c r="AF675" s="99">
        <v>-1</v>
      </c>
      <c r="AG675" s="99">
        <v>-1</v>
      </c>
      <c r="AH675" s="95">
        <v>-1</v>
      </c>
      <c r="AI675" s="95">
        <v>-1</v>
      </c>
      <c r="AJ675" s="89"/>
      <c r="AK675" s="89"/>
      <c r="AL675" s="89"/>
      <c r="AM675" s="89"/>
      <c r="AN675" s="89"/>
      <c r="AO675" s="89"/>
      <c r="AP675" s="89"/>
      <c r="AQ675" s="89"/>
      <c r="AR675" s="89"/>
      <c r="AS675" s="89"/>
      <c r="AT675" s="89"/>
      <c r="AU675" s="89"/>
      <c r="AV675" s="89"/>
      <c r="AW675" s="89"/>
      <c r="AX675" s="89"/>
      <c r="AY675" s="89"/>
      <c r="AZ675" s="89"/>
      <c r="BA675" s="89"/>
      <c r="BB675" s="89"/>
      <c r="BC675" s="89"/>
      <c r="BD675" s="89"/>
      <c r="BE675" s="89"/>
      <c r="BF675" s="89"/>
      <c r="BG675" s="89"/>
      <c r="BH675" s="89"/>
      <c r="BI675" s="89"/>
      <c r="BJ675" s="89"/>
      <c r="BK675" s="89"/>
      <c r="BL675" s="89"/>
      <c r="BM675" s="89"/>
      <c r="BN675" s="89"/>
      <c r="BO675" s="89"/>
      <c r="BP675" s="89"/>
      <c r="BQ675" s="89"/>
      <c r="BR675" s="89"/>
      <c r="BS675" s="89"/>
      <c r="BT675" s="89"/>
      <c r="BU675" s="89"/>
      <c r="BV675" s="89"/>
      <c r="BW675" s="89"/>
      <c r="BX675" s="89"/>
      <c r="BY675" s="89"/>
      <c r="BZ675" s="89"/>
      <c r="CA675" s="89"/>
      <c r="CB675" s="89"/>
      <c r="CC675" s="89"/>
      <c r="CD675" s="89"/>
      <c r="CE675" s="89"/>
      <c r="CF675" s="89"/>
      <c r="CG675" s="89"/>
      <c r="CH675" s="89"/>
      <c r="CI675" s="89"/>
      <c r="CJ675" s="89"/>
      <c r="CK675" s="89"/>
      <c r="CL675" s="89"/>
      <c r="CM675" s="89"/>
      <c r="CN675" s="89"/>
      <c r="CO675" s="89"/>
      <c r="CP675" s="89"/>
      <c r="CQ675" s="89"/>
      <c r="CR675" s="89"/>
      <c r="CS675" s="89"/>
      <c r="CT675" s="89"/>
      <c r="CU675" s="89"/>
      <c r="CV675" s="89"/>
      <c r="CW675" s="89"/>
      <c r="CX675" s="89"/>
      <c r="CY675" s="89"/>
      <c r="CZ675" s="98"/>
      <c r="DA675" s="98"/>
      <c r="DB675" s="98"/>
      <c r="DC675" s="98"/>
      <c r="DD675" s="98"/>
      <c r="DE675" s="98"/>
      <c r="DF675" s="98"/>
      <c r="DG675" s="98"/>
      <c r="DH675" s="98"/>
      <c r="DI675" s="98"/>
      <c r="DJ675" s="98"/>
      <c r="DK675" s="98"/>
      <c r="DL675" s="98"/>
      <c r="DM675" s="98"/>
      <c r="DN675" s="98"/>
      <c r="DO675" s="98"/>
      <c r="DP675" s="98"/>
      <c r="DQ675" s="98"/>
      <c r="DR675" s="98"/>
      <c r="DS675" s="98"/>
      <c r="DT675" s="98"/>
      <c r="DU675" s="98"/>
      <c r="DV675" s="98"/>
      <c r="DW675" s="98"/>
      <c r="DX675" s="98"/>
      <c r="DY675" s="98"/>
      <c r="DZ675" s="98"/>
      <c r="EA675" s="98"/>
      <c r="EB675" s="98"/>
      <c r="EC675" s="98"/>
      <c r="ED675" s="98"/>
    </row>
    <row r="676" spans="1:134" ht="11.25" customHeight="1" x14ac:dyDescent="0.3">
      <c r="A676" s="28" t="e">
        <f t="array" aca="1" ref="A676" ca="1">_xludf.XLOOKUP(S676,Master_Registrations!P:P,Master_Registrations!A:A,"")</f>
        <v>#NAME?</v>
      </c>
      <c r="B676" s="89" t="s">
        <v>182</v>
      </c>
      <c r="C676" s="89">
        <v>2026</v>
      </c>
      <c r="D676" s="89" t="s">
        <v>4886</v>
      </c>
      <c r="E676" s="89">
        <v>2</v>
      </c>
      <c r="F676" s="90" t="str">
        <f t="shared" si="8"/>
        <v>VED-01-2026-GR-2</v>
      </c>
      <c r="G676" s="89" t="s">
        <v>4569</v>
      </c>
      <c r="H676" s="89" t="s">
        <v>984</v>
      </c>
      <c r="I676" s="89"/>
      <c r="J676" s="89" t="s">
        <v>7094</v>
      </c>
      <c r="K676" s="99"/>
      <c r="L676" s="99"/>
      <c r="M676" s="99"/>
      <c r="N676" s="90" t="s">
        <v>7095</v>
      </c>
      <c r="O676" s="89" t="s">
        <v>1313</v>
      </c>
      <c r="P676" s="89" t="s">
        <v>1314</v>
      </c>
      <c r="Q676" s="89" t="e">
        <f t="shared" ca="1" si="9"/>
        <v>#NAME?</v>
      </c>
      <c r="R676" s="39" t="s">
        <v>112</v>
      </c>
      <c r="S676" s="105">
        <v>9963506254</v>
      </c>
      <c r="T676" s="90" t="s">
        <v>111</v>
      </c>
      <c r="U676" s="89">
        <v>1956</v>
      </c>
      <c r="V676" s="99">
        <v>-1</v>
      </c>
      <c r="W676" s="99">
        <v>-1</v>
      </c>
      <c r="X676" s="95">
        <v>-1</v>
      </c>
      <c r="Y676" s="95">
        <v>-1</v>
      </c>
      <c r="Z676" s="95">
        <v>-1</v>
      </c>
      <c r="AA676" s="95">
        <v>-1</v>
      </c>
      <c r="AB676" s="95">
        <v>-1</v>
      </c>
      <c r="AC676" s="95">
        <v>-1</v>
      </c>
      <c r="AD676" s="95">
        <v>-1</v>
      </c>
      <c r="AE676" s="99">
        <v>-1</v>
      </c>
      <c r="AF676" s="99">
        <v>-1</v>
      </c>
      <c r="AG676" s="99">
        <v>-1</v>
      </c>
      <c r="AH676" s="95">
        <v>-1</v>
      </c>
      <c r="AI676" s="95">
        <v>-1</v>
      </c>
      <c r="AJ676" s="89"/>
      <c r="AK676" s="89"/>
      <c r="AL676" s="89"/>
      <c r="AM676" s="89"/>
      <c r="AN676" s="89"/>
      <c r="AO676" s="89"/>
      <c r="AP676" s="89"/>
      <c r="AQ676" s="89"/>
      <c r="AR676" s="89"/>
      <c r="AS676" s="89"/>
      <c r="AT676" s="89"/>
      <c r="AU676" s="89"/>
      <c r="AV676" s="89"/>
      <c r="AW676" s="89"/>
      <c r="AX676" s="89"/>
      <c r="AY676" s="89"/>
      <c r="AZ676" s="89"/>
      <c r="BA676" s="89"/>
      <c r="BB676" s="89"/>
      <c r="BC676" s="89"/>
      <c r="BD676" s="89"/>
      <c r="BE676" s="89"/>
      <c r="BF676" s="89"/>
      <c r="BG676" s="89"/>
      <c r="BH676" s="89"/>
      <c r="BI676" s="89"/>
      <c r="BJ676" s="89"/>
      <c r="BK676" s="89"/>
      <c r="BL676" s="89"/>
      <c r="BM676" s="89"/>
      <c r="BN676" s="89"/>
      <c r="BO676" s="89"/>
      <c r="BP676" s="89"/>
      <c r="BQ676" s="89"/>
      <c r="BR676" s="89"/>
      <c r="BS676" s="89"/>
      <c r="BT676" s="89"/>
      <c r="BU676" s="89"/>
      <c r="BV676" s="89"/>
      <c r="BW676" s="89"/>
      <c r="BX676" s="89"/>
      <c r="BY676" s="89"/>
      <c r="BZ676" s="89"/>
      <c r="CA676" s="89"/>
      <c r="CB676" s="89"/>
      <c r="CC676" s="89"/>
      <c r="CD676" s="89"/>
      <c r="CE676" s="89"/>
      <c r="CF676" s="89"/>
      <c r="CG676" s="89"/>
      <c r="CH676" s="89"/>
      <c r="CI676" s="89"/>
      <c r="CJ676" s="89"/>
      <c r="CK676" s="89"/>
      <c r="CL676" s="89"/>
      <c r="CM676" s="89"/>
      <c r="CN676" s="89"/>
      <c r="CO676" s="89"/>
      <c r="CP676" s="89"/>
      <c r="CQ676" s="89"/>
      <c r="CR676" s="89"/>
      <c r="CS676" s="89"/>
      <c r="CT676" s="89"/>
      <c r="CU676" s="89"/>
      <c r="CV676" s="89"/>
      <c r="CW676" s="89"/>
      <c r="CX676" s="89"/>
      <c r="CY676" s="89"/>
      <c r="CZ676" s="98"/>
      <c r="DA676" s="98"/>
      <c r="DB676" s="98"/>
      <c r="DC676" s="98"/>
      <c r="DD676" s="98"/>
      <c r="DE676" s="98"/>
      <c r="DF676" s="98"/>
      <c r="DG676" s="98"/>
      <c r="DH676" s="98"/>
      <c r="DI676" s="98"/>
      <c r="DJ676" s="98"/>
      <c r="DK676" s="98"/>
      <c r="DL676" s="98"/>
      <c r="DM676" s="98"/>
      <c r="DN676" s="98"/>
      <c r="DO676" s="98"/>
      <c r="DP676" s="98"/>
      <c r="DQ676" s="98"/>
      <c r="DR676" s="98"/>
      <c r="DS676" s="98"/>
      <c r="DT676" s="98"/>
      <c r="DU676" s="98"/>
      <c r="DV676" s="98"/>
      <c r="DW676" s="98"/>
      <c r="DX676" s="98"/>
      <c r="DY676" s="98"/>
      <c r="DZ676" s="98"/>
      <c r="EA676" s="98"/>
      <c r="EB676" s="98"/>
      <c r="EC676" s="98"/>
      <c r="ED676" s="98"/>
    </row>
    <row r="677" spans="1:134" ht="11.25" customHeight="1" x14ac:dyDescent="0.3">
      <c r="A677" s="28" t="e">
        <f t="array" aca="1" ref="A677" ca="1">_xludf.XLOOKUP(S677,Master_Registrations!P:P,Master_Registrations!A:A,"")</f>
        <v>#NAME?</v>
      </c>
      <c r="B677" s="89" t="s">
        <v>182</v>
      </c>
      <c r="C677" s="89">
        <v>2026</v>
      </c>
      <c r="D677" s="89" t="s">
        <v>4886</v>
      </c>
      <c r="E677" s="89">
        <v>2</v>
      </c>
      <c r="F677" s="90" t="str">
        <f t="shared" si="8"/>
        <v>VED-01-2026-GR-2</v>
      </c>
      <c r="G677" s="89" t="s">
        <v>4569</v>
      </c>
      <c r="H677" s="89" t="s">
        <v>984</v>
      </c>
      <c r="I677" s="89"/>
      <c r="J677" s="89" t="s">
        <v>7094</v>
      </c>
      <c r="K677" s="99"/>
      <c r="L677" s="99"/>
      <c r="M677" s="99"/>
      <c r="N677" s="90" t="s">
        <v>7095</v>
      </c>
      <c r="O677" s="89" t="s">
        <v>1273</v>
      </c>
      <c r="P677" s="141" t="s">
        <v>1274</v>
      </c>
      <c r="Q677" s="89" t="e">
        <f t="shared" ca="1" si="9"/>
        <v>#NAME?</v>
      </c>
      <c r="R677" s="39" t="s">
        <v>112</v>
      </c>
      <c r="S677" s="105">
        <v>9963898885</v>
      </c>
      <c r="T677" s="90" t="s">
        <v>111</v>
      </c>
      <c r="U677" s="89">
        <v>1977</v>
      </c>
      <c r="V677" s="99">
        <v>-1</v>
      </c>
      <c r="W677" s="99">
        <v>-1</v>
      </c>
      <c r="X677" s="95">
        <v>-1</v>
      </c>
      <c r="Y677" s="95">
        <v>-1</v>
      </c>
      <c r="Z677" s="95">
        <v>-1</v>
      </c>
      <c r="AA677" s="95">
        <v>-1</v>
      </c>
      <c r="AB677" s="95">
        <v>-1</v>
      </c>
      <c r="AC677" s="95">
        <v>-1</v>
      </c>
      <c r="AD677" s="95">
        <v>-1</v>
      </c>
      <c r="AE677" s="99">
        <v>-1</v>
      </c>
      <c r="AF677" s="99">
        <v>-1</v>
      </c>
      <c r="AG677" s="99">
        <v>-1</v>
      </c>
      <c r="AH677" s="95">
        <v>-1</v>
      </c>
      <c r="AI677" s="95">
        <v>-1</v>
      </c>
      <c r="AJ677" s="89"/>
      <c r="AK677" s="89"/>
      <c r="AL677" s="89"/>
      <c r="AM677" s="89"/>
      <c r="AN677" s="89"/>
      <c r="AO677" s="89"/>
      <c r="AP677" s="89"/>
      <c r="AQ677" s="89"/>
      <c r="AR677" s="89"/>
      <c r="AS677" s="89"/>
      <c r="AT677" s="89"/>
      <c r="AU677" s="89"/>
      <c r="AV677" s="89"/>
      <c r="AW677" s="89"/>
      <c r="AX677" s="89"/>
      <c r="AY677" s="89"/>
      <c r="AZ677" s="89"/>
      <c r="BA677" s="89"/>
      <c r="BB677" s="89"/>
      <c r="BC677" s="89"/>
      <c r="BD677" s="89"/>
      <c r="BE677" s="89"/>
      <c r="BF677" s="89"/>
      <c r="BG677" s="89"/>
      <c r="BH677" s="89"/>
      <c r="BI677" s="89"/>
      <c r="BJ677" s="89"/>
      <c r="BK677" s="89"/>
      <c r="BL677" s="89"/>
      <c r="BM677" s="89"/>
      <c r="BN677" s="89"/>
      <c r="BO677" s="89"/>
      <c r="BP677" s="89"/>
      <c r="BQ677" s="89"/>
      <c r="BR677" s="89"/>
      <c r="BS677" s="89"/>
      <c r="BT677" s="89"/>
      <c r="BU677" s="89"/>
      <c r="BV677" s="89"/>
      <c r="BW677" s="89"/>
      <c r="BX677" s="89"/>
      <c r="BY677" s="89"/>
      <c r="BZ677" s="89"/>
      <c r="CA677" s="89"/>
      <c r="CB677" s="89"/>
      <c r="CC677" s="89"/>
      <c r="CD677" s="89"/>
      <c r="CE677" s="89"/>
      <c r="CF677" s="89"/>
      <c r="CG677" s="89"/>
      <c r="CH677" s="89"/>
      <c r="CI677" s="89"/>
      <c r="CJ677" s="89"/>
      <c r="CK677" s="89"/>
      <c r="CL677" s="89"/>
      <c r="CM677" s="89"/>
      <c r="CN677" s="89"/>
      <c r="CO677" s="89"/>
      <c r="CP677" s="89"/>
      <c r="CQ677" s="89"/>
      <c r="CR677" s="89"/>
      <c r="CS677" s="89"/>
      <c r="CT677" s="89"/>
      <c r="CU677" s="89"/>
      <c r="CV677" s="89"/>
      <c r="CW677" s="89"/>
      <c r="CX677" s="89"/>
      <c r="CY677" s="89"/>
      <c r="CZ677" s="98"/>
      <c r="DA677" s="98"/>
      <c r="DB677" s="98"/>
      <c r="DC677" s="98"/>
      <c r="DD677" s="98"/>
      <c r="DE677" s="98"/>
      <c r="DF677" s="98"/>
      <c r="DG677" s="98"/>
      <c r="DH677" s="98"/>
      <c r="DI677" s="98"/>
      <c r="DJ677" s="98"/>
      <c r="DK677" s="98"/>
      <c r="DL677" s="98"/>
      <c r="DM677" s="98"/>
      <c r="DN677" s="98"/>
      <c r="DO677" s="98"/>
      <c r="DP677" s="98"/>
      <c r="DQ677" s="98"/>
      <c r="DR677" s="98"/>
      <c r="DS677" s="98"/>
      <c r="DT677" s="98"/>
      <c r="DU677" s="98"/>
      <c r="DV677" s="98"/>
      <c r="DW677" s="98"/>
      <c r="DX677" s="98"/>
      <c r="DY677" s="98"/>
      <c r="DZ677" s="98"/>
      <c r="EA677" s="98"/>
      <c r="EB677" s="98"/>
      <c r="EC677" s="98"/>
      <c r="ED677" s="98"/>
    </row>
    <row r="678" spans="1:134" ht="11.25" customHeight="1" x14ac:dyDescent="0.3">
      <c r="A678" s="28" t="e">
        <f t="array" aca="1" ref="A678" ca="1">_xludf.XLOOKUP(S678,Master_Registrations!P:P,Master_Registrations!A:A,"")</f>
        <v>#NAME?</v>
      </c>
      <c r="B678" s="89" t="s">
        <v>182</v>
      </c>
      <c r="C678" s="89">
        <v>2026</v>
      </c>
      <c r="D678" s="89" t="s">
        <v>4886</v>
      </c>
      <c r="E678" s="89">
        <v>2</v>
      </c>
      <c r="F678" s="90" t="str">
        <f t="shared" si="8"/>
        <v>VED-01-2026-GR-2</v>
      </c>
      <c r="G678" s="89" t="s">
        <v>4569</v>
      </c>
      <c r="H678" s="89" t="s">
        <v>984</v>
      </c>
      <c r="I678" s="89"/>
      <c r="J678" s="89" t="s">
        <v>7094</v>
      </c>
      <c r="K678" s="99"/>
      <c r="L678" s="99"/>
      <c r="M678" s="99"/>
      <c r="N678" s="90" t="s">
        <v>7095</v>
      </c>
      <c r="O678" s="89" t="s">
        <v>6387</v>
      </c>
      <c r="P678" s="89" t="s">
        <v>6388</v>
      </c>
      <c r="Q678" s="89" t="e">
        <f t="shared" ca="1" si="9"/>
        <v>#NAME?</v>
      </c>
      <c r="R678" s="39" t="s">
        <v>112</v>
      </c>
      <c r="S678" s="105">
        <v>9350856780</v>
      </c>
      <c r="T678" s="90" t="s">
        <v>111</v>
      </c>
      <c r="U678" s="89">
        <v>1966</v>
      </c>
      <c r="V678" s="99">
        <v>-1</v>
      </c>
      <c r="W678" s="95">
        <v>-1</v>
      </c>
      <c r="X678" s="95">
        <v>-1</v>
      </c>
      <c r="Y678" s="95">
        <v>-1</v>
      </c>
      <c r="Z678" s="95">
        <v>-1</v>
      </c>
      <c r="AA678" s="95">
        <v>-1</v>
      </c>
      <c r="AB678" s="95">
        <v>-1</v>
      </c>
      <c r="AC678" s="95">
        <v>-1</v>
      </c>
      <c r="AD678" s="95">
        <v>-1</v>
      </c>
      <c r="AE678" s="95">
        <v>-1</v>
      </c>
      <c r="AF678" s="95">
        <v>-1</v>
      </c>
      <c r="AG678" s="95">
        <v>-1</v>
      </c>
      <c r="AH678" s="95">
        <v>-1</v>
      </c>
      <c r="AI678" s="95">
        <v>-1</v>
      </c>
      <c r="AJ678" s="89"/>
      <c r="AK678" s="89"/>
      <c r="AL678" s="89"/>
      <c r="AM678" s="89"/>
      <c r="AN678" s="89"/>
      <c r="AO678" s="89"/>
      <c r="AP678" s="89"/>
      <c r="AQ678" s="89"/>
      <c r="AR678" s="89"/>
      <c r="AS678" s="89"/>
      <c r="AT678" s="89"/>
      <c r="AU678" s="89"/>
      <c r="AV678" s="89"/>
      <c r="AW678" s="89"/>
      <c r="AX678" s="89"/>
      <c r="AY678" s="89"/>
      <c r="AZ678" s="89"/>
      <c r="BA678" s="89"/>
      <c r="BB678" s="89"/>
      <c r="BC678" s="89"/>
      <c r="BD678" s="89"/>
      <c r="BE678" s="89"/>
      <c r="BF678" s="89"/>
      <c r="BG678" s="89"/>
      <c r="BH678" s="89"/>
      <c r="BI678" s="89"/>
      <c r="BJ678" s="89"/>
      <c r="BK678" s="89"/>
      <c r="BL678" s="89"/>
      <c r="BM678" s="89"/>
      <c r="BN678" s="89"/>
      <c r="BO678" s="89"/>
      <c r="BP678" s="89"/>
      <c r="BQ678" s="89"/>
      <c r="BR678" s="89"/>
      <c r="BS678" s="89"/>
      <c r="BT678" s="89"/>
      <c r="BU678" s="89"/>
      <c r="BV678" s="89"/>
      <c r="BW678" s="89"/>
      <c r="BX678" s="89"/>
      <c r="BY678" s="89"/>
      <c r="BZ678" s="89"/>
      <c r="CA678" s="89"/>
      <c r="CB678" s="89"/>
      <c r="CC678" s="89"/>
      <c r="CD678" s="89"/>
      <c r="CE678" s="89"/>
      <c r="CF678" s="89"/>
      <c r="CG678" s="89"/>
      <c r="CH678" s="89"/>
      <c r="CI678" s="89"/>
      <c r="CJ678" s="89"/>
      <c r="CK678" s="89"/>
      <c r="CL678" s="89"/>
      <c r="CM678" s="89"/>
      <c r="CN678" s="89"/>
      <c r="CO678" s="89"/>
      <c r="CP678" s="89"/>
      <c r="CQ678" s="89"/>
      <c r="CR678" s="89"/>
      <c r="CS678" s="89"/>
      <c r="CT678" s="89"/>
      <c r="CU678" s="89"/>
      <c r="CV678" s="89"/>
      <c r="CW678" s="89"/>
      <c r="CX678" s="89"/>
      <c r="CY678" s="89"/>
      <c r="CZ678" s="98"/>
      <c r="DA678" s="98"/>
      <c r="DB678" s="98"/>
      <c r="DC678" s="98"/>
      <c r="DD678" s="98"/>
      <c r="DE678" s="98"/>
      <c r="DF678" s="98"/>
      <c r="DG678" s="98"/>
      <c r="DH678" s="98"/>
      <c r="DI678" s="98"/>
      <c r="DJ678" s="98"/>
      <c r="DK678" s="98"/>
      <c r="DL678" s="98"/>
      <c r="DM678" s="98"/>
      <c r="DN678" s="98"/>
      <c r="DO678" s="98"/>
      <c r="DP678" s="98"/>
      <c r="DQ678" s="98"/>
      <c r="DR678" s="98"/>
      <c r="DS678" s="98"/>
      <c r="DT678" s="98"/>
      <c r="DU678" s="98"/>
      <c r="DV678" s="98"/>
      <c r="DW678" s="98"/>
      <c r="DX678" s="98"/>
      <c r="DY678" s="98"/>
      <c r="DZ678" s="98"/>
      <c r="EA678" s="98"/>
      <c r="EB678" s="98"/>
      <c r="EC678" s="98"/>
      <c r="ED678" s="98"/>
    </row>
    <row r="679" spans="1:134" ht="11.25" customHeight="1" x14ac:dyDescent="0.3">
      <c r="A679" s="28" t="e">
        <f t="array" aca="1" ref="A679" ca="1">_xludf.XLOOKUP(S679,Master_Registrations!P:P,Master_Registrations!A:A,"")</f>
        <v>#NAME?</v>
      </c>
      <c r="B679" s="89" t="s">
        <v>182</v>
      </c>
      <c r="C679" s="89">
        <v>2026</v>
      </c>
      <c r="D679" s="89" t="s">
        <v>4886</v>
      </c>
      <c r="E679" s="89">
        <v>2</v>
      </c>
      <c r="F679" s="90" t="str">
        <f t="shared" si="8"/>
        <v>VED-01-2026-GR-2</v>
      </c>
      <c r="G679" s="89" t="s">
        <v>4569</v>
      </c>
      <c r="H679" s="89" t="s">
        <v>7003</v>
      </c>
      <c r="I679" s="89"/>
      <c r="J679" s="89" t="s">
        <v>7094</v>
      </c>
      <c r="K679" s="109"/>
      <c r="L679" s="109"/>
      <c r="M679" s="109"/>
      <c r="N679" s="90" t="s">
        <v>7095</v>
      </c>
      <c r="O679" s="89" t="s">
        <v>2761</v>
      </c>
      <c r="P679" s="89" t="s">
        <v>4319</v>
      </c>
      <c r="Q679" s="89" t="e">
        <f t="shared" ca="1" si="9"/>
        <v>#NAME?</v>
      </c>
      <c r="R679" s="39" t="s">
        <v>316</v>
      </c>
      <c r="S679" s="105">
        <v>3068804239</v>
      </c>
      <c r="T679" s="90" t="s">
        <v>402</v>
      </c>
      <c r="U679" s="89">
        <v>1982</v>
      </c>
      <c r="V679" s="89">
        <v>-1</v>
      </c>
      <c r="W679" s="89">
        <v>-1</v>
      </c>
      <c r="X679" s="89">
        <v>-1</v>
      </c>
      <c r="Y679" s="89">
        <v>-1</v>
      </c>
      <c r="Z679" s="89">
        <v>-1</v>
      </c>
      <c r="AA679" s="89">
        <v>-1</v>
      </c>
      <c r="AB679" s="89">
        <v>-1</v>
      </c>
      <c r="AC679" s="89">
        <v>-1</v>
      </c>
      <c r="AD679" s="89">
        <v>-1</v>
      </c>
      <c r="AE679" s="89">
        <v>-1</v>
      </c>
      <c r="AF679" s="89">
        <v>-1</v>
      </c>
      <c r="AG679" s="89">
        <v>-1</v>
      </c>
      <c r="AH679" s="89">
        <v>-1</v>
      </c>
      <c r="AI679" s="89">
        <v>-1</v>
      </c>
      <c r="AJ679" s="99"/>
      <c r="AK679" s="99"/>
      <c r="AL679" s="99"/>
      <c r="AM679" s="95"/>
      <c r="AN679" s="95"/>
      <c r="AO679" s="95"/>
      <c r="AP679" s="95"/>
      <c r="AQ679" s="95"/>
      <c r="AR679" s="95"/>
      <c r="AS679" s="95"/>
      <c r="AT679" s="95"/>
      <c r="AU679" s="95"/>
      <c r="AV679" s="95"/>
      <c r="AW679" s="89"/>
      <c r="AX679" s="89"/>
      <c r="AY679" s="89"/>
      <c r="AZ679" s="89"/>
      <c r="BA679" s="89"/>
      <c r="BB679" s="89"/>
      <c r="BC679" s="89"/>
      <c r="BD679" s="89"/>
      <c r="BE679" s="89"/>
      <c r="BF679" s="89"/>
      <c r="BG679" s="89"/>
      <c r="BH679" s="89"/>
      <c r="BI679" s="89"/>
      <c r="BJ679" s="89"/>
      <c r="BK679" s="89"/>
      <c r="BL679" s="89"/>
      <c r="BM679" s="89"/>
      <c r="BN679" s="89"/>
      <c r="BO679" s="89"/>
      <c r="BP679" s="89"/>
      <c r="BQ679" s="89"/>
      <c r="BR679" s="89"/>
      <c r="BS679" s="89"/>
      <c r="BT679" s="89"/>
      <c r="BU679" s="89"/>
      <c r="BV679" s="89"/>
      <c r="BW679" s="89"/>
      <c r="BX679" s="89"/>
      <c r="BY679" s="89"/>
      <c r="BZ679" s="89"/>
      <c r="CA679" s="89"/>
      <c r="CB679" s="89"/>
      <c r="CC679" s="89"/>
      <c r="CD679" s="89"/>
      <c r="CE679" s="89"/>
      <c r="CF679" s="89"/>
      <c r="CG679" s="89"/>
      <c r="CH679" s="89"/>
      <c r="CI679" s="89"/>
      <c r="CJ679" s="89"/>
      <c r="CK679" s="89"/>
      <c r="CL679" s="89"/>
      <c r="CM679" s="89"/>
      <c r="CN679" s="89"/>
      <c r="CO679" s="89"/>
      <c r="CP679" s="89"/>
      <c r="CQ679" s="89"/>
      <c r="CR679" s="89"/>
      <c r="CS679" s="89"/>
      <c r="CT679" s="89"/>
      <c r="CU679" s="89"/>
      <c r="CV679" s="89"/>
      <c r="CW679" s="89"/>
      <c r="CX679" s="89"/>
      <c r="CY679" s="89"/>
      <c r="CZ679" s="98"/>
      <c r="DA679" s="98"/>
      <c r="DB679" s="98"/>
      <c r="DC679" s="98"/>
      <c r="DD679" s="98"/>
      <c r="DE679" s="98"/>
      <c r="DF679" s="98"/>
      <c r="DG679" s="98"/>
      <c r="DH679" s="98"/>
      <c r="DI679" s="98"/>
      <c r="DJ679" s="98"/>
      <c r="DK679" s="98"/>
      <c r="DL679" s="98"/>
      <c r="DM679" s="98"/>
      <c r="DN679" s="98"/>
      <c r="DO679" s="98"/>
      <c r="DP679" s="98"/>
      <c r="DQ679" s="98"/>
      <c r="DR679" s="98"/>
      <c r="DS679" s="98"/>
      <c r="DT679" s="98"/>
      <c r="DU679" s="98"/>
      <c r="DV679" s="98"/>
      <c r="DW679" s="98"/>
      <c r="DX679" s="98"/>
      <c r="DY679" s="98"/>
      <c r="DZ679" s="98"/>
      <c r="EA679" s="98"/>
      <c r="EB679" s="98"/>
      <c r="EC679" s="98"/>
      <c r="ED679" s="98"/>
    </row>
    <row r="680" spans="1:134" ht="11.25" customHeight="1" x14ac:dyDescent="0.3">
      <c r="A680" s="28" t="e">
        <f t="array" aca="1" ref="A680" ca="1">_xludf.XLOOKUP(S680,Master_Registrations!P:P,Master_Registrations!A:A,"")</f>
        <v>#NAME?</v>
      </c>
      <c r="B680" s="89" t="s">
        <v>182</v>
      </c>
      <c r="C680" s="89">
        <v>2026</v>
      </c>
      <c r="D680" s="89" t="s">
        <v>4886</v>
      </c>
      <c r="E680" s="89">
        <v>2</v>
      </c>
      <c r="F680" s="90" t="str">
        <f t="shared" si="8"/>
        <v>VED-01-2026-GR-2</v>
      </c>
      <c r="G680" s="89" t="s">
        <v>4569</v>
      </c>
      <c r="H680" s="89" t="s">
        <v>7003</v>
      </c>
      <c r="I680" s="89"/>
      <c r="J680" s="89" t="s">
        <v>7094</v>
      </c>
      <c r="K680" s="109"/>
      <c r="L680" s="109"/>
      <c r="M680" s="109"/>
      <c r="N680" s="90" t="s">
        <v>7095</v>
      </c>
      <c r="O680" s="89" t="s">
        <v>4664</v>
      </c>
      <c r="P680" s="89" t="s">
        <v>718</v>
      </c>
      <c r="Q680" s="89" t="e">
        <f t="shared" ca="1" si="9"/>
        <v>#NAME?</v>
      </c>
      <c r="R680" s="39" t="s">
        <v>316</v>
      </c>
      <c r="S680" s="105">
        <v>4046673372</v>
      </c>
      <c r="T680" s="90" t="s">
        <v>402</v>
      </c>
      <c r="U680" s="89">
        <v>1982</v>
      </c>
      <c r="V680" s="89">
        <v>-1</v>
      </c>
      <c r="W680" s="89">
        <v>-1</v>
      </c>
      <c r="X680" s="89">
        <v>-1</v>
      </c>
      <c r="Y680" s="89">
        <v>-1</v>
      </c>
      <c r="Z680" s="89">
        <v>-1</v>
      </c>
      <c r="AA680" s="89">
        <v>-1</v>
      </c>
      <c r="AB680" s="89">
        <v>-1</v>
      </c>
      <c r="AC680" s="89">
        <v>-1</v>
      </c>
      <c r="AD680" s="89">
        <v>-1</v>
      </c>
      <c r="AE680" s="89">
        <v>-1</v>
      </c>
      <c r="AF680" s="89">
        <v>-1</v>
      </c>
      <c r="AG680" s="89">
        <v>-1</v>
      </c>
      <c r="AH680" s="89">
        <v>-1</v>
      </c>
      <c r="AI680" s="89">
        <v>-1</v>
      </c>
      <c r="AJ680" s="99"/>
      <c r="AK680" s="99"/>
      <c r="AL680" s="99"/>
      <c r="AM680" s="95"/>
      <c r="AN680" s="95"/>
      <c r="AO680" s="95"/>
      <c r="AP680" s="95"/>
      <c r="AQ680" s="95"/>
      <c r="AR680" s="95"/>
      <c r="AS680" s="95"/>
      <c r="AT680" s="95"/>
      <c r="AU680" s="95"/>
      <c r="AV680" s="95"/>
      <c r="AW680" s="89"/>
      <c r="AX680" s="89"/>
      <c r="AY680" s="89"/>
      <c r="AZ680" s="89"/>
      <c r="BA680" s="89"/>
      <c r="BB680" s="89"/>
      <c r="BC680" s="89"/>
      <c r="BD680" s="89"/>
      <c r="BE680" s="89"/>
      <c r="BF680" s="89"/>
      <c r="BG680" s="89"/>
      <c r="BH680" s="89"/>
      <c r="BI680" s="89"/>
      <c r="BJ680" s="89"/>
      <c r="BK680" s="89"/>
      <c r="BL680" s="89"/>
      <c r="BM680" s="89"/>
      <c r="BN680" s="89"/>
      <c r="BO680" s="89"/>
      <c r="BP680" s="89"/>
      <c r="BQ680" s="89"/>
      <c r="BR680" s="89"/>
      <c r="BS680" s="89"/>
      <c r="BT680" s="89"/>
      <c r="BU680" s="89"/>
      <c r="BV680" s="89"/>
      <c r="BW680" s="89"/>
      <c r="BX680" s="89"/>
      <c r="BY680" s="89"/>
      <c r="BZ680" s="89"/>
      <c r="CA680" s="89"/>
      <c r="CB680" s="89"/>
      <c r="CC680" s="89"/>
      <c r="CD680" s="89"/>
      <c r="CE680" s="89"/>
      <c r="CF680" s="89"/>
      <c r="CG680" s="89"/>
      <c r="CH680" s="89"/>
      <c r="CI680" s="89"/>
      <c r="CJ680" s="89"/>
      <c r="CK680" s="89"/>
      <c r="CL680" s="89"/>
      <c r="CM680" s="89"/>
      <c r="CN680" s="89"/>
      <c r="CO680" s="89"/>
      <c r="CP680" s="89"/>
      <c r="CQ680" s="89"/>
      <c r="CR680" s="89"/>
      <c r="CS680" s="89"/>
      <c r="CT680" s="89"/>
      <c r="CU680" s="89"/>
      <c r="CV680" s="89"/>
      <c r="CW680" s="89"/>
      <c r="CX680" s="89"/>
      <c r="CY680" s="89"/>
      <c r="CZ680" s="98"/>
      <c r="DA680" s="98"/>
      <c r="DB680" s="98"/>
      <c r="DC680" s="98"/>
      <c r="DD680" s="98"/>
      <c r="DE680" s="98"/>
      <c r="DF680" s="98"/>
      <c r="DG680" s="98"/>
      <c r="DH680" s="98"/>
      <c r="DI680" s="98"/>
      <c r="DJ680" s="98"/>
      <c r="DK680" s="98"/>
      <c r="DL680" s="98"/>
      <c r="DM680" s="98"/>
      <c r="DN680" s="98"/>
      <c r="DO680" s="98"/>
      <c r="DP680" s="98"/>
      <c r="DQ680" s="98"/>
      <c r="DR680" s="98"/>
      <c r="DS680" s="98"/>
      <c r="DT680" s="98"/>
      <c r="DU680" s="98"/>
      <c r="DV680" s="98"/>
      <c r="DW680" s="98"/>
      <c r="DX680" s="98"/>
      <c r="DY680" s="98"/>
      <c r="DZ680" s="98"/>
      <c r="EA680" s="98"/>
      <c r="EB680" s="98"/>
      <c r="EC680" s="98"/>
      <c r="ED680" s="98"/>
    </row>
    <row r="681" spans="1:134" ht="11.25" customHeight="1" x14ac:dyDescent="0.3">
      <c r="A681" s="28" t="e">
        <f t="array" aca="1" ref="A681" ca="1">_xludf.XLOOKUP(S681,Master_Registrations!P:P,Master_Registrations!A:A,"")</f>
        <v>#NAME?</v>
      </c>
      <c r="B681" s="89" t="s">
        <v>182</v>
      </c>
      <c r="C681" s="89">
        <v>2026</v>
      </c>
      <c r="D681" s="89" t="s">
        <v>4886</v>
      </c>
      <c r="E681" s="89">
        <v>4</v>
      </c>
      <c r="F681" s="90" t="str">
        <f t="shared" si="8"/>
        <v>VED-01-2026-GR-4</v>
      </c>
      <c r="G681" s="89" t="s">
        <v>7078</v>
      </c>
      <c r="H681" s="89" t="s">
        <v>7108</v>
      </c>
      <c r="I681" s="89"/>
      <c r="J681" s="89" t="s">
        <v>7094</v>
      </c>
      <c r="K681" s="109"/>
      <c r="L681" s="109"/>
      <c r="M681" s="109"/>
      <c r="N681" s="90" t="s">
        <v>7095</v>
      </c>
      <c r="O681" s="141" t="s">
        <v>4388</v>
      </c>
      <c r="P681" s="89" t="s">
        <v>4389</v>
      </c>
      <c r="Q681" s="89" t="e">
        <f t="shared" ca="1" si="9"/>
        <v>#NAME?</v>
      </c>
      <c r="R681" s="39" t="s">
        <v>112</v>
      </c>
      <c r="S681" s="105">
        <v>9676009144</v>
      </c>
      <c r="T681" s="90" t="s">
        <v>111</v>
      </c>
      <c r="U681" s="89">
        <v>1986</v>
      </c>
      <c r="V681" s="95">
        <v>-1</v>
      </c>
      <c r="W681" s="95">
        <v>-1</v>
      </c>
      <c r="X681" s="95">
        <v>-1</v>
      </c>
      <c r="Y681" s="95">
        <v>-1</v>
      </c>
      <c r="Z681" s="99">
        <v>1</v>
      </c>
      <c r="AA681" s="95">
        <v>-1</v>
      </c>
      <c r="AB681" s="99">
        <v>-1</v>
      </c>
      <c r="AC681" s="95">
        <v>-1</v>
      </c>
      <c r="AD681" s="95">
        <v>-1</v>
      </c>
      <c r="AE681" s="99">
        <v>-1</v>
      </c>
      <c r="AF681" s="99">
        <v>-1</v>
      </c>
      <c r="AG681" s="99">
        <v>-1</v>
      </c>
      <c r="AH681" s="99">
        <v>-1</v>
      </c>
      <c r="AI681" s="95">
        <v>-1</v>
      </c>
      <c r="AJ681" s="89"/>
      <c r="AK681" s="89"/>
      <c r="AL681" s="89"/>
      <c r="AM681" s="89"/>
      <c r="AN681" s="89"/>
      <c r="AO681" s="89"/>
      <c r="AP681" s="89"/>
      <c r="AQ681" s="89"/>
      <c r="AR681" s="89"/>
      <c r="AS681" s="89"/>
      <c r="AT681" s="89"/>
      <c r="AU681" s="89"/>
      <c r="AV681" s="89"/>
      <c r="AW681" s="89"/>
      <c r="AX681" s="89"/>
      <c r="AY681" s="89"/>
      <c r="AZ681" s="89"/>
      <c r="BA681" s="89"/>
      <c r="BB681" s="89"/>
      <c r="BC681" s="89"/>
      <c r="BD681" s="89"/>
      <c r="BE681" s="89"/>
      <c r="BF681" s="89"/>
      <c r="BG681" s="89"/>
      <c r="BH681" s="89"/>
      <c r="BI681" s="89"/>
      <c r="BJ681" s="89"/>
      <c r="BK681" s="89"/>
      <c r="BL681" s="89"/>
      <c r="BM681" s="89"/>
      <c r="BN681" s="89"/>
      <c r="BO681" s="89"/>
      <c r="BP681" s="89"/>
      <c r="BQ681" s="89"/>
      <c r="BR681" s="89"/>
      <c r="BS681" s="89"/>
      <c r="BT681" s="89"/>
      <c r="BU681" s="89"/>
      <c r="BV681" s="89"/>
      <c r="BW681" s="89"/>
      <c r="BX681" s="89"/>
      <c r="BY681" s="89"/>
      <c r="BZ681" s="89"/>
      <c r="CA681" s="89"/>
      <c r="CB681" s="89"/>
      <c r="CC681" s="89"/>
      <c r="CD681" s="89"/>
      <c r="CE681" s="89"/>
      <c r="CF681" s="89"/>
      <c r="CG681" s="89"/>
      <c r="CH681" s="89"/>
      <c r="CI681" s="89"/>
      <c r="CJ681" s="89"/>
      <c r="CK681" s="89"/>
      <c r="CL681" s="89"/>
      <c r="CM681" s="89"/>
      <c r="CN681" s="89"/>
      <c r="CO681" s="89"/>
      <c r="CP681" s="89"/>
      <c r="CQ681" s="89"/>
      <c r="CR681" s="89"/>
      <c r="CS681" s="89"/>
      <c r="CT681" s="89"/>
      <c r="CU681" s="89"/>
      <c r="CV681" s="89"/>
      <c r="CW681" s="89"/>
      <c r="CX681" s="89"/>
      <c r="CY681" s="89"/>
      <c r="CZ681" s="98"/>
      <c r="DA681" s="98"/>
      <c r="DB681" s="98"/>
      <c r="DC681" s="98"/>
      <c r="DD681" s="98"/>
      <c r="DE681" s="98"/>
      <c r="DF681" s="98"/>
      <c r="DG681" s="98"/>
      <c r="DH681" s="98"/>
      <c r="DI681" s="98"/>
      <c r="DJ681" s="98"/>
      <c r="DK681" s="98"/>
      <c r="DL681" s="98"/>
      <c r="DM681" s="98"/>
      <c r="DN681" s="98"/>
      <c r="DO681" s="98"/>
      <c r="DP681" s="98"/>
      <c r="DQ681" s="98"/>
      <c r="DR681" s="98"/>
      <c r="DS681" s="98"/>
      <c r="DT681" s="98"/>
      <c r="DU681" s="98"/>
      <c r="DV681" s="98"/>
      <c r="DW681" s="98"/>
      <c r="DX681" s="98"/>
      <c r="DY681" s="98"/>
      <c r="DZ681" s="98"/>
      <c r="EA681" s="98"/>
      <c r="EB681" s="98"/>
      <c r="EC681" s="98"/>
      <c r="ED681" s="98"/>
    </row>
    <row r="682" spans="1:134" ht="11.25" customHeight="1" x14ac:dyDescent="0.3">
      <c r="A682" s="28" t="e">
        <f t="array" aca="1" ref="A682" ca="1">_xludf.XLOOKUP(S682,Master_Registrations!P:P,Master_Registrations!A:A,"")</f>
        <v>#NAME?</v>
      </c>
      <c r="B682" s="89" t="s">
        <v>7050</v>
      </c>
      <c r="C682" s="89">
        <v>2023</v>
      </c>
      <c r="D682" s="89" t="s">
        <v>184</v>
      </c>
      <c r="E682" s="89">
        <v>2</v>
      </c>
      <c r="F682" s="90" t="str">
        <f t="shared" si="8"/>
        <v>VED-02-2023-BR-2</v>
      </c>
      <c r="G682" s="90" t="s">
        <v>4569</v>
      </c>
      <c r="H682" s="90" t="s">
        <v>4347</v>
      </c>
      <c r="I682" s="90"/>
      <c r="J682" s="89" t="s">
        <v>7094</v>
      </c>
      <c r="K682" s="102"/>
      <c r="L682" s="102"/>
      <c r="M682" s="102"/>
      <c r="N682" s="90" t="s">
        <v>7095</v>
      </c>
      <c r="O682" s="89" t="s">
        <v>5734</v>
      </c>
      <c r="P682" s="89" t="s">
        <v>5735</v>
      </c>
      <c r="Q682" s="89" t="e">
        <f t="shared" ca="1" si="9"/>
        <v>#NAME?</v>
      </c>
      <c r="R682" s="39" t="s">
        <v>112</v>
      </c>
      <c r="S682" s="94">
        <v>9059009995</v>
      </c>
      <c r="T682" s="90" t="s">
        <v>111</v>
      </c>
      <c r="U682" s="90">
        <v>2001</v>
      </c>
      <c r="V682" s="97">
        <v>2</v>
      </c>
      <c r="W682" s="97">
        <v>2</v>
      </c>
      <c r="X682" s="97">
        <v>2</v>
      </c>
      <c r="Y682" s="97">
        <v>2</v>
      </c>
      <c r="Z682" s="97">
        <v>2</v>
      </c>
      <c r="AA682" s="97">
        <v>2</v>
      </c>
      <c r="AB682" s="97">
        <v>2</v>
      </c>
      <c r="AC682" s="97">
        <v>2</v>
      </c>
      <c r="AD682" s="97">
        <v>2</v>
      </c>
      <c r="AE682" s="97">
        <v>2</v>
      </c>
      <c r="AF682" s="97">
        <v>2</v>
      </c>
      <c r="AG682" s="97">
        <v>2</v>
      </c>
      <c r="AH682" s="97">
        <v>2</v>
      </c>
      <c r="AI682" s="97">
        <v>3</v>
      </c>
      <c r="AJ682" s="97">
        <v>1</v>
      </c>
      <c r="AK682" s="97">
        <v>1</v>
      </c>
      <c r="AL682" s="97">
        <v>1</v>
      </c>
      <c r="AM682" s="97">
        <v>1</v>
      </c>
      <c r="AN682" s="97">
        <v>1</v>
      </c>
      <c r="AO682" s="97">
        <v>1</v>
      </c>
      <c r="AP682" s="97">
        <v>1</v>
      </c>
      <c r="AQ682" s="97">
        <v>1</v>
      </c>
      <c r="AR682" s="97">
        <v>1</v>
      </c>
      <c r="AS682" s="97">
        <v>1</v>
      </c>
      <c r="AT682" s="95">
        <v>-1</v>
      </c>
      <c r="AU682" s="97">
        <v>1</v>
      </c>
      <c r="AV682" s="95">
        <v>-1</v>
      </c>
      <c r="AW682" s="97"/>
      <c r="AX682" s="95"/>
      <c r="AY682" s="96"/>
      <c r="AZ682" s="96"/>
      <c r="BA682" s="97"/>
      <c r="BB682" s="97"/>
      <c r="BC682" s="97"/>
      <c r="BD682" s="97"/>
      <c r="BE682" s="97"/>
      <c r="BF682" s="96"/>
      <c r="BG682" s="97"/>
      <c r="BH682" s="97"/>
      <c r="BI682" s="97"/>
      <c r="BJ682" s="97"/>
      <c r="BK682" s="97"/>
      <c r="BL682" s="97"/>
      <c r="BM682" s="96"/>
      <c r="BN682" s="99"/>
      <c r="BO682" s="99"/>
      <c r="BP682" s="97"/>
      <c r="BQ682" s="99"/>
      <c r="BR682" s="99"/>
      <c r="BS682" s="97"/>
      <c r="BT682" s="97"/>
      <c r="BU682" s="97"/>
      <c r="BV682" s="106"/>
      <c r="BW682" s="89"/>
      <c r="BX682" s="89"/>
      <c r="BY682" s="89"/>
      <c r="BZ682" s="89"/>
      <c r="CA682" s="89"/>
      <c r="CB682" s="89"/>
      <c r="CC682" s="89"/>
      <c r="CD682" s="89"/>
      <c r="CE682" s="89"/>
      <c r="CF682" s="89"/>
      <c r="CG682" s="89"/>
      <c r="CH682" s="89"/>
      <c r="CI682" s="89"/>
      <c r="CJ682" s="89"/>
      <c r="CK682" s="89"/>
      <c r="CL682" s="89"/>
      <c r="CM682" s="89"/>
      <c r="CN682" s="89"/>
      <c r="CO682" s="89"/>
      <c r="CP682" s="89"/>
      <c r="CQ682" s="89"/>
      <c r="CR682" s="89"/>
      <c r="CS682" s="89"/>
      <c r="CT682" s="89"/>
      <c r="CU682" s="89"/>
      <c r="CV682" s="89"/>
      <c r="CW682" s="89"/>
      <c r="CX682" s="89"/>
      <c r="CY682" s="89"/>
      <c r="CZ682" s="98"/>
      <c r="DA682" s="98"/>
      <c r="DB682" s="98"/>
      <c r="DC682" s="98"/>
      <c r="DD682" s="98"/>
      <c r="DE682" s="98"/>
      <c r="DF682" s="98"/>
      <c r="DG682" s="98"/>
      <c r="DH682" s="98"/>
      <c r="DI682" s="98"/>
      <c r="DJ682" s="98"/>
      <c r="DK682" s="98"/>
      <c r="DL682" s="98"/>
      <c r="DM682" s="98"/>
      <c r="DN682" s="98"/>
      <c r="DO682" s="98"/>
      <c r="DP682" s="98"/>
      <c r="DQ682" s="98"/>
      <c r="DR682" s="98"/>
      <c r="DS682" s="98"/>
      <c r="DT682" s="98"/>
      <c r="DU682" s="98"/>
      <c r="DV682" s="98"/>
      <c r="DW682" s="98"/>
      <c r="DX682" s="98"/>
      <c r="DY682" s="98"/>
      <c r="DZ682" s="98"/>
      <c r="EA682" s="98"/>
      <c r="EB682" s="98"/>
      <c r="EC682" s="98"/>
      <c r="ED682" s="98"/>
    </row>
    <row r="683" spans="1:134" ht="11.25" customHeight="1" x14ac:dyDescent="0.3">
      <c r="A683" s="28" t="e">
        <f t="array" aca="1" ref="A683" ca="1">_xludf.XLOOKUP(S683,Master_Registrations!P:P,Master_Registrations!A:A,"")</f>
        <v>#NAME?</v>
      </c>
      <c r="B683" s="89" t="s">
        <v>7050</v>
      </c>
      <c r="C683" s="89">
        <v>2024</v>
      </c>
      <c r="D683" s="89" t="s">
        <v>4886</v>
      </c>
      <c r="E683" s="89">
        <v>1</v>
      </c>
      <c r="F683" s="90" t="str">
        <f t="shared" si="8"/>
        <v>VED-02-2024-GR-1</v>
      </c>
      <c r="G683" s="89" t="s">
        <v>7073</v>
      </c>
      <c r="H683" s="89" t="s">
        <v>7141</v>
      </c>
      <c r="I683" s="89"/>
      <c r="J683" s="89" t="s">
        <v>7094</v>
      </c>
      <c r="K683" s="99"/>
      <c r="L683" s="99"/>
      <c r="M683" s="99"/>
      <c r="N683" s="90" t="s">
        <v>7095</v>
      </c>
      <c r="O683" s="89" t="s">
        <v>549</v>
      </c>
      <c r="P683" s="89" t="s">
        <v>550</v>
      </c>
      <c r="Q683" s="89" t="e">
        <f t="shared" ca="1" si="9"/>
        <v>#NAME?</v>
      </c>
      <c r="R683" s="39" t="s">
        <v>112</v>
      </c>
      <c r="S683" s="105">
        <v>9035023670</v>
      </c>
      <c r="T683" s="90" t="s">
        <v>111</v>
      </c>
      <c r="U683" s="89">
        <v>1995</v>
      </c>
      <c r="V683" s="99">
        <v>1</v>
      </c>
      <c r="W683" s="99">
        <v>1</v>
      </c>
      <c r="X683" s="99">
        <v>1</v>
      </c>
      <c r="Y683" s="99">
        <v>1</v>
      </c>
      <c r="Z683" s="99">
        <v>1</v>
      </c>
      <c r="AA683" s="99">
        <v>1</v>
      </c>
      <c r="AB683" s="99">
        <v>1</v>
      </c>
      <c r="AC683" s="95">
        <v>-1</v>
      </c>
      <c r="AD683" s="95">
        <v>-1</v>
      </c>
      <c r="AE683" s="99">
        <v>1</v>
      </c>
      <c r="AF683" s="99">
        <v>1</v>
      </c>
      <c r="AG683" s="99">
        <v>1</v>
      </c>
      <c r="AH683" s="99">
        <v>1</v>
      </c>
      <c r="AI683" s="95">
        <v>-1</v>
      </c>
      <c r="AJ683" s="99">
        <v>1</v>
      </c>
      <c r="AK683" s="99">
        <v>1</v>
      </c>
      <c r="AL683" s="99">
        <v>1</v>
      </c>
      <c r="AM683" s="99">
        <v>1</v>
      </c>
      <c r="AN683" s="99">
        <v>1</v>
      </c>
      <c r="AO683" s="99">
        <v>1</v>
      </c>
      <c r="AP683" s="95">
        <v>-1</v>
      </c>
      <c r="AQ683" s="99">
        <v>1</v>
      </c>
      <c r="AR683" s="99">
        <v>1</v>
      </c>
      <c r="AS683" s="99">
        <v>-1</v>
      </c>
      <c r="AT683" s="99">
        <v>-1</v>
      </c>
      <c r="AU683" s="99">
        <v>1</v>
      </c>
      <c r="AV683" s="95">
        <v>-1</v>
      </c>
      <c r="AW683" s="89"/>
      <c r="AX683" s="89"/>
      <c r="AY683" s="89"/>
      <c r="AZ683" s="89"/>
      <c r="BA683" s="89"/>
      <c r="BB683" s="89"/>
      <c r="BC683" s="89"/>
      <c r="BD683" s="89"/>
      <c r="BE683" s="89"/>
      <c r="BF683" s="89"/>
      <c r="BG683" s="89"/>
      <c r="BH683" s="89"/>
      <c r="BI683" s="89"/>
      <c r="BJ683" s="89"/>
      <c r="BK683" s="89"/>
      <c r="BL683" s="89"/>
      <c r="BM683" s="89"/>
      <c r="BN683" s="89"/>
      <c r="BO683" s="89"/>
      <c r="BP683" s="89"/>
      <c r="BQ683" s="89"/>
      <c r="BR683" s="89"/>
      <c r="BS683" s="89"/>
      <c r="BT683" s="89"/>
      <c r="BU683" s="89"/>
      <c r="BV683" s="89"/>
      <c r="BW683" s="89"/>
      <c r="BX683" s="89"/>
      <c r="BY683" s="89"/>
      <c r="BZ683" s="89"/>
      <c r="CA683" s="89"/>
      <c r="CB683" s="89"/>
      <c r="CC683" s="89"/>
      <c r="CD683" s="89"/>
      <c r="CE683" s="89"/>
      <c r="CF683" s="89"/>
      <c r="CG683" s="89"/>
      <c r="CH683" s="89"/>
      <c r="CI683" s="89"/>
      <c r="CJ683" s="89"/>
      <c r="CK683" s="89"/>
      <c r="CL683" s="89"/>
      <c r="CM683" s="89"/>
      <c r="CN683" s="89"/>
      <c r="CO683" s="89"/>
      <c r="CP683" s="89"/>
      <c r="CQ683" s="89"/>
      <c r="CR683" s="89"/>
      <c r="CS683" s="89"/>
      <c r="CT683" s="89"/>
      <c r="CU683" s="89"/>
      <c r="CV683" s="89"/>
      <c r="CW683" s="89"/>
      <c r="CX683" s="89"/>
      <c r="CY683" s="89"/>
      <c r="CZ683" s="98"/>
      <c r="DA683" s="98"/>
      <c r="DB683" s="98"/>
      <c r="DC683" s="98"/>
      <c r="DD683" s="98"/>
      <c r="DE683" s="98"/>
      <c r="DF683" s="98"/>
      <c r="DG683" s="98"/>
      <c r="DH683" s="98"/>
      <c r="DI683" s="98"/>
      <c r="DJ683" s="98"/>
      <c r="DK683" s="98"/>
      <c r="DL683" s="98"/>
      <c r="DM683" s="98"/>
      <c r="DN683" s="98"/>
      <c r="DO683" s="98"/>
      <c r="DP683" s="98"/>
      <c r="DQ683" s="98"/>
      <c r="DR683" s="98"/>
      <c r="DS683" s="98"/>
      <c r="DT683" s="98"/>
      <c r="DU683" s="98"/>
      <c r="DV683" s="98"/>
      <c r="DW683" s="98"/>
      <c r="DX683" s="98"/>
      <c r="DY683" s="98"/>
      <c r="DZ683" s="98"/>
      <c r="EA683" s="98"/>
      <c r="EB683" s="98"/>
      <c r="EC683" s="98"/>
      <c r="ED683" s="98"/>
    </row>
    <row r="684" spans="1:134" ht="11.25" customHeight="1" x14ac:dyDescent="0.3">
      <c r="A684" s="28" t="e">
        <f t="array" aca="1" ref="A684" ca="1">_xludf.XLOOKUP(S684,Master_Registrations!P:P,Master_Registrations!A:A,"")</f>
        <v>#NAME?</v>
      </c>
      <c r="B684" s="89" t="s">
        <v>7050</v>
      </c>
      <c r="C684" s="89">
        <v>2025</v>
      </c>
      <c r="D684" s="89" t="s">
        <v>184</v>
      </c>
      <c r="E684" s="89">
        <v>2</v>
      </c>
      <c r="F684" s="90" t="str">
        <f t="shared" si="8"/>
        <v>VED-02-2025-BR-2</v>
      </c>
      <c r="G684" s="90" t="s">
        <v>4569</v>
      </c>
      <c r="H684" s="90" t="s">
        <v>4347</v>
      </c>
      <c r="I684" s="90"/>
      <c r="J684" s="89" t="s">
        <v>7094</v>
      </c>
      <c r="K684" s="102"/>
      <c r="L684" s="102"/>
      <c r="M684" s="102"/>
      <c r="N684" s="90" t="s">
        <v>7095</v>
      </c>
      <c r="O684" s="89" t="s">
        <v>1366</v>
      </c>
      <c r="P684" s="89" t="s">
        <v>6159</v>
      </c>
      <c r="Q684" s="89" t="e">
        <f t="shared" ca="1" si="9"/>
        <v>#NAME?</v>
      </c>
      <c r="R684" s="39" t="s">
        <v>316</v>
      </c>
      <c r="S684" s="94">
        <v>5127738654</v>
      </c>
      <c r="T684" s="90" t="s">
        <v>315</v>
      </c>
      <c r="U684" s="94">
        <v>2014</v>
      </c>
      <c r="V684" s="99">
        <v>2</v>
      </c>
      <c r="W684" s="99">
        <v>2</v>
      </c>
      <c r="X684" s="99">
        <v>2</v>
      </c>
      <c r="Y684" s="99">
        <v>2</v>
      </c>
      <c r="Z684" s="99">
        <v>2</v>
      </c>
      <c r="AA684" s="99">
        <v>2</v>
      </c>
      <c r="AB684" s="99">
        <v>2</v>
      </c>
      <c r="AC684" s="99">
        <v>2</v>
      </c>
      <c r="AD684" s="99">
        <v>2</v>
      </c>
      <c r="AE684" s="99">
        <v>2</v>
      </c>
      <c r="AF684" s="99">
        <v>2</v>
      </c>
      <c r="AG684" s="99">
        <v>2</v>
      </c>
      <c r="AH684" s="99">
        <v>2</v>
      </c>
      <c r="AI684" s="99">
        <v>4</v>
      </c>
      <c r="AJ684" s="97">
        <v>2</v>
      </c>
      <c r="AK684" s="97">
        <v>-1</v>
      </c>
      <c r="AL684" s="97">
        <v>-1</v>
      </c>
      <c r="AM684" s="97">
        <v>-1</v>
      </c>
      <c r="AN684" s="97">
        <v>-1</v>
      </c>
      <c r="AO684" s="97">
        <v>-1</v>
      </c>
      <c r="AP684" s="95">
        <v>-1</v>
      </c>
      <c r="AQ684" s="95">
        <v>-1</v>
      </c>
      <c r="AR684" s="97">
        <v>-1</v>
      </c>
      <c r="AS684" s="95">
        <v>-1</v>
      </c>
      <c r="AT684" s="95">
        <v>-1</v>
      </c>
      <c r="AU684" s="95">
        <v>-1</v>
      </c>
      <c r="AV684" s="95">
        <v>-1</v>
      </c>
      <c r="AW684" s="89"/>
      <c r="AX684" s="89"/>
      <c r="AY684" s="89"/>
      <c r="AZ684" s="89"/>
      <c r="BA684" s="89"/>
      <c r="BB684" s="89"/>
      <c r="BC684" s="89"/>
      <c r="BD684" s="89"/>
      <c r="BE684" s="89"/>
      <c r="BF684" s="89"/>
      <c r="BG684" s="89"/>
      <c r="BH684" s="89"/>
      <c r="BI684" s="89"/>
      <c r="BJ684" s="89"/>
      <c r="BK684" s="89"/>
      <c r="BL684" s="89"/>
      <c r="BM684" s="89"/>
      <c r="BN684" s="89"/>
      <c r="BO684" s="89"/>
      <c r="BP684" s="89"/>
      <c r="BQ684" s="89"/>
      <c r="BR684" s="89"/>
      <c r="BS684" s="89"/>
      <c r="BT684" s="89"/>
      <c r="BU684" s="89"/>
      <c r="BV684" s="89"/>
      <c r="BW684" s="89"/>
      <c r="BX684" s="89"/>
      <c r="BY684" s="89"/>
      <c r="BZ684" s="89"/>
      <c r="CA684" s="89"/>
      <c r="CB684" s="89"/>
      <c r="CC684" s="89"/>
      <c r="CD684" s="89"/>
      <c r="CE684" s="89"/>
      <c r="CF684" s="89"/>
      <c r="CG684" s="89"/>
      <c r="CH684" s="89"/>
      <c r="CI684" s="89"/>
      <c r="CJ684" s="89"/>
      <c r="CK684" s="89"/>
      <c r="CL684" s="89"/>
      <c r="CM684" s="89"/>
      <c r="CN684" s="89"/>
      <c r="CO684" s="89"/>
      <c r="CP684" s="89"/>
      <c r="CQ684" s="89"/>
      <c r="CR684" s="89"/>
      <c r="CS684" s="89"/>
      <c r="CT684" s="89"/>
      <c r="CU684" s="89"/>
      <c r="CV684" s="89"/>
      <c r="CW684" s="89"/>
      <c r="CX684" s="89"/>
      <c r="CY684" s="89"/>
      <c r="CZ684" s="98"/>
      <c r="DA684" s="98"/>
      <c r="DB684" s="98"/>
      <c r="DC684" s="98"/>
      <c r="DD684" s="98"/>
      <c r="DE684" s="98"/>
      <c r="DF684" s="98"/>
      <c r="DG684" s="98"/>
      <c r="DH684" s="98"/>
      <c r="DI684" s="98"/>
      <c r="DJ684" s="98"/>
      <c r="DK684" s="98"/>
      <c r="DL684" s="98"/>
      <c r="DM684" s="98"/>
      <c r="DN684" s="98"/>
      <c r="DO684" s="98"/>
      <c r="DP684" s="98"/>
      <c r="DQ684" s="98"/>
      <c r="DR684" s="98"/>
      <c r="DS684" s="98"/>
      <c r="DT684" s="98"/>
      <c r="DU684" s="98"/>
      <c r="DV684" s="98"/>
      <c r="DW684" s="98"/>
      <c r="DX684" s="98"/>
      <c r="DY684" s="98"/>
      <c r="DZ684" s="98"/>
      <c r="EA684" s="98"/>
      <c r="EB684" s="98"/>
      <c r="EC684" s="98"/>
      <c r="ED684" s="98"/>
    </row>
    <row r="685" spans="1:134" ht="11.25" customHeight="1" x14ac:dyDescent="0.3">
      <c r="A685" s="28" t="e">
        <f t="array" aca="1" ref="A685" ca="1">_xludf.XLOOKUP(S685,Master_Registrations!P:P,Master_Registrations!A:A,"")</f>
        <v>#NAME?</v>
      </c>
      <c r="B685" s="89" t="s">
        <v>7050</v>
      </c>
      <c r="C685" s="89">
        <v>2025</v>
      </c>
      <c r="D685" s="89" t="s">
        <v>184</v>
      </c>
      <c r="E685" s="89">
        <v>2</v>
      </c>
      <c r="F685" s="90" t="str">
        <f t="shared" si="8"/>
        <v>VED-02-2025-BR-2</v>
      </c>
      <c r="G685" s="89" t="s">
        <v>4569</v>
      </c>
      <c r="H685" s="90" t="s">
        <v>7096</v>
      </c>
      <c r="I685" s="90"/>
      <c r="J685" s="89" t="s">
        <v>7094</v>
      </c>
      <c r="K685" s="91"/>
      <c r="L685" s="93"/>
      <c r="M685" s="92"/>
      <c r="N685" s="90" t="s">
        <v>7095</v>
      </c>
      <c r="O685" s="89" t="s">
        <v>2065</v>
      </c>
      <c r="P685" s="141" t="s">
        <v>4971</v>
      </c>
      <c r="Q685" s="89" t="e">
        <f t="shared" ca="1" si="9"/>
        <v>#NAME?</v>
      </c>
      <c r="R685" s="39" t="s">
        <v>112</v>
      </c>
      <c r="S685" s="89">
        <v>9969722268</v>
      </c>
      <c r="T685" s="90" t="s">
        <v>111</v>
      </c>
      <c r="U685" s="89">
        <v>2012</v>
      </c>
      <c r="V685" s="97">
        <v>1</v>
      </c>
      <c r="W685" s="97">
        <v>-1</v>
      </c>
      <c r="X685" s="97">
        <v>1</v>
      </c>
      <c r="Y685" s="97">
        <v>1</v>
      </c>
      <c r="Z685" s="97">
        <v>1</v>
      </c>
      <c r="AA685" s="97">
        <v>1</v>
      </c>
      <c r="AB685" s="97">
        <v>1</v>
      </c>
      <c r="AC685" s="95">
        <v>-1</v>
      </c>
      <c r="AD685" s="95">
        <v>-1</v>
      </c>
      <c r="AE685" s="97">
        <v>-1</v>
      </c>
      <c r="AF685" s="97">
        <v>1</v>
      </c>
      <c r="AG685" s="97">
        <v>1</v>
      </c>
      <c r="AH685" s="97">
        <v>-1</v>
      </c>
      <c r="AI685" s="96">
        <v>-1</v>
      </c>
      <c r="AJ685" s="97">
        <v>1</v>
      </c>
      <c r="AK685" s="97">
        <v>1</v>
      </c>
      <c r="AL685" s="97">
        <v>1</v>
      </c>
      <c r="AM685" s="97">
        <v>1</v>
      </c>
      <c r="AN685" s="97">
        <v>1</v>
      </c>
      <c r="AO685" s="97">
        <v>1</v>
      </c>
      <c r="AP685" s="95">
        <v>-1</v>
      </c>
      <c r="AQ685" s="95">
        <v>-1</v>
      </c>
      <c r="AR685" s="97">
        <v>1</v>
      </c>
      <c r="AS685" s="95">
        <v>-1</v>
      </c>
      <c r="AT685" s="95">
        <v>-1</v>
      </c>
      <c r="AU685" s="95">
        <v>-1</v>
      </c>
      <c r="AV685" s="95">
        <v>-1</v>
      </c>
      <c r="AW685" s="95"/>
      <c r="AX685" s="95"/>
      <c r="AY685" s="95"/>
      <c r="AZ685" s="95"/>
      <c r="BA685" s="95"/>
      <c r="BB685" s="95"/>
      <c r="BC685" s="95"/>
      <c r="BD685" s="95"/>
      <c r="BE685" s="95"/>
      <c r="BF685" s="96"/>
      <c r="BG685" s="95"/>
      <c r="BH685" s="95"/>
      <c r="BI685" s="95"/>
      <c r="BJ685" s="95"/>
      <c r="BK685" s="95"/>
      <c r="BL685" s="95"/>
      <c r="BM685" s="96"/>
      <c r="BN685" s="89"/>
      <c r="BO685" s="89"/>
      <c r="BP685" s="89"/>
      <c r="BQ685" s="89"/>
      <c r="BR685" s="89"/>
      <c r="BS685" s="89"/>
      <c r="BT685" s="89"/>
      <c r="BU685" s="89"/>
      <c r="BV685" s="89"/>
      <c r="BW685" s="89"/>
      <c r="BX685" s="89"/>
      <c r="BY685" s="89"/>
      <c r="BZ685" s="89"/>
      <c r="CA685" s="89"/>
      <c r="CB685" s="89"/>
      <c r="CC685" s="89"/>
      <c r="CD685" s="89"/>
      <c r="CE685" s="89"/>
      <c r="CF685" s="89"/>
      <c r="CG685" s="89"/>
      <c r="CH685" s="89"/>
      <c r="CI685" s="89"/>
      <c r="CJ685" s="89"/>
      <c r="CK685" s="89"/>
      <c r="CL685" s="89"/>
      <c r="CM685" s="89"/>
      <c r="CN685" s="89"/>
      <c r="CO685" s="89"/>
      <c r="CP685" s="89"/>
      <c r="CQ685" s="89"/>
      <c r="CR685" s="89"/>
      <c r="CS685" s="89"/>
      <c r="CT685" s="89"/>
      <c r="CU685" s="89"/>
      <c r="CV685" s="89"/>
      <c r="CW685" s="89"/>
      <c r="CX685" s="89"/>
      <c r="CY685" s="89"/>
      <c r="CZ685" s="98"/>
      <c r="DA685" s="98"/>
      <c r="DB685" s="98"/>
      <c r="DC685" s="98"/>
      <c r="DD685" s="98"/>
      <c r="DE685" s="98"/>
      <c r="DF685" s="98"/>
      <c r="DG685" s="98"/>
      <c r="DH685" s="98"/>
      <c r="DI685" s="98"/>
      <c r="DJ685" s="98"/>
      <c r="DK685" s="98"/>
      <c r="DL685" s="98"/>
      <c r="DM685" s="98"/>
      <c r="DN685" s="98"/>
      <c r="DO685" s="98"/>
      <c r="DP685" s="98"/>
      <c r="DQ685" s="98"/>
      <c r="DR685" s="98"/>
      <c r="DS685" s="98"/>
      <c r="DT685" s="98"/>
      <c r="DU685" s="98"/>
      <c r="DV685" s="98"/>
      <c r="DW685" s="98"/>
      <c r="DX685" s="98"/>
      <c r="DY685" s="98"/>
      <c r="DZ685" s="98"/>
      <c r="EA685" s="98"/>
      <c r="EB685" s="98"/>
      <c r="EC685" s="98"/>
      <c r="ED685" s="98"/>
    </row>
    <row r="686" spans="1:134" ht="11.25" customHeight="1" x14ac:dyDescent="0.3">
      <c r="A686" s="28" t="e">
        <f t="array" aca="1" ref="A686" ca="1">_xludf.XLOOKUP(S686,Master_Registrations!P:P,Master_Registrations!A:A,"")</f>
        <v>#NAME?</v>
      </c>
      <c r="B686" s="89" t="s">
        <v>7050</v>
      </c>
      <c r="C686" s="89">
        <v>2025</v>
      </c>
      <c r="D686" s="89" t="s">
        <v>184</v>
      </c>
      <c r="E686" s="89">
        <v>2</v>
      </c>
      <c r="F686" s="90" t="str">
        <f t="shared" si="8"/>
        <v>VED-02-2025-BR-2</v>
      </c>
      <c r="G686" s="90" t="s">
        <v>4569</v>
      </c>
      <c r="H686" s="90" t="s">
        <v>4347</v>
      </c>
      <c r="I686" s="90"/>
      <c r="J686" s="89" t="s">
        <v>7094</v>
      </c>
      <c r="K686" s="93"/>
      <c r="L686" s="93"/>
      <c r="M686" s="93"/>
      <c r="N686" s="90" t="s">
        <v>7095</v>
      </c>
      <c r="O686" s="89" t="s">
        <v>7142</v>
      </c>
      <c r="P686" s="89" t="s">
        <v>7143</v>
      </c>
      <c r="Q686" s="89" t="e">
        <f t="shared" ca="1" si="9"/>
        <v>#NAME?</v>
      </c>
      <c r="R686" s="39" t="s">
        <v>316</v>
      </c>
      <c r="S686" s="94">
        <v>5635704029</v>
      </c>
      <c r="T686" s="90" t="s">
        <v>315</v>
      </c>
      <c r="U686" s="94">
        <v>2010</v>
      </c>
      <c r="V686" s="99">
        <v>2</v>
      </c>
      <c r="W686" s="99">
        <v>2</v>
      </c>
      <c r="X686" s="99">
        <v>2</v>
      </c>
      <c r="Y686" s="99">
        <v>2</v>
      </c>
      <c r="Z686" s="99">
        <v>2</v>
      </c>
      <c r="AA686" s="99">
        <v>-1</v>
      </c>
      <c r="AB686" s="99">
        <v>-1</v>
      </c>
      <c r="AC686" s="95">
        <v>-1</v>
      </c>
      <c r="AD686" s="95">
        <v>-1</v>
      </c>
      <c r="AE686" s="99">
        <v>2</v>
      </c>
      <c r="AF686" s="99">
        <v>2</v>
      </c>
      <c r="AG686" s="99">
        <v>-1</v>
      </c>
      <c r="AH686" s="99">
        <v>-1</v>
      </c>
      <c r="AI686" s="96">
        <v>-1</v>
      </c>
      <c r="AJ686" s="97">
        <v>-1</v>
      </c>
      <c r="AK686" s="97">
        <v>-1</v>
      </c>
      <c r="AL686" s="97">
        <v>-1</v>
      </c>
      <c r="AM686" s="97">
        <v>-1</v>
      </c>
      <c r="AN686" s="97">
        <v>-1</v>
      </c>
      <c r="AO686" s="97">
        <v>-1</v>
      </c>
      <c r="AP686" s="95">
        <v>-1</v>
      </c>
      <c r="AQ686" s="95">
        <v>-1</v>
      </c>
      <c r="AR686" s="97">
        <v>-1</v>
      </c>
      <c r="AS686" s="95">
        <v>-1</v>
      </c>
      <c r="AT686" s="95">
        <v>-1</v>
      </c>
      <c r="AU686" s="95">
        <v>-1</v>
      </c>
      <c r="AV686" s="95">
        <v>-1</v>
      </c>
      <c r="AW686" s="89"/>
      <c r="AX686" s="89"/>
      <c r="AY686" s="89"/>
      <c r="AZ686" s="89"/>
      <c r="BA686" s="89"/>
      <c r="BB686" s="89"/>
      <c r="BC686" s="89"/>
      <c r="BD686" s="89"/>
      <c r="BE686" s="89"/>
      <c r="BF686" s="89"/>
      <c r="BG686" s="89"/>
      <c r="BH686" s="89"/>
      <c r="BI686" s="89"/>
      <c r="BJ686" s="89"/>
      <c r="BK686" s="89"/>
      <c r="BL686" s="89"/>
      <c r="BM686" s="89"/>
      <c r="BN686" s="89"/>
      <c r="BO686" s="89"/>
      <c r="BP686" s="89"/>
      <c r="BQ686" s="89"/>
      <c r="BR686" s="89"/>
      <c r="BS686" s="89"/>
      <c r="BT686" s="89"/>
      <c r="BU686" s="89"/>
      <c r="BV686" s="89"/>
      <c r="BW686" s="89"/>
      <c r="BX686" s="89"/>
      <c r="BY686" s="89"/>
      <c r="BZ686" s="89"/>
      <c r="CA686" s="89"/>
      <c r="CB686" s="89"/>
      <c r="CC686" s="89"/>
      <c r="CD686" s="89"/>
      <c r="CE686" s="89"/>
      <c r="CF686" s="89"/>
      <c r="CG686" s="89"/>
      <c r="CH686" s="89"/>
      <c r="CI686" s="89"/>
      <c r="CJ686" s="89"/>
      <c r="CK686" s="89"/>
      <c r="CL686" s="89"/>
      <c r="CM686" s="89"/>
      <c r="CN686" s="89"/>
      <c r="CO686" s="89"/>
      <c r="CP686" s="89"/>
      <c r="CQ686" s="89"/>
      <c r="CR686" s="89"/>
      <c r="CS686" s="89"/>
      <c r="CT686" s="89"/>
      <c r="CU686" s="89"/>
      <c r="CV686" s="89"/>
      <c r="CW686" s="89"/>
      <c r="CX686" s="89"/>
      <c r="CY686" s="89"/>
      <c r="CZ686" s="98"/>
      <c r="DA686" s="98"/>
      <c r="DB686" s="98"/>
      <c r="DC686" s="98"/>
      <c r="DD686" s="98"/>
      <c r="DE686" s="98"/>
      <c r="DF686" s="98"/>
      <c r="DG686" s="98"/>
      <c r="DH686" s="98"/>
      <c r="DI686" s="98"/>
      <c r="DJ686" s="98"/>
      <c r="DK686" s="98"/>
      <c r="DL686" s="98"/>
      <c r="DM686" s="98"/>
      <c r="DN686" s="98"/>
      <c r="DO686" s="98"/>
      <c r="DP686" s="98"/>
      <c r="DQ686" s="98"/>
      <c r="DR686" s="98"/>
      <c r="DS686" s="98"/>
      <c r="DT686" s="98"/>
      <c r="DU686" s="98"/>
      <c r="DV686" s="98"/>
      <c r="DW686" s="98"/>
      <c r="DX686" s="98"/>
      <c r="DY686" s="98"/>
      <c r="DZ686" s="98"/>
      <c r="EA686" s="98"/>
      <c r="EB686" s="98"/>
      <c r="EC686" s="98"/>
      <c r="ED686" s="98"/>
    </row>
    <row r="687" spans="1:134" ht="11.25" customHeight="1" x14ac:dyDescent="0.3">
      <c r="A687" s="28" t="e">
        <f t="array" aca="1" ref="A687" ca="1">_xludf.XLOOKUP(S687,Master_Registrations!P:P,Master_Registrations!A:A,"")</f>
        <v>#NAME?</v>
      </c>
      <c r="B687" s="89" t="s">
        <v>7050</v>
      </c>
      <c r="C687" s="89">
        <v>2025</v>
      </c>
      <c r="D687" s="89" t="s">
        <v>184</v>
      </c>
      <c r="E687" s="89">
        <v>2</v>
      </c>
      <c r="F687" s="90" t="str">
        <f t="shared" si="8"/>
        <v>VED-02-2025-BR-2</v>
      </c>
      <c r="G687" s="90" t="s">
        <v>4569</v>
      </c>
      <c r="H687" s="90" t="s">
        <v>4347</v>
      </c>
      <c r="I687" s="90"/>
      <c r="J687" s="89" t="s">
        <v>7094</v>
      </c>
      <c r="K687" s="93"/>
      <c r="L687" s="93"/>
      <c r="M687" s="93"/>
      <c r="N687" s="90" t="s">
        <v>7095</v>
      </c>
      <c r="O687" s="89" t="s">
        <v>4499</v>
      </c>
      <c r="P687" s="89" t="s">
        <v>1642</v>
      </c>
      <c r="Q687" s="89" t="e">
        <f t="shared" ca="1" si="9"/>
        <v>#NAME?</v>
      </c>
      <c r="R687" s="39" t="s">
        <v>316</v>
      </c>
      <c r="S687" s="94">
        <v>2146733233</v>
      </c>
      <c r="T687" s="90" t="s">
        <v>315</v>
      </c>
      <c r="U687" s="94">
        <v>2014</v>
      </c>
      <c r="V687" s="99">
        <v>1</v>
      </c>
      <c r="W687" s="99">
        <v>1</v>
      </c>
      <c r="X687" s="97">
        <v>1</v>
      </c>
      <c r="Y687" s="97">
        <v>1</v>
      </c>
      <c r="Z687" s="97">
        <v>1</v>
      </c>
      <c r="AA687" s="97">
        <v>1</v>
      </c>
      <c r="AB687" s="97">
        <v>1</v>
      </c>
      <c r="AC687" s="95">
        <v>-1</v>
      </c>
      <c r="AD687" s="95">
        <v>-1</v>
      </c>
      <c r="AE687" s="97">
        <v>1</v>
      </c>
      <c r="AF687" s="97">
        <v>1</v>
      </c>
      <c r="AG687" s="97">
        <v>1</v>
      </c>
      <c r="AH687" s="97">
        <v>2</v>
      </c>
      <c r="AI687" s="96">
        <v>-1</v>
      </c>
      <c r="AJ687" s="97">
        <v>1</v>
      </c>
      <c r="AK687" s="97">
        <v>1</v>
      </c>
      <c r="AL687" s="95">
        <v>-1</v>
      </c>
      <c r="AM687" s="95">
        <v>-1</v>
      </c>
      <c r="AN687" s="95">
        <v>-1</v>
      </c>
      <c r="AO687" s="95">
        <v>-1</v>
      </c>
      <c r="AP687" s="95">
        <v>-1</v>
      </c>
      <c r="AQ687" s="95">
        <v>-1</v>
      </c>
      <c r="AR687" s="95">
        <v>-1</v>
      </c>
      <c r="AS687" s="95">
        <v>-1</v>
      </c>
      <c r="AT687" s="95">
        <v>-1</v>
      </c>
      <c r="AU687" s="95">
        <v>-1</v>
      </c>
      <c r="AV687" s="95">
        <v>-1</v>
      </c>
      <c r="AW687" s="89"/>
      <c r="AX687" s="89"/>
      <c r="AY687" s="89"/>
      <c r="AZ687" s="89"/>
      <c r="BA687" s="89"/>
      <c r="BB687" s="89"/>
      <c r="BC687" s="89"/>
      <c r="BD687" s="89"/>
      <c r="BE687" s="89"/>
      <c r="BF687" s="89"/>
      <c r="BG687" s="89"/>
      <c r="BH687" s="89"/>
      <c r="BI687" s="89"/>
      <c r="BJ687" s="89"/>
      <c r="BK687" s="89"/>
      <c r="BL687" s="89"/>
      <c r="BM687" s="89"/>
      <c r="BN687" s="89"/>
      <c r="BO687" s="89"/>
      <c r="BP687" s="89"/>
      <c r="BQ687" s="89"/>
      <c r="BR687" s="89"/>
      <c r="BS687" s="89"/>
      <c r="BT687" s="89"/>
      <c r="BU687" s="89"/>
      <c r="BV687" s="89"/>
      <c r="BW687" s="89"/>
      <c r="BX687" s="89"/>
      <c r="BY687" s="89"/>
      <c r="BZ687" s="89"/>
      <c r="CA687" s="89"/>
      <c r="CB687" s="89"/>
      <c r="CC687" s="89"/>
      <c r="CD687" s="89"/>
      <c r="CE687" s="89"/>
      <c r="CF687" s="89"/>
      <c r="CG687" s="89"/>
      <c r="CH687" s="89"/>
      <c r="CI687" s="89"/>
      <c r="CJ687" s="89"/>
      <c r="CK687" s="89"/>
      <c r="CL687" s="89"/>
      <c r="CM687" s="89"/>
      <c r="CN687" s="89"/>
      <c r="CO687" s="89"/>
      <c r="CP687" s="89"/>
      <c r="CQ687" s="89"/>
      <c r="CR687" s="89"/>
      <c r="CS687" s="89"/>
      <c r="CT687" s="89"/>
      <c r="CU687" s="89"/>
      <c r="CV687" s="89"/>
      <c r="CW687" s="89"/>
      <c r="CX687" s="89"/>
      <c r="CY687" s="89"/>
      <c r="CZ687" s="98"/>
      <c r="DA687" s="98"/>
      <c r="DB687" s="98"/>
      <c r="DC687" s="98"/>
      <c r="DD687" s="98"/>
      <c r="DE687" s="98"/>
      <c r="DF687" s="98"/>
      <c r="DG687" s="98"/>
      <c r="DH687" s="98"/>
      <c r="DI687" s="98"/>
      <c r="DJ687" s="98"/>
      <c r="DK687" s="98"/>
      <c r="DL687" s="98"/>
      <c r="DM687" s="98"/>
      <c r="DN687" s="98"/>
      <c r="DO687" s="98"/>
      <c r="DP687" s="98"/>
      <c r="DQ687" s="98"/>
      <c r="DR687" s="98"/>
      <c r="DS687" s="98"/>
      <c r="DT687" s="98"/>
      <c r="DU687" s="98"/>
      <c r="DV687" s="98"/>
      <c r="DW687" s="98"/>
      <c r="DX687" s="98"/>
      <c r="DY687" s="98"/>
      <c r="DZ687" s="98"/>
      <c r="EA687" s="98"/>
      <c r="EB687" s="98"/>
      <c r="EC687" s="98"/>
      <c r="ED687" s="98"/>
    </row>
    <row r="688" spans="1:134" ht="11.25" customHeight="1" x14ac:dyDescent="0.3">
      <c r="A688" s="28">
        <v>2022</v>
      </c>
      <c r="B688" s="89" t="s">
        <v>7050</v>
      </c>
      <c r="C688" s="89">
        <v>2025</v>
      </c>
      <c r="D688" s="89" t="s">
        <v>184</v>
      </c>
      <c r="E688" s="89">
        <v>2</v>
      </c>
      <c r="F688" s="90" t="str">
        <f t="shared" si="8"/>
        <v>VED-02-2025-BR-2</v>
      </c>
      <c r="G688" s="90" t="s">
        <v>4569</v>
      </c>
      <c r="H688" s="90" t="s">
        <v>4347</v>
      </c>
      <c r="I688" s="90"/>
      <c r="J688" s="89" t="s">
        <v>7094</v>
      </c>
      <c r="K688" s="102"/>
      <c r="L688" s="102"/>
      <c r="M688" s="102"/>
      <c r="N688" s="90" t="s">
        <v>7095</v>
      </c>
      <c r="O688" s="89" t="s">
        <v>4554</v>
      </c>
      <c r="P688" s="89" t="s">
        <v>6171</v>
      </c>
      <c r="Q688" s="89" t="e">
        <f t="shared" ca="1" si="9"/>
        <v>#NAME?</v>
      </c>
      <c r="R688" s="39" t="s">
        <v>316</v>
      </c>
      <c r="S688" s="94">
        <v>2814338164</v>
      </c>
      <c r="T688" s="90" t="s">
        <v>315</v>
      </c>
      <c r="U688" s="94">
        <v>2013</v>
      </c>
      <c r="V688" s="97">
        <v>2</v>
      </c>
      <c r="W688" s="97">
        <v>2</v>
      </c>
      <c r="X688" s="97">
        <v>2</v>
      </c>
      <c r="Y688" s="97">
        <v>2</v>
      </c>
      <c r="Z688" s="97">
        <v>2</v>
      </c>
      <c r="AA688" s="97">
        <v>2</v>
      </c>
      <c r="AB688" s="97">
        <v>2</v>
      </c>
      <c r="AC688" s="97">
        <v>2</v>
      </c>
      <c r="AD688" s="97">
        <v>2</v>
      </c>
      <c r="AE688" s="97">
        <v>2</v>
      </c>
      <c r="AF688" s="97">
        <v>2</v>
      </c>
      <c r="AG688" s="97">
        <v>2</v>
      </c>
      <c r="AH688" s="97">
        <v>2</v>
      </c>
      <c r="AI688" s="99">
        <v>3</v>
      </c>
      <c r="AJ688" s="97">
        <v>-1</v>
      </c>
      <c r="AK688" s="97">
        <v>-1</v>
      </c>
      <c r="AL688" s="97">
        <v>-1</v>
      </c>
      <c r="AM688" s="97">
        <v>-1</v>
      </c>
      <c r="AN688" s="97">
        <v>-1</v>
      </c>
      <c r="AO688" s="97">
        <v>-1</v>
      </c>
      <c r="AP688" s="95">
        <v>-1</v>
      </c>
      <c r="AQ688" s="95">
        <v>-1</v>
      </c>
      <c r="AR688" s="95">
        <v>-1</v>
      </c>
      <c r="AS688" s="95">
        <v>-1</v>
      </c>
      <c r="AT688" s="95">
        <v>-1</v>
      </c>
      <c r="AU688" s="95">
        <v>-1</v>
      </c>
      <c r="AV688" s="95">
        <v>-1</v>
      </c>
      <c r="AW688" s="89"/>
      <c r="AX688" s="89"/>
      <c r="AY688" s="89"/>
      <c r="AZ688" s="89"/>
      <c r="BA688" s="89"/>
      <c r="BB688" s="89"/>
      <c r="BC688" s="89"/>
      <c r="BD688" s="89"/>
      <c r="BE688" s="89"/>
      <c r="BF688" s="89"/>
      <c r="BG688" s="89"/>
      <c r="BH688" s="89"/>
      <c r="BI688" s="89"/>
      <c r="BJ688" s="89"/>
      <c r="BK688" s="89"/>
      <c r="BL688" s="89"/>
      <c r="BM688" s="89"/>
      <c r="BN688" s="89"/>
      <c r="BO688" s="89"/>
      <c r="BP688" s="89"/>
      <c r="BQ688" s="89"/>
      <c r="BR688" s="89"/>
      <c r="BS688" s="89"/>
      <c r="BT688" s="89"/>
      <c r="BU688" s="89"/>
      <c r="BV688" s="89"/>
      <c r="BW688" s="89"/>
      <c r="BX688" s="89"/>
      <c r="BY688" s="89"/>
      <c r="BZ688" s="89"/>
      <c r="CA688" s="89"/>
      <c r="CB688" s="89"/>
      <c r="CC688" s="89"/>
      <c r="CD688" s="89"/>
      <c r="CE688" s="89"/>
      <c r="CF688" s="89"/>
      <c r="CG688" s="89"/>
      <c r="CH688" s="89"/>
      <c r="CI688" s="89"/>
      <c r="CJ688" s="89"/>
      <c r="CK688" s="89"/>
      <c r="CL688" s="89"/>
      <c r="CM688" s="89"/>
      <c r="CN688" s="89"/>
      <c r="CO688" s="89"/>
      <c r="CP688" s="89"/>
      <c r="CQ688" s="89"/>
      <c r="CR688" s="89"/>
      <c r="CS688" s="89"/>
      <c r="CT688" s="89"/>
      <c r="CU688" s="89"/>
      <c r="CV688" s="89"/>
      <c r="CW688" s="89"/>
      <c r="CX688" s="89"/>
      <c r="CY688" s="89"/>
      <c r="CZ688" s="98"/>
      <c r="DA688" s="98"/>
      <c r="DB688" s="98"/>
      <c r="DC688" s="98"/>
      <c r="DD688" s="98"/>
      <c r="DE688" s="98"/>
      <c r="DF688" s="98"/>
      <c r="DG688" s="98"/>
      <c r="DH688" s="98"/>
      <c r="DI688" s="98"/>
      <c r="DJ688" s="98"/>
      <c r="DK688" s="98"/>
      <c r="DL688" s="98"/>
      <c r="DM688" s="98"/>
      <c r="DN688" s="98"/>
      <c r="DO688" s="98"/>
      <c r="DP688" s="98"/>
      <c r="DQ688" s="98"/>
      <c r="DR688" s="98"/>
      <c r="DS688" s="98"/>
      <c r="DT688" s="98"/>
      <c r="DU688" s="98"/>
      <c r="DV688" s="98"/>
      <c r="DW688" s="98"/>
      <c r="DX688" s="98"/>
      <c r="DY688" s="98"/>
      <c r="DZ688" s="98"/>
      <c r="EA688" s="98"/>
      <c r="EB688" s="98"/>
      <c r="EC688" s="98"/>
      <c r="ED688" s="98"/>
    </row>
    <row r="689" spans="1:134" ht="11.25" customHeight="1" x14ac:dyDescent="0.3">
      <c r="A689" s="28" t="e">
        <f t="array" aca="1" ref="A689" ca="1">_xludf.XLOOKUP(S689,Master_Registrations!P:P,Master_Registrations!A:A,"")</f>
        <v>#NAME?</v>
      </c>
      <c r="B689" s="89" t="s">
        <v>7050</v>
      </c>
      <c r="C689" s="89">
        <v>2025</v>
      </c>
      <c r="D689" s="89" t="s">
        <v>184</v>
      </c>
      <c r="E689" s="89">
        <v>2</v>
      </c>
      <c r="F689" s="90" t="str">
        <f t="shared" si="8"/>
        <v>VED-02-2025-BR-2</v>
      </c>
      <c r="G689" s="90" t="s">
        <v>4569</v>
      </c>
      <c r="H689" s="90" t="s">
        <v>4347</v>
      </c>
      <c r="I689" s="90"/>
      <c r="J689" s="89" t="s">
        <v>7094</v>
      </c>
      <c r="K689" s="102"/>
      <c r="L689" s="102"/>
      <c r="M689" s="102"/>
      <c r="N689" s="90" t="s">
        <v>7095</v>
      </c>
      <c r="O689" s="89" t="s">
        <v>982</v>
      </c>
      <c r="P689" s="89" t="s">
        <v>4060</v>
      </c>
      <c r="Q689" s="89" t="e">
        <f t="shared" ca="1" si="9"/>
        <v>#NAME?</v>
      </c>
      <c r="R689" s="39" t="s">
        <v>316</v>
      </c>
      <c r="S689" s="94">
        <v>5126691143</v>
      </c>
      <c r="T689" s="90" t="s">
        <v>315</v>
      </c>
      <c r="U689" s="94">
        <v>2016</v>
      </c>
      <c r="V689" s="99">
        <v>2</v>
      </c>
      <c r="W689" s="99">
        <v>2</v>
      </c>
      <c r="X689" s="99">
        <v>2</v>
      </c>
      <c r="Y689" s="99">
        <v>2</v>
      </c>
      <c r="Z689" s="99">
        <v>2</v>
      </c>
      <c r="AA689" s="99">
        <v>2</v>
      </c>
      <c r="AB689" s="99">
        <v>2</v>
      </c>
      <c r="AC689" s="99">
        <v>2</v>
      </c>
      <c r="AD689" s="99">
        <v>2</v>
      </c>
      <c r="AE689" s="99">
        <v>2</v>
      </c>
      <c r="AF689" s="99">
        <v>2</v>
      </c>
      <c r="AG689" s="99">
        <v>2</v>
      </c>
      <c r="AH689" s="99">
        <v>2</v>
      </c>
      <c r="AI689" s="99">
        <v>4</v>
      </c>
      <c r="AJ689" s="95">
        <v>2</v>
      </c>
      <c r="AK689" s="95">
        <v>2</v>
      </c>
      <c r="AL689" s="95">
        <v>2</v>
      </c>
      <c r="AM689" s="95">
        <v>2</v>
      </c>
      <c r="AN689" s="99">
        <v>1</v>
      </c>
      <c r="AO689" s="99">
        <v>1</v>
      </c>
      <c r="AP689" s="99">
        <v>-1</v>
      </c>
      <c r="AQ689" s="99">
        <v>1</v>
      </c>
      <c r="AR689" s="99">
        <v>2</v>
      </c>
      <c r="AS689" s="99">
        <v>-1</v>
      </c>
      <c r="AT689" s="95">
        <v>-1</v>
      </c>
      <c r="AU689" s="99">
        <v>1</v>
      </c>
      <c r="AV689" s="95">
        <v>-1</v>
      </c>
      <c r="AW689" s="89"/>
      <c r="AX689" s="89"/>
      <c r="AY689" s="89"/>
      <c r="AZ689" s="89"/>
      <c r="BA689" s="89"/>
      <c r="BB689" s="89"/>
      <c r="BC689" s="89"/>
      <c r="BD689" s="89"/>
      <c r="BE689" s="89"/>
      <c r="BF689" s="89"/>
      <c r="BG689" s="89"/>
      <c r="BH689" s="89"/>
      <c r="BI689" s="89"/>
      <c r="BJ689" s="89"/>
      <c r="BK689" s="89"/>
      <c r="BL689" s="89"/>
      <c r="BM689" s="89"/>
      <c r="BN689" s="89"/>
      <c r="BO689" s="89"/>
      <c r="BP689" s="89"/>
      <c r="BQ689" s="89"/>
      <c r="BR689" s="89"/>
      <c r="BS689" s="89"/>
      <c r="BT689" s="89"/>
      <c r="BU689" s="89"/>
      <c r="BV689" s="89"/>
      <c r="BW689" s="89"/>
      <c r="BX689" s="89"/>
      <c r="BY689" s="89"/>
      <c r="BZ689" s="89"/>
      <c r="CA689" s="89"/>
      <c r="CB689" s="89"/>
      <c r="CC689" s="89"/>
      <c r="CD689" s="89"/>
      <c r="CE689" s="89"/>
      <c r="CF689" s="89"/>
      <c r="CG689" s="89"/>
      <c r="CH689" s="89"/>
      <c r="CI689" s="89"/>
      <c r="CJ689" s="89"/>
      <c r="CK689" s="89"/>
      <c r="CL689" s="89"/>
      <c r="CM689" s="89"/>
      <c r="CN689" s="89"/>
      <c r="CO689" s="89"/>
      <c r="CP689" s="89"/>
      <c r="CQ689" s="89"/>
      <c r="CR689" s="89"/>
      <c r="CS689" s="89"/>
      <c r="CT689" s="89"/>
      <c r="CU689" s="89"/>
      <c r="CV689" s="89"/>
      <c r="CW689" s="89"/>
      <c r="CX689" s="89"/>
      <c r="CY689" s="89"/>
      <c r="CZ689" s="98"/>
      <c r="DA689" s="98"/>
      <c r="DB689" s="98"/>
      <c r="DC689" s="98"/>
      <c r="DD689" s="98"/>
      <c r="DE689" s="98"/>
      <c r="DF689" s="98"/>
      <c r="DG689" s="98"/>
      <c r="DH689" s="98"/>
      <c r="DI689" s="98"/>
      <c r="DJ689" s="98"/>
      <c r="DK689" s="98"/>
      <c r="DL689" s="98"/>
      <c r="DM689" s="98"/>
      <c r="DN689" s="98"/>
      <c r="DO689" s="98"/>
      <c r="DP689" s="98"/>
      <c r="DQ689" s="98"/>
      <c r="DR689" s="98"/>
      <c r="DS689" s="98"/>
      <c r="DT689" s="98"/>
      <c r="DU689" s="98"/>
      <c r="DV689" s="98"/>
      <c r="DW689" s="98"/>
      <c r="DX689" s="98"/>
      <c r="DY689" s="98"/>
      <c r="DZ689" s="98"/>
      <c r="EA689" s="98"/>
      <c r="EB689" s="98"/>
      <c r="EC689" s="98"/>
      <c r="ED689" s="98"/>
    </row>
    <row r="690" spans="1:134" ht="11.25" customHeight="1" x14ac:dyDescent="0.3">
      <c r="A690" s="28" t="e">
        <f t="array" aca="1" ref="A690" ca="1">_xludf.XLOOKUP(S690,Master_Registrations!P:P,Master_Registrations!A:A,"")</f>
        <v>#NAME?</v>
      </c>
      <c r="B690" s="89" t="s">
        <v>7050</v>
      </c>
      <c r="C690" s="89">
        <v>2025</v>
      </c>
      <c r="D690" s="89" t="s">
        <v>184</v>
      </c>
      <c r="E690" s="89">
        <v>2</v>
      </c>
      <c r="F690" s="90" t="str">
        <f t="shared" si="8"/>
        <v>VED-02-2025-BR-2</v>
      </c>
      <c r="G690" s="90" t="s">
        <v>4569</v>
      </c>
      <c r="H690" s="90" t="s">
        <v>4347</v>
      </c>
      <c r="I690" s="90"/>
      <c r="J690" s="89" t="s">
        <v>7094</v>
      </c>
      <c r="K690" s="101"/>
      <c r="L690" s="101"/>
      <c r="M690" s="101"/>
      <c r="N690" s="90" t="s">
        <v>7095</v>
      </c>
      <c r="O690" s="89" t="s">
        <v>1627</v>
      </c>
      <c r="P690" s="89" t="s">
        <v>1628</v>
      </c>
      <c r="Q690" s="89" t="e">
        <f t="shared" ca="1" si="9"/>
        <v>#NAME?</v>
      </c>
      <c r="R690" s="39" t="s">
        <v>316</v>
      </c>
      <c r="S690" s="94">
        <v>9394505050</v>
      </c>
      <c r="T690" s="90" t="s">
        <v>402</v>
      </c>
      <c r="U690" s="94">
        <v>2012</v>
      </c>
      <c r="V690" s="99">
        <v>-1</v>
      </c>
      <c r="W690" s="99">
        <v>-1</v>
      </c>
      <c r="X690" s="99">
        <v>-1</v>
      </c>
      <c r="Y690" s="99">
        <v>-1</v>
      </c>
      <c r="Z690" s="99">
        <v>-1</v>
      </c>
      <c r="AA690" s="99">
        <v>-1</v>
      </c>
      <c r="AB690" s="99">
        <v>-1</v>
      </c>
      <c r="AC690" s="95">
        <v>-1</v>
      </c>
      <c r="AD690" s="95">
        <v>-1</v>
      </c>
      <c r="AE690" s="99">
        <v>-1</v>
      </c>
      <c r="AF690" s="99">
        <v>-1</v>
      </c>
      <c r="AG690" s="99">
        <v>-1</v>
      </c>
      <c r="AH690" s="99">
        <v>-1</v>
      </c>
      <c r="AI690" s="96">
        <v>-1</v>
      </c>
      <c r="AJ690" s="89"/>
      <c r="AK690" s="89"/>
      <c r="AL690" s="89"/>
      <c r="AM690" s="89"/>
      <c r="AN690" s="89"/>
      <c r="AO690" s="89"/>
      <c r="AP690" s="89"/>
      <c r="AQ690" s="89"/>
      <c r="AR690" s="89"/>
      <c r="AS690" s="89"/>
      <c r="AT690" s="89"/>
      <c r="AU690" s="89"/>
      <c r="AV690" s="89"/>
      <c r="AW690" s="89"/>
      <c r="AX690" s="89"/>
      <c r="AY690" s="89"/>
      <c r="AZ690" s="89"/>
      <c r="BA690" s="89"/>
      <c r="BB690" s="89"/>
      <c r="BC690" s="89"/>
      <c r="BD690" s="89"/>
      <c r="BE690" s="89"/>
      <c r="BF690" s="89"/>
      <c r="BG690" s="89"/>
      <c r="BH690" s="89"/>
      <c r="BI690" s="89"/>
      <c r="BJ690" s="89"/>
      <c r="BK690" s="89"/>
      <c r="BL690" s="89"/>
      <c r="BM690" s="89"/>
      <c r="BN690" s="89"/>
      <c r="BO690" s="89"/>
      <c r="BP690" s="89"/>
      <c r="BQ690" s="89"/>
      <c r="BR690" s="89"/>
      <c r="BS690" s="89"/>
      <c r="BT690" s="89"/>
      <c r="BU690" s="89"/>
      <c r="BV690" s="89"/>
      <c r="BW690" s="89"/>
      <c r="BX690" s="89"/>
      <c r="BY690" s="89"/>
      <c r="BZ690" s="89"/>
      <c r="CA690" s="89"/>
      <c r="CB690" s="89"/>
      <c r="CC690" s="89"/>
      <c r="CD690" s="89"/>
      <c r="CE690" s="89"/>
      <c r="CF690" s="89"/>
      <c r="CG690" s="89"/>
      <c r="CH690" s="89"/>
      <c r="CI690" s="89"/>
      <c r="CJ690" s="89"/>
      <c r="CK690" s="89"/>
      <c r="CL690" s="89"/>
      <c r="CM690" s="89"/>
      <c r="CN690" s="89"/>
      <c r="CO690" s="89"/>
      <c r="CP690" s="89"/>
      <c r="CQ690" s="89"/>
      <c r="CR690" s="89"/>
      <c r="CS690" s="89"/>
      <c r="CT690" s="89"/>
      <c r="CU690" s="89"/>
      <c r="CV690" s="89"/>
      <c r="CW690" s="89"/>
      <c r="CX690" s="89"/>
      <c r="CY690" s="89"/>
      <c r="CZ690" s="98"/>
      <c r="DA690" s="98"/>
      <c r="DB690" s="98"/>
      <c r="DC690" s="98"/>
      <c r="DD690" s="98"/>
      <c r="DE690" s="98"/>
      <c r="DF690" s="98"/>
      <c r="DG690" s="98"/>
      <c r="DH690" s="98"/>
      <c r="DI690" s="98"/>
      <c r="DJ690" s="98"/>
      <c r="DK690" s="98"/>
      <c r="DL690" s="98"/>
      <c r="DM690" s="98"/>
      <c r="DN690" s="98"/>
      <c r="DO690" s="98"/>
      <c r="DP690" s="98"/>
      <c r="DQ690" s="98"/>
      <c r="DR690" s="98"/>
      <c r="DS690" s="98"/>
      <c r="DT690" s="98"/>
      <c r="DU690" s="98"/>
      <c r="DV690" s="98"/>
      <c r="DW690" s="98"/>
      <c r="DX690" s="98"/>
      <c r="DY690" s="98"/>
      <c r="DZ690" s="98"/>
      <c r="EA690" s="98"/>
      <c r="EB690" s="98"/>
      <c r="EC690" s="98"/>
      <c r="ED690" s="98"/>
    </row>
    <row r="691" spans="1:134" ht="11.25" customHeight="1" x14ac:dyDescent="0.3">
      <c r="A691" s="28" t="e">
        <f t="array" aca="1" ref="A691" ca="1">_xludf.XLOOKUP(S691,Master_Registrations!P:P,Master_Registrations!A:A,"")</f>
        <v>#NAME?</v>
      </c>
      <c r="B691" s="89" t="s">
        <v>7050</v>
      </c>
      <c r="C691" s="89">
        <v>2026</v>
      </c>
      <c r="D691" s="89" t="s">
        <v>4886</v>
      </c>
      <c r="E691" s="89">
        <v>3</v>
      </c>
      <c r="F691" s="90" t="str">
        <f t="shared" si="8"/>
        <v>VED-02-2026-GR-3</v>
      </c>
      <c r="G691" s="89" t="s">
        <v>4750</v>
      </c>
      <c r="H691" s="89" t="s">
        <v>6768</v>
      </c>
      <c r="I691" s="89"/>
      <c r="J691" s="89" t="s">
        <v>7094</v>
      </c>
      <c r="K691" s="99"/>
      <c r="L691" s="99"/>
      <c r="M691" s="99"/>
      <c r="N691" s="90" t="s">
        <v>7095</v>
      </c>
      <c r="O691" s="89" t="s">
        <v>6372</v>
      </c>
      <c r="P691" s="89" t="s">
        <v>2592</v>
      </c>
      <c r="Q691" s="89" t="e">
        <f t="shared" ca="1" si="9"/>
        <v>#NAME?</v>
      </c>
      <c r="R691" s="39" t="s">
        <v>112</v>
      </c>
      <c r="S691" s="89">
        <v>9618014676</v>
      </c>
      <c r="T691" s="90" t="s">
        <v>111</v>
      </c>
      <c r="U691" s="89">
        <v>1987</v>
      </c>
      <c r="V691" s="99">
        <v>2</v>
      </c>
      <c r="W691" s="99">
        <v>2</v>
      </c>
      <c r="X691" s="99">
        <v>1</v>
      </c>
      <c r="Y691" s="99">
        <v>2</v>
      </c>
      <c r="Z691" s="99">
        <v>2</v>
      </c>
      <c r="AA691" s="99">
        <v>2</v>
      </c>
      <c r="AB691" s="99">
        <v>1</v>
      </c>
      <c r="AC691" s="99">
        <v>1</v>
      </c>
      <c r="AD691" s="99">
        <v>2</v>
      </c>
      <c r="AE691" s="99">
        <v>1</v>
      </c>
      <c r="AF691" s="99">
        <v>1</v>
      </c>
      <c r="AG691" s="99">
        <v>1</v>
      </c>
      <c r="AH691" s="99">
        <v>1</v>
      </c>
      <c r="AI691" s="95">
        <v>-1</v>
      </c>
      <c r="AJ691" s="99">
        <v>2</v>
      </c>
      <c r="AK691" s="99">
        <v>2</v>
      </c>
      <c r="AL691" s="99">
        <v>1</v>
      </c>
      <c r="AM691" s="99">
        <v>1</v>
      </c>
      <c r="AN691" s="99">
        <v>1</v>
      </c>
      <c r="AO691" s="99">
        <v>1</v>
      </c>
      <c r="AP691" s="99">
        <v>1</v>
      </c>
      <c r="AQ691" s="99">
        <v>1</v>
      </c>
      <c r="AR691" s="99">
        <v>2</v>
      </c>
      <c r="AS691" s="99">
        <v>1</v>
      </c>
      <c r="AT691" s="99">
        <v>-1</v>
      </c>
      <c r="AU691" s="99">
        <v>1</v>
      </c>
      <c r="AV691" s="95">
        <v>-1</v>
      </c>
      <c r="AW691" s="99">
        <v>1</v>
      </c>
      <c r="AX691" s="100">
        <v>1</v>
      </c>
      <c r="AY691" s="99">
        <v>1</v>
      </c>
      <c r="AZ691" s="95">
        <v>-1</v>
      </c>
      <c r="BA691" s="95">
        <v>-1</v>
      </c>
      <c r="BB691" s="95">
        <v>-1</v>
      </c>
      <c r="BC691" s="95">
        <v>-1</v>
      </c>
      <c r="BD691" s="95">
        <v>-1</v>
      </c>
      <c r="BE691" s="95">
        <v>-1</v>
      </c>
      <c r="BF691" s="95">
        <v>-1</v>
      </c>
      <c r="BG691" s="89"/>
      <c r="BH691" s="89"/>
      <c r="BI691" s="89"/>
      <c r="BJ691" s="89"/>
      <c r="BK691" s="89"/>
      <c r="BL691" s="89"/>
      <c r="BM691" s="89"/>
      <c r="BN691" s="89"/>
      <c r="BO691" s="89"/>
      <c r="BP691" s="89"/>
      <c r="BQ691" s="89"/>
      <c r="BR691" s="89"/>
      <c r="BS691" s="89"/>
      <c r="BT691" s="89"/>
      <c r="BU691" s="89"/>
      <c r="BV691" s="89"/>
      <c r="BW691" s="89"/>
      <c r="BX691" s="89"/>
      <c r="BY691" s="89"/>
      <c r="BZ691" s="89"/>
      <c r="CA691" s="89"/>
      <c r="CB691" s="89"/>
      <c r="CC691" s="89"/>
      <c r="CD691" s="89"/>
      <c r="CE691" s="89"/>
      <c r="CF691" s="89"/>
      <c r="CG691" s="89"/>
      <c r="CH691" s="89"/>
      <c r="CI691" s="89"/>
      <c r="CJ691" s="89"/>
      <c r="CK691" s="89"/>
      <c r="CL691" s="89"/>
      <c r="CM691" s="89"/>
      <c r="CN691" s="89"/>
      <c r="CO691" s="89"/>
      <c r="CP691" s="89"/>
      <c r="CQ691" s="89"/>
      <c r="CR691" s="89"/>
      <c r="CS691" s="89"/>
      <c r="CT691" s="89"/>
      <c r="CU691" s="89"/>
      <c r="CV691" s="89"/>
      <c r="CW691" s="89"/>
      <c r="CX691" s="89"/>
      <c r="CY691" s="89"/>
      <c r="CZ691" s="98"/>
      <c r="DA691" s="98"/>
      <c r="DB691" s="98"/>
      <c r="DC691" s="98"/>
      <c r="DD691" s="98"/>
      <c r="DE691" s="98"/>
      <c r="DF691" s="98"/>
      <c r="DG691" s="98"/>
      <c r="DH691" s="98"/>
      <c r="DI691" s="98"/>
      <c r="DJ691" s="98"/>
      <c r="DK691" s="98"/>
      <c r="DL691" s="98"/>
      <c r="DM691" s="98"/>
      <c r="DN691" s="98"/>
      <c r="DO691" s="98"/>
      <c r="DP691" s="98"/>
      <c r="DQ691" s="98"/>
      <c r="DR691" s="98"/>
      <c r="DS691" s="98"/>
      <c r="DT691" s="98"/>
      <c r="DU691" s="98"/>
      <c r="DV691" s="98"/>
      <c r="DW691" s="98"/>
      <c r="DX691" s="98"/>
      <c r="DY691" s="98"/>
      <c r="DZ691" s="98"/>
      <c r="EA691" s="98"/>
      <c r="EB691" s="98"/>
      <c r="EC691" s="98"/>
      <c r="ED691" s="98"/>
    </row>
    <row r="692" spans="1:134" ht="11.25" customHeight="1" x14ac:dyDescent="0.3">
      <c r="A692" s="28" t="e">
        <f t="array" aca="1" ref="A692" ca="1">_xludf.XLOOKUP(S692,Master_Registrations!P:P,Master_Registrations!A:A,"")</f>
        <v>#NAME?</v>
      </c>
      <c r="B692" s="89" t="s">
        <v>7050</v>
      </c>
      <c r="C692" s="89">
        <v>2026</v>
      </c>
      <c r="D692" s="89" t="s">
        <v>4886</v>
      </c>
      <c r="E692" s="89">
        <v>3</v>
      </c>
      <c r="F692" s="90" t="str">
        <f t="shared" si="8"/>
        <v>VED-02-2026-GR-3</v>
      </c>
      <c r="G692" s="89" t="s">
        <v>4750</v>
      </c>
      <c r="H692" s="89" t="s">
        <v>6768</v>
      </c>
      <c r="I692" s="89"/>
      <c r="J692" s="89" t="s">
        <v>7094</v>
      </c>
      <c r="K692" s="99"/>
      <c r="L692" s="99"/>
      <c r="M692" s="99"/>
      <c r="N692" s="90" t="s">
        <v>7095</v>
      </c>
      <c r="O692" s="89" t="s">
        <v>1534</v>
      </c>
      <c r="P692" s="89" t="s">
        <v>1535</v>
      </c>
      <c r="Q692" s="89" t="e">
        <f t="shared" ca="1" si="9"/>
        <v>#NAME?</v>
      </c>
      <c r="R692" s="39" t="s">
        <v>112</v>
      </c>
      <c r="S692" s="89">
        <v>9884178605</v>
      </c>
      <c r="T692" s="90" t="s">
        <v>111</v>
      </c>
      <c r="U692" s="89">
        <v>1989</v>
      </c>
      <c r="V692" s="99">
        <v>2</v>
      </c>
      <c r="W692" s="99">
        <v>2</v>
      </c>
      <c r="X692" s="99">
        <v>2</v>
      </c>
      <c r="Y692" s="99">
        <v>1</v>
      </c>
      <c r="Z692" s="99">
        <v>2</v>
      </c>
      <c r="AA692" s="99">
        <v>1</v>
      </c>
      <c r="AB692" s="99">
        <v>2</v>
      </c>
      <c r="AC692" s="99">
        <v>2</v>
      </c>
      <c r="AD692" s="99">
        <v>1</v>
      </c>
      <c r="AE692" s="99">
        <v>2</v>
      </c>
      <c r="AF692" s="99">
        <v>2</v>
      </c>
      <c r="AG692" s="99">
        <v>2</v>
      </c>
      <c r="AH692" s="99">
        <v>1</v>
      </c>
      <c r="AI692" s="95">
        <v>-1</v>
      </c>
      <c r="AJ692" s="99">
        <v>2</v>
      </c>
      <c r="AK692" s="99">
        <v>2</v>
      </c>
      <c r="AL692" s="99">
        <v>1</v>
      </c>
      <c r="AM692" s="99">
        <v>1</v>
      </c>
      <c r="AN692" s="99">
        <v>1</v>
      </c>
      <c r="AO692" s="99">
        <v>2</v>
      </c>
      <c r="AP692" s="99">
        <v>2</v>
      </c>
      <c r="AQ692" s="99">
        <v>2</v>
      </c>
      <c r="AR692" s="99">
        <v>2</v>
      </c>
      <c r="AS692" s="99">
        <v>2</v>
      </c>
      <c r="AT692" s="99">
        <v>1</v>
      </c>
      <c r="AU692" s="99">
        <v>1</v>
      </c>
      <c r="AV692" s="95">
        <v>-1</v>
      </c>
      <c r="AW692" s="99">
        <v>2</v>
      </c>
      <c r="AX692" s="95">
        <v>-1</v>
      </c>
      <c r="AY692" s="99">
        <v>1</v>
      </c>
      <c r="AZ692" s="95">
        <v>-1</v>
      </c>
      <c r="BA692" s="95">
        <v>-1</v>
      </c>
      <c r="BB692" s="95">
        <v>-1</v>
      </c>
      <c r="BC692" s="99">
        <v>-1</v>
      </c>
      <c r="BD692" s="95">
        <v>-1</v>
      </c>
      <c r="BE692" s="95">
        <v>-1</v>
      </c>
      <c r="BF692" s="95">
        <v>-1</v>
      </c>
      <c r="BG692" s="89"/>
      <c r="BH692" s="89"/>
      <c r="BI692" s="89"/>
      <c r="BJ692" s="89"/>
      <c r="BK692" s="89"/>
      <c r="BL692" s="89"/>
      <c r="BM692" s="89"/>
      <c r="BN692" s="89"/>
      <c r="BO692" s="89"/>
      <c r="BP692" s="89"/>
      <c r="BQ692" s="89"/>
      <c r="BR692" s="89"/>
      <c r="BS692" s="89"/>
      <c r="BT692" s="89"/>
      <c r="BU692" s="89"/>
      <c r="BV692" s="89"/>
      <c r="BW692" s="89"/>
      <c r="BX692" s="89"/>
      <c r="BY692" s="89"/>
      <c r="BZ692" s="89"/>
      <c r="CA692" s="89"/>
      <c r="CB692" s="89"/>
      <c r="CC692" s="89"/>
      <c r="CD692" s="89"/>
      <c r="CE692" s="89"/>
      <c r="CF692" s="89"/>
      <c r="CG692" s="89"/>
      <c r="CH692" s="89"/>
      <c r="CI692" s="89"/>
      <c r="CJ692" s="89"/>
      <c r="CK692" s="89"/>
      <c r="CL692" s="89"/>
      <c r="CM692" s="89"/>
      <c r="CN692" s="89"/>
      <c r="CO692" s="89"/>
      <c r="CP692" s="89"/>
      <c r="CQ692" s="89"/>
      <c r="CR692" s="89"/>
      <c r="CS692" s="89"/>
      <c r="CT692" s="89"/>
      <c r="CU692" s="89"/>
      <c r="CV692" s="89"/>
      <c r="CW692" s="89"/>
      <c r="CX692" s="89"/>
      <c r="CY692" s="89"/>
      <c r="CZ692" s="98"/>
      <c r="DA692" s="98"/>
      <c r="DB692" s="98"/>
      <c r="DC692" s="98"/>
      <c r="DD692" s="98"/>
      <c r="DE692" s="98"/>
      <c r="DF692" s="98"/>
      <c r="DG692" s="98"/>
      <c r="DH692" s="98"/>
      <c r="DI692" s="98"/>
      <c r="DJ692" s="98"/>
      <c r="DK692" s="98"/>
      <c r="DL692" s="98"/>
      <c r="DM692" s="98"/>
      <c r="DN692" s="98"/>
      <c r="DO692" s="98"/>
      <c r="DP692" s="98"/>
      <c r="DQ692" s="98"/>
      <c r="DR692" s="98"/>
      <c r="DS692" s="98"/>
      <c r="DT692" s="98"/>
      <c r="DU692" s="98"/>
      <c r="DV692" s="98"/>
      <c r="DW692" s="98"/>
      <c r="DX692" s="98"/>
      <c r="DY692" s="98"/>
      <c r="DZ692" s="98"/>
      <c r="EA692" s="98"/>
      <c r="EB692" s="98"/>
      <c r="EC692" s="98"/>
      <c r="ED692" s="98"/>
    </row>
    <row r="693" spans="1:134" ht="11.25" customHeight="1" x14ac:dyDescent="0.3">
      <c r="A693" s="28" t="e">
        <f t="array" aca="1" ref="A693" ca="1">_xludf.XLOOKUP(S693,Master_Registrations!P:P,Master_Registrations!A:A,"")</f>
        <v>#NAME?</v>
      </c>
      <c r="B693" s="89" t="s">
        <v>3302</v>
      </c>
      <c r="C693" s="89">
        <v>2022</v>
      </c>
      <c r="D693" s="89" t="s">
        <v>184</v>
      </c>
      <c r="E693" s="89">
        <v>1</v>
      </c>
      <c r="F693" s="90" t="str">
        <f t="shared" si="8"/>
        <v>VED-03-2022-BR-1</v>
      </c>
      <c r="G693" s="90" t="s">
        <v>7073</v>
      </c>
      <c r="H693" s="90" t="s">
        <v>4750</v>
      </c>
      <c r="I693" s="90"/>
      <c r="J693" s="89" t="s">
        <v>7094</v>
      </c>
      <c r="K693" s="102"/>
      <c r="L693" s="102"/>
      <c r="M693" s="102"/>
      <c r="N693" s="90" t="s">
        <v>7095</v>
      </c>
      <c r="O693" s="89" t="s">
        <v>1380</v>
      </c>
      <c r="P693" s="89" t="s">
        <v>1914</v>
      </c>
      <c r="Q693" s="89" t="e">
        <f t="shared" ca="1" si="9"/>
        <v>#NAME?</v>
      </c>
      <c r="R693" s="39" t="s">
        <v>316</v>
      </c>
      <c r="S693" s="94">
        <v>6616703089</v>
      </c>
      <c r="T693" s="90" t="s">
        <v>474</v>
      </c>
      <c r="U693" s="94">
        <v>2005</v>
      </c>
      <c r="V693" s="97">
        <v>2</v>
      </c>
      <c r="W693" s="97">
        <v>2</v>
      </c>
      <c r="X693" s="97">
        <v>2</v>
      </c>
      <c r="Y693" s="97">
        <v>2</v>
      </c>
      <c r="Z693" s="97">
        <v>2</v>
      </c>
      <c r="AA693" s="97">
        <v>2</v>
      </c>
      <c r="AB693" s="97">
        <v>2</v>
      </c>
      <c r="AC693" s="97">
        <v>2</v>
      </c>
      <c r="AD693" s="97">
        <v>2</v>
      </c>
      <c r="AE693" s="97">
        <v>2</v>
      </c>
      <c r="AF693" s="97">
        <v>2</v>
      </c>
      <c r="AG693" s="97">
        <v>2</v>
      </c>
      <c r="AH693" s="97">
        <v>2</v>
      </c>
      <c r="AI693" s="97">
        <v>4</v>
      </c>
      <c r="AJ693" s="97">
        <v>2</v>
      </c>
      <c r="AK693" s="97">
        <v>2</v>
      </c>
      <c r="AL693" s="97">
        <v>2</v>
      </c>
      <c r="AM693" s="97">
        <v>2</v>
      </c>
      <c r="AN693" s="97">
        <v>2</v>
      </c>
      <c r="AO693" s="97">
        <v>2</v>
      </c>
      <c r="AP693" s="97">
        <v>2</v>
      </c>
      <c r="AQ693" s="97">
        <v>2</v>
      </c>
      <c r="AR693" s="97">
        <v>2</v>
      </c>
      <c r="AS693" s="97">
        <v>2</v>
      </c>
      <c r="AT693" s="97">
        <v>2</v>
      </c>
      <c r="AU693" s="97">
        <v>2</v>
      </c>
      <c r="AV693" s="97">
        <v>4</v>
      </c>
      <c r="AW693" s="97">
        <v>-1</v>
      </c>
      <c r="AX693" s="97">
        <v>-1</v>
      </c>
      <c r="AY693" s="97">
        <v>2</v>
      </c>
      <c r="AZ693" s="97">
        <v>2</v>
      </c>
      <c r="BA693" s="97">
        <v>2</v>
      </c>
      <c r="BB693" s="97">
        <v>2</v>
      </c>
      <c r="BC693" s="95">
        <v>-1</v>
      </c>
      <c r="BD693" s="95">
        <v>-1</v>
      </c>
      <c r="BE693" s="95">
        <v>-1</v>
      </c>
      <c r="BF693" s="96">
        <v>-1</v>
      </c>
      <c r="BG693" s="97">
        <v>-1</v>
      </c>
      <c r="BH693" s="97">
        <v>-1</v>
      </c>
      <c r="BI693" s="97">
        <v>-1</v>
      </c>
      <c r="BJ693" s="96">
        <v>-1</v>
      </c>
      <c r="BK693" s="96">
        <v>-1</v>
      </c>
      <c r="BL693" s="96">
        <v>-1</v>
      </c>
      <c r="BM693" s="96">
        <v>-1</v>
      </c>
      <c r="BN693" s="89"/>
      <c r="BO693" s="89"/>
      <c r="BP693" s="89"/>
      <c r="BQ693" s="89"/>
      <c r="BR693" s="89"/>
      <c r="BS693" s="89"/>
      <c r="BT693" s="89"/>
      <c r="BU693" s="89"/>
      <c r="BV693" s="89"/>
      <c r="BW693" s="89"/>
      <c r="BX693" s="89"/>
      <c r="BY693" s="89"/>
      <c r="BZ693" s="89"/>
      <c r="CA693" s="89"/>
      <c r="CB693" s="89"/>
      <c r="CC693" s="89"/>
      <c r="CD693" s="89"/>
      <c r="CE693" s="89"/>
      <c r="CF693" s="89"/>
      <c r="CG693" s="89"/>
      <c r="CH693" s="89"/>
      <c r="CI693" s="89"/>
      <c r="CJ693" s="89"/>
      <c r="CK693" s="89"/>
      <c r="CL693" s="89"/>
      <c r="CM693" s="89"/>
      <c r="CN693" s="89"/>
      <c r="CO693" s="89"/>
      <c r="CP693" s="89"/>
      <c r="CQ693" s="89"/>
      <c r="CR693" s="89"/>
      <c r="CS693" s="89"/>
      <c r="CT693" s="89"/>
      <c r="CU693" s="89"/>
      <c r="CV693" s="89"/>
      <c r="CW693" s="89"/>
      <c r="CX693" s="89"/>
      <c r="CY693" s="89"/>
      <c r="CZ693" s="98"/>
      <c r="DA693" s="98"/>
      <c r="DB693" s="98"/>
      <c r="DC693" s="98"/>
      <c r="DD693" s="98"/>
      <c r="DE693" s="98"/>
      <c r="DF693" s="98"/>
      <c r="DG693" s="98"/>
      <c r="DH693" s="98"/>
      <c r="DI693" s="98"/>
      <c r="DJ693" s="98"/>
      <c r="DK693" s="98"/>
      <c r="DL693" s="98"/>
      <c r="DM693" s="98"/>
      <c r="DN693" s="98"/>
      <c r="DO693" s="98"/>
      <c r="DP693" s="98"/>
      <c r="DQ693" s="98"/>
      <c r="DR693" s="98"/>
      <c r="DS693" s="98"/>
      <c r="DT693" s="98"/>
      <c r="DU693" s="98"/>
      <c r="DV693" s="98"/>
      <c r="DW693" s="98"/>
      <c r="DX693" s="98"/>
      <c r="DY693" s="98"/>
      <c r="DZ693" s="98"/>
      <c r="EA693" s="98"/>
      <c r="EB693" s="98"/>
      <c r="EC693" s="98"/>
      <c r="ED693" s="98"/>
    </row>
    <row r="694" spans="1:134" ht="11.25" customHeight="1" x14ac:dyDescent="0.3">
      <c r="A694" s="28" t="e">
        <f t="array" aca="1" ref="A694" ca="1">_xludf.XLOOKUP(S694,Master_Registrations!P:P,Master_Registrations!A:A,"")</f>
        <v>#NAME?</v>
      </c>
      <c r="B694" s="89" t="s">
        <v>3302</v>
      </c>
      <c r="C694" s="89">
        <v>2022</v>
      </c>
      <c r="D694" s="89" t="s">
        <v>184</v>
      </c>
      <c r="E694" s="89">
        <v>2</v>
      </c>
      <c r="F694" s="90" t="str">
        <f t="shared" si="8"/>
        <v>VED-03-2022-BR-2</v>
      </c>
      <c r="G694" s="90" t="s">
        <v>4569</v>
      </c>
      <c r="H694" s="90" t="s">
        <v>4347</v>
      </c>
      <c r="I694" s="90"/>
      <c r="J694" s="89" t="s">
        <v>7094</v>
      </c>
      <c r="K694" s="102"/>
      <c r="L694" s="102"/>
      <c r="M694" s="102"/>
      <c r="N694" s="90" t="s">
        <v>7095</v>
      </c>
      <c r="O694" s="89" t="s">
        <v>5530</v>
      </c>
      <c r="P694" s="141" t="s">
        <v>5531</v>
      </c>
      <c r="Q694" s="89" t="e">
        <f t="shared" ca="1" si="9"/>
        <v>#NAME?</v>
      </c>
      <c r="R694" s="39" t="s">
        <v>316</v>
      </c>
      <c r="S694" s="94">
        <v>3468146821</v>
      </c>
      <c r="T694" s="90" t="s">
        <v>315</v>
      </c>
      <c r="U694" s="90">
        <v>1980</v>
      </c>
      <c r="V694" s="97">
        <v>2</v>
      </c>
      <c r="W694" s="97">
        <v>2</v>
      </c>
      <c r="X694" s="97">
        <v>2</v>
      </c>
      <c r="Y694" s="97">
        <v>2</v>
      </c>
      <c r="Z694" s="97">
        <v>2</v>
      </c>
      <c r="AA694" s="97">
        <v>2</v>
      </c>
      <c r="AB694" s="97">
        <v>2</v>
      </c>
      <c r="AC694" s="97">
        <v>2</v>
      </c>
      <c r="AD694" s="97">
        <v>2</v>
      </c>
      <c r="AE694" s="97">
        <v>2</v>
      </c>
      <c r="AF694" s="97">
        <v>2</v>
      </c>
      <c r="AG694" s="97">
        <v>2</v>
      </c>
      <c r="AH694" s="97">
        <v>2</v>
      </c>
      <c r="AI694" s="97">
        <v>3</v>
      </c>
      <c r="AJ694" s="97">
        <v>2</v>
      </c>
      <c r="AK694" s="97">
        <v>2</v>
      </c>
      <c r="AL694" s="97">
        <v>2</v>
      </c>
      <c r="AM694" s="97">
        <v>2</v>
      </c>
      <c r="AN694" s="97">
        <v>2</v>
      </c>
      <c r="AO694" s="97">
        <v>2</v>
      </c>
      <c r="AP694" s="97">
        <v>2</v>
      </c>
      <c r="AQ694" s="97">
        <v>2</v>
      </c>
      <c r="AR694" s="97">
        <v>2</v>
      </c>
      <c r="AS694" s="97">
        <v>2</v>
      </c>
      <c r="AT694" s="97">
        <v>2</v>
      </c>
      <c r="AU694" s="97">
        <v>2</v>
      </c>
      <c r="AV694" s="97">
        <v>3</v>
      </c>
      <c r="AW694" s="97">
        <v>-1</v>
      </c>
      <c r="AX694" s="95">
        <v>-1</v>
      </c>
      <c r="AY694" s="97">
        <v>2</v>
      </c>
      <c r="AZ694" s="97">
        <v>2</v>
      </c>
      <c r="BA694" s="97">
        <v>2</v>
      </c>
      <c r="BB694" s="97">
        <v>2</v>
      </c>
      <c r="BC694" s="97">
        <v>-1</v>
      </c>
      <c r="BD694" s="97">
        <v>-1</v>
      </c>
      <c r="BE694" s="97">
        <v>-1</v>
      </c>
      <c r="BF694" s="96">
        <v>-1</v>
      </c>
      <c r="BG694" s="97"/>
      <c r="BH694" s="97"/>
      <c r="BI694" s="97"/>
      <c r="BJ694" s="97"/>
      <c r="BK694" s="97"/>
      <c r="BL694" s="97"/>
      <c r="BM694" s="96"/>
      <c r="BN694" s="99"/>
      <c r="BO694" s="99"/>
      <c r="BP694" s="99"/>
      <c r="BQ694" s="99"/>
      <c r="BR694" s="99"/>
      <c r="BS694" s="97"/>
      <c r="BT694" s="97"/>
      <c r="BU694" s="97"/>
      <c r="BV694" s="106"/>
      <c r="BW694" s="89"/>
      <c r="BX694" s="89"/>
      <c r="BY694" s="89"/>
      <c r="BZ694" s="89"/>
      <c r="CA694" s="89"/>
      <c r="CB694" s="89"/>
      <c r="CC694" s="89"/>
      <c r="CD694" s="89"/>
      <c r="CE694" s="89"/>
      <c r="CF694" s="89"/>
      <c r="CG694" s="89"/>
      <c r="CH694" s="89"/>
      <c r="CI694" s="89"/>
      <c r="CJ694" s="89"/>
      <c r="CK694" s="89"/>
      <c r="CL694" s="89"/>
      <c r="CM694" s="89"/>
      <c r="CN694" s="89"/>
      <c r="CO694" s="89"/>
      <c r="CP694" s="89"/>
      <c r="CQ694" s="89"/>
      <c r="CR694" s="89"/>
      <c r="CS694" s="89"/>
      <c r="CT694" s="89"/>
      <c r="CU694" s="89"/>
      <c r="CV694" s="89"/>
      <c r="CW694" s="89"/>
      <c r="CX694" s="89"/>
      <c r="CY694" s="89"/>
      <c r="CZ694" s="98"/>
      <c r="DA694" s="98"/>
      <c r="DB694" s="98"/>
      <c r="DC694" s="98"/>
      <c r="DD694" s="98"/>
      <c r="DE694" s="98"/>
      <c r="DF694" s="98"/>
      <c r="DG694" s="98"/>
      <c r="DH694" s="98"/>
      <c r="DI694" s="98"/>
      <c r="DJ694" s="98"/>
      <c r="DK694" s="98"/>
      <c r="DL694" s="98"/>
      <c r="DM694" s="98"/>
      <c r="DN694" s="98"/>
      <c r="DO694" s="98"/>
      <c r="DP694" s="98"/>
      <c r="DQ694" s="98"/>
      <c r="DR694" s="98"/>
      <c r="DS694" s="98"/>
      <c r="DT694" s="98"/>
      <c r="DU694" s="98"/>
      <c r="DV694" s="98"/>
      <c r="DW694" s="98"/>
      <c r="DX694" s="98"/>
      <c r="DY694" s="98"/>
      <c r="DZ694" s="98"/>
      <c r="EA694" s="98"/>
      <c r="EB694" s="98"/>
      <c r="EC694" s="98"/>
      <c r="ED694" s="98"/>
    </row>
    <row r="695" spans="1:134" ht="11.25" customHeight="1" x14ac:dyDescent="0.3">
      <c r="A695" s="28" t="e">
        <f t="array" aca="1" ref="A695" ca="1">_xludf.XLOOKUP(S695,Master_Registrations!P:P,Master_Registrations!A:A,"")</f>
        <v>#NAME?</v>
      </c>
      <c r="B695" s="89" t="s">
        <v>3302</v>
      </c>
      <c r="C695" s="89">
        <v>2022</v>
      </c>
      <c r="D695" s="89" t="s">
        <v>4886</v>
      </c>
      <c r="E695" s="89">
        <v>2</v>
      </c>
      <c r="F695" s="90" t="str">
        <f t="shared" si="8"/>
        <v>VED-03-2022-GR-2</v>
      </c>
      <c r="G695" s="89" t="s">
        <v>4569</v>
      </c>
      <c r="H695" s="89" t="s">
        <v>7099</v>
      </c>
      <c r="I695" s="89"/>
      <c r="J695" s="89" t="s">
        <v>7094</v>
      </c>
      <c r="K695" s="93"/>
      <c r="L695" s="93"/>
      <c r="M695" s="93"/>
      <c r="N695" s="90" t="s">
        <v>7095</v>
      </c>
      <c r="O695" s="89" t="s">
        <v>5108</v>
      </c>
      <c r="P695" s="89" t="s">
        <v>5109</v>
      </c>
      <c r="Q695" s="89" t="e">
        <f t="shared" ca="1" si="9"/>
        <v>#NAME?</v>
      </c>
      <c r="R695" s="39" t="s">
        <v>112</v>
      </c>
      <c r="S695" s="94">
        <v>9573831069</v>
      </c>
      <c r="T695" s="90" t="s">
        <v>111</v>
      </c>
      <c r="U695" s="90">
        <v>1995</v>
      </c>
      <c r="V695" s="97">
        <v>2</v>
      </c>
      <c r="W695" s="97">
        <v>2</v>
      </c>
      <c r="X695" s="97">
        <v>2</v>
      </c>
      <c r="Y695" s="97">
        <v>2</v>
      </c>
      <c r="Z695" s="97">
        <v>2</v>
      </c>
      <c r="AA695" s="97">
        <v>2</v>
      </c>
      <c r="AB695" s="97">
        <v>2</v>
      </c>
      <c r="AC695" s="96">
        <v>2</v>
      </c>
      <c r="AD695" s="96">
        <v>2</v>
      </c>
      <c r="AE695" s="97">
        <v>2</v>
      </c>
      <c r="AF695" s="97">
        <v>2</v>
      </c>
      <c r="AG695" s="97">
        <v>2</v>
      </c>
      <c r="AH695" s="97">
        <v>2</v>
      </c>
      <c r="AI695" s="96">
        <v>-1</v>
      </c>
      <c r="AJ695" s="99">
        <v>2</v>
      </c>
      <c r="AK695" s="99">
        <v>2</v>
      </c>
      <c r="AL695" s="99">
        <v>2</v>
      </c>
      <c r="AM695" s="99">
        <v>2</v>
      </c>
      <c r="AN695" s="99">
        <v>2</v>
      </c>
      <c r="AO695" s="99">
        <v>2</v>
      </c>
      <c r="AP695" s="95">
        <v>-1</v>
      </c>
      <c r="AQ695" s="95">
        <v>-1</v>
      </c>
      <c r="AR695" s="99">
        <v>2</v>
      </c>
      <c r="AS695" s="95">
        <v>-1</v>
      </c>
      <c r="AT695" s="95">
        <v>-1</v>
      </c>
      <c r="AU695" s="99">
        <v>2</v>
      </c>
      <c r="AV695" s="95">
        <v>-1</v>
      </c>
      <c r="AW695" s="99">
        <v>-1</v>
      </c>
      <c r="AX695" s="95">
        <v>-1</v>
      </c>
      <c r="AY695" s="96">
        <v>1</v>
      </c>
      <c r="AZ695" s="96">
        <v>1</v>
      </c>
      <c r="BA695" s="97">
        <v>1</v>
      </c>
      <c r="BB695" s="97">
        <v>1</v>
      </c>
      <c r="BC695" s="99">
        <v>-1</v>
      </c>
      <c r="BD695" s="99">
        <v>-1</v>
      </c>
      <c r="BE695" s="95">
        <v>-1</v>
      </c>
      <c r="BF695" s="95">
        <v>-1</v>
      </c>
      <c r="BG695" s="89"/>
      <c r="BH695" s="89"/>
      <c r="BI695" s="89"/>
      <c r="BJ695" s="89"/>
      <c r="BK695" s="89"/>
      <c r="BL695" s="89"/>
      <c r="BM695" s="89"/>
      <c r="BN695" s="89"/>
      <c r="BO695" s="89"/>
      <c r="BP695" s="89"/>
      <c r="BQ695" s="89"/>
      <c r="BR695" s="89"/>
      <c r="BS695" s="89"/>
      <c r="BT695" s="89"/>
      <c r="BU695" s="89"/>
      <c r="BV695" s="89"/>
      <c r="BW695" s="89"/>
      <c r="BX695" s="89"/>
      <c r="BY695" s="89"/>
      <c r="BZ695" s="89"/>
      <c r="CA695" s="89"/>
      <c r="CB695" s="89"/>
      <c r="CC695" s="89"/>
      <c r="CD695" s="89"/>
      <c r="CE695" s="89"/>
      <c r="CF695" s="89"/>
      <c r="CG695" s="89"/>
      <c r="CH695" s="89"/>
      <c r="CI695" s="89"/>
      <c r="CJ695" s="89"/>
      <c r="CK695" s="89"/>
      <c r="CL695" s="89"/>
      <c r="CM695" s="89"/>
      <c r="CN695" s="89"/>
      <c r="CO695" s="89"/>
      <c r="CP695" s="89"/>
      <c r="CQ695" s="89"/>
      <c r="CR695" s="89"/>
      <c r="CS695" s="89"/>
      <c r="CT695" s="89"/>
      <c r="CU695" s="89"/>
      <c r="CV695" s="89"/>
      <c r="CW695" s="89"/>
      <c r="CX695" s="89"/>
      <c r="CY695" s="89"/>
      <c r="CZ695" s="98"/>
      <c r="DA695" s="98"/>
      <c r="DB695" s="98"/>
      <c r="DC695" s="98"/>
      <c r="DD695" s="98"/>
      <c r="DE695" s="98"/>
      <c r="DF695" s="98"/>
      <c r="DG695" s="98"/>
      <c r="DH695" s="98"/>
      <c r="DI695" s="98"/>
      <c r="DJ695" s="98"/>
      <c r="DK695" s="98"/>
      <c r="DL695" s="98"/>
      <c r="DM695" s="98"/>
      <c r="DN695" s="98"/>
      <c r="DO695" s="98"/>
      <c r="DP695" s="98"/>
      <c r="DQ695" s="98"/>
      <c r="DR695" s="98"/>
      <c r="DS695" s="98"/>
      <c r="DT695" s="98"/>
      <c r="DU695" s="98"/>
      <c r="DV695" s="98"/>
      <c r="DW695" s="98"/>
      <c r="DX695" s="98"/>
      <c r="DY695" s="98"/>
      <c r="DZ695" s="98"/>
      <c r="EA695" s="98"/>
      <c r="EB695" s="98"/>
      <c r="EC695" s="98"/>
      <c r="ED695" s="98"/>
    </row>
    <row r="696" spans="1:134" ht="11.25" customHeight="1" x14ac:dyDescent="0.3">
      <c r="A696" s="28" t="e">
        <f t="array" aca="1" ref="A696" ca="1">_xludf.XLOOKUP(S696,Master_Registrations!P:P,Master_Registrations!A:A,"")</f>
        <v>#NAME?</v>
      </c>
      <c r="B696" s="89" t="s">
        <v>3302</v>
      </c>
      <c r="C696" s="89">
        <v>2024</v>
      </c>
      <c r="D696" s="89" t="s">
        <v>184</v>
      </c>
      <c r="E696" s="89">
        <v>1</v>
      </c>
      <c r="F696" s="90" t="str">
        <f t="shared" si="8"/>
        <v>VED-03-2024-BR-1</v>
      </c>
      <c r="G696" s="90" t="s">
        <v>7073</v>
      </c>
      <c r="H696" s="90" t="s">
        <v>4750</v>
      </c>
      <c r="I696" s="90"/>
      <c r="J696" s="89" t="s">
        <v>7094</v>
      </c>
      <c r="K696" s="102"/>
      <c r="L696" s="102"/>
      <c r="M696" s="102"/>
      <c r="N696" s="90" t="s">
        <v>7095</v>
      </c>
      <c r="O696" s="89" t="s">
        <v>1380</v>
      </c>
      <c r="P696" s="89" t="s">
        <v>4771</v>
      </c>
      <c r="Q696" s="89" t="e">
        <f t="shared" ca="1" si="9"/>
        <v>#NAME?</v>
      </c>
      <c r="R696" s="39" t="s">
        <v>316</v>
      </c>
      <c r="S696" s="94">
        <v>8585884123</v>
      </c>
      <c r="T696" s="90" t="s">
        <v>474</v>
      </c>
      <c r="U696" s="94">
        <v>2009</v>
      </c>
      <c r="V696" s="97">
        <v>2</v>
      </c>
      <c r="W696" s="97">
        <v>2</v>
      </c>
      <c r="X696" s="97">
        <v>2</v>
      </c>
      <c r="Y696" s="97">
        <v>2</v>
      </c>
      <c r="Z696" s="97">
        <v>2</v>
      </c>
      <c r="AA696" s="97">
        <v>2</v>
      </c>
      <c r="AB696" s="97">
        <v>2</v>
      </c>
      <c r="AC696" s="97">
        <v>2</v>
      </c>
      <c r="AD696" s="97">
        <v>2</v>
      </c>
      <c r="AE696" s="97">
        <v>2</v>
      </c>
      <c r="AF696" s="97">
        <v>2</v>
      </c>
      <c r="AG696" s="97">
        <v>2</v>
      </c>
      <c r="AH696" s="97">
        <v>2</v>
      </c>
      <c r="AI696" s="97">
        <v>4</v>
      </c>
      <c r="AJ696" s="97">
        <v>2</v>
      </c>
      <c r="AK696" s="97">
        <v>2</v>
      </c>
      <c r="AL696" s="97">
        <v>2</v>
      </c>
      <c r="AM696" s="97">
        <v>2</v>
      </c>
      <c r="AN696" s="97">
        <v>2</v>
      </c>
      <c r="AO696" s="97">
        <v>2</v>
      </c>
      <c r="AP696" s="97">
        <v>2</v>
      </c>
      <c r="AQ696" s="97">
        <v>2</v>
      </c>
      <c r="AR696" s="97">
        <v>2</v>
      </c>
      <c r="AS696" s="97">
        <v>2</v>
      </c>
      <c r="AT696" s="97">
        <v>2</v>
      </c>
      <c r="AU696" s="97">
        <v>2</v>
      </c>
      <c r="AV696" s="97">
        <v>4</v>
      </c>
      <c r="AW696" s="99">
        <v>1</v>
      </c>
      <c r="AX696" s="100">
        <v>1</v>
      </c>
      <c r="AY696" s="97">
        <v>2</v>
      </c>
      <c r="AZ696" s="97">
        <v>2</v>
      </c>
      <c r="BA696" s="97">
        <v>2</v>
      </c>
      <c r="BB696" s="97">
        <v>2</v>
      </c>
      <c r="BC696" s="99">
        <v>1</v>
      </c>
      <c r="BD696" s="99">
        <v>1</v>
      </c>
      <c r="BE696" s="95">
        <v>-1</v>
      </c>
      <c r="BF696" s="96">
        <v>-1</v>
      </c>
      <c r="BG696" s="97">
        <v>1</v>
      </c>
      <c r="BH696" s="97">
        <v>1</v>
      </c>
      <c r="BI696" s="97">
        <v>1</v>
      </c>
      <c r="BJ696" s="96">
        <v>-1</v>
      </c>
      <c r="BK696" s="96">
        <v>-1</v>
      </c>
      <c r="BL696" s="96">
        <v>-1</v>
      </c>
      <c r="BM696" s="96">
        <v>-1</v>
      </c>
      <c r="BN696" s="89"/>
      <c r="BO696" s="89"/>
      <c r="BP696" s="89"/>
      <c r="BQ696" s="89"/>
      <c r="BR696" s="89"/>
      <c r="BS696" s="89"/>
      <c r="BT696" s="89"/>
      <c r="BU696" s="89"/>
      <c r="BV696" s="89"/>
      <c r="BW696" s="89"/>
      <c r="BX696" s="89"/>
      <c r="BY696" s="89"/>
      <c r="BZ696" s="89"/>
      <c r="CA696" s="89"/>
      <c r="CB696" s="89"/>
      <c r="CC696" s="89"/>
      <c r="CD696" s="89"/>
      <c r="CE696" s="89"/>
      <c r="CF696" s="89"/>
      <c r="CG696" s="89"/>
      <c r="CH696" s="89"/>
      <c r="CI696" s="89"/>
      <c r="CJ696" s="89"/>
      <c r="CK696" s="89"/>
      <c r="CL696" s="89"/>
      <c r="CM696" s="89"/>
      <c r="CN696" s="89"/>
      <c r="CO696" s="89"/>
      <c r="CP696" s="89"/>
      <c r="CQ696" s="89"/>
      <c r="CR696" s="89"/>
      <c r="CS696" s="89"/>
      <c r="CT696" s="89"/>
      <c r="CU696" s="89"/>
      <c r="CV696" s="89"/>
      <c r="CW696" s="89"/>
      <c r="CX696" s="89"/>
      <c r="CY696" s="89"/>
      <c r="CZ696" s="98"/>
      <c r="DA696" s="98"/>
      <c r="DB696" s="98"/>
      <c r="DC696" s="98"/>
      <c r="DD696" s="98"/>
      <c r="DE696" s="98"/>
      <c r="DF696" s="98"/>
      <c r="DG696" s="98"/>
      <c r="DH696" s="98"/>
      <c r="DI696" s="98"/>
      <c r="DJ696" s="98"/>
      <c r="DK696" s="98"/>
      <c r="DL696" s="98"/>
      <c r="DM696" s="98"/>
      <c r="DN696" s="98"/>
      <c r="DO696" s="98"/>
      <c r="DP696" s="98"/>
      <c r="DQ696" s="98"/>
      <c r="DR696" s="98"/>
      <c r="DS696" s="98"/>
      <c r="DT696" s="98"/>
      <c r="DU696" s="98"/>
      <c r="DV696" s="98"/>
      <c r="DW696" s="98"/>
      <c r="DX696" s="98"/>
      <c r="DY696" s="98"/>
      <c r="DZ696" s="98"/>
      <c r="EA696" s="98"/>
      <c r="EB696" s="98"/>
      <c r="EC696" s="98"/>
      <c r="ED696" s="98"/>
    </row>
    <row r="697" spans="1:134" ht="11.25" customHeight="1" x14ac:dyDescent="0.3">
      <c r="A697" s="28" t="e">
        <f t="array" aca="1" ref="A697" ca="1">_xludf.XLOOKUP(S697,Master_Registrations!P:P,Master_Registrations!A:A,"")</f>
        <v>#NAME?</v>
      </c>
      <c r="B697" s="89" t="s">
        <v>3302</v>
      </c>
      <c r="C697" s="89">
        <v>2025</v>
      </c>
      <c r="D697" s="89" t="s">
        <v>4886</v>
      </c>
      <c r="E697" s="89">
        <v>2</v>
      </c>
      <c r="F697" s="90" t="str">
        <f t="shared" si="8"/>
        <v>VED-03-2025-GR-2</v>
      </c>
      <c r="G697" s="89" t="s">
        <v>7128</v>
      </c>
      <c r="H697" s="89" t="s">
        <v>7129</v>
      </c>
      <c r="I697" s="89"/>
      <c r="J697" s="89" t="s">
        <v>7094</v>
      </c>
      <c r="K697" s="104">
        <v>-1</v>
      </c>
      <c r="L697" s="104">
        <v>-1</v>
      </c>
      <c r="M697" s="109"/>
      <c r="N697" s="90" t="s">
        <v>7095</v>
      </c>
      <c r="O697" s="89" t="s">
        <v>1778</v>
      </c>
      <c r="P697" s="89" t="s">
        <v>1779</v>
      </c>
      <c r="Q697" s="89" t="e">
        <f t="shared" ca="1" si="9"/>
        <v>#NAME?</v>
      </c>
      <c r="R697" s="39" t="s">
        <v>316</v>
      </c>
      <c r="S697" s="105">
        <v>9495734021</v>
      </c>
      <c r="T697" s="90" t="s">
        <v>402</v>
      </c>
      <c r="U697" s="89">
        <v>1982</v>
      </c>
      <c r="V697" s="99">
        <v>-1</v>
      </c>
      <c r="W697" s="95">
        <v>-1</v>
      </c>
      <c r="X697" s="99">
        <v>2</v>
      </c>
      <c r="Y697" s="99">
        <v>-1</v>
      </c>
      <c r="Z697" s="99">
        <v>2</v>
      </c>
      <c r="AA697" s="99">
        <v>-1</v>
      </c>
      <c r="AB697" s="99">
        <v>1</v>
      </c>
      <c r="AC697" s="99">
        <v>-1</v>
      </c>
      <c r="AD697" s="99">
        <v>-1</v>
      </c>
      <c r="AE697" s="99">
        <v>-1</v>
      </c>
      <c r="AF697" s="99">
        <v>-1</v>
      </c>
      <c r="AG697" s="99">
        <v>-1</v>
      </c>
      <c r="AH697" s="99">
        <v>-1</v>
      </c>
      <c r="AI697" s="95">
        <v>-1</v>
      </c>
      <c r="AJ697" s="99">
        <v>1</v>
      </c>
      <c r="AK697" s="99">
        <v>1</v>
      </c>
      <c r="AL697" s="99">
        <v>1</v>
      </c>
      <c r="AM697" s="95">
        <v>-1</v>
      </c>
      <c r="AN697" s="95">
        <v>-1</v>
      </c>
      <c r="AO697" s="95">
        <v>-1</v>
      </c>
      <c r="AP697" s="95">
        <v>-1</v>
      </c>
      <c r="AQ697" s="95">
        <v>-1</v>
      </c>
      <c r="AR697" s="95">
        <v>-1</v>
      </c>
      <c r="AS697" s="95">
        <v>-1</v>
      </c>
      <c r="AT697" s="95">
        <v>-1</v>
      </c>
      <c r="AU697" s="95">
        <v>-1</v>
      </c>
      <c r="AV697" s="95">
        <v>-1</v>
      </c>
      <c r="AW697" s="89"/>
      <c r="AX697" s="89"/>
      <c r="AY697" s="89"/>
      <c r="AZ697" s="89"/>
      <c r="BA697" s="89"/>
      <c r="BB697" s="89"/>
      <c r="BC697" s="89"/>
      <c r="BD697" s="89"/>
      <c r="BE697" s="89"/>
      <c r="BF697" s="89"/>
      <c r="BG697" s="89"/>
      <c r="BH697" s="89"/>
      <c r="BI697" s="89"/>
      <c r="BJ697" s="89"/>
      <c r="BK697" s="89"/>
      <c r="BL697" s="89"/>
      <c r="BM697" s="89"/>
      <c r="BN697" s="89"/>
      <c r="BO697" s="89"/>
      <c r="BP697" s="89"/>
      <c r="BQ697" s="89"/>
      <c r="BR697" s="89"/>
      <c r="BS697" s="89"/>
      <c r="BT697" s="89"/>
      <c r="BU697" s="89"/>
      <c r="BV697" s="89"/>
      <c r="BW697" s="89"/>
      <c r="BX697" s="89"/>
      <c r="BY697" s="89"/>
      <c r="BZ697" s="89"/>
      <c r="CA697" s="89"/>
      <c r="CB697" s="89"/>
      <c r="CC697" s="89"/>
      <c r="CD697" s="89"/>
      <c r="CE697" s="89"/>
      <c r="CF697" s="89"/>
      <c r="CG697" s="89"/>
      <c r="CH697" s="89"/>
      <c r="CI697" s="89"/>
      <c r="CJ697" s="89"/>
      <c r="CK697" s="89"/>
      <c r="CL697" s="89"/>
      <c r="CM697" s="89"/>
      <c r="CN697" s="89"/>
      <c r="CO697" s="89"/>
      <c r="CP697" s="89"/>
      <c r="CQ697" s="89"/>
      <c r="CR697" s="89"/>
      <c r="CS697" s="89"/>
      <c r="CT697" s="89"/>
      <c r="CU697" s="89"/>
      <c r="CV697" s="89"/>
      <c r="CW697" s="89"/>
      <c r="CX697" s="89"/>
      <c r="CY697" s="89"/>
      <c r="CZ697" s="98"/>
      <c r="DA697" s="98"/>
      <c r="DB697" s="98"/>
      <c r="DC697" s="98"/>
      <c r="DD697" s="98"/>
      <c r="DE697" s="98"/>
      <c r="DF697" s="98"/>
      <c r="DG697" s="98"/>
      <c r="DH697" s="98"/>
      <c r="DI697" s="98"/>
      <c r="DJ697" s="98"/>
      <c r="DK697" s="98"/>
      <c r="DL697" s="98"/>
      <c r="DM697" s="98"/>
      <c r="DN697" s="98"/>
      <c r="DO697" s="98"/>
      <c r="DP697" s="98"/>
      <c r="DQ697" s="98"/>
      <c r="DR697" s="98"/>
      <c r="DS697" s="98"/>
      <c r="DT697" s="98"/>
      <c r="DU697" s="98"/>
      <c r="DV697" s="98"/>
      <c r="DW697" s="98"/>
      <c r="DX697" s="98"/>
      <c r="DY697" s="98"/>
      <c r="DZ697" s="98"/>
      <c r="EA697" s="98"/>
      <c r="EB697" s="98"/>
      <c r="EC697" s="98"/>
      <c r="ED697" s="98"/>
    </row>
    <row r="698" spans="1:134" ht="11.25" customHeight="1" x14ac:dyDescent="0.3">
      <c r="A698" s="28" t="e">
        <f t="array" aca="1" ref="A698" ca="1">_xludf.XLOOKUP(S698,Master_Registrations!P:P,Master_Registrations!A:A,"")</f>
        <v>#NAME?</v>
      </c>
      <c r="B698" s="89" t="s">
        <v>3302</v>
      </c>
      <c r="C698" s="89">
        <v>2025</v>
      </c>
      <c r="D698" s="89" t="s">
        <v>4886</v>
      </c>
      <c r="E698" s="89">
        <v>2</v>
      </c>
      <c r="F698" s="90" t="str">
        <f t="shared" si="8"/>
        <v>VED-03-2025-GR-2</v>
      </c>
      <c r="G698" s="89" t="s">
        <v>4569</v>
      </c>
      <c r="H698" s="89" t="s">
        <v>7123</v>
      </c>
      <c r="I698" s="89"/>
      <c r="J698" s="89" t="s">
        <v>7094</v>
      </c>
      <c r="K698" s="107"/>
      <c r="L698" s="107"/>
      <c r="M698" s="107"/>
      <c r="N698" s="90" t="s">
        <v>7095</v>
      </c>
      <c r="O698" s="89" t="s">
        <v>483</v>
      </c>
      <c r="P698" s="89" t="s">
        <v>484</v>
      </c>
      <c r="Q698" s="89" t="e">
        <f t="shared" ca="1" si="9"/>
        <v>#NAME?</v>
      </c>
      <c r="R698" s="39" t="s">
        <v>112</v>
      </c>
      <c r="S698" s="105">
        <v>9949093634</v>
      </c>
      <c r="T698" s="90" t="s">
        <v>111</v>
      </c>
      <c r="U698" s="89">
        <v>1956</v>
      </c>
      <c r="V698" s="99">
        <v>2</v>
      </c>
      <c r="W698" s="99">
        <v>2</v>
      </c>
      <c r="X698" s="99">
        <v>2</v>
      </c>
      <c r="Y698" s="99">
        <v>2</v>
      </c>
      <c r="Z698" s="99">
        <v>2</v>
      </c>
      <c r="AA698" s="99">
        <v>2</v>
      </c>
      <c r="AB698" s="99">
        <v>2</v>
      </c>
      <c r="AC698" s="99">
        <v>2</v>
      </c>
      <c r="AD698" s="99">
        <v>2</v>
      </c>
      <c r="AE698" s="99">
        <v>2</v>
      </c>
      <c r="AF698" s="99">
        <v>2</v>
      </c>
      <c r="AG698" s="99">
        <v>2</v>
      </c>
      <c r="AH698" s="99">
        <v>2</v>
      </c>
      <c r="AI698" s="99">
        <v>3</v>
      </c>
      <c r="AJ698" s="99">
        <v>2</v>
      </c>
      <c r="AK698" s="99">
        <v>2</v>
      </c>
      <c r="AL698" s="99">
        <v>2</v>
      </c>
      <c r="AM698" s="99">
        <v>2</v>
      </c>
      <c r="AN698" s="99">
        <v>2</v>
      </c>
      <c r="AO698" s="99">
        <v>2</v>
      </c>
      <c r="AP698" s="99">
        <v>2</v>
      </c>
      <c r="AQ698" s="99">
        <v>2</v>
      </c>
      <c r="AR698" s="99">
        <v>2</v>
      </c>
      <c r="AS698" s="99">
        <v>2</v>
      </c>
      <c r="AT698" s="99">
        <v>2</v>
      </c>
      <c r="AU698" s="99">
        <v>2</v>
      </c>
      <c r="AV698" s="95">
        <v>-1</v>
      </c>
      <c r="AW698" s="95">
        <v>-1</v>
      </c>
      <c r="AX698" s="95">
        <v>-1</v>
      </c>
      <c r="AY698" s="99">
        <v>2</v>
      </c>
      <c r="AZ698" s="95">
        <v>-1</v>
      </c>
      <c r="BA698" s="95">
        <v>-1</v>
      </c>
      <c r="BB698" s="95">
        <v>-1</v>
      </c>
      <c r="BC698" s="95">
        <v>-1</v>
      </c>
      <c r="BD698" s="95">
        <v>-1</v>
      </c>
      <c r="BE698" s="95">
        <v>-1</v>
      </c>
      <c r="BF698" s="95">
        <v>-1</v>
      </c>
      <c r="BG698" s="95"/>
      <c r="BH698" s="95"/>
      <c r="BI698" s="95"/>
      <c r="BJ698" s="95"/>
      <c r="BK698" s="95"/>
      <c r="BL698" s="95"/>
      <c r="BM698" s="95"/>
      <c r="BN698" s="89"/>
      <c r="BO698" s="89"/>
      <c r="BP698" s="89"/>
      <c r="BQ698" s="89"/>
      <c r="BR698" s="89"/>
      <c r="BS698" s="89"/>
      <c r="BT698" s="89"/>
      <c r="BU698" s="89"/>
      <c r="BV698" s="89"/>
      <c r="BW698" s="89"/>
      <c r="BX698" s="89"/>
      <c r="BY698" s="89"/>
      <c r="BZ698" s="89"/>
      <c r="CA698" s="89"/>
      <c r="CB698" s="89"/>
      <c r="CC698" s="89"/>
      <c r="CD698" s="89"/>
      <c r="CE698" s="89"/>
      <c r="CF698" s="89"/>
      <c r="CG698" s="89"/>
      <c r="CH698" s="89"/>
      <c r="CI698" s="89"/>
      <c r="CJ698" s="89"/>
      <c r="CK698" s="89"/>
      <c r="CL698" s="89"/>
      <c r="CM698" s="89"/>
      <c r="CN698" s="89"/>
      <c r="CO698" s="89"/>
      <c r="CP698" s="89"/>
      <c r="CQ698" s="89"/>
      <c r="CR698" s="89"/>
      <c r="CS698" s="89"/>
      <c r="CT698" s="89"/>
      <c r="CU698" s="89"/>
      <c r="CV698" s="89"/>
      <c r="CW698" s="89"/>
      <c r="CX698" s="89"/>
      <c r="CY698" s="89"/>
      <c r="CZ698" s="98"/>
      <c r="DA698" s="98"/>
      <c r="DB698" s="98"/>
      <c r="DC698" s="98"/>
      <c r="DD698" s="98"/>
      <c r="DE698" s="98"/>
      <c r="DF698" s="98"/>
      <c r="DG698" s="98"/>
      <c r="DH698" s="98"/>
      <c r="DI698" s="98"/>
      <c r="DJ698" s="98"/>
      <c r="DK698" s="98"/>
      <c r="DL698" s="98"/>
      <c r="DM698" s="98"/>
      <c r="DN698" s="98"/>
      <c r="DO698" s="98"/>
      <c r="DP698" s="98"/>
      <c r="DQ698" s="98"/>
      <c r="DR698" s="98"/>
      <c r="DS698" s="98"/>
      <c r="DT698" s="98"/>
      <c r="DU698" s="98"/>
      <c r="DV698" s="98"/>
      <c r="DW698" s="98"/>
      <c r="DX698" s="98"/>
      <c r="DY698" s="98"/>
      <c r="DZ698" s="98"/>
      <c r="EA698" s="98"/>
      <c r="EB698" s="98"/>
      <c r="EC698" s="98"/>
      <c r="ED698" s="98"/>
    </row>
    <row r="699" spans="1:134" ht="11.25" customHeight="1" x14ac:dyDescent="0.3">
      <c r="A699" s="28" t="e">
        <f t="array" aca="1" ref="A699" ca="1">_xludf.XLOOKUP(S699,Master_Registrations!P:P,Master_Registrations!A:A,"")</f>
        <v>#NAME?</v>
      </c>
      <c r="B699" s="89" t="s">
        <v>7072</v>
      </c>
      <c r="C699" s="89">
        <v>2025</v>
      </c>
      <c r="D699" s="89" t="s">
        <v>4886</v>
      </c>
      <c r="E699" s="89">
        <v>1</v>
      </c>
      <c r="F699" s="90" t="str">
        <f t="shared" si="8"/>
        <v>VED-04-2025-GR-1</v>
      </c>
      <c r="G699" s="89" t="s">
        <v>7073</v>
      </c>
      <c r="H699" s="89" t="s">
        <v>7098</v>
      </c>
      <c r="I699" s="89"/>
      <c r="J699" s="89" t="s">
        <v>7094</v>
      </c>
      <c r="K699" s="107"/>
      <c r="L699" s="107"/>
      <c r="M699" s="107"/>
      <c r="N699" s="90" t="s">
        <v>7095</v>
      </c>
      <c r="O699" s="89" t="s">
        <v>7037</v>
      </c>
      <c r="P699" s="89" t="s">
        <v>2514</v>
      </c>
      <c r="Q699" s="89" t="e">
        <f t="shared" ca="1" si="9"/>
        <v>#NAME?</v>
      </c>
      <c r="R699" s="39" t="s">
        <v>316</v>
      </c>
      <c r="S699" s="94">
        <v>4846454865</v>
      </c>
      <c r="T699" s="90" t="s">
        <v>402</v>
      </c>
      <c r="U699" s="89" t="s">
        <v>4841</v>
      </c>
      <c r="V699" s="99">
        <v>2</v>
      </c>
      <c r="W699" s="99">
        <v>2</v>
      </c>
      <c r="X699" s="99">
        <v>2</v>
      </c>
      <c r="Y699" s="99">
        <v>2</v>
      </c>
      <c r="Z699" s="99">
        <v>2</v>
      </c>
      <c r="AA699" s="99">
        <v>2</v>
      </c>
      <c r="AB699" s="99">
        <v>2</v>
      </c>
      <c r="AC699" s="95">
        <v>-1</v>
      </c>
      <c r="AD699" s="95">
        <v>-1</v>
      </c>
      <c r="AE699" s="99">
        <v>2</v>
      </c>
      <c r="AF699" s="99">
        <v>2</v>
      </c>
      <c r="AG699" s="99">
        <v>2</v>
      </c>
      <c r="AH699" s="99">
        <v>2</v>
      </c>
      <c r="AI699" s="95">
        <v>-1</v>
      </c>
      <c r="AJ699" s="99">
        <v>2</v>
      </c>
      <c r="AK699" s="99">
        <v>2</v>
      </c>
      <c r="AL699" s="99">
        <v>2</v>
      </c>
      <c r="AM699" s="99">
        <v>2</v>
      </c>
      <c r="AN699" s="99">
        <v>2</v>
      </c>
      <c r="AO699" s="99">
        <v>2</v>
      </c>
      <c r="AP699" s="99">
        <v>-1</v>
      </c>
      <c r="AQ699" s="99">
        <v>1</v>
      </c>
      <c r="AR699" s="99">
        <v>2</v>
      </c>
      <c r="AS699" s="99">
        <v>1</v>
      </c>
      <c r="AT699" s="99">
        <v>1</v>
      </c>
      <c r="AU699" s="99">
        <v>2</v>
      </c>
      <c r="AV699" s="95">
        <v>-1</v>
      </c>
      <c r="AW699" s="99">
        <v>1</v>
      </c>
      <c r="AX699" s="100">
        <v>1</v>
      </c>
      <c r="AY699" s="95">
        <v>-1</v>
      </c>
      <c r="AZ699" s="95">
        <v>-1</v>
      </c>
      <c r="BA699" s="99">
        <v>1</v>
      </c>
      <c r="BB699" s="99">
        <v>1</v>
      </c>
      <c r="BC699" s="99">
        <v>-1</v>
      </c>
      <c r="BD699" s="99">
        <v>1</v>
      </c>
      <c r="BE699" s="99">
        <v>1</v>
      </c>
      <c r="BF699" s="95">
        <v>-1</v>
      </c>
      <c r="BG699" s="99">
        <v>1</v>
      </c>
      <c r="BH699" s="99">
        <v>1</v>
      </c>
      <c r="BI699" s="99">
        <v>-1</v>
      </c>
      <c r="BJ699" s="95">
        <v>-1</v>
      </c>
      <c r="BK699" s="95">
        <v>-1</v>
      </c>
      <c r="BL699" s="95">
        <v>-1</v>
      </c>
      <c r="BM699" s="95">
        <v>-1</v>
      </c>
      <c r="BN699" s="89"/>
      <c r="BO699" s="89"/>
      <c r="BP699" s="89"/>
      <c r="BQ699" s="89"/>
      <c r="BR699" s="89"/>
      <c r="BS699" s="89"/>
      <c r="BT699" s="89"/>
      <c r="BU699" s="89"/>
      <c r="BV699" s="89"/>
      <c r="BW699" s="89"/>
      <c r="BX699" s="89"/>
      <c r="BY699" s="89"/>
      <c r="BZ699" s="89"/>
      <c r="CA699" s="89"/>
      <c r="CB699" s="89"/>
      <c r="CC699" s="89"/>
      <c r="CD699" s="89"/>
      <c r="CE699" s="89"/>
      <c r="CF699" s="89"/>
      <c r="CG699" s="89"/>
      <c r="CH699" s="89"/>
      <c r="CI699" s="89"/>
      <c r="CJ699" s="89"/>
      <c r="CK699" s="89"/>
      <c r="CL699" s="89"/>
      <c r="CM699" s="89"/>
      <c r="CN699" s="95">
        <v>-1</v>
      </c>
      <c r="CO699" s="95">
        <v>-1</v>
      </c>
      <c r="CP699" s="95">
        <v>-1</v>
      </c>
      <c r="CQ699" s="95">
        <v>-1</v>
      </c>
      <c r="CR699" s="95">
        <v>-1</v>
      </c>
      <c r="CS699" s="95">
        <v>-1</v>
      </c>
      <c r="CT699" s="95">
        <v>-1</v>
      </c>
      <c r="CU699" s="95">
        <v>-1</v>
      </c>
      <c r="CV699" s="95">
        <v>-1</v>
      </c>
      <c r="CW699" s="95">
        <v>-1</v>
      </c>
      <c r="CX699" s="95">
        <v>-1</v>
      </c>
      <c r="CY699" s="95">
        <v>-1</v>
      </c>
      <c r="CZ699" s="98"/>
      <c r="DA699" s="98"/>
      <c r="DB699" s="98"/>
      <c r="DC699" s="98"/>
      <c r="DD699" s="98"/>
      <c r="DE699" s="98"/>
      <c r="DF699" s="98"/>
      <c r="DG699" s="98"/>
      <c r="DH699" s="98"/>
      <c r="DI699" s="98"/>
      <c r="DJ699" s="98"/>
      <c r="DK699" s="98"/>
      <c r="DL699" s="98"/>
      <c r="DM699" s="98"/>
      <c r="DN699" s="98"/>
      <c r="DO699" s="98"/>
      <c r="DP699" s="98"/>
      <c r="DQ699" s="98"/>
      <c r="DR699" s="98"/>
      <c r="DS699" s="98"/>
      <c r="DT699" s="98"/>
      <c r="DU699" s="98"/>
      <c r="DV699" s="98"/>
      <c r="DW699" s="98"/>
      <c r="DX699" s="98"/>
      <c r="DY699" s="98"/>
      <c r="DZ699" s="98"/>
      <c r="EA699" s="98"/>
      <c r="EB699" s="98"/>
      <c r="EC699" s="98"/>
      <c r="ED699" s="98"/>
    </row>
    <row r="700" spans="1:134" ht="11.25" customHeight="1" x14ac:dyDescent="0.3">
      <c r="A700" s="28" t="e">
        <f t="array" aca="1" ref="A700" ca="1">_xludf.XLOOKUP(S700,Master_Registrations!P:P,Master_Registrations!A:A,"")</f>
        <v>#NAME?</v>
      </c>
      <c r="B700" s="89" t="s">
        <v>7072</v>
      </c>
      <c r="C700" s="89">
        <v>2026</v>
      </c>
      <c r="D700" s="89" t="s">
        <v>4886</v>
      </c>
      <c r="E700" s="89">
        <v>1</v>
      </c>
      <c r="F700" s="90" t="str">
        <f t="shared" si="8"/>
        <v>VED-04-2026-GR-1</v>
      </c>
      <c r="G700" s="89" t="s">
        <v>4750</v>
      </c>
      <c r="H700" s="89" t="s">
        <v>6768</v>
      </c>
      <c r="I700" s="89" t="s">
        <v>7082</v>
      </c>
      <c r="J700" s="89" t="s">
        <v>7094</v>
      </c>
      <c r="K700" s="99"/>
      <c r="L700" s="99"/>
      <c r="M700" s="99"/>
      <c r="N700" s="90" t="s">
        <v>7095</v>
      </c>
      <c r="O700" s="89" t="s">
        <v>1820</v>
      </c>
      <c r="P700" s="89" t="s">
        <v>1821</v>
      </c>
      <c r="Q700" s="89" t="e">
        <f t="shared" ca="1" si="9"/>
        <v>#NAME?</v>
      </c>
      <c r="R700" s="39" t="s">
        <v>316</v>
      </c>
      <c r="S700" s="105">
        <v>5104093850</v>
      </c>
      <c r="T700" s="90" t="s">
        <v>315</v>
      </c>
      <c r="U700" s="89">
        <v>1984</v>
      </c>
      <c r="V700" s="99">
        <v>1</v>
      </c>
      <c r="W700" s="99">
        <v>1</v>
      </c>
      <c r="X700" s="99">
        <v>1</v>
      </c>
      <c r="Y700" s="99">
        <v>1</v>
      </c>
      <c r="Z700" s="99">
        <v>1</v>
      </c>
      <c r="AA700" s="99">
        <v>1</v>
      </c>
      <c r="AB700" s="99">
        <v>1</v>
      </c>
      <c r="AC700" s="99">
        <v>2</v>
      </c>
      <c r="AD700" s="99">
        <v>2</v>
      </c>
      <c r="AE700" s="99">
        <v>-1</v>
      </c>
      <c r="AF700" s="99">
        <v>-1</v>
      </c>
      <c r="AG700" s="99">
        <v>-1</v>
      </c>
      <c r="AH700" s="99">
        <v>-1</v>
      </c>
      <c r="AI700" s="95">
        <v>-1</v>
      </c>
      <c r="AJ700" s="99">
        <v>2</v>
      </c>
      <c r="AK700" s="99">
        <v>2</v>
      </c>
      <c r="AL700" s="99">
        <v>2</v>
      </c>
      <c r="AM700" s="99">
        <v>2</v>
      </c>
      <c r="AN700" s="99">
        <v>2</v>
      </c>
      <c r="AO700" s="99">
        <v>2</v>
      </c>
      <c r="AP700" s="99">
        <v>2</v>
      </c>
      <c r="AQ700" s="99">
        <v>2</v>
      </c>
      <c r="AR700" s="99">
        <v>2</v>
      </c>
      <c r="AS700" s="99">
        <v>2</v>
      </c>
      <c r="AT700" s="99">
        <v>2</v>
      </c>
      <c r="AU700" s="99">
        <v>2</v>
      </c>
      <c r="AV700" s="95">
        <v>-1</v>
      </c>
      <c r="AW700" s="99">
        <v>2</v>
      </c>
      <c r="AX700" s="99">
        <v>2</v>
      </c>
      <c r="AY700" s="99">
        <v>2</v>
      </c>
      <c r="AZ700" s="99">
        <v>-1</v>
      </c>
      <c r="BA700" s="99">
        <v>2</v>
      </c>
      <c r="BB700" s="99">
        <v>2</v>
      </c>
      <c r="BC700" s="99">
        <v>2</v>
      </c>
      <c r="BD700" s="99">
        <v>2</v>
      </c>
      <c r="BE700" s="99">
        <v>2</v>
      </c>
      <c r="BF700" s="95">
        <v>-1</v>
      </c>
      <c r="BG700" s="99">
        <v>1</v>
      </c>
      <c r="BH700" s="99">
        <v>1</v>
      </c>
      <c r="BI700" s="99">
        <v>1</v>
      </c>
      <c r="BJ700" s="95">
        <v>-1</v>
      </c>
      <c r="BK700" s="95">
        <v>-1</v>
      </c>
      <c r="BL700" s="95">
        <v>-1</v>
      </c>
      <c r="BM700" s="95">
        <v>-1</v>
      </c>
      <c r="BN700" s="106">
        <v>-1</v>
      </c>
      <c r="BO700" s="106">
        <v>-1</v>
      </c>
      <c r="BP700" s="106">
        <v>-1</v>
      </c>
      <c r="BQ700" s="106">
        <v>0</v>
      </c>
      <c r="BR700" s="106">
        <v>0</v>
      </c>
      <c r="BS700" s="106">
        <v>0</v>
      </c>
      <c r="BT700" s="106">
        <v>0</v>
      </c>
      <c r="BU700" s="106">
        <v>0</v>
      </c>
      <c r="BV700" s="106">
        <v>0</v>
      </c>
      <c r="BW700" s="89"/>
      <c r="BX700" s="89"/>
      <c r="BY700" s="89"/>
      <c r="BZ700" s="89"/>
      <c r="CA700" s="89"/>
      <c r="CB700" s="89"/>
      <c r="CC700" s="89"/>
      <c r="CD700" s="89"/>
      <c r="CE700" s="89"/>
      <c r="CF700" s="89"/>
      <c r="CG700" s="89"/>
      <c r="CH700" s="89"/>
      <c r="CI700" s="89"/>
      <c r="CJ700" s="89"/>
      <c r="CK700" s="89"/>
      <c r="CL700" s="89"/>
      <c r="CM700" s="89"/>
      <c r="CN700" s="89"/>
      <c r="CO700" s="89"/>
      <c r="CP700" s="89"/>
      <c r="CQ700" s="89"/>
      <c r="CR700" s="89"/>
      <c r="CS700" s="89"/>
      <c r="CT700" s="89"/>
      <c r="CU700" s="89"/>
      <c r="CV700" s="89"/>
      <c r="CW700" s="89"/>
      <c r="CX700" s="89"/>
      <c r="CY700" s="89"/>
      <c r="CZ700" s="98"/>
      <c r="DA700" s="98"/>
      <c r="DB700" s="98"/>
      <c r="DC700" s="98"/>
      <c r="DD700" s="98"/>
      <c r="DE700" s="98"/>
      <c r="DF700" s="98"/>
      <c r="DG700" s="98"/>
      <c r="DH700" s="98"/>
      <c r="DI700" s="98"/>
      <c r="DJ700" s="98"/>
      <c r="DK700" s="98"/>
      <c r="DL700" s="98"/>
      <c r="DM700" s="98"/>
      <c r="DN700" s="98"/>
      <c r="DO700" s="98"/>
      <c r="DP700" s="98"/>
      <c r="DQ700" s="98"/>
      <c r="DR700" s="98"/>
      <c r="DS700" s="98"/>
      <c r="DT700" s="98"/>
      <c r="DU700" s="98"/>
      <c r="DV700" s="98"/>
      <c r="DW700" s="98"/>
      <c r="DX700" s="98"/>
      <c r="DY700" s="98"/>
      <c r="DZ700" s="98"/>
      <c r="EA700" s="98"/>
      <c r="EB700" s="98"/>
      <c r="EC700" s="98"/>
      <c r="ED700" s="98"/>
    </row>
    <row r="701" spans="1:134" ht="11.25" customHeight="1" x14ac:dyDescent="0.3">
      <c r="A701" s="28" t="e">
        <f t="array" aca="1" ref="A701" ca="1">_xludf.XLOOKUP(S701,Master_Registrations!P:P,Master_Registrations!A:A,"")</f>
        <v>#NAME?</v>
      </c>
      <c r="B701" s="89" t="s">
        <v>7081</v>
      </c>
      <c r="C701" s="89">
        <v>2023</v>
      </c>
      <c r="D701" s="89" t="s">
        <v>4886</v>
      </c>
      <c r="E701" s="89">
        <v>1</v>
      </c>
      <c r="F701" s="90" t="str">
        <f t="shared" si="8"/>
        <v>VED-05-2023-GR-1</v>
      </c>
      <c r="G701" s="89" t="s">
        <v>7073</v>
      </c>
      <c r="H701" s="89" t="s">
        <v>5188</v>
      </c>
      <c r="I701" s="89"/>
      <c r="J701" s="89" t="s">
        <v>7094</v>
      </c>
      <c r="K701" s="107"/>
      <c r="L701" s="107"/>
      <c r="M701" s="107"/>
      <c r="N701" s="90" t="s">
        <v>7095</v>
      </c>
      <c r="O701" s="89" t="s">
        <v>4554</v>
      </c>
      <c r="P701" s="89" t="s">
        <v>6119</v>
      </c>
      <c r="Q701" s="89" t="e">
        <f t="shared" ca="1" si="9"/>
        <v>#NAME?</v>
      </c>
      <c r="R701" s="39" t="s">
        <v>112</v>
      </c>
      <c r="S701" s="94">
        <v>9948808592</v>
      </c>
      <c r="T701" s="90" t="s">
        <v>111</v>
      </c>
      <c r="U701" s="90">
        <v>1974</v>
      </c>
      <c r="V701" s="97">
        <v>2</v>
      </c>
      <c r="W701" s="97">
        <v>2</v>
      </c>
      <c r="X701" s="97">
        <v>2</v>
      </c>
      <c r="Y701" s="97">
        <v>2</v>
      </c>
      <c r="Z701" s="97">
        <v>2</v>
      </c>
      <c r="AA701" s="97">
        <v>2</v>
      </c>
      <c r="AB701" s="97">
        <v>2</v>
      </c>
      <c r="AC701" s="97">
        <v>2</v>
      </c>
      <c r="AD701" s="97">
        <v>2</v>
      </c>
      <c r="AE701" s="97">
        <v>2</v>
      </c>
      <c r="AF701" s="97">
        <v>2</v>
      </c>
      <c r="AG701" s="97">
        <v>2</v>
      </c>
      <c r="AH701" s="97">
        <v>2</v>
      </c>
      <c r="AI701" s="97">
        <v>3</v>
      </c>
      <c r="AJ701" s="99">
        <v>2</v>
      </c>
      <c r="AK701" s="99">
        <v>2</v>
      </c>
      <c r="AL701" s="99">
        <v>2</v>
      </c>
      <c r="AM701" s="99">
        <v>2</v>
      </c>
      <c r="AN701" s="99">
        <v>2</v>
      </c>
      <c r="AO701" s="99">
        <v>2</v>
      </c>
      <c r="AP701" s="99">
        <v>2</v>
      </c>
      <c r="AQ701" s="99">
        <v>2</v>
      </c>
      <c r="AR701" s="99">
        <v>2</v>
      </c>
      <c r="AS701" s="99">
        <v>2</v>
      </c>
      <c r="AT701" s="99">
        <v>2</v>
      </c>
      <c r="AU701" s="99">
        <v>2</v>
      </c>
      <c r="AV701" s="95">
        <v>-1</v>
      </c>
      <c r="AW701" s="99">
        <v>1</v>
      </c>
      <c r="AX701" s="100">
        <v>1</v>
      </c>
      <c r="AY701" s="96">
        <v>1</v>
      </c>
      <c r="AZ701" s="99">
        <v>-1</v>
      </c>
      <c r="BA701" s="97">
        <v>1</v>
      </c>
      <c r="BB701" s="97">
        <v>1</v>
      </c>
      <c r="BC701" s="99">
        <v>1</v>
      </c>
      <c r="BD701" s="99">
        <v>1</v>
      </c>
      <c r="BE701" s="99">
        <v>1</v>
      </c>
      <c r="BF701" s="95">
        <v>-1</v>
      </c>
      <c r="BG701" s="99">
        <v>1</v>
      </c>
      <c r="BH701" s="99">
        <v>1</v>
      </c>
      <c r="BI701" s="99">
        <v>1</v>
      </c>
      <c r="BJ701" s="99">
        <v>-1</v>
      </c>
      <c r="BK701" s="99">
        <v>-1</v>
      </c>
      <c r="BL701" s="99">
        <v>-1</v>
      </c>
      <c r="BM701" s="95">
        <v>-1</v>
      </c>
      <c r="BN701" s="99">
        <v>1</v>
      </c>
      <c r="BO701" s="99">
        <v>-1</v>
      </c>
      <c r="BP701" s="99">
        <v>1</v>
      </c>
      <c r="BQ701" s="99">
        <v>-1</v>
      </c>
      <c r="BR701" s="99">
        <v>-1</v>
      </c>
      <c r="BS701" s="95">
        <v>-1</v>
      </c>
      <c r="BT701" s="95">
        <v>-1</v>
      </c>
      <c r="BU701" s="95">
        <v>-1</v>
      </c>
      <c r="BV701" s="95">
        <v>-1</v>
      </c>
      <c r="BW701" s="106">
        <v>-1</v>
      </c>
      <c r="BX701" s="106">
        <v>-1</v>
      </c>
      <c r="BY701" s="106">
        <v>-1</v>
      </c>
      <c r="BZ701" s="106">
        <v>-1</v>
      </c>
      <c r="CA701" s="106">
        <v>-1</v>
      </c>
      <c r="CB701" s="106">
        <v>-1</v>
      </c>
      <c r="CC701" s="106">
        <v>-1</v>
      </c>
      <c r="CD701" s="106">
        <v>-1</v>
      </c>
      <c r="CE701" s="106">
        <v>-1</v>
      </c>
      <c r="CF701" s="106">
        <v>-1</v>
      </c>
      <c r="CG701" s="106">
        <v>-1</v>
      </c>
      <c r="CH701" s="106">
        <v>-1</v>
      </c>
      <c r="CI701" s="106">
        <v>-1</v>
      </c>
      <c r="CJ701" s="106">
        <v>-1</v>
      </c>
      <c r="CK701" s="106">
        <v>-1</v>
      </c>
      <c r="CL701" s="106">
        <v>-1</v>
      </c>
      <c r="CM701" s="106">
        <v>-1</v>
      </c>
      <c r="CN701" s="99">
        <v>1</v>
      </c>
      <c r="CO701" s="99">
        <v>1</v>
      </c>
      <c r="CP701" s="99">
        <v>1</v>
      </c>
      <c r="CQ701" s="95">
        <v>-1</v>
      </c>
      <c r="CR701" s="95">
        <v>-1</v>
      </c>
      <c r="CS701" s="95">
        <v>-1</v>
      </c>
      <c r="CT701" s="95">
        <v>-1</v>
      </c>
      <c r="CU701" s="95">
        <v>-1</v>
      </c>
      <c r="CV701" s="95">
        <v>-1</v>
      </c>
      <c r="CW701" s="95">
        <v>-1</v>
      </c>
      <c r="CX701" s="95">
        <v>-1</v>
      </c>
      <c r="CY701" s="95">
        <v>-1</v>
      </c>
      <c r="CZ701" s="98"/>
      <c r="DA701" s="98"/>
      <c r="DB701" s="98"/>
      <c r="DC701" s="98"/>
      <c r="DD701" s="98"/>
      <c r="DE701" s="98"/>
      <c r="DF701" s="98"/>
      <c r="DG701" s="98"/>
      <c r="DH701" s="98"/>
      <c r="DI701" s="98"/>
      <c r="DJ701" s="98"/>
      <c r="DK701" s="98"/>
      <c r="DL701" s="98"/>
      <c r="DM701" s="98"/>
      <c r="DN701" s="98"/>
      <c r="DO701" s="98"/>
      <c r="DP701" s="98"/>
      <c r="DQ701" s="98"/>
      <c r="DR701" s="98"/>
      <c r="DS701" s="98"/>
      <c r="DT701" s="98"/>
      <c r="DU701" s="98"/>
      <c r="DV701" s="98"/>
      <c r="DW701" s="98"/>
      <c r="DX701" s="98"/>
      <c r="DY701" s="98"/>
      <c r="DZ701" s="98"/>
      <c r="EA701" s="98"/>
      <c r="EB701" s="98"/>
      <c r="EC701" s="98"/>
      <c r="ED701" s="98"/>
    </row>
    <row r="702" spans="1:134" ht="11.25" customHeight="1" x14ac:dyDescent="0.3">
      <c r="A702" s="28" t="e">
        <f t="array" aca="1" ref="A702" ca="1">_xludf.XLOOKUP(S702,Master_Registrations!P:P,Master_Registrations!A:A,"")</f>
        <v>#NAME?</v>
      </c>
      <c r="B702" s="89" t="s">
        <v>7081</v>
      </c>
      <c r="C702" s="89">
        <v>2024</v>
      </c>
      <c r="D702" s="89" t="s">
        <v>4886</v>
      </c>
      <c r="E702" s="89">
        <v>1</v>
      </c>
      <c r="F702" s="90" t="str">
        <f t="shared" si="8"/>
        <v>VED-05-2024-GR-1</v>
      </c>
      <c r="G702" s="90" t="s">
        <v>7073</v>
      </c>
      <c r="H702" s="90" t="s">
        <v>7092</v>
      </c>
      <c r="I702" s="90"/>
      <c r="J702" s="89" t="s">
        <v>7094</v>
      </c>
      <c r="K702" s="93"/>
      <c r="L702" s="93"/>
      <c r="M702" s="93"/>
      <c r="N702" s="90" t="s">
        <v>7095</v>
      </c>
      <c r="O702" s="89" t="s">
        <v>1199</v>
      </c>
      <c r="P702" s="89" t="s">
        <v>1200</v>
      </c>
      <c r="Q702" s="89" t="e">
        <f t="shared" ca="1" si="9"/>
        <v>#NAME?</v>
      </c>
      <c r="R702" s="39" t="s">
        <v>112</v>
      </c>
      <c r="S702" s="111">
        <v>9441518992</v>
      </c>
      <c r="T702" s="90" t="s">
        <v>111</v>
      </c>
      <c r="U702" s="112">
        <v>1964</v>
      </c>
      <c r="V702" s="97">
        <v>2</v>
      </c>
      <c r="W702" s="97">
        <v>2</v>
      </c>
      <c r="X702" s="97">
        <v>2</v>
      </c>
      <c r="Y702" s="97">
        <v>2</v>
      </c>
      <c r="Z702" s="97">
        <v>2</v>
      </c>
      <c r="AA702" s="97">
        <v>2</v>
      </c>
      <c r="AB702" s="97">
        <v>2</v>
      </c>
      <c r="AC702" s="96">
        <v>-1</v>
      </c>
      <c r="AD702" s="96">
        <v>-1</v>
      </c>
      <c r="AE702" s="97">
        <v>2</v>
      </c>
      <c r="AF702" s="97">
        <v>2</v>
      </c>
      <c r="AG702" s="97">
        <v>2</v>
      </c>
      <c r="AH702" s="97">
        <v>2</v>
      </c>
      <c r="AI702" s="96">
        <v>-1</v>
      </c>
      <c r="AJ702" s="97">
        <v>2</v>
      </c>
      <c r="AK702" s="97">
        <v>2</v>
      </c>
      <c r="AL702" s="97">
        <v>2</v>
      </c>
      <c r="AM702" s="97">
        <v>2</v>
      </c>
      <c r="AN702" s="97">
        <v>2</v>
      </c>
      <c r="AO702" s="97">
        <v>2</v>
      </c>
      <c r="AP702" s="95">
        <v>-1</v>
      </c>
      <c r="AQ702" s="97">
        <v>2</v>
      </c>
      <c r="AR702" s="97">
        <v>2</v>
      </c>
      <c r="AS702" s="97">
        <v>2</v>
      </c>
      <c r="AT702" s="97">
        <v>2</v>
      </c>
      <c r="AU702" s="97">
        <v>2</v>
      </c>
      <c r="AV702" s="95">
        <v>-1</v>
      </c>
      <c r="AW702" s="97">
        <v>2</v>
      </c>
      <c r="AX702" s="95">
        <v>-1</v>
      </c>
      <c r="AY702" s="96">
        <v>-1</v>
      </c>
      <c r="AZ702" s="96">
        <v>-1</v>
      </c>
      <c r="BA702" s="97">
        <v>2</v>
      </c>
      <c r="BB702" s="97">
        <v>2</v>
      </c>
      <c r="BC702" s="97">
        <v>2</v>
      </c>
      <c r="BD702" s="97">
        <v>2</v>
      </c>
      <c r="BE702" s="97">
        <v>2</v>
      </c>
      <c r="BF702" s="96">
        <v>-1</v>
      </c>
      <c r="BG702" s="97">
        <v>2</v>
      </c>
      <c r="BH702" s="97">
        <v>2</v>
      </c>
      <c r="BI702" s="97">
        <v>2</v>
      </c>
      <c r="BJ702" s="97">
        <v>2</v>
      </c>
      <c r="BK702" s="97">
        <v>2</v>
      </c>
      <c r="BL702" s="97">
        <v>2</v>
      </c>
      <c r="BM702" s="96">
        <v>-1</v>
      </c>
      <c r="BN702" s="106">
        <v>-1</v>
      </c>
      <c r="BO702" s="106">
        <v>-1</v>
      </c>
      <c r="BP702" s="106">
        <v>-1</v>
      </c>
      <c r="BQ702" s="106">
        <v>-1</v>
      </c>
      <c r="BR702" s="106">
        <v>-1</v>
      </c>
      <c r="BS702" s="100">
        <v>1</v>
      </c>
      <c r="BT702" s="100">
        <v>-1</v>
      </c>
      <c r="BU702" s="100">
        <v>-1</v>
      </c>
      <c r="BV702" s="106">
        <v>-1</v>
      </c>
      <c r="BW702" s="89"/>
      <c r="BX702" s="89"/>
      <c r="BY702" s="89"/>
      <c r="BZ702" s="89"/>
      <c r="CA702" s="89"/>
      <c r="CB702" s="89"/>
      <c r="CC702" s="89"/>
      <c r="CD702" s="89"/>
      <c r="CE702" s="89"/>
      <c r="CF702" s="89"/>
      <c r="CG702" s="89"/>
      <c r="CH702" s="89"/>
      <c r="CI702" s="89"/>
      <c r="CJ702" s="89"/>
      <c r="CK702" s="89"/>
      <c r="CL702" s="89"/>
      <c r="CM702" s="89"/>
      <c r="CN702" s="106">
        <v>-1</v>
      </c>
      <c r="CO702" s="106">
        <v>-1</v>
      </c>
      <c r="CP702" s="106">
        <v>-1</v>
      </c>
      <c r="CQ702" s="106">
        <v>-1</v>
      </c>
      <c r="CR702" s="106">
        <v>-1</v>
      </c>
      <c r="CS702" s="106">
        <v>-1</v>
      </c>
      <c r="CT702" s="106">
        <v>-1</v>
      </c>
      <c r="CU702" s="106">
        <v>-1</v>
      </c>
      <c r="CV702" s="106">
        <v>-1</v>
      </c>
      <c r="CW702" s="106">
        <v>-1</v>
      </c>
      <c r="CX702" s="106">
        <v>-1</v>
      </c>
      <c r="CY702" s="106">
        <v>-1</v>
      </c>
      <c r="CZ702" s="98"/>
      <c r="DA702" s="98"/>
      <c r="DB702" s="98"/>
      <c r="DC702" s="98"/>
      <c r="DD702" s="98"/>
      <c r="DE702" s="98"/>
      <c r="DF702" s="98"/>
      <c r="DG702" s="98"/>
      <c r="DH702" s="98"/>
      <c r="DI702" s="98"/>
      <c r="DJ702" s="98"/>
      <c r="DK702" s="98"/>
      <c r="DL702" s="98"/>
      <c r="DM702" s="98"/>
      <c r="DN702" s="98"/>
      <c r="DO702" s="98"/>
      <c r="DP702" s="98"/>
      <c r="DQ702" s="98"/>
      <c r="DR702" s="98"/>
      <c r="DS702" s="98"/>
      <c r="DT702" s="98"/>
      <c r="DU702" s="98"/>
      <c r="DV702" s="98"/>
      <c r="DW702" s="98"/>
      <c r="DX702" s="98"/>
      <c r="DY702" s="98"/>
      <c r="DZ702" s="98"/>
      <c r="EA702" s="98"/>
      <c r="EB702" s="98"/>
      <c r="EC702" s="98"/>
      <c r="ED702" s="98"/>
    </row>
    <row r="703" spans="1:134" ht="11.25" customHeight="1" x14ac:dyDescent="0.3">
      <c r="A703" s="28" t="e">
        <f t="array" aca="1" ref="A703" ca="1">_xludf.XLOOKUP(S703,Master_Registrations!P:P,Master_Registrations!A:A,"")</f>
        <v>#NAME?</v>
      </c>
      <c r="B703" s="89" t="s">
        <v>7081</v>
      </c>
      <c r="C703" s="89">
        <v>2025</v>
      </c>
      <c r="D703" s="89" t="s">
        <v>4886</v>
      </c>
      <c r="E703" s="89">
        <v>1</v>
      </c>
      <c r="F703" s="90" t="str">
        <f t="shared" si="8"/>
        <v>VED-05-2025-GR-1</v>
      </c>
      <c r="G703" s="89" t="s">
        <v>7073</v>
      </c>
      <c r="H703" s="89" t="s">
        <v>7144</v>
      </c>
      <c r="I703" s="89" t="s">
        <v>7087</v>
      </c>
      <c r="J703" s="89" t="s">
        <v>7094</v>
      </c>
      <c r="K703" s="107"/>
      <c r="L703" s="107"/>
      <c r="M703" s="107"/>
      <c r="N703" s="90" t="s">
        <v>7095</v>
      </c>
      <c r="O703" s="89" t="s">
        <v>5720</v>
      </c>
      <c r="P703" s="89" t="s">
        <v>2083</v>
      </c>
      <c r="Q703" s="89" t="e">
        <f t="shared" ca="1" si="9"/>
        <v>#NAME?</v>
      </c>
      <c r="R703" s="39" t="s">
        <v>316</v>
      </c>
      <c r="S703" s="94">
        <v>7373144619</v>
      </c>
      <c r="T703" s="90" t="s">
        <v>315</v>
      </c>
      <c r="U703" s="90">
        <v>2005</v>
      </c>
      <c r="V703" s="97">
        <v>2</v>
      </c>
      <c r="W703" s="97">
        <v>2</v>
      </c>
      <c r="X703" s="97">
        <v>2</v>
      </c>
      <c r="Y703" s="97">
        <v>2</v>
      </c>
      <c r="Z703" s="97">
        <v>2</v>
      </c>
      <c r="AA703" s="97">
        <v>2</v>
      </c>
      <c r="AB703" s="97">
        <v>2</v>
      </c>
      <c r="AC703" s="97">
        <v>2</v>
      </c>
      <c r="AD703" s="97">
        <v>2</v>
      </c>
      <c r="AE703" s="97">
        <v>2</v>
      </c>
      <c r="AF703" s="97">
        <v>2</v>
      </c>
      <c r="AG703" s="97">
        <v>2</v>
      </c>
      <c r="AH703" s="97">
        <v>2</v>
      </c>
      <c r="AI703" s="97">
        <v>3</v>
      </c>
      <c r="AJ703" s="99">
        <v>2</v>
      </c>
      <c r="AK703" s="99">
        <v>2</v>
      </c>
      <c r="AL703" s="99">
        <v>2</v>
      </c>
      <c r="AM703" s="99">
        <v>2</v>
      </c>
      <c r="AN703" s="99">
        <v>2</v>
      </c>
      <c r="AO703" s="99">
        <v>2</v>
      </c>
      <c r="AP703" s="99">
        <v>2</v>
      </c>
      <c r="AQ703" s="99">
        <v>2</v>
      </c>
      <c r="AR703" s="99">
        <v>2</v>
      </c>
      <c r="AS703" s="99">
        <v>2</v>
      </c>
      <c r="AT703" s="99">
        <v>2</v>
      </c>
      <c r="AU703" s="99">
        <v>2</v>
      </c>
      <c r="AV703" s="99">
        <v>4</v>
      </c>
      <c r="AW703" s="99">
        <v>2</v>
      </c>
      <c r="AX703" s="99">
        <v>2</v>
      </c>
      <c r="AY703" s="99">
        <v>2</v>
      </c>
      <c r="AZ703" s="99">
        <v>-1</v>
      </c>
      <c r="BA703" s="97">
        <v>2</v>
      </c>
      <c r="BB703" s="97">
        <v>2</v>
      </c>
      <c r="BC703" s="99">
        <v>1</v>
      </c>
      <c r="BD703" s="99">
        <v>1</v>
      </c>
      <c r="BE703" s="99">
        <v>-1</v>
      </c>
      <c r="BF703" s="95">
        <v>-1</v>
      </c>
      <c r="BG703" s="99">
        <v>2</v>
      </c>
      <c r="BH703" s="99">
        <v>-1</v>
      </c>
      <c r="BI703" s="99">
        <v>-1</v>
      </c>
      <c r="BJ703" s="99">
        <v>-1</v>
      </c>
      <c r="BK703" s="99">
        <v>-1</v>
      </c>
      <c r="BL703" s="99">
        <v>-1</v>
      </c>
      <c r="BM703" s="95">
        <v>-1</v>
      </c>
      <c r="BN703" s="99">
        <v>-1</v>
      </c>
      <c r="BO703" s="99">
        <v>-1</v>
      </c>
      <c r="BP703" s="95">
        <v>-1</v>
      </c>
      <c r="BQ703" s="99">
        <v>-1</v>
      </c>
      <c r="BR703" s="99">
        <v>-1</v>
      </c>
      <c r="BS703" s="95">
        <v>-1</v>
      </c>
      <c r="BT703" s="95">
        <v>-1</v>
      </c>
      <c r="BU703" s="95">
        <v>-1</v>
      </c>
      <c r="BV703" s="95">
        <v>-1</v>
      </c>
      <c r="BW703" s="89"/>
      <c r="BX703" s="89"/>
      <c r="BY703" s="89"/>
      <c r="BZ703" s="89"/>
      <c r="CA703" s="89"/>
      <c r="CB703" s="89"/>
      <c r="CC703" s="89"/>
      <c r="CD703" s="89"/>
      <c r="CE703" s="89"/>
      <c r="CF703" s="89"/>
      <c r="CG703" s="89"/>
      <c r="CH703" s="89"/>
      <c r="CI703" s="89"/>
      <c r="CJ703" s="89"/>
      <c r="CK703" s="89"/>
      <c r="CL703" s="89"/>
      <c r="CM703" s="89"/>
      <c r="CN703" s="99">
        <v>1</v>
      </c>
      <c r="CO703" s="95">
        <v>-1</v>
      </c>
      <c r="CP703" s="95">
        <v>-1</v>
      </c>
      <c r="CQ703" s="95">
        <v>-1</v>
      </c>
      <c r="CR703" s="95">
        <v>-1</v>
      </c>
      <c r="CS703" s="95">
        <v>-1</v>
      </c>
      <c r="CT703" s="95">
        <v>-1</v>
      </c>
      <c r="CU703" s="95">
        <v>-1</v>
      </c>
      <c r="CV703" s="95">
        <v>-1</v>
      </c>
      <c r="CW703" s="95">
        <v>-1</v>
      </c>
      <c r="CX703" s="95">
        <v>-1</v>
      </c>
      <c r="CY703" s="95">
        <v>-1</v>
      </c>
      <c r="CZ703" s="98"/>
      <c r="DA703" s="98"/>
      <c r="DB703" s="98"/>
      <c r="DC703" s="98"/>
      <c r="DD703" s="98"/>
      <c r="DE703" s="98"/>
      <c r="DF703" s="98"/>
      <c r="DG703" s="98"/>
      <c r="DH703" s="98"/>
      <c r="DI703" s="98"/>
      <c r="DJ703" s="98"/>
      <c r="DK703" s="98"/>
      <c r="DL703" s="98"/>
      <c r="DM703" s="98"/>
      <c r="DN703" s="98"/>
      <c r="DO703" s="98"/>
      <c r="DP703" s="98"/>
      <c r="DQ703" s="98"/>
      <c r="DR703" s="98"/>
      <c r="DS703" s="98"/>
      <c r="DT703" s="98"/>
      <c r="DU703" s="98"/>
      <c r="DV703" s="98"/>
      <c r="DW703" s="98"/>
      <c r="DX703" s="98"/>
      <c r="DY703" s="98"/>
      <c r="DZ703" s="98"/>
      <c r="EA703" s="98"/>
      <c r="EB703" s="98"/>
      <c r="EC703" s="98"/>
      <c r="ED703" s="98"/>
    </row>
    <row r="704" spans="1:134" ht="11.25" customHeight="1" x14ac:dyDescent="0.3">
      <c r="A704" s="28" t="e">
        <f t="array" aca="1" ref="A704" ca="1">_xludf.XLOOKUP(S704,Master_Registrations!P:P,Master_Registrations!A:A,"")</f>
        <v>#NAME?</v>
      </c>
      <c r="B704" s="89" t="s">
        <v>4565</v>
      </c>
      <c r="C704" s="89">
        <v>2026</v>
      </c>
      <c r="D704" s="89" t="s">
        <v>184</v>
      </c>
      <c r="E704" s="89">
        <v>2</v>
      </c>
      <c r="F704" s="90" t="str">
        <f t="shared" si="8"/>
        <v>VED-07-2026-BR-2</v>
      </c>
      <c r="G704" s="90" t="s">
        <v>4569</v>
      </c>
      <c r="H704" s="90" t="s">
        <v>4569</v>
      </c>
      <c r="I704" s="90"/>
      <c r="J704" s="89" t="s">
        <v>7094</v>
      </c>
      <c r="K704" s="102"/>
      <c r="L704" s="102"/>
      <c r="M704" s="102"/>
      <c r="N704" s="90" t="s">
        <v>7095</v>
      </c>
      <c r="O704" s="89" t="s">
        <v>4997</v>
      </c>
      <c r="P704" s="89" t="s">
        <v>7145</v>
      </c>
      <c r="Q704" s="89" t="e">
        <f t="shared" ca="1" si="9"/>
        <v>#NAME?</v>
      </c>
      <c r="R704" s="39" t="s">
        <v>112</v>
      </c>
      <c r="S704" s="94">
        <v>9553784304</v>
      </c>
      <c r="T704" s="90" t="s">
        <v>111</v>
      </c>
      <c r="U704" s="90">
        <v>1996</v>
      </c>
      <c r="V704" s="97">
        <v>2</v>
      </c>
      <c r="W704" s="97">
        <v>2</v>
      </c>
      <c r="X704" s="97">
        <v>2</v>
      </c>
      <c r="Y704" s="97">
        <v>2</v>
      </c>
      <c r="Z704" s="97">
        <v>2</v>
      </c>
      <c r="AA704" s="97">
        <v>2</v>
      </c>
      <c r="AB704" s="97">
        <v>2</v>
      </c>
      <c r="AC704" s="97">
        <v>2</v>
      </c>
      <c r="AD704" s="97">
        <v>2</v>
      </c>
      <c r="AE704" s="97">
        <v>2</v>
      </c>
      <c r="AF704" s="97">
        <v>2</v>
      </c>
      <c r="AG704" s="97">
        <v>2</v>
      </c>
      <c r="AH704" s="97">
        <v>2</v>
      </c>
      <c r="AI704" s="97">
        <v>4</v>
      </c>
      <c r="AJ704" s="97">
        <v>2</v>
      </c>
      <c r="AK704" s="97">
        <v>2</v>
      </c>
      <c r="AL704" s="97">
        <v>2</v>
      </c>
      <c r="AM704" s="97">
        <v>2</v>
      </c>
      <c r="AN704" s="97">
        <v>2</v>
      </c>
      <c r="AO704" s="97">
        <v>2</v>
      </c>
      <c r="AP704" s="97">
        <v>2</v>
      </c>
      <c r="AQ704" s="97">
        <v>2</v>
      </c>
      <c r="AR704" s="97">
        <v>2</v>
      </c>
      <c r="AS704" s="97">
        <v>2</v>
      </c>
      <c r="AT704" s="97">
        <v>2</v>
      </c>
      <c r="AU704" s="97">
        <v>2</v>
      </c>
      <c r="AV704" s="97">
        <v>4</v>
      </c>
      <c r="AW704" s="97">
        <v>2</v>
      </c>
      <c r="AX704" s="97">
        <v>2</v>
      </c>
      <c r="AY704" s="97">
        <v>2</v>
      </c>
      <c r="AZ704" s="97">
        <v>2</v>
      </c>
      <c r="BA704" s="97">
        <v>2</v>
      </c>
      <c r="BB704" s="97">
        <v>2</v>
      </c>
      <c r="BC704" s="97">
        <v>2</v>
      </c>
      <c r="BD704" s="97">
        <v>2</v>
      </c>
      <c r="BE704" s="97">
        <v>2</v>
      </c>
      <c r="BF704" s="97">
        <v>4</v>
      </c>
      <c r="BG704" s="97">
        <v>2</v>
      </c>
      <c r="BH704" s="97">
        <v>2</v>
      </c>
      <c r="BI704" s="97">
        <v>2</v>
      </c>
      <c r="BJ704" s="97">
        <v>2</v>
      </c>
      <c r="BK704" s="97">
        <v>2</v>
      </c>
      <c r="BL704" s="97">
        <v>2</v>
      </c>
      <c r="BM704" s="97">
        <v>4</v>
      </c>
      <c r="BN704" s="99">
        <v>2</v>
      </c>
      <c r="BO704" s="99">
        <v>2</v>
      </c>
      <c r="BP704" s="99">
        <v>2</v>
      </c>
      <c r="BQ704" s="99">
        <v>2</v>
      </c>
      <c r="BR704" s="99">
        <v>2</v>
      </c>
      <c r="BS704" s="99">
        <v>2</v>
      </c>
      <c r="BT704" s="99">
        <v>2</v>
      </c>
      <c r="BU704" s="99">
        <v>2</v>
      </c>
      <c r="BV704" s="106">
        <v>-1</v>
      </c>
      <c r="BW704" s="99">
        <v>1</v>
      </c>
      <c r="BX704" s="97">
        <v>1</v>
      </c>
      <c r="BY704" s="99">
        <v>-1</v>
      </c>
      <c r="BZ704" s="99">
        <v>-1</v>
      </c>
      <c r="CA704" s="96">
        <v>-1</v>
      </c>
      <c r="CB704" s="96">
        <v>-1</v>
      </c>
      <c r="CC704" s="96">
        <v>-1</v>
      </c>
      <c r="CD704" s="96">
        <v>-1</v>
      </c>
      <c r="CE704" s="106">
        <v>-1</v>
      </c>
      <c r="CF704" s="99">
        <v>-1</v>
      </c>
      <c r="CG704" s="99">
        <v>-1</v>
      </c>
      <c r="CH704" s="99">
        <v>-1</v>
      </c>
      <c r="CI704" s="99">
        <v>-1</v>
      </c>
      <c r="CJ704" s="99">
        <v>-1</v>
      </c>
      <c r="CK704" s="99">
        <v>-1</v>
      </c>
      <c r="CL704" s="99">
        <v>-1</v>
      </c>
      <c r="CM704" s="106">
        <v>-1</v>
      </c>
      <c r="CN704" s="106">
        <v>-1</v>
      </c>
      <c r="CO704" s="106">
        <v>-1</v>
      </c>
      <c r="CP704" s="106">
        <v>-1</v>
      </c>
      <c r="CQ704" s="106">
        <v>-1</v>
      </c>
      <c r="CR704" s="106">
        <v>-1</v>
      </c>
      <c r="CS704" s="106">
        <v>-1</v>
      </c>
      <c r="CT704" s="106">
        <v>-1</v>
      </c>
      <c r="CU704" s="106">
        <v>-1</v>
      </c>
      <c r="CV704" s="106">
        <v>-1</v>
      </c>
      <c r="CW704" s="95">
        <v>-1</v>
      </c>
      <c r="CX704" s="95">
        <v>-1</v>
      </c>
      <c r="CY704" s="106">
        <v>-1</v>
      </c>
      <c r="CZ704" s="98"/>
      <c r="DA704" s="98"/>
      <c r="DB704" s="98"/>
      <c r="DC704" s="98"/>
      <c r="DD704" s="98"/>
      <c r="DE704" s="98"/>
      <c r="DF704" s="98"/>
      <c r="DG704" s="98"/>
      <c r="DH704" s="98"/>
      <c r="DI704" s="98"/>
      <c r="DJ704" s="98"/>
      <c r="DK704" s="98"/>
      <c r="DL704" s="98"/>
      <c r="DM704" s="98"/>
      <c r="DN704" s="98"/>
      <c r="DO704" s="98"/>
      <c r="DP704" s="98"/>
      <c r="DQ704" s="98"/>
      <c r="DR704" s="98"/>
      <c r="DS704" s="98"/>
      <c r="DT704" s="98"/>
      <c r="DU704" s="98"/>
      <c r="DV704" s="98"/>
      <c r="DW704" s="98"/>
      <c r="DX704" s="98"/>
      <c r="DY704" s="98"/>
      <c r="DZ704" s="98"/>
      <c r="EA704" s="98"/>
      <c r="EB704" s="98"/>
      <c r="EC704" s="98"/>
      <c r="ED704" s="98"/>
    </row>
    <row r="705" spans="1:134" ht="11.25" customHeight="1" x14ac:dyDescent="0.3">
      <c r="A705" s="28" t="e">
        <f t="array" aca="1" ref="A705" ca="1">_xludf.XLOOKUP(S705,Master_Registrations!P:P,Master_Registrations!A:A,"")</f>
        <v>#NAME?</v>
      </c>
      <c r="B705" s="89" t="s">
        <v>7091</v>
      </c>
      <c r="C705" s="89">
        <v>2025</v>
      </c>
      <c r="D705" s="89" t="s">
        <v>4886</v>
      </c>
      <c r="E705" s="89">
        <v>1</v>
      </c>
      <c r="F705" s="90" t="str">
        <f t="shared" si="8"/>
        <v>VED-08-2025-GR-1</v>
      </c>
      <c r="G705" s="89" t="s">
        <v>7073</v>
      </c>
      <c r="H705" s="89" t="s">
        <v>7092</v>
      </c>
      <c r="I705" s="89"/>
      <c r="J705" s="89" t="s">
        <v>7094</v>
      </c>
      <c r="K705" s="93"/>
      <c r="L705" s="93"/>
      <c r="M705" s="93"/>
      <c r="N705" s="90" t="s">
        <v>7095</v>
      </c>
      <c r="O705" s="89" t="s">
        <v>4844</v>
      </c>
      <c r="P705" s="89" t="s">
        <v>2988</v>
      </c>
      <c r="Q705" s="89" t="e">
        <f t="shared" ca="1" si="9"/>
        <v>#NAME?</v>
      </c>
      <c r="R705" s="39" t="s">
        <v>112</v>
      </c>
      <c r="S705" s="105">
        <v>9849455548</v>
      </c>
      <c r="T705" s="90" t="s">
        <v>111</v>
      </c>
      <c r="U705" s="89">
        <v>1962</v>
      </c>
      <c r="V705" s="99">
        <v>1</v>
      </c>
      <c r="W705" s="99">
        <v>1</v>
      </c>
      <c r="X705" s="99">
        <v>1</v>
      </c>
      <c r="Y705" s="99">
        <v>1</v>
      </c>
      <c r="Z705" s="99">
        <v>1</v>
      </c>
      <c r="AA705" s="99">
        <v>1</v>
      </c>
      <c r="AB705" s="99">
        <v>1</v>
      </c>
      <c r="AC705" s="99">
        <v>1</v>
      </c>
      <c r="AD705" s="99">
        <v>1</v>
      </c>
      <c r="AE705" s="99">
        <v>1</v>
      </c>
      <c r="AF705" s="99">
        <v>1</v>
      </c>
      <c r="AG705" s="99">
        <v>1</v>
      </c>
      <c r="AH705" s="99">
        <v>1</v>
      </c>
      <c r="AI705" s="96">
        <v>-1</v>
      </c>
      <c r="AJ705" s="99">
        <v>1</v>
      </c>
      <c r="AK705" s="99">
        <v>1</v>
      </c>
      <c r="AL705" s="99">
        <v>1</v>
      </c>
      <c r="AM705" s="99">
        <v>1</v>
      </c>
      <c r="AN705" s="99">
        <v>1</v>
      </c>
      <c r="AO705" s="99">
        <v>1</v>
      </c>
      <c r="AP705" s="99">
        <v>-1</v>
      </c>
      <c r="AQ705" s="99">
        <v>-1</v>
      </c>
      <c r="AR705" s="99">
        <v>1</v>
      </c>
      <c r="AS705" s="99">
        <v>-1</v>
      </c>
      <c r="AT705" s="99">
        <v>1</v>
      </c>
      <c r="AU705" s="99">
        <v>1</v>
      </c>
      <c r="AV705" s="95">
        <v>-1</v>
      </c>
      <c r="AW705" s="99">
        <v>1</v>
      </c>
      <c r="AX705" s="100">
        <v>1</v>
      </c>
      <c r="AY705" s="95">
        <v>1</v>
      </c>
      <c r="AZ705" s="99">
        <v>-1</v>
      </c>
      <c r="BA705" s="99">
        <v>1</v>
      </c>
      <c r="BB705" s="99">
        <v>1</v>
      </c>
      <c r="BC705" s="99">
        <v>1</v>
      </c>
      <c r="BD705" s="99">
        <v>1</v>
      </c>
      <c r="BE705" s="99">
        <v>1</v>
      </c>
      <c r="BF705" s="96">
        <v>-1</v>
      </c>
      <c r="BG705" s="99">
        <v>1</v>
      </c>
      <c r="BH705" s="97">
        <v>1</v>
      </c>
      <c r="BI705" s="97">
        <v>1</v>
      </c>
      <c r="BJ705" s="97">
        <v>1</v>
      </c>
      <c r="BK705" s="97">
        <v>1</v>
      </c>
      <c r="BL705" s="97">
        <v>1</v>
      </c>
      <c r="BM705" s="96">
        <v>-1</v>
      </c>
      <c r="BN705" s="97">
        <v>1</v>
      </c>
      <c r="BO705" s="97">
        <v>1</v>
      </c>
      <c r="BP705" s="97">
        <v>1</v>
      </c>
      <c r="BQ705" s="97">
        <v>1</v>
      </c>
      <c r="BR705" s="97">
        <v>1</v>
      </c>
      <c r="BS705" s="97">
        <v>1</v>
      </c>
      <c r="BT705" s="100">
        <v>1</v>
      </c>
      <c r="BU705" s="100">
        <v>1</v>
      </c>
      <c r="BV705" s="106">
        <v>-1</v>
      </c>
      <c r="BW705" s="99">
        <v>1</v>
      </c>
      <c r="BX705" s="99">
        <v>1</v>
      </c>
      <c r="BY705" s="97">
        <v>-1</v>
      </c>
      <c r="BZ705" s="97">
        <v>-1</v>
      </c>
      <c r="CA705" s="97">
        <v>-1</v>
      </c>
      <c r="CB705" s="97">
        <v>-1</v>
      </c>
      <c r="CC705" s="97">
        <v>-1</v>
      </c>
      <c r="CD705" s="97">
        <v>-1</v>
      </c>
      <c r="CE705" s="106">
        <v>-1</v>
      </c>
      <c r="CF705" s="100">
        <v>1</v>
      </c>
      <c r="CG705" s="106">
        <v>-1</v>
      </c>
      <c r="CH705" s="106">
        <v>-1</v>
      </c>
      <c r="CI705" s="106">
        <v>-1</v>
      </c>
      <c r="CJ705" s="106">
        <v>-1</v>
      </c>
      <c r="CK705" s="106">
        <v>-1</v>
      </c>
      <c r="CL705" s="106">
        <v>-1</v>
      </c>
      <c r="CM705" s="106">
        <v>-1</v>
      </c>
      <c r="CN705" s="95">
        <v>-1</v>
      </c>
      <c r="CO705" s="95">
        <v>-1</v>
      </c>
      <c r="CP705" s="99">
        <v>1</v>
      </c>
      <c r="CQ705" s="99">
        <v>1</v>
      </c>
      <c r="CR705" s="99">
        <v>1</v>
      </c>
      <c r="CS705" s="99">
        <v>1</v>
      </c>
      <c r="CT705" s="95">
        <v>-1</v>
      </c>
      <c r="CU705" s="95">
        <v>-1</v>
      </c>
      <c r="CV705" s="95">
        <v>-1</v>
      </c>
      <c r="CW705" s="95">
        <v>-1</v>
      </c>
      <c r="CX705" s="95">
        <v>-1</v>
      </c>
      <c r="CY705" s="106">
        <v>-1</v>
      </c>
      <c r="CZ705" s="98"/>
      <c r="DA705" s="98"/>
      <c r="DB705" s="98"/>
      <c r="DC705" s="98"/>
      <c r="DD705" s="98"/>
      <c r="DE705" s="98"/>
      <c r="DF705" s="98"/>
      <c r="DG705" s="98"/>
      <c r="DH705" s="98"/>
      <c r="DI705" s="98"/>
      <c r="DJ705" s="98"/>
      <c r="DK705" s="98"/>
      <c r="DL705" s="98"/>
      <c r="DM705" s="98"/>
      <c r="DN705" s="98"/>
      <c r="DO705" s="98"/>
      <c r="DP705" s="98"/>
      <c r="DQ705" s="98"/>
      <c r="DR705" s="98"/>
      <c r="DS705" s="98"/>
      <c r="DT705" s="98"/>
      <c r="DU705" s="98"/>
      <c r="DV705" s="98"/>
      <c r="DW705" s="98"/>
      <c r="DX705" s="98"/>
      <c r="DY705" s="98"/>
      <c r="DZ705" s="98"/>
      <c r="EA705" s="98"/>
      <c r="EB705" s="98"/>
      <c r="EC705" s="98"/>
      <c r="ED705" s="98"/>
    </row>
    <row r="706" spans="1:134" ht="11.25" customHeight="1" x14ac:dyDescent="0.3">
      <c r="A706" s="28" t="e">
        <f t="array" aca="1" ref="A706" ca="1">_xludf.XLOOKUP(S706,Master_Registrations!P:P,Master_Registrations!A:A,"")</f>
        <v>#NAME?</v>
      </c>
      <c r="B706" s="89" t="s">
        <v>7091</v>
      </c>
      <c r="C706" s="89">
        <v>2025</v>
      </c>
      <c r="D706" s="89" t="s">
        <v>4886</v>
      </c>
      <c r="E706" s="89">
        <v>1</v>
      </c>
      <c r="F706" s="90" t="str">
        <f t="shared" si="8"/>
        <v>VED-08-2025-GR-1</v>
      </c>
      <c r="G706" s="89" t="s">
        <v>7073</v>
      </c>
      <c r="H706" s="89" t="s">
        <v>7092</v>
      </c>
      <c r="I706" s="89"/>
      <c r="J706" s="89" t="s">
        <v>7094</v>
      </c>
      <c r="K706" s="102"/>
      <c r="L706" s="102"/>
      <c r="M706" s="102"/>
      <c r="N706" s="90" t="s">
        <v>7095</v>
      </c>
      <c r="O706" s="89" t="s">
        <v>937</v>
      </c>
      <c r="P706" s="89" t="s">
        <v>4853</v>
      </c>
      <c r="Q706" s="89" t="e">
        <f t="shared" ca="1" si="9"/>
        <v>#NAME?</v>
      </c>
      <c r="R706" s="39" t="s">
        <v>112</v>
      </c>
      <c r="S706" s="105">
        <v>9618240243</v>
      </c>
      <c r="T706" s="90" t="s">
        <v>111</v>
      </c>
      <c r="U706" s="89">
        <v>1973</v>
      </c>
      <c r="V706" s="99">
        <v>2</v>
      </c>
      <c r="W706" s="99">
        <v>2</v>
      </c>
      <c r="X706" s="99">
        <v>2</v>
      </c>
      <c r="Y706" s="99">
        <v>2</v>
      </c>
      <c r="Z706" s="99">
        <v>2</v>
      </c>
      <c r="AA706" s="99">
        <v>2</v>
      </c>
      <c r="AB706" s="99">
        <v>2</v>
      </c>
      <c r="AC706" s="99">
        <v>2</v>
      </c>
      <c r="AD706" s="99">
        <v>2</v>
      </c>
      <c r="AE706" s="99">
        <v>2</v>
      </c>
      <c r="AF706" s="99">
        <v>2</v>
      </c>
      <c r="AG706" s="99">
        <v>2</v>
      </c>
      <c r="AH706" s="99">
        <v>2</v>
      </c>
      <c r="AI706" s="96">
        <v>-1</v>
      </c>
      <c r="AJ706" s="99">
        <v>2</v>
      </c>
      <c r="AK706" s="99">
        <v>2</v>
      </c>
      <c r="AL706" s="99">
        <v>2</v>
      </c>
      <c r="AM706" s="99">
        <v>2</v>
      </c>
      <c r="AN706" s="99">
        <v>2</v>
      </c>
      <c r="AO706" s="99">
        <v>2</v>
      </c>
      <c r="AP706" s="99">
        <v>-1</v>
      </c>
      <c r="AQ706" s="99">
        <v>-1</v>
      </c>
      <c r="AR706" s="99">
        <v>2</v>
      </c>
      <c r="AS706" s="99">
        <v>-1</v>
      </c>
      <c r="AT706" s="99">
        <v>2</v>
      </c>
      <c r="AU706" s="99">
        <v>2</v>
      </c>
      <c r="AV706" s="95">
        <v>-1</v>
      </c>
      <c r="AW706" s="97">
        <v>1</v>
      </c>
      <c r="AX706" s="100">
        <v>1</v>
      </c>
      <c r="AY706" s="95">
        <v>2</v>
      </c>
      <c r="AZ706" s="99">
        <v>-1</v>
      </c>
      <c r="BA706" s="99">
        <v>2</v>
      </c>
      <c r="BB706" s="99">
        <v>2</v>
      </c>
      <c r="BC706" s="97">
        <v>1</v>
      </c>
      <c r="BD706" s="97">
        <v>1</v>
      </c>
      <c r="BE706" s="97">
        <v>1</v>
      </c>
      <c r="BF706" s="96">
        <v>-1</v>
      </c>
      <c r="BG706" s="99">
        <v>1</v>
      </c>
      <c r="BH706" s="97">
        <v>1</v>
      </c>
      <c r="BI706" s="97">
        <v>1</v>
      </c>
      <c r="BJ706" s="97">
        <v>1</v>
      </c>
      <c r="BK706" s="97">
        <v>1</v>
      </c>
      <c r="BL706" s="97">
        <v>1</v>
      </c>
      <c r="BM706" s="96">
        <v>-1</v>
      </c>
      <c r="BN706" s="97">
        <v>1</v>
      </c>
      <c r="BO706" s="97">
        <v>1</v>
      </c>
      <c r="BP706" s="97">
        <v>1</v>
      </c>
      <c r="BQ706" s="100">
        <v>1</v>
      </c>
      <c r="BR706" s="100">
        <v>1</v>
      </c>
      <c r="BS706" s="100">
        <v>1</v>
      </c>
      <c r="BT706" s="100">
        <v>1</v>
      </c>
      <c r="BU706" s="100">
        <v>1</v>
      </c>
      <c r="BV706" s="106">
        <v>-1</v>
      </c>
      <c r="BW706" s="99">
        <v>1</v>
      </c>
      <c r="BX706" s="99">
        <v>1</v>
      </c>
      <c r="BY706" s="97">
        <v>-1</v>
      </c>
      <c r="BZ706" s="97">
        <v>-1</v>
      </c>
      <c r="CA706" s="97">
        <v>-1</v>
      </c>
      <c r="CB706" s="97">
        <v>-1</v>
      </c>
      <c r="CC706" s="97">
        <v>-1</v>
      </c>
      <c r="CD706" s="97">
        <v>-1</v>
      </c>
      <c r="CE706" s="106">
        <v>-1</v>
      </c>
      <c r="CF706" s="106">
        <v>-1</v>
      </c>
      <c r="CG706" s="106">
        <v>-1</v>
      </c>
      <c r="CH706" s="106">
        <v>-1</v>
      </c>
      <c r="CI706" s="106">
        <v>-1</v>
      </c>
      <c r="CJ706" s="106">
        <v>-1</v>
      </c>
      <c r="CK706" s="106">
        <v>-1</v>
      </c>
      <c r="CL706" s="106">
        <v>-1</v>
      </c>
      <c r="CM706" s="106">
        <v>-1</v>
      </c>
      <c r="CN706" s="99">
        <v>1</v>
      </c>
      <c r="CO706" s="99">
        <v>1</v>
      </c>
      <c r="CP706" s="99">
        <v>1</v>
      </c>
      <c r="CQ706" s="99">
        <v>-1</v>
      </c>
      <c r="CR706" s="99">
        <v>-1</v>
      </c>
      <c r="CS706" s="99">
        <v>-1</v>
      </c>
      <c r="CT706" s="95">
        <v>-1</v>
      </c>
      <c r="CU706" s="95">
        <v>-1</v>
      </c>
      <c r="CV706" s="95">
        <v>-1</v>
      </c>
      <c r="CW706" s="95">
        <v>-1</v>
      </c>
      <c r="CX706" s="95">
        <v>-1</v>
      </c>
      <c r="CY706" s="106">
        <v>-1</v>
      </c>
      <c r="CZ706" s="98"/>
      <c r="DA706" s="98"/>
      <c r="DB706" s="98"/>
      <c r="DC706" s="98"/>
      <c r="DD706" s="98"/>
      <c r="DE706" s="98"/>
      <c r="DF706" s="98"/>
      <c r="DG706" s="98"/>
      <c r="DH706" s="98"/>
      <c r="DI706" s="98"/>
      <c r="DJ706" s="98"/>
      <c r="DK706" s="98"/>
      <c r="DL706" s="98"/>
      <c r="DM706" s="98"/>
      <c r="DN706" s="98"/>
      <c r="DO706" s="98"/>
      <c r="DP706" s="98"/>
      <c r="DQ706" s="98"/>
      <c r="DR706" s="98"/>
      <c r="DS706" s="98"/>
      <c r="DT706" s="98"/>
      <c r="DU706" s="98"/>
      <c r="DV706" s="98"/>
      <c r="DW706" s="98"/>
      <c r="DX706" s="98"/>
      <c r="DY706" s="98"/>
      <c r="DZ706" s="98"/>
      <c r="EA706" s="98"/>
      <c r="EB706" s="98"/>
      <c r="EC706" s="98"/>
      <c r="ED706" s="98"/>
    </row>
    <row r="707" spans="1:134" ht="11.25" customHeight="1" x14ac:dyDescent="0.3">
      <c r="A707" s="28" t="e">
        <f t="array" aca="1" ref="A707" ca="1">_xludf.XLOOKUP(S707,Master_Registrations!P:P,Master_Registrations!A:A,"")</f>
        <v>#NAME?</v>
      </c>
      <c r="B707" s="89" t="s">
        <v>7091</v>
      </c>
      <c r="C707" s="89">
        <v>2025</v>
      </c>
      <c r="D707" s="89" t="s">
        <v>4886</v>
      </c>
      <c r="E707" s="89">
        <v>1</v>
      </c>
      <c r="F707" s="90" t="str">
        <f t="shared" si="8"/>
        <v>VED-08-2025-GR-1</v>
      </c>
      <c r="G707" s="89" t="s">
        <v>7073</v>
      </c>
      <c r="H707" s="89" t="s">
        <v>7092</v>
      </c>
      <c r="I707" s="89"/>
      <c r="J707" s="89" t="s">
        <v>7094</v>
      </c>
      <c r="K707" s="102"/>
      <c r="L707" s="102"/>
      <c r="M707" s="102"/>
      <c r="N707" s="90" t="s">
        <v>7095</v>
      </c>
      <c r="O707" s="89" t="s">
        <v>3819</v>
      </c>
      <c r="P707" s="89" t="s">
        <v>4990</v>
      </c>
      <c r="Q707" s="89" t="e">
        <f t="shared" ca="1" si="9"/>
        <v>#NAME?</v>
      </c>
      <c r="R707" s="39" t="s">
        <v>112</v>
      </c>
      <c r="S707" s="105">
        <v>9885888814</v>
      </c>
      <c r="T707" s="90" t="s">
        <v>111</v>
      </c>
      <c r="U707" s="89">
        <v>1971</v>
      </c>
      <c r="V707" s="99">
        <v>2</v>
      </c>
      <c r="W707" s="99">
        <v>2</v>
      </c>
      <c r="X707" s="99">
        <v>2</v>
      </c>
      <c r="Y707" s="99">
        <v>2</v>
      </c>
      <c r="Z707" s="99">
        <v>2</v>
      </c>
      <c r="AA707" s="99">
        <v>2</v>
      </c>
      <c r="AB707" s="99">
        <v>2</v>
      </c>
      <c r="AC707" s="99">
        <v>2</v>
      </c>
      <c r="AD707" s="99">
        <v>2</v>
      </c>
      <c r="AE707" s="99">
        <v>2</v>
      </c>
      <c r="AF707" s="99">
        <v>2</v>
      </c>
      <c r="AG707" s="99">
        <v>2</v>
      </c>
      <c r="AH707" s="99">
        <v>2</v>
      </c>
      <c r="AI707" s="99">
        <v>3</v>
      </c>
      <c r="AJ707" s="99">
        <v>2</v>
      </c>
      <c r="AK707" s="99">
        <v>2</v>
      </c>
      <c r="AL707" s="99">
        <v>2</v>
      </c>
      <c r="AM707" s="99">
        <v>2</v>
      </c>
      <c r="AN707" s="99">
        <v>2</v>
      </c>
      <c r="AO707" s="99">
        <v>2</v>
      </c>
      <c r="AP707" s="99">
        <v>2</v>
      </c>
      <c r="AQ707" s="99">
        <v>2</v>
      </c>
      <c r="AR707" s="99">
        <v>2</v>
      </c>
      <c r="AS707" s="99">
        <v>2</v>
      </c>
      <c r="AT707" s="99">
        <v>2</v>
      </c>
      <c r="AU707" s="99">
        <v>2</v>
      </c>
      <c r="AV707" s="99">
        <v>4</v>
      </c>
      <c r="AW707" s="99">
        <v>2</v>
      </c>
      <c r="AX707" s="99">
        <v>2</v>
      </c>
      <c r="AY707" s="99">
        <v>2</v>
      </c>
      <c r="AZ707" s="99">
        <v>2</v>
      </c>
      <c r="BA707" s="99">
        <v>2</v>
      </c>
      <c r="BB707" s="99">
        <v>2</v>
      </c>
      <c r="BC707" s="99">
        <v>2</v>
      </c>
      <c r="BD707" s="99">
        <v>2</v>
      </c>
      <c r="BE707" s="99">
        <v>2</v>
      </c>
      <c r="BF707" s="99">
        <v>4</v>
      </c>
      <c r="BG707" s="99">
        <v>1</v>
      </c>
      <c r="BH707" s="97">
        <v>1</v>
      </c>
      <c r="BI707" s="97">
        <v>1</v>
      </c>
      <c r="BJ707" s="97">
        <v>1</v>
      </c>
      <c r="BK707" s="97">
        <v>1</v>
      </c>
      <c r="BL707" s="97">
        <v>1</v>
      </c>
      <c r="BM707" s="96">
        <v>-1</v>
      </c>
      <c r="BN707" s="97">
        <v>1</v>
      </c>
      <c r="BO707" s="97">
        <v>1</v>
      </c>
      <c r="BP707" s="97">
        <v>1</v>
      </c>
      <c r="BQ707" s="100">
        <v>1</v>
      </c>
      <c r="BR707" s="100">
        <v>1</v>
      </c>
      <c r="BS707" s="100">
        <v>1</v>
      </c>
      <c r="BT707" s="100">
        <v>1</v>
      </c>
      <c r="BU707" s="100">
        <v>1</v>
      </c>
      <c r="BV707" s="106">
        <v>-1</v>
      </c>
      <c r="BW707" s="99">
        <v>-1</v>
      </c>
      <c r="BX707" s="99">
        <v>-1</v>
      </c>
      <c r="BY707" s="97">
        <v>-1</v>
      </c>
      <c r="BZ707" s="97">
        <v>-1</v>
      </c>
      <c r="CA707" s="97">
        <v>-1</v>
      </c>
      <c r="CB707" s="97">
        <v>-1</v>
      </c>
      <c r="CC707" s="97">
        <v>-1</v>
      </c>
      <c r="CD707" s="97">
        <v>-1</v>
      </c>
      <c r="CE707" s="106">
        <v>-1</v>
      </c>
      <c r="CF707" s="106">
        <v>-1</v>
      </c>
      <c r="CG707" s="106">
        <v>-1</v>
      </c>
      <c r="CH707" s="106">
        <v>-1</v>
      </c>
      <c r="CI707" s="106">
        <v>-1</v>
      </c>
      <c r="CJ707" s="106">
        <v>-1</v>
      </c>
      <c r="CK707" s="106">
        <v>-1</v>
      </c>
      <c r="CL707" s="106">
        <v>-1</v>
      </c>
      <c r="CM707" s="106">
        <v>-1</v>
      </c>
      <c r="CN707" s="99">
        <v>-1</v>
      </c>
      <c r="CO707" s="99">
        <v>-1</v>
      </c>
      <c r="CP707" s="99">
        <v>-1</v>
      </c>
      <c r="CQ707" s="99">
        <v>-1</v>
      </c>
      <c r="CR707" s="99">
        <v>-1</v>
      </c>
      <c r="CS707" s="99">
        <v>-1</v>
      </c>
      <c r="CT707" s="95">
        <v>-1</v>
      </c>
      <c r="CU707" s="95">
        <v>-1</v>
      </c>
      <c r="CV707" s="95">
        <v>-1</v>
      </c>
      <c r="CW707" s="95">
        <v>-1</v>
      </c>
      <c r="CX707" s="95">
        <v>-1</v>
      </c>
      <c r="CY707" s="106">
        <v>-1</v>
      </c>
      <c r="CZ707" s="98"/>
      <c r="DA707" s="98"/>
      <c r="DB707" s="98"/>
      <c r="DC707" s="98"/>
      <c r="DD707" s="98"/>
      <c r="DE707" s="98"/>
      <c r="DF707" s="98"/>
      <c r="DG707" s="98"/>
      <c r="DH707" s="98"/>
      <c r="DI707" s="98"/>
      <c r="DJ707" s="98"/>
      <c r="DK707" s="98"/>
      <c r="DL707" s="98"/>
      <c r="DM707" s="98"/>
      <c r="DN707" s="98"/>
      <c r="DO707" s="98"/>
      <c r="DP707" s="98"/>
      <c r="DQ707" s="98"/>
      <c r="DR707" s="98"/>
      <c r="DS707" s="98"/>
      <c r="DT707" s="98"/>
      <c r="DU707" s="98"/>
      <c r="DV707" s="98"/>
      <c r="DW707" s="98"/>
      <c r="DX707" s="98"/>
      <c r="DY707" s="98"/>
      <c r="DZ707" s="98"/>
      <c r="EA707" s="98"/>
      <c r="EB707" s="98"/>
      <c r="EC707" s="98"/>
      <c r="ED707" s="98"/>
    </row>
    <row r="708" spans="1:134" ht="11.25" customHeight="1" x14ac:dyDescent="0.3">
      <c r="A708" s="28" t="e">
        <f t="array" aca="1" ref="A708" ca="1">_xludf.XLOOKUP(S708,Master_Registrations!P:P,Master_Registrations!A:A,"")</f>
        <v>#NAME?</v>
      </c>
      <c r="B708" s="89" t="s">
        <v>7091</v>
      </c>
      <c r="C708" s="89">
        <v>2025</v>
      </c>
      <c r="D708" s="89" t="s">
        <v>4886</v>
      </c>
      <c r="E708" s="89">
        <v>1</v>
      </c>
      <c r="F708" s="90" t="str">
        <f t="shared" si="8"/>
        <v>VED-08-2025-GR-1</v>
      </c>
      <c r="G708" s="89" t="s">
        <v>7073</v>
      </c>
      <c r="H708" s="89" t="s">
        <v>7092</v>
      </c>
      <c r="I708" s="89"/>
      <c r="J708" s="89" t="s">
        <v>7094</v>
      </c>
      <c r="K708" s="93"/>
      <c r="L708" s="93"/>
      <c r="M708" s="93"/>
      <c r="N708" s="90" t="s">
        <v>7095</v>
      </c>
      <c r="O708" s="89" t="s">
        <v>4733</v>
      </c>
      <c r="P708" s="89" t="s">
        <v>4961</v>
      </c>
      <c r="Q708" s="89" t="e">
        <f t="shared" ca="1" si="9"/>
        <v>#NAME?</v>
      </c>
      <c r="R708" s="39" t="s">
        <v>112</v>
      </c>
      <c r="S708" s="105">
        <v>9757169309</v>
      </c>
      <c r="T708" s="90" t="s">
        <v>111</v>
      </c>
      <c r="U708" s="89">
        <v>1969</v>
      </c>
      <c r="V708" s="99">
        <v>1</v>
      </c>
      <c r="W708" s="99">
        <v>1</v>
      </c>
      <c r="X708" s="99">
        <v>1</v>
      </c>
      <c r="Y708" s="99">
        <v>1</v>
      </c>
      <c r="Z708" s="99">
        <v>1</v>
      </c>
      <c r="AA708" s="99">
        <v>1</v>
      </c>
      <c r="AB708" s="99">
        <v>1</v>
      </c>
      <c r="AC708" s="99">
        <v>1</v>
      </c>
      <c r="AD708" s="99">
        <v>1</v>
      </c>
      <c r="AE708" s="99">
        <v>1</v>
      </c>
      <c r="AF708" s="99">
        <v>1</v>
      </c>
      <c r="AG708" s="99">
        <v>1</v>
      </c>
      <c r="AH708" s="99">
        <v>1</v>
      </c>
      <c r="AI708" s="95">
        <v>-1</v>
      </c>
      <c r="AJ708" s="99">
        <v>1</v>
      </c>
      <c r="AK708" s="99">
        <v>1</v>
      </c>
      <c r="AL708" s="99">
        <v>1</v>
      </c>
      <c r="AM708" s="99">
        <v>1</v>
      </c>
      <c r="AN708" s="99">
        <v>1</v>
      </c>
      <c r="AO708" s="99">
        <v>1</v>
      </c>
      <c r="AP708" s="99">
        <v>1</v>
      </c>
      <c r="AQ708" s="95">
        <v>-1</v>
      </c>
      <c r="AR708" s="99">
        <v>1</v>
      </c>
      <c r="AS708" s="95">
        <v>-1</v>
      </c>
      <c r="AT708" s="99">
        <v>-1</v>
      </c>
      <c r="AU708" s="99">
        <v>1</v>
      </c>
      <c r="AV708" s="96">
        <v>-1</v>
      </c>
      <c r="AW708" s="97">
        <v>-1</v>
      </c>
      <c r="AX708" s="97">
        <v>-1</v>
      </c>
      <c r="AY708" s="95">
        <v>1</v>
      </c>
      <c r="AZ708" s="99">
        <v>-1</v>
      </c>
      <c r="BA708" s="99">
        <v>1</v>
      </c>
      <c r="BB708" s="99">
        <v>1</v>
      </c>
      <c r="BC708" s="97">
        <v>-1</v>
      </c>
      <c r="BD708" s="97">
        <v>-1</v>
      </c>
      <c r="BE708" s="97">
        <v>1</v>
      </c>
      <c r="BF708" s="96">
        <v>-1</v>
      </c>
      <c r="BG708" s="97">
        <v>-1</v>
      </c>
      <c r="BH708" s="97">
        <v>-1</v>
      </c>
      <c r="BI708" s="97">
        <v>-1</v>
      </c>
      <c r="BJ708" s="97">
        <v>-1</v>
      </c>
      <c r="BK708" s="97">
        <v>1</v>
      </c>
      <c r="BL708" s="97">
        <v>1</v>
      </c>
      <c r="BM708" s="96">
        <v>-1</v>
      </c>
      <c r="BN708" s="97">
        <v>-1</v>
      </c>
      <c r="BO708" s="97">
        <v>-1</v>
      </c>
      <c r="BP708" s="97">
        <v>-1</v>
      </c>
      <c r="BQ708" s="99">
        <v>-1</v>
      </c>
      <c r="BR708" s="99">
        <v>-1</v>
      </c>
      <c r="BS708" s="99">
        <v>-1</v>
      </c>
      <c r="BT708" s="99">
        <v>-1</v>
      </c>
      <c r="BU708" s="99">
        <v>-1</v>
      </c>
      <c r="BV708" s="106">
        <v>-1</v>
      </c>
      <c r="BW708" s="99">
        <v>-1</v>
      </c>
      <c r="BX708" s="99">
        <v>-1</v>
      </c>
      <c r="BY708" s="97">
        <v>1</v>
      </c>
      <c r="BZ708" s="97">
        <v>1</v>
      </c>
      <c r="CA708" s="97">
        <v>1</v>
      </c>
      <c r="CB708" s="97">
        <v>1</v>
      </c>
      <c r="CC708" s="100">
        <v>-1</v>
      </c>
      <c r="CD708" s="100">
        <v>-1</v>
      </c>
      <c r="CE708" s="106">
        <v>-1</v>
      </c>
      <c r="CF708" s="106">
        <v>-1</v>
      </c>
      <c r="CG708" s="106">
        <v>-1</v>
      </c>
      <c r="CH708" s="106">
        <v>-1</v>
      </c>
      <c r="CI708" s="106">
        <v>-1</v>
      </c>
      <c r="CJ708" s="106">
        <v>-1</v>
      </c>
      <c r="CK708" s="106">
        <v>-1</v>
      </c>
      <c r="CL708" s="106">
        <v>-1</v>
      </c>
      <c r="CM708" s="106">
        <v>-1</v>
      </c>
      <c r="CN708" s="96">
        <v>-1</v>
      </c>
      <c r="CO708" s="96">
        <v>-1</v>
      </c>
      <c r="CP708" s="96">
        <v>-1</v>
      </c>
      <c r="CQ708" s="97">
        <v>-1</v>
      </c>
      <c r="CR708" s="99">
        <v>-1</v>
      </c>
      <c r="CS708" s="99">
        <v>-1</v>
      </c>
      <c r="CT708" s="96">
        <v>-1</v>
      </c>
      <c r="CU708" s="96">
        <v>-1</v>
      </c>
      <c r="CV708" s="96">
        <v>-1</v>
      </c>
      <c r="CW708" s="96">
        <v>-1</v>
      </c>
      <c r="CX708" s="96">
        <v>-1</v>
      </c>
      <c r="CY708" s="106">
        <v>-1</v>
      </c>
      <c r="CZ708" s="98"/>
      <c r="DA708" s="98"/>
      <c r="DB708" s="98"/>
      <c r="DC708" s="98"/>
      <c r="DD708" s="98"/>
      <c r="DE708" s="98"/>
      <c r="DF708" s="98"/>
      <c r="DG708" s="98"/>
      <c r="DH708" s="98"/>
      <c r="DI708" s="98"/>
      <c r="DJ708" s="98"/>
      <c r="DK708" s="98"/>
      <c r="DL708" s="98"/>
      <c r="DM708" s="98"/>
      <c r="DN708" s="98"/>
      <c r="DO708" s="98"/>
      <c r="DP708" s="98"/>
      <c r="DQ708" s="98"/>
      <c r="DR708" s="98"/>
      <c r="DS708" s="98"/>
      <c r="DT708" s="98"/>
      <c r="DU708" s="98"/>
      <c r="DV708" s="98"/>
      <c r="DW708" s="98"/>
      <c r="DX708" s="98"/>
      <c r="DY708" s="98"/>
      <c r="DZ708" s="98"/>
      <c r="EA708" s="98"/>
      <c r="EB708" s="98"/>
      <c r="EC708" s="98"/>
      <c r="ED708" s="98"/>
    </row>
    <row r="709" spans="1:134" ht="11.25" customHeight="1" x14ac:dyDescent="0.3">
      <c r="A709" s="28" t="e">
        <f t="array" aca="1" ref="A709" ca="1">_xludf.XLOOKUP(S709,Master_Registrations!P:P,Master_Registrations!A:A,"")</f>
        <v>#NAME?</v>
      </c>
      <c r="B709" s="89" t="s">
        <v>7146</v>
      </c>
      <c r="C709" s="89">
        <v>2024</v>
      </c>
      <c r="D709" s="89" t="s">
        <v>4886</v>
      </c>
      <c r="E709" s="89">
        <v>1</v>
      </c>
      <c r="F709" s="90" t="str">
        <f t="shared" si="8"/>
        <v>VED-GRAD-2024-GR-1</v>
      </c>
      <c r="G709" s="89" t="s">
        <v>7073</v>
      </c>
      <c r="H709" s="89" t="s">
        <v>7147</v>
      </c>
      <c r="I709" s="89"/>
      <c r="J709" s="89" t="s">
        <v>7094</v>
      </c>
      <c r="K709" s="102"/>
      <c r="L709" s="102"/>
      <c r="M709" s="102"/>
      <c r="N709" s="90" t="s">
        <v>7095</v>
      </c>
      <c r="O709" s="89" t="s">
        <v>1758</v>
      </c>
      <c r="P709" s="89" t="s">
        <v>4782</v>
      </c>
      <c r="Q709" s="89" t="e">
        <f t="shared" ca="1" si="9"/>
        <v>#NAME?</v>
      </c>
      <c r="R709" s="39" t="s">
        <v>112</v>
      </c>
      <c r="S709" s="105">
        <v>9490792372</v>
      </c>
      <c r="T709" s="90" t="s">
        <v>111</v>
      </c>
      <c r="U709" s="89">
        <v>1980</v>
      </c>
      <c r="V709" s="99">
        <v>2</v>
      </c>
      <c r="W709" s="99">
        <v>2</v>
      </c>
      <c r="X709" s="99">
        <v>2</v>
      </c>
      <c r="Y709" s="99">
        <v>2</v>
      </c>
      <c r="Z709" s="99">
        <v>2</v>
      </c>
      <c r="AA709" s="99">
        <v>2</v>
      </c>
      <c r="AB709" s="99">
        <v>2</v>
      </c>
      <c r="AC709" s="99">
        <v>2</v>
      </c>
      <c r="AD709" s="99">
        <v>2</v>
      </c>
      <c r="AE709" s="99">
        <v>2</v>
      </c>
      <c r="AF709" s="99">
        <v>2</v>
      </c>
      <c r="AG709" s="99">
        <v>2</v>
      </c>
      <c r="AH709" s="99">
        <v>2</v>
      </c>
      <c r="AI709" s="97">
        <v>3</v>
      </c>
      <c r="AJ709" s="99">
        <v>2</v>
      </c>
      <c r="AK709" s="99">
        <v>2</v>
      </c>
      <c r="AL709" s="99">
        <v>2</v>
      </c>
      <c r="AM709" s="99">
        <v>2</v>
      </c>
      <c r="AN709" s="99">
        <v>2</v>
      </c>
      <c r="AO709" s="99">
        <v>2</v>
      </c>
      <c r="AP709" s="99">
        <v>2</v>
      </c>
      <c r="AQ709" s="99">
        <v>2</v>
      </c>
      <c r="AR709" s="99">
        <v>2</v>
      </c>
      <c r="AS709" s="99">
        <v>2</v>
      </c>
      <c r="AT709" s="99">
        <v>2</v>
      </c>
      <c r="AU709" s="99">
        <v>2</v>
      </c>
      <c r="AV709" s="99">
        <v>4</v>
      </c>
      <c r="AW709" s="99">
        <v>2</v>
      </c>
      <c r="AX709" s="99">
        <v>2</v>
      </c>
      <c r="AY709" s="99">
        <v>2</v>
      </c>
      <c r="AZ709" s="99">
        <v>2</v>
      </c>
      <c r="BA709" s="99">
        <v>2</v>
      </c>
      <c r="BB709" s="99">
        <v>2</v>
      </c>
      <c r="BC709" s="99">
        <v>2</v>
      </c>
      <c r="BD709" s="99">
        <v>2</v>
      </c>
      <c r="BE709" s="99">
        <v>2</v>
      </c>
      <c r="BF709" s="99">
        <v>4</v>
      </c>
      <c r="BG709" s="97">
        <v>2</v>
      </c>
      <c r="BH709" s="97">
        <v>2</v>
      </c>
      <c r="BI709" s="97">
        <v>2</v>
      </c>
      <c r="BJ709" s="97">
        <v>2</v>
      </c>
      <c r="BK709" s="97">
        <v>2</v>
      </c>
      <c r="BL709" s="97">
        <v>2</v>
      </c>
      <c r="BM709" s="97">
        <v>4</v>
      </c>
      <c r="BN709" s="97">
        <v>1</v>
      </c>
      <c r="BO709" s="97">
        <v>1</v>
      </c>
      <c r="BP709" s="97">
        <v>1</v>
      </c>
      <c r="BQ709" s="99">
        <v>1</v>
      </c>
      <c r="BR709" s="99">
        <v>1</v>
      </c>
      <c r="BS709" s="99">
        <v>1</v>
      </c>
      <c r="BT709" s="99">
        <v>1</v>
      </c>
      <c r="BU709" s="99">
        <v>1</v>
      </c>
      <c r="BV709" s="106">
        <v>-1</v>
      </c>
      <c r="BW709" s="99">
        <v>1</v>
      </c>
      <c r="BX709" s="99">
        <v>1</v>
      </c>
      <c r="BY709" s="99">
        <v>1</v>
      </c>
      <c r="BZ709" s="99">
        <v>1</v>
      </c>
      <c r="CA709" s="99">
        <v>1</v>
      </c>
      <c r="CB709" s="99">
        <v>1</v>
      </c>
      <c r="CC709" s="99">
        <v>1</v>
      </c>
      <c r="CD709" s="99">
        <v>1</v>
      </c>
      <c r="CE709" s="106">
        <v>-1</v>
      </c>
      <c r="CF709" s="106">
        <v>2</v>
      </c>
      <c r="CG709" s="106">
        <v>2</v>
      </c>
      <c r="CH709" s="106">
        <v>2</v>
      </c>
      <c r="CI709" s="106">
        <v>2</v>
      </c>
      <c r="CJ709" s="106">
        <v>2</v>
      </c>
      <c r="CK709" s="106">
        <v>2</v>
      </c>
      <c r="CL709" s="106">
        <v>2</v>
      </c>
      <c r="CM709" s="106">
        <v>4</v>
      </c>
      <c r="CN709" s="95">
        <v>-1</v>
      </c>
      <c r="CO709" s="95">
        <v>-1</v>
      </c>
      <c r="CP709" s="95">
        <v>-1</v>
      </c>
      <c r="CQ709" s="95">
        <v>-1</v>
      </c>
      <c r="CR709" s="95">
        <v>-1</v>
      </c>
      <c r="CS709" s="95">
        <v>-1</v>
      </c>
      <c r="CT709" s="95">
        <v>-1</v>
      </c>
      <c r="CU709" s="95">
        <v>-1</v>
      </c>
      <c r="CV709" s="95">
        <v>-1</v>
      </c>
      <c r="CW709" s="95">
        <v>-1</v>
      </c>
      <c r="CX709" s="95">
        <v>-1</v>
      </c>
      <c r="CY709" s="106">
        <v>-1</v>
      </c>
      <c r="CZ709" s="98"/>
      <c r="DA709" s="98"/>
      <c r="DB709" s="98"/>
      <c r="DC709" s="98"/>
      <c r="DD709" s="98"/>
      <c r="DE709" s="98"/>
      <c r="DF709" s="98"/>
      <c r="DG709" s="98"/>
      <c r="DH709" s="98"/>
      <c r="DI709" s="98"/>
      <c r="DJ709" s="98"/>
      <c r="DK709" s="98"/>
      <c r="DL709" s="98"/>
      <c r="DM709" s="98"/>
      <c r="DN709" s="98"/>
      <c r="DO709" s="98"/>
      <c r="DP709" s="98"/>
      <c r="DQ709" s="98"/>
      <c r="DR709" s="98"/>
      <c r="DS709" s="98"/>
      <c r="DT709" s="98"/>
      <c r="DU709" s="98"/>
      <c r="DV709" s="98"/>
      <c r="DW709" s="98"/>
      <c r="DX709" s="98"/>
      <c r="DY709" s="98"/>
      <c r="DZ709" s="98"/>
      <c r="EA709" s="98"/>
      <c r="EB709" s="98"/>
      <c r="EC709" s="98"/>
      <c r="ED709" s="98"/>
    </row>
    <row r="710" spans="1:134" ht="11.25" customHeight="1" x14ac:dyDescent="0.3">
      <c r="A710" s="28" t="e">
        <f t="array" aca="1" ref="A710" ca="1">_xludf.XLOOKUP(S710,Master_Registrations!P:P,Master_Registrations!A:A,"")</f>
        <v>#NAME?</v>
      </c>
      <c r="B710" s="89" t="s">
        <v>7146</v>
      </c>
      <c r="C710" s="89">
        <v>2024</v>
      </c>
      <c r="D710" s="89" t="s">
        <v>4886</v>
      </c>
      <c r="E710" s="89">
        <v>1</v>
      </c>
      <c r="F710" s="90" t="str">
        <f t="shared" si="8"/>
        <v>VED-GRAD-2024-GR-1</v>
      </c>
      <c r="G710" s="89" t="s">
        <v>7073</v>
      </c>
      <c r="H710" s="89" t="s">
        <v>7147</v>
      </c>
      <c r="I710" s="89"/>
      <c r="J710" s="89" t="s">
        <v>7094</v>
      </c>
      <c r="K710" s="102"/>
      <c r="L710" s="102"/>
      <c r="M710" s="102"/>
      <c r="N710" s="90" t="s">
        <v>7095</v>
      </c>
      <c r="O710" s="89" t="s">
        <v>4920</v>
      </c>
      <c r="P710" s="89" t="s">
        <v>4921</v>
      </c>
      <c r="Q710" s="89" t="e">
        <f t="shared" ca="1" si="9"/>
        <v>#NAME?</v>
      </c>
      <c r="R710" s="39" t="s">
        <v>112</v>
      </c>
      <c r="S710" s="105">
        <v>9849984452</v>
      </c>
      <c r="T710" s="90" t="s">
        <v>111</v>
      </c>
      <c r="U710" s="89">
        <v>1975</v>
      </c>
      <c r="V710" s="99">
        <v>2</v>
      </c>
      <c r="W710" s="99">
        <v>2</v>
      </c>
      <c r="X710" s="99">
        <v>2</v>
      </c>
      <c r="Y710" s="99">
        <v>2</v>
      </c>
      <c r="Z710" s="99">
        <v>2</v>
      </c>
      <c r="AA710" s="99">
        <v>2</v>
      </c>
      <c r="AB710" s="99">
        <v>2</v>
      </c>
      <c r="AC710" s="99">
        <v>2</v>
      </c>
      <c r="AD710" s="99">
        <v>2</v>
      </c>
      <c r="AE710" s="99">
        <v>2</v>
      </c>
      <c r="AF710" s="99">
        <v>2</v>
      </c>
      <c r="AG710" s="99">
        <v>2</v>
      </c>
      <c r="AH710" s="99">
        <v>2</v>
      </c>
      <c r="AI710" s="97">
        <v>3</v>
      </c>
      <c r="AJ710" s="99">
        <v>2</v>
      </c>
      <c r="AK710" s="99">
        <v>2</v>
      </c>
      <c r="AL710" s="99">
        <v>2</v>
      </c>
      <c r="AM710" s="99">
        <v>2</v>
      </c>
      <c r="AN710" s="99">
        <v>2</v>
      </c>
      <c r="AO710" s="99">
        <v>2</v>
      </c>
      <c r="AP710" s="99">
        <v>2</v>
      </c>
      <c r="AQ710" s="99">
        <v>2</v>
      </c>
      <c r="AR710" s="99">
        <v>2</v>
      </c>
      <c r="AS710" s="99">
        <v>2</v>
      </c>
      <c r="AT710" s="99">
        <v>2</v>
      </c>
      <c r="AU710" s="99">
        <v>2</v>
      </c>
      <c r="AV710" s="99">
        <v>3</v>
      </c>
      <c r="AW710" s="99">
        <v>2</v>
      </c>
      <c r="AX710" s="99">
        <v>2</v>
      </c>
      <c r="AY710" s="99">
        <v>2</v>
      </c>
      <c r="AZ710" s="99">
        <v>2</v>
      </c>
      <c r="BA710" s="99">
        <v>2</v>
      </c>
      <c r="BB710" s="99">
        <v>2</v>
      </c>
      <c r="BC710" s="99">
        <v>2</v>
      </c>
      <c r="BD710" s="99">
        <v>2</v>
      </c>
      <c r="BE710" s="99">
        <v>2</v>
      </c>
      <c r="BF710" s="99">
        <v>4</v>
      </c>
      <c r="BG710" s="97">
        <v>2</v>
      </c>
      <c r="BH710" s="97">
        <v>2</v>
      </c>
      <c r="BI710" s="97">
        <v>2</v>
      </c>
      <c r="BJ710" s="97">
        <v>2</v>
      </c>
      <c r="BK710" s="97">
        <v>2</v>
      </c>
      <c r="BL710" s="97">
        <v>2</v>
      </c>
      <c r="BM710" s="97">
        <v>4</v>
      </c>
      <c r="BN710" s="97">
        <v>1</v>
      </c>
      <c r="BO710" s="97">
        <v>1</v>
      </c>
      <c r="BP710" s="97">
        <v>1</v>
      </c>
      <c r="BQ710" s="99">
        <v>1</v>
      </c>
      <c r="BR710" s="99">
        <v>1</v>
      </c>
      <c r="BS710" s="99">
        <v>1</v>
      </c>
      <c r="BT710" s="99">
        <v>1</v>
      </c>
      <c r="BU710" s="99">
        <v>1</v>
      </c>
      <c r="BV710" s="106">
        <v>-1</v>
      </c>
      <c r="BW710" s="99">
        <v>1</v>
      </c>
      <c r="BX710" s="99">
        <v>1</v>
      </c>
      <c r="BY710" s="99">
        <v>1</v>
      </c>
      <c r="BZ710" s="99">
        <v>1</v>
      </c>
      <c r="CA710" s="99">
        <v>1</v>
      </c>
      <c r="CB710" s="99">
        <v>1</v>
      </c>
      <c r="CC710" s="99">
        <v>1</v>
      </c>
      <c r="CD710" s="99">
        <v>1</v>
      </c>
      <c r="CE710" s="106">
        <v>-1</v>
      </c>
      <c r="CF710" s="106">
        <v>-1</v>
      </c>
      <c r="CG710" s="106">
        <v>-1</v>
      </c>
      <c r="CH710" s="106">
        <v>-1</v>
      </c>
      <c r="CI710" s="106">
        <v>-1</v>
      </c>
      <c r="CJ710" s="106">
        <v>-1</v>
      </c>
      <c r="CK710" s="106">
        <v>-1</v>
      </c>
      <c r="CL710" s="106">
        <v>-1</v>
      </c>
      <c r="CM710" s="106">
        <v>-1</v>
      </c>
      <c r="CN710" s="95">
        <v>-1</v>
      </c>
      <c r="CO710" s="95">
        <v>-1</v>
      </c>
      <c r="CP710" s="95">
        <v>-1</v>
      </c>
      <c r="CQ710" s="95">
        <v>-1</v>
      </c>
      <c r="CR710" s="95">
        <v>-1</v>
      </c>
      <c r="CS710" s="95">
        <v>-1</v>
      </c>
      <c r="CT710" s="95">
        <v>-1</v>
      </c>
      <c r="CU710" s="95">
        <v>-1</v>
      </c>
      <c r="CV710" s="95">
        <v>-1</v>
      </c>
      <c r="CW710" s="95">
        <v>-1</v>
      </c>
      <c r="CX710" s="95">
        <v>-1</v>
      </c>
      <c r="CY710" s="106">
        <v>-1</v>
      </c>
      <c r="CZ710" s="98"/>
      <c r="DA710" s="98"/>
      <c r="DB710" s="98"/>
      <c r="DC710" s="98"/>
      <c r="DD710" s="98"/>
      <c r="DE710" s="98"/>
      <c r="DF710" s="98"/>
      <c r="DG710" s="98"/>
      <c r="DH710" s="98"/>
      <c r="DI710" s="98"/>
      <c r="DJ710" s="98"/>
      <c r="DK710" s="98"/>
      <c r="DL710" s="98"/>
      <c r="DM710" s="98"/>
      <c r="DN710" s="98"/>
      <c r="DO710" s="98"/>
      <c r="DP710" s="98"/>
      <c r="DQ710" s="98"/>
      <c r="DR710" s="98"/>
      <c r="DS710" s="98"/>
      <c r="DT710" s="98"/>
      <c r="DU710" s="98"/>
      <c r="DV710" s="98"/>
      <c r="DW710" s="98"/>
      <c r="DX710" s="98"/>
      <c r="DY710" s="98"/>
      <c r="DZ710" s="98"/>
      <c r="EA710" s="98"/>
      <c r="EB710" s="98"/>
      <c r="EC710" s="98"/>
      <c r="ED710" s="98"/>
    </row>
    <row r="711" spans="1:134" ht="11.25" customHeight="1" x14ac:dyDescent="0.3">
      <c r="A711" s="28" t="e">
        <f t="array" aca="1" ref="A711" ca="1">_xludf.XLOOKUP(S711,Master_Registrations!P:P,Master_Registrations!A:A,"")</f>
        <v>#NAME?</v>
      </c>
      <c r="B711" s="89" t="s">
        <v>7146</v>
      </c>
      <c r="C711" s="89">
        <v>2024</v>
      </c>
      <c r="D711" s="89" t="s">
        <v>4886</v>
      </c>
      <c r="E711" s="89">
        <v>1</v>
      </c>
      <c r="F711" s="90" t="str">
        <f t="shared" si="8"/>
        <v>VED-GRAD-2024-GR-1</v>
      </c>
      <c r="G711" s="89" t="s">
        <v>7073</v>
      </c>
      <c r="H711" s="89" t="s">
        <v>7147</v>
      </c>
      <c r="I711" s="89"/>
      <c r="J711" s="89" t="s">
        <v>7094</v>
      </c>
      <c r="K711" s="102"/>
      <c r="L711" s="102"/>
      <c r="M711" s="102"/>
      <c r="N711" s="90" t="s">
        <v>7095</v>
      </c>
      <c r="O711" s="89" t="s">
        <v>4548</v>
      </c>
      <c r="P711" s="89" t="s">
        <v>4415</v>
      </c>
      <c r="Q711" s="89" t="e">
        <f t="shared" ca="1" si="9"/>
        <v>#NAME?</v>
      </c>
      <c r="R711" s="39" t="s">
        <v>112</v>
      </c>
      <c r="S711" s="105">
        <v>9704013011</v>
      </c>
      <c r="T711" s="90" t="s">
        <v>111</v>
      </c>
      <c r="U711" s="89">
        <v>1994</v>
      </c>
      <c r="V711" s="99">
        <v>2</v>
      </c>
      <c r="W711" s="99">
        <v>2</v>
      </c>
      <c r="X711" s="99">
        <v>2</v>
      </c>
      <c r="Y711" s="99">
        <v>2</v>
      </c>
      <c r="Z711" s="99">
        <v>2</v>
      </c>
      <c r="AA711" s="99">
        <v>2</v>
      </c>
      <c r="AB711" s="99">
        <v>2</v>
      </c>
      <c r="AC711" s="99">
        <v>2</v>
      </c>
      <c r="AD711" s="99">
        <v>2</v>
      </c>
      <c r="AE711" s="99">
        <v>2</v>
      </c>
      <c r="AF711" s="99">
        <v>2</v>
      </c>
      <c r="AG711" s="99">
        <v>2</v>
      </c>
      <c r="AH711" s="99">
        <v>2</v>
      </c>
      <c r="AI711" s="97">
        <v>3</v>
      </c>
      <c r="AJ711" s="99">
        <v>2</v>
      </c>
      <c r="AK711" s="99">
        <v>2</v>
      </c>
      <c r="AL711" s="99">
        <v>2</v>
      </c>
      <c r="AM711" s="99">
        <v>2</v>
      </c>
      <c r="AN711" s="99">
        <v>2</v>
      </c>
      <c r="AO711" s="99">
        <v>2</v>
      </c>
      <c r="AP711" s="99">
        <v>2</v>
      </c>
      <c r="AQ711" s="99">
        <v>2</v>
      </c>
      <c r="AR711" s="99">
        <v>2</v>
      </c>
      <c r="AS711" s="99">
        <v>2</v>
      </c>
      <c r="AT711" s="99">
        <v>2</v>
      </c>
      <c r="AU711" s="99">
        <v>2</v>
      </c>
      <c r="AV711" s="95">
        <v>-1</v>
      </c>
      <c r="AW711" s="99">
        <v>1</v>
      </c>
      <c r="AX711" s="100">
        <v>1</v>
      </c>
      <c r="AY711" s="95">
        <v>2</v>
      </c>
      <c r="AZ711" s="99">
        <v>-1</v>
      </c>
      <c r="BA711" s="99">
        <v>2</v>
      </c>
      <c r="BB711" s="99">
        <v>2</v>
      </c>
      <c r="BC711" s="99">
        <v>1</v>
      </c>
      <c r="BD711" s="99">
        <v>1</v>
      </c>
      <c r="BE711" s="99">
        <v>1</v>
      </c>
      <c r="BF711" s="96">
        <v>-1</v>
      </c>
      <c r="BG711" s="99">
        <v>1</v>
      </c>
      <c r="BH711" s="99">
        <v>1</v>
      </c>
      <c r="BI711" s="99">
        <v>1</v>
      </c>
      <c r="BJ711" s="99">
        <v>1</v>
      </c>
      <c r="BK711" s="99">
        <v>1</v>
      </c>
      <c r="BL711" s="99">
        <v>1</v>
      </c>
      <c r="BM711" s="96">
        <v>-1</v>
      </c>
      <c r="BN711" s="99">
        <v>1</v>
      </c>
      <c r="BO711" s="99">
        <v>1</v>
      </c>
      <c r="BP711" s="99">
        <v>1</v>
      </c>
      <c r="BQ711" s="99">
        <v>1</v>
      </c>
      <c r="BR711" s="99">
        <v>1</v>
      </c>
      <c r="BS711" s="99">
        <v>1</v>
      </c>
      <c r="BT711" s="99">
        <v>1</v>
      </c>
      <c r="BU711" s="99">
        <v>1</v>
      </c>
      <c r="BV711" s="106">
        <v>-1</v>
      </c>
      <c r="BW711" s="99">
        <v>1</v>
      </c>
      <c r="BX711" s="99">
        <v>1</v>
      </c>
      <c r="BY711" s="99">
        <v>1</v>
      </c>
      <c r="BZ711" s="99">
        <v>1</v>
      </c>
      <c r="CA711" s="99">
        <v>1</v>
      </c>
      <c r="CB711" s="99">
        <v>1</v>
      </c>
      <c r="CC711" s="99">
        <v>1</v>
      </c>
      <c r="CD711" s="99">
        <v>1</v>
      </c>
      <c r="CE711" s="106">
        <v>-1</v>
      </c>
      <c r="CF711" s="106">
        <v>-1</v>
      </c>
      <c r="CG711" s="106">
        <v>-1</v>
      </c>
      <c r="CH711" s="106">
        <v>-1</v>
      </c>
      <c r="CI711" s="106">
        <v>-1</v>
      </c>
      <c r="CJ711" s="106">
        <v>-1</v>
      </c>
      <c r="CK711" s="106">
        <v>-1</v>
      </c>
      <c r="CL711" s="106">
        <v>-1</v>
      </c>
      <c r="CM711" s="106">
        <v>-1</v>
      </c>
      <c r="CN711" s="95">
        <v>-1</v>
      </c>
      <c r="CO711" s="95">
        <v>-1</v>
      </c>
      <c r="CP711" s="95">
        <v>-1</v>
      </c>
      <c r="CQ711" s="95">
        <v>-1</v>
      </c>
      <c r="CR711" s="95">
        <v>-1</v>
      </c>
      <c r="CS711" s="95">
        <v>-1</v>
      </c>
      <c r="CT711" s="95">
        <v>-1</v>
      </c>
      <c r="CU711" s="95">
        <v>-1</v>
      </c>
      <c r="CV711" s="95">
        <v>-1</v>
      </c>
      <c r="CW711" s="95">
        <v>-1</v>
      </c>
      <c r="CX711" s="95">
        <v>-1</v>
      </c>
      <c r="CY711" s="106">
        <v>-1</v>
      </c>
      <c r="CZ711" s="98"/>
      <c r="DA711" s="98"/>
      <c r="DB711" s="98"/>
      <c r="DC711" s="98"/>
      <c r="DD711" s="98"/>
      <c r="DE711" s="98"/>
      <c r="DF711" s="98"/>
      <c r="DG711" s="98"/>
      <c r="DH711" s="98"/>
      <c r="DI711" s="98"/>
      <c r="DJ711" s="98"/>
      <c r="DK711" s="98"/>
      <c r="DL711" s="98"/>
      <c r="DM711" s="98"/>
      <c r="DN711" s="98"/>
      <c r="DO711" s="98"/>
      <c r="DP711" s="98"/>
      <c r="DQ711" s="98"/>
      <c r="DR711" s="98"/>
      <c r="DS711" s="98"/>
      <c r="DT711" s="98"/>
      <c r="DU711" s="98"/>
      <c r="DV711" s="98"/>
      <c r="DW711" s="98"/>
      <c r="DX711" s="98"/>
      <c r="DY711" s="98"/>
      <c r="DZ711" s="98"/>
      <c r="EA711" s="98"/>
      <c r="EB711" s="98"/>
      <c r="EC711" s="98"/>
      <c r="ED711" s="98"/>
    </row>
    <row r="712" spans="1:134" ht="11.25" customHeight="1" x14ac:dyDescent="0.3">
      <c r="A712" s="28" t="e">
        <f t="array" aca="1" ref="A712" ca="1">_xludf.XLOOKUP(S712,Master_Registrations!P:P,Master_Registrations!A:A,"")</f>
        <v>#NAME?</v>
      </c>
      <c r="B712" s="89" t="s">
        <v>7146</v>
      </c>
      <c r="C712" s="89">
        <v>2024</v>
      </c>
      <c r="D712" s="89" t="s">
        <v>4886</v>
      </c>
      <c r="E712" s="89">
        <v>1</v>
      </c>
      <c r="F712" s="90" t="str">
        <f t="shared" si="8"/>
        <v>VED-GRAD-2024-GR-1</v>
      </c>
      <c r="G712" s="89" t="s">
        <v>7073</v>
      </c>
      <c r="H712" s="89" t="s">
        <v>7147</v>
      </c>
      <c r="I712" s="89"/>
      <c r="J712" s="89" t="s">
        <v>7094</v>
      </c>
      <c r="K712" s="102"/>
      <c r="L712" s="102"/>
      <c r="M712" s="102"/>
      <c r="N712" s="90" t="s">
        <v>7095</v>
      </c>
      <c r="O712" s="89" t="s">
        <v>4811</v>
      </c>
      <c r="P712" s="89" t="s">
        <v>4812</v>
      </c>
      <c r="Q712" s="89" t="e">
        <f t="shared" ca="1" si="9"/>
        <v>#NAME?</v>
      </c>
      <c r="R712" s="39" t="s">
        <v>112</v>
      </c>
      <c r="S712" s="105">
        <v>8790933872</v>
      </c>
      <c r="T712" s="90" t="s">
        <v>111</v>
      </c>
      <c r="U712" s="89">
        <v>1966</v>
      </c>
      <c r="V712" s="99">
        <v>2</v>
      </c>
      <c r="W712" s="99">
        <v>2</v>
      </c>
      <c r="X712" s="99">
        <v>2</v>
      </c>
      <c r="Y712" s="99">
        <v>2</v>
      </c>
      <c r="Z712" s="99">
        <v>2</v>
      </c>
      <c r="AA712" s="99">
        <v>2</v>
      </c>
      <c r="AB712" s="99">
        <v>2</v>
      </c>
      <c r="AC712" s="99">
        <v>2</v>
      </c>
      <c r="AD712" s="99">
        <v>2</v>
      </c>
      <c r="AE712" s="99">
        <v>2</v>
      </c>
      <c r="AF712" s="99">
        <v>2</v>
      </c>
      <c r="AG712" s="99">
        <v>2</v>
      </c>
      <c r="AH712" s="99">
        <v>2</v>
      </c>
      <c r="AI712" s="95">
        <v>-1</v>
      </c>
      <c r="AJ712" s="99">
        <v>2</v>
      </c>
      <c r="AK712" s="99">
        <v>2</v>
      </c>
      <c r="AL712" s="99">
        <v>2</v>
      </c>
      <c r="AM712" s="99">
        <v>2</v>
      </c>
      <c r="AN712" s="99">
        <v>2</v>
      </c>
      <c r="AO712" s="99">
        <v>2</v>
      </c>
      <c r="AP712" s="99">
        <v>2</v>
      </c>
      <c r="AQ712" s="99">
        <v>2</v>
      </c>
      <c r="AR712" s="99">
        <v>2</v>
      </c>
      <c r="AS712" s="99">
        <v>2</v>
      </c>
      <c r="AT712" s="99">
        <v>2</v>
      </c>
      <c r="AU712" s="99">
        <v>2</v>
      </c>
      <c r="AV712" s="95">
        <v>-1</v>
      </c>
      <c r="AW712" s="99">
        <v>1</v>
      </c>
      <c r="AX712" s="100">
        <v>1</v>
      </c>
      <c r="AY712" s="95">
        <v>2</v>
      </c>
      <c r="AZ712" s="99">
        <v>-1</v>
      </c>
      <c r="BA712" s="99">
        <v>2</v>
      </c>
      <c r="BB712" s="99">
        <v>2</v>
      </c>
      <c r="BC712" s="99">
        <v>1</v>
      </c>
      <c r="BD712" s="99">
        <v>1</v>
      </c>
      <c r="BE712" s="99">
        <v>1</v>
      </c>
      <c r="BF712" s="96">
        <v>-1</v>
      </c>
      <c r="BG712" s="99">
        <v>1</v>
      </c>
      <c r="BH712" s="99">
        <v>1</v>
      </c>
      <c r="BI712" s="99">
        <v>1</v>
      </c>
      <c r="BJ712" s="99">
        <v>1</v>
      </c>
      <c r="BK712" s="99">
        <v>1</v>
      </c>
      <c r="BL712" s="99">
        <v>1</v>
      </c>
      <c r="BM712" s="96">
        <v>-1</v>
      </c>
      <c r="BN712" s="99">
        <v>1</v>
      </c>
      <c r="BO712" s="99">
        <v>1</v>
      </c>
      <c r="BP712" s="99">
        <v>1</v>
      </c>
      <c r="BQ712" s="99">
        <v>1</v>
      </c>
      <c r="BR712" s="99">
        <v>1</v>
      </c>
      <c r="BS712" s="99">
        <v>1</v>
      </c>
      <c r="BT712" s="99">
        <v>1</v>
      </c>
      <c r="BU712" s="99">
        <v>1</v>
      </c>
      <c r="BV712" s="106">
        <v>-1</v>
      </c>
      <c r="BW712" s="99">
        <v>1</v>
      </c>
      <c r="BX712" s="99">
        <v>1</v>
      </c>
      <c r="BY712" s="99">
        <v>1</v>
      </c>
      <c r="BZ712" s="99">
        <v>1</v>
      </c>
      <c r="CA712" s="99">
        <v>1</v>
      </c>
      <c r="CB712" s="99">
        <v>1</v>
      </c>
      <c r="CC712" s="99">
        <v>1</v>
      </c>
      <c r="CD712" s="99">
        <v>1</v>
      </c>
      <c r="CE712" s="106">
        <v>-1</v>
      </c>
      <c r="CF712" s="106">
        <v>-1</v>
      </c>
      <c r="CG712" s="106">
        <v>-1</v>
      </c>
      <c r="CH712" s="106">
        <v>-1</v>
      </c>
      <c r="CI712" s="106">
        <v>-1</v>
      </c>
      <c r="CJ712" s="106">
        <v>-1</v>
      </c>
      <c r="CK712" s="106">
        <v>-1</v>
      </c>
      <c r="CL712" s="106">
        <v>-1</v>
      </c>
      <c r="CM712" s="106">
        <v>-1</v>
      </c>
      <c r="CN712" s="95">
        <v>-1</v>
      </c>
      <c r="CO712" s="95">
        <v>-1</v>
      </c>
      <c r="CP712" s="95">
        <v>-1</v>
      </c>
      <c r="CQ712" s="95">
        <v>-1</v>
      </c>
      <c r="CR712" s="95">
        <v>-1</v>
      </c>
      <c r="CS712" s="95">
        <v>-1</v>
      </c>
      <c r="CT712" s="95">
        <v>-1</v>
      </c>
      <c r="CU712" s="95">
        <v>-1</v>
      </c>
      <c r="CV712" s="95">
        <v>-1</v>
      </c>
      <c r="CW712" s="95">
        <v>-1</v>
      </c>
      <c r="CX712" s="95">
        <v>-1</v>
      </c>
      <c r="CY712" s="106">
        <v>-1</v>
      </c>
      <c r="CZ712" s="98"/>
      <c r="DA712" s="98"/>
      <c r="DB712" s="98"/>
      <c r="DC712" s="98"/>
      <c r="DD712" s="98"/>
      <c r="DE712" s="98"/>
      <c r="DF712" s="98"/>
      <c r="DG712" s="98"/>
      <c r="DH712" s="98"/>
      <c r="DI712" s="98"/>
      <c r="DJ712" s="98"/>
      <c r="DK712" s="98"/>
      <c r="DL712" s="98"/>
      <c r="DM712" s="98"/>
      <c r="DN712" s="98"/>
      <c r="DO712" s="98"/>
      <c r="DP712" s="98"/>
      <c r="DQ712" s="98"/>
      <c r="DR712" s="98"/>
      <c r="DS712" s="98"/>
      <c r="DT712" s="98"/>
      <c r="DU712" s="98"/>
      <c r="DV712" s="98"/>
      <c r="DW712" s="98"/>
      <c r="DX712" s="98"/>
      <c r="DY712" s="98"/>
      <c r="DZ712" s="98"/>
      <c r="EA712" s="98"/>
      <c r="EB712" s="98"/>
      <c r="EC712" s="98"/>
      <c r="ED712" s="98"/>
    </row>
    <row r="713" spans="1:134" ht="11.25" customHeight="1" x14ac:dyDescent="0.3">
      <c r="A713" s="28" t="e">
        <f t="array" aca="1" ref="A713" ca="1">_xludf.XLOOKUP(S713,Master_Registrations!P:P,Master_Registrations!A:A,"")</f>
        <v>#NAME?</v>
      </c>
      <c r="B713" s="89" t="s">
        <v>7146</v>
      </c>
      <c r="C713" s="89">
        <v>2024</v>
      </c>
      <c r="D713" s="89" t="s">
        <v>4886</v>
      </c>
      <c r="E713" s="89">
        <v>1</v>
      </c>
      <c r="F713" s="90" t="str">
        <f t="shared" si="8"/>
        <v>VED-GRAD-2024-GR-1</v>
      </c>
      <c r="G713" s="89" t="s">
        <v>7073</v>
      </c>
      <c r="H713" s="89" t="s">
        <v>7147</v>
      </c>
      <c r="I713" s="89"/>
      <c r="J713" s="89" t="s">
        <v>7094</v>
      </c>
      <c r="K713" s="93"/>
      <c r="L713" s="93"/>
      <c r="M713" s="93"/>
      <c r="N713" s="90" t="s">
        <v>7095</v>
      </c>
      <c r="O713" s="89" t="s">
        <v>2544</v>
      </c>
      <c r="P713" s="89" t="s">
        <v>4802</v>
      </c>
      <c r="Q713" s="89" t="e">
        <f t="shared" ca="1" si="9"/>
        <v>#NAME?</v>
      </c>
      <c r="R713" s="39" t="s">
        <v>112</v>
      </c>
      <c r="S713" s="105">
        <v>7032054611</v>
      </c>
      <c r="T713" s="90" t="s">
        <v>111</v>
      </c>
      <c r="U713" s="89">
        <v>1972</v>
      </c>
      <c r="V713" s="99">
        <v>1</v>
      </c>
      <c r="W713" s="99">
        <v>1</v>
      </c>
      <c r="X713" s="99">
        <v>1</v>
      </c>
      <c r="Y713" s="99">
        <v>1</v>
      </c>
      <c r="Z713" s="99">
        <v>1</v>
      </c>
      <c r="AA713" s="99">
        <v>1</v>
      </c>
      <c r="AB713" s="99">
        <v>1</v>
      </c>
      <c r="AC713" s="99">
        <v>1</v>
      </c>
      <c r="AD713" s="99">
        <v>1</v>
      </c>
      <c r="AE713" s="99">
        <v>1</v>
      </c>
      <c r="AF713" s="99">
        <v>1</v>
      </c>
      <c r="AG713" s="99">
        <v>1</v>
      </c>
      <c r="AH713" s="99">
        <v>1</v>
      </c>
      <c r="AI713" s="95">
        <v>-1</v>
      </c>
      <c r="AJ713" s="99">
        <v>1</v>
      </c>
      <c r="AK713" s="99">
        <v>1</v>
      </c>
      <c r="AL713" s="99">
        <v>1</v>
      </c>
      <c r="AM713" s="99">
        <v>1</v>
      </c>
      <c r="AN713" s="99">
        <v>1</v>
      </c>
      <c r="AO713" s="99">
        <v>1</v>
      </c>
      <c r="AP713" s="99">
        <v>1</v>
      </c>
      <c r="AQ713" s="99">
        <v>1</v>
      </c>
      <c r="AR713" s="99">
        <v>1</v>
      </c>
      <c r="AS713" s="99">
        <v>1</v>
      </c>
      <c r="AT713" s="99">
        <v>1</v>
      </c>
      <c r="AU713" s="99">
        <v>1</v>
      </c>
      <c r="AV713" s="95">
        <v>-1</v>
      </c>
      <c r="AW713" s="99">
        <v>1</v>
      </c>
      <c r="AX713" s="100">
        <v>1</v>
      </c>
      <c r="AY713" s="95">
        <v>1</v>
      </c>
      <c r="AZ713" s="99">
        <v>-1</v>
      </c>
      <c r="BA713" s="99">
        <v>1</v>
      </c>
      <c r="BB713" s="99">
        <v>1</v>
      </c>
      <c r="BC713" s="99">
        <v>1</v>
      </c>
      <c r="BD713" s="99">
        <v>1</v>
      </c>
      <c r="BE713" s="99">
        <v>1</v>
      </c>
      <c r="BF713" s="96">
        <v>-1</v>
      </c>
      <c r="BG713" s="99">
        <v>1</v>
      </c>
      <c r="BH713" s="99">
        <v>1</v>
      </c>
      <c r="BI713" s="99">
        <v>1</v>
      </c>
      <c r="BJ713" s="99">
        <v>1</v>
      </c>
      <c r="BK713" s="99">
        <v>1</v>
      </c>
      <c r="BL713" s="99">
        <v>1</v>
      </c>
      <c r="BM713" s="96">
        <v>-1</v>
      </c>
      <c r="BN713" s="99">
        <v>1</v>
      </c>
      <c r="BO713" s="99">
        <v>1</v>
      </c>
      <c r="BP713" s="99">
        <v>1</v>
      </c>
      <c r="BQ713" s="99">
        <v>1</v>
      </c>
      <c r="BR713" s="99">
        <v>1</v>
      </c>
      <c r="BS713" s="99">
        <v>1</v>
      </c>
      <c r="BT713" s="99">
        <v>1</v>
      </c>
      <c r="BU713" s="99">
        <v>1</v>
      </c>
      <c r="BV713" s="106">
        <v>-1</v>
      </c>
      <c r="BW713" s="99">
        <v>1</v>
      </c>
      <c r="BX713" s="99">
        <v>1</v>
      </c>
      <c r="BY713" s="99">
        <v>1</v>
      </c>
      <c r="BZ713" s="99">
        <v>1</v>
      </c>
      <c r="CA713" s="99">
        <v>1</v>
      </c>
      <c r="CB713" s="99">
        <v>1</v>
      </c>
      <c r="CC713" s="99">
        <v>1</v>
      </c>
      <c r="CD713" s="99">
        <v>1</v>
      </c>
      <c r="CE713" s="106">
        <v>-1</v>
      </c>
      <c r="CF713" s="106">
        <v>-1</v>
      </c>
      <c r="CG713" s="106">
        <v>-1</v>
      </c>
      <c r="CH713" s="106">
        <v>-1</v>
      </c>
      <c r="CI713" s="106">
        <v>-1</v>
      </c>
      <c r="CJ713" s="106">
        <v>-1</v>
      </c>
      <c r="CK713" s="106">
        <v>-1</v>
      </c>
      <c r="CL713" s="106">
        <v>-1</v>
      </c>
      <c r="CM713" s="106">
        <v>-1</v>
      </c>
      <c r="CN713" s="95">
        <v>-1</v>
      </c>
      <c r="CO713" s="95">
        <v>-1</v>
      </c>
      <c r="CP713" s="95">
        <v>-1</v>
      </c>
      <c r="CQ713" s="95">
        <v>-1</v>
      </c>
      <c r="CR713" s="95">
        <v>-1</v>
      </c>
      <c r="CS713" s="95">
        <v>-1</v>
      </c>
      <c r="CT713" s="95">
        <v>-1</v>
      </c>
      <c r="CU713" s="95">
        <v>-1</v>
      </c>
      <c r="CV713" s="95">
        <v>-1</v>
      </c>
      <c r="CW713" s="95">
        <v>-1</v>
      </c>
      <c r="CX713" s="95">
        <v>-1</v>
      </c>
      <c r="CY713" s="106">
        <v>-1</v>
      </c>
      <c r="CZ713" s="98"/>
      <c r="DA713" s="98"/>
      <c r="DB713" s="98"/>
      <c r="DC713" s="98"/>
      <c r="DD713" s="98"/>
      <c r="DE713" s="98"/>
      <c r="DF713" s="98"/>
      <c r="DG713" s="98"/>
      <c r="DH713" s="98"/>
      <c r="DI713" s="98"/>
      <c r="DJ713" s="98"/>
      <c r="DK713" s="98"/>
      <c r="DL713" s="98"/>
      <c r="DM713" s="98"/>
      <c r="DN713" s="98"/>
      <c r="DO713" s="98"/>
      <c r="DP713" s="98"/>
      <c r="DQ713" s="98"/>
      <c r="DR713" s="98"/>
      <c r="DS713" s="98"/>
      <c r="DT713" s="98"/>
      <c r="DU713" s="98"/>
      <c r="DV713" s="98"/>
      <c r="DW713" s="98"/>
      <c r="DX713" s="98"/>
      <c r="DY713" s="98"/>
      <c r="DZ713" s="98"/>
      <c r="EA713" s="98"/>
      <c r="EB713" s="98"/>
      <c r="EC713" s="98"/>
      <c r="ED713" s="98"/>
    </row>
    <row r="714" spans="1:134" ht="11.25" customHeight="1" x14ac:dyDescent="0.3">
      <c r="A714" s="113"/>
      <c r="B714" s="113"/>
      <c r="C714" s="113"/>
      <c r="D714" s="114"/>
      <c r="E714" s="114"/>
      <c r="F714" s="115"/>
      <c r="G714" s="116"/>
      <c r="H714" s="117"/>
      <c r="I714" s="117"/>
      <c r="J714" s="114"/>
      <c r="K714" s="118"/>
      <c r="L714" s="119"/>
      <c r="M714" s="120"/>
      <c r="N714" s="117"/>
      <c r="O714" s="116"/>
      <c r="P714" s="116"/>
      <c r="Q714" s="116"/>
      <c r="R714" s="113"/>
      <c r="S714" s="121"/>
      <c r="T714" s="115"/>
      <c r="U714" s="117"/>
      <c r="V714" s="122"/>
      <c r="W714" s="122"/>
      <c r="X714" s="122"/>
      <c r="Y714" s="122"/>
      <c r="Z714" s="122"/>
      <c r="AA714" s="122"/>
      <c r="AB714" s="122"/>
      <c r="AC714" s="122"/>
      <c r="AD714" s="122"/>
      <c r="AE714" s="122"/>
      <c r="AF714" s="122"/>
      <c r="AG714" s="122"/>
      <c r="AH714" s="122"/>
      <c r="AI714" s="123"/>
      <c r="AJ714" s="122"/>
      <c r="AK714" s="122"/>
      <c r="AL714" s="122"/>
      <c r="AM714" s="122"/>
      <c r="AN714" s="122"/>
      <c r="AO714" s="122"/>
      <c r="AP714" s="124"/>
      <c r="AQ714" s="122"/>
      <c r="AR714" s="122"/>
      <c r="AS714" s="122"/>
      <c r="AT714" s="122"/>
      <c r="AU714" s="122"/>
      <c r="AV714" s="124"/>
      <c r="AW714" s="125"/>
      <c r="AX714" s="126"/>
      <c r="AY714" s="127"/>
      <c r="AZ714" s="127"/>
      <c r="BA714" s="122"/>
      <c r="BB714" s="122"/>
      <c r="BC714" s="125"/>
      <c r="BD714" s="125"/>
      <c r="BE714" s="125"/>
      <c r="BF714" s="123"/>
      <c r="BG714" s="125"/>
      <c r="BH714" s="125"/>
      <c r="BI714" s="125"/>
      <c r="BJ714" s="125"/>
      <c r="BK714" s="125"/>
      <c r="BL714" s="125"/>
      <c r="BM714" s="123"/>
      <c r="BN714" s="114"/>
      <c r="BO714" s="114"/>
      <c r="BP714" s="114"/>
      <c r="BQ714" s="114"/>
      <c r="BR714" s="114"/>
      <c r="BS714" s="114"/>
      <c r="BT714" s="114"/>
      <c r="BU714" s="114"/>
      <c r="BV714" s="114"/>
      <c r="BW714" s="114"/>
      <c r="BX714" s="114"/>
      <c r="BY714" s="114"/>
      <c r="BZ714" s="114"/>
      <c r="CA714" s="114"/>
      <c r="CB714" s="114"/>
      <c r="CC714" s="114"/>
      <c r="CD714" s="114"/>
      <c r="CE714" s="114"/>
      <c r="CF714" s="114"/>
      <c r="CG714" s="114"/>
      <c r="CH714" s="114"/>
      <c r="CI714" s="114"/>
      <c r="CJ714" s="114"/>
      <c r="CK714" s="114"/>
      <c r="CL714" s="114"/>
      <c r="CM714" s="114"/>
      <c r="CN714" s="128"/>
      <c r="CO714" s="128"/>
      <c r="CP714" s="128"/>
      <c r="CQ714" s="128"/>
      <c r="CR714" s="128"/>
      <c r="CS714" s="128"/>
      <c r="CT714" s="128"/>
      <c r="CU714" s="128"/>
      <c r="CV714" s="128"/>
      <c r="CW714" s="128"/>
      <c r="CX714" s="128"/>
      <c r="CY714" s="128"/>
    </row>
    <row r="715" spans="1:134" ht="11.25" customHeight="1" x14ac:dyDescent="0.3">
      <c r="A715" s="113"/>
      <c r="B715" s="113"/>
      <c r="C715" s="113"/>
      <c r="D715" s="114"/>
      <c r="E715" s="114"/>
      <c r="F715" s="115"/>
      <c r="G715" s="116"/>
      <c r="H715" s="117"/>
      <c r="I715" s="117"/>
      <c r="J715" s="114"/>
      <c r="K715" s="118"/>
      <c r="L715" s="119"/>
      <c r="M715" s="120"/>
      <c r="N715" s="117"/>
      <c r="O715" s="116"/>
      <c r="P715" s="116"/>
      <c r="Q715" s="116"/>
      <c r="R715" s="113"/>
      <c r="S715" s="121"/>
      <c r="T715" s="115"/>
      <c r="U715" s="117"/>
      <c r="V715" s="122"/>
      <c r="W715" s="122"/>
      <c r="X715" s="122"/>
      <c r="Y715" s="122"/>
      <c r="Z715" s="122"/>
      <c r="AA715" s="122"/>
      <c r="AB715" s="122"/>
      <c r="AC715" s="122"/>
      <c r="AD715" s="122"/>
      <c r="AE715" s="122"/>
      <c r="AF715" s="122"/>
      <c r="AG715" s="122"/>
      <c r="AH715" s="122"/>
      <c r="AI715" s="123"/>
      <c r="AJ715" s="122"/>
      <c r="AK715" s="122"/>
      <c r="AL715" s="122"/>
      <c r="AM715" s="122"/>
      <c r="AN715" s="122"/>
      <c r="AO715" s="122"/>
      <c r="AP715" s="124"/>
      <c r="AQ715" s="122"/>
      <c r="AR715" s="122"/>
      <c r="AS715" s="122"/>
      <c r="AT715" s="122"/>
      <c r="AU715" s="122"/>
      <c r="AV715" s="124"/>
      <c r="AW715" s="125"/>
      <c r="AX715" s="126"/>
      <c r="AY715" s="127"/>
      <c r="AZ715" s="127"/>
      <c r="BA715" s="122"/>
      <c r="BB715" s="122"/>
      <c r="BC715" s="125"/>
      <c r="BD715" s="125"/>
      <c r="BE715" s="125"/>
      <c r="BF715" s="123"/>
      <c r="BG715" s="125"/>
      <c r="BH715" s="125"/>
      <c r="BI715" s="125"/>
      <c r="BJ715" s="125"/>
      <c r="BK715" s="125"/>
      <c r="BL715" s="125"/>
      <c r="BM715" s="123"/>
      <c r="BN715" s="114"/>
      <c r="BO715" s="114"/>
      <c r="BP715" s="114"/>
      <c r="BQ715" s="114"/>
      <c r="BR715" s="114"/>
      <c r="BS715" s="114"/>
      <c r="BT715" s="114"/>
      <c r="BU715" s="114"/>
      <c r="BV715" s="114"/>
      <c r="BW715" s="114"/>
      <c r="BX715" s="114"/>
      <c r="BY715" s="114"/>
      <c r="BZ715" s="114"/>
      <c r="CA715" s="114"/>
      <c r="CB715" s="114"/>
      <c r="CC715" s="114"/>
      <c r="CD715" s="114"/>
      <c r="CE715" s="114"/>
      <c r="CF715" s="114"/>
      <c r="CG715" s="114"/>
      <c r="CH715" s="114"/>
      <c r="CI715" s="114"/>
      <c r="CJ715" s="114"/>
      <c r="CK715" s="114"/>
      <c r="CL715" s="114"/>
      <c r="CM715" s="114"/>
      <c r="CN715" s="128"/>
      <c r="CO715" s="128"/>
      <c r="CP715" s="128"/>
      <c r="CQ715" s="128"/>
      <c r="CR715" s="128"/>
      <c r="CS715" s="128"/>
      <c r="CT715" s="128"/>
      <c r="CU715" s="128"/>
      <c r="CV715" s="128"/>
      <c r="CW715" s="128"/>
      <c r="CX715" s="128"/>
      <c r="CY715" s="128"/>
    </row>
    <row r="716" spans="1:134" ht="11.25" customHeight="1" x14ac:dyDescent="0.3">
      <c r="A716" s="113"/>
      <c r="B716" s="113"/>
      <c r="C716" s="113"/>
      <c r="D716" s="114"/>
      <c r="E716" s="114"/>
      <c r="F716" s="115"/>
      <c r="G716" s="116"/>
      <c r="H716" s="117"/>
      <c r="I716" s="117"/>
      <c r="J716" s="114"/>
      <c r="K716" s="118"/>
      <c r="L716" s="119"/>
      <c r="M716" s="120"/>
      <c r="N716" s="117"/>
      <c r="O716" s="116"/>
      <c r="P716" s="116"/>
      <c r="Q716" s="116"/>
      <c r="R716" s="113"/>
      <c r="S716" s="121"/>
      <c r="T716" s="115"/>
      <c r="U716" s="117"/>
      <c r="V716" s="122"/>
      <c r="W716" s="122"/>
      <c r="X716" s="122"/>
      <c r="Y716" s="122"/>
      <c r="Z716" s="122"/>
      <c r="AA716" s="122"/>
      <c r="AB716" s="122"/>
      <c r="AC716" s="122"/>
      <c r="AD716" s="122"/>
      <c r="AE716" s="122"/>
      <c r="AF716" s="122"/>
      <c r="AG716" s="122"/>
      <c r="AH716" s="122"/>
      <c r="AI716" s="123"/>
      <c r="AJ716" s="122"/>
      <c r="AK716" s="122"/>
      <c r="AL716" s="122"/>
      <c r="AM716" s="122"/>
      <c r="AN716" s="122"/>
      <c r="AO716" s="122"/>
      <c r="AP716" s="124"/>
      <c r="AQ716" s="122"/>
      <c r="AR716" s="122"/>
      <c r="AS716" s="122"/>
      <c r="AT716" s="122"/>
      <c r="AU716" s="122"/>
      <c r="AV716" s="124"/>
      <c r="AW716" s="125"/>
      <c r="AX716" s="126"/>
      <c r="AY716" s="127"/>
      <c r="AZ716" s="127"/>
      <c r="BA716" s="122"/>
      <c r="BB716" s="122"/>
      <c r="BC716" s="125"/>
      <c r="BD716" s="125"/>
      <c r="BE716" s="125"/>
      <c r="BF716" s="123"/>
      <c r="BG716" s="125"/>
      <c r="BH716" s="125"/>
      <c r="BI716" s="125"/>
      <c r="BJ716" s="125"/>
      <c r="BK716" s="125"/>
      <c r="BL716" s="125"/>
      <c r="BM716" s="123"/>
      <c r="BN716" s="114"/>
      <c r="BO716" s="114"/>
      <c r="BP716" s="114"/>
      <c r="BQ716" s="114"/>
      <c r="BR716" s="114"/>
      <c r="BS716" s="114"/>
      <c r="BT716" s="114"/>
      <c r="BU716" s="114"/>
      <c r="BV716" s="114"/>
      <c r="BW716" s="114"/>
      <c r="BX716" s="114"/>
      <c r="BY716" s="114"/>
      <c r="BZ716" s="114"/>
      <c r="CA716" s="114"/>
      <c r="CB716" s="114"/>
      <c r="CC716" s="114"/>
      <c r="CD716" s="114"/>
      <c r="CE716" s="114"/>
      <c r="CF716" s="114"/>
      <c r="CG716" s="114"/>
      <c r="CH716" s="114"/>
      <c r="CI716" s="114"/>
      <c r="CJ716" s="114"/>
      <c r="CK716" s="114"/>
      <c r="CL716" s="114"/>
      <c r="CM716" s="114"/>
      <c r="CN716" s="128"/>
      <c r="CO716" s="128"/>
      <c r="CP716" s="128"/>
      <c r="CQ716" s="128"/>
      <c r="CR716" s="128"/>
      <c r="CS716" s="128"/>
      <c r="CT716" s="128"/>
      <c r="CU716" s="128"/>
      <c r="CV716" s="128"/>
      <c r="CW716" s="128"/>
      <c r="CX716" s="128"/>
      <c r="CY716" s="128"/>
    </row>
    <row r="717" spans="1:134" ht="11.25" customHeight="1" x14ac:dyDescent="0.3">
      <c r="A717" s="113"/>
      <c r="B717" s="113"/>
      <c r="C717" s="113"/>
      <c r="D717" s="114"/>
      <c r="E717" s="114"/>
      <c r="F717" s="115"/>
      <c r="G717" s="116"/>
      <c r="H717" s="117"/>
      <c r="I717" s="117"/>
      <c r="J717" s="114"/>
      <c r="K717" s="118"/>
      <c r="L717" s="119"/>
      <c r="M717" s="120"/>
      <c r="N717" s="117"/>
      <c r="O717" s="116"/>
      <c r="P717" s="116"/>
      <c r="Q717" s="116"/>
      <c r="R717" s="113"/>
      <c r="S717" s="121"/>
      <c r="T717" s="115"/>
      <c r="U717" s="117"/>
      <c r="V717" s="122"/>
      <c r="W717" s="122"/>
      <c r="X717" s="122"/>
      <c r="Y717" s="122"/>
      <c r="Z717" s="122"/>
      <c r="AA717" s="122"/>
      <c r="AB717" s="122"/>
      <c r="AC717" s="122"/>
      <c r="AD717" s="122"/>
      <c r="AE717" s="122"/>
      <c r="AF717" s="122"/>
      <c r="AG717" s="122"/>
      <c r="AH717" s="122"/>
      <c r="AI717" s="123"/>
      <c r="AJ717" s="122"/>
      <c r="AK717" s="122"/>
      <c r="AL717" s="122"/>
      <c r="AM717" s="122"/>
      <c r="AN717" s="122"/>
      <c r="AO717" s="122"/>
      <c r="AP717" s="124"/>
      <c r="AQ717" s="122"/>
      <c r="AR717" s="122"/>
      <c r="AS717" s="122"/>
      <c r="AT717" s="122"/>
      <c r="AU717" s="122"/>
      <c r="AV717" s="124"/>
      <c r="AW717" s="125"/>
      <c r="AX717" s="126"/>
      <c r="AY717" s="127"/>
      <c r="AZ717" s="127"/>
      <c r="BA717" s="122"/>
      <c r="BB717" s="122"/>
      <c r="BC717" s="125"/>
      <c r="BD717" s="125"/>
      <c r="BE717" s="125"/>
      <c r="BF717" s="123"/>
      <c r="BG717" s="125"/>
      <c r="BH717" s="125"/>
      <c r="BI717" s="125"/>
      <c r="BJ717" s="125"/>
      <c r="BK717" s="125"/>
      <c r="BL717" s="125"/>
      <c r="BM717" s="123"/>
      <c r="BN717" s="114"/>
      <c r="BO717" s="114"/>
      <c r="BP717" s="114"/>
      <c r="BQ717" s="114"/>
      <c r="BR717" s="114"/>
      <c r="BS717" s="114"/>
      <c r="BT717" s="114"/>
      <c r="BU717" s="114"/>
      <c r="BV717" s="114"/>
      <c r="BW717" s="114"/>
      <c r="BX717" s="114"/>
      <c r="BY717" s="114"/>
      <c r="BZ717" s="114"/>
      <c r="CA717" s="114"/>
      <c r="CB717" s="114"/>
      <c r="CC717" s="114"/>
      <c r="CD717" s="114"/>
      <c r="CE717" s="114"/>
      <c r="CF717" s="114"/>
      <c r="CG717" s="114"/>
      <c r="CH717" s="114"/>
      <c r="CI717" s="114"/>
      <c r="CJ717" s="114"/>
      <c r="CK717" s="114"/>
      <c r="CL717" s="114"/>
      <c r="CM717" s="114"/>
      <c r="CN717" s="128"/>
      <c r="CO717" s="128"/>
      <c r="CP717" s="128"/>
      <c r="CQ717" s="128"/>
      <c r="CR717" s="128"/>
      <c r="CS717" s="128"/>
      <c r="CT717" s="128"/>
      <c r="CU717" s="128"/>
      <c r="CV717" s="128"/>
      <c r="CW717" s="128"/>
      <c r="CX717" s="128"/>
      <c r="CY717" s="128"/>
    </row>
    <row r="718" spans="1:134" ht="11.25" customHeight="1" x14ac:dyDescent="0.3">
      <c r="A718" s="113"/>
      <c r="B718" s="113"/>
      <c r="C718" s="113"/>
      <c r="D718" s="114"/>
      <c r="E718" s="114"/>
      <c r="F718" s="115"/>
      <c r="G718" s="116"/>
      <c r="H718" s="117"/>
      <c r="I718" s="117"/>
      <c r="J718" s="114"/>
      <c r="K718" s="118"/>
      <c r="L718" s="119"/>
      <c r="M718" s="120"/>
      <c r="N718" s="117"/>
      <c r="O718" s="116"/>
      <c r="P718" s="116"/>
      <c r="Q718" s="116"/>
      <c r="R718" s="113"/>
      <c r="S718" s="121"/>
      <c r="T718" s="115"/>
      <c r="U718" s="117"/>
      <c r="V718" s="122"/>
      <c r="W718" s="122"/>
      <c r="X718" s="122"/>
      <c r="Y718" s="122"/>
      <c r="Z718" s="122"/>
      <c r="AA718" s="122"/>
      <c r="AB718" s="122"/>
      <c r="AC718" s="122"/>
      <c r="AD718" s="122"/>
      <c r="AE718" s="122"/>
      <c r="AF718" s="122"/>
      <c r="AG718" s="122"/>
      <c r="AH718" s="122"/>
      <c r="AI718" s="123"/>
      <c r="AJ718" s="122"/>
      <c r="AK718" s="122"/>
      <c r="AL718" s="122"/>
      <c r="AM718" s="122"/>
      <c r="AN718" s="122"/>
      <c r="AO718" s="122"/>
      <c r="AP718" s="124"/>
      <c r="AQ718" s="122"/>
      <c r="AR718" s="122"/>
      <c r="AS718" s="122"/>
      <c r="AT718" s="122"/>
      <c r="AU718" s="122"/>
      <c r="AV718" s="124"/>
      <c r="AW718" s="125"/>
      <c r="AX718" s="126"/>
      <c r="AY718" s="127"/>
      <c r="AZ718" s="127"/>
      <c r="BA718" s="122"/>
      <c r="BB718" s="122"/>
      <c r="BC718" s="125"/>
      <c r="BD718" s="125"/>
      <c r="BE718" s="125"/>
      <c r="BF718" s="123"/>
      <c r="BG718" s="125"/>
      <c r="BH718" s="125"/>
      <c r="BI718" s="125"/>
      <c r="BJ718" s="125"/>
      <c r="BK718" s="125"/>
      <c r="BL718" s="125"/>
      <c r="BM718" s="123"/>
      <c r="BN718" s="114"/>
      <c r="BO718" s="114"/>
      <c r="BP718" s="114"/>
      <c r="BQ718" s="114"/>
      <c r="BR718" s="114"/>
      <c r="BS718" s="114"/>
      <c r="BT718" s="114"/>
      <c r="BU718" s="114"/>
      <c r="BV718" s="114"/>
      <c r="BW718" s="114"/>
      <c r="BX718" s="114"/>
      <c r="BY718" s="114"/>
      <c r="BZ718" s="114"/>
      <c r="CA718" s="114"/>
      <c r="CB718" s="114"/>
      <c r="CC718" s="114"/>
      <c r="CD718" s="114"/>
      <c r="CE718" s="114"/>
      <c r="CF718" s="114"/>
      <c r="CG718" s="114"/>
      <c r="CH718" s="114"/>
      <c r="CI718" s="114"/>
      <c r="CJ718" s="114"/>
      <c r="CK718" s="114"/>
      <c r="CL718" s="114"/>
      <c r="CM718" s="114"/>
      <c r="CN718" s="128"/>
      <c r="CO718" s="128"/>
      <c r="CP718" s="128"/>
      <c r="CQ718" s="128"/>
      <c r="CR718" s="128"/>
      <c r="CS718" s="128"/>
      <c r="CT718" s="128"/>
      <c r="CU718" s="128"/>
      <c r="CV718" s="128"/>
      <c r="CW718" s="128"/>
      <c r="CX718" s="128"/>
      <c r="CY718" s="128"/>
    </row>
    <row r="719" spans="1:134" ht="11.25" customHeight="1" x14ac:dyDescent="0.3">
      <c r="A719" s="113"/>
      <c r="B719" s="113"/>
      <c r="C719" s="113"/>
      <c r="D719" s="114"/>
      <c r="E719" s="114"/>
      <c r="F719" s="115"/>
      <c r="G719" s="116"/>
      <c r="H719" s="117"/>
      <c r="I719" s="117"/>
      <c r="J719" s="114"/>
      <c r="K719" s="118"/>
      <c r="L719" s="119"/>
      <c r="M719" s="120"/>
      <c r="N719" s="117"/>
      <c r="O719" s="116"/>
      <c r="P719" s="116"/>
      <c r="Q719" s="116"/>
      <c r="R719" s="113"/>
      <c r="S719" s="121"/>
      <c r="T719" s="115"/>
      <c r="U719" s="117"/>
      <c r="V719" s="122"/>
      <c r="W719" s="122"/>
      <c r="X719" s="122"/>
      <c r="Y719" s="122"/>
      <c r="Z719" s="122"/>
      <c r="AA719" s="122"/>
      <c r="AB719" s="122"/>
      <c r="AC719" s="122"/>
      <c r="AD719" s="122"/>
      <c r="AE719" s="122"/>
      <c r="AF719" s="122"/>
      <c r="AG719" s="122"/>
      <c r="AH719" s="122"/>
      <c r="AI719" s="123"/>
      <c r="AJ719" s="122"/>
      <c r="AK719" s="122"/>
      <c r="AL719" s="122"/>
      <c r="AM719" s="122"/>
      <c r="AN719" s="122"/>
      <c r="AO719" s="122"/>
      <c r="AP719" s="124"/>
      <c r="AQ719" s="122"/>
      <c r="AR719" s="122"/>
      <c r="AS719" s="122"/>
      <c r="AT719" s="122"/>
      <c r="AU719" s="122"/>
      <c r="AV719" s="124"/>
      <c r="AW719" s="125"/>
      <c r="AX719" s="126"/>
      <c r="AY719" s="127"/>
      <c r="AZ719" s="127"/>
      <c r="BA719" s="122"/>
      <c r="BB719" s="122"/>
      <c r="BC719" s="125"/>
      <c r="BD719" s="125"/>
      <c r="BE719" s="125"/>
      <c r="BF719" s="123"/>
      <c r="BG719" s="125"/>
      <c r="BH719" s="125"/>
      <c r="BI719" s="125"/>
      <c r="BJ719" s="125"/>
      <c r="BK719" s="125"/>
      <c r="BL719" s="125"/>
      <c r="BM719" s="123"/>
      <c r="BN719" s="114"/>
      <c r="BO719" s="114"/>
      <c r="BP719" s="114"/>
      <c r="BQ719" s="114"/>
      <c r="BR719" s="114"/>
      <c r="BS719" s="114"/>
      <c r="BT719" s="114"/>
      <c r="BU719" s="114"/>
      <c r="BV719" s="114"/>
      <c r="BW719" s="114"/>
      <c r="BX719" s="114"/>
      <c r="BY719" s="114"/>
      <c r="BZ719" s="114"/>
      <c r="CA719" s="114"/>
      <c r="CB719" s="114"/>
      <c r="CC719" s="114"/>
      <c r="CD719" s="114"/>
      <c r="CE719" s="114"/>
      <c r="CF719" s="114"/>
      <c r="CG719" s="114"/>
      <c r="CH719" s="114"/>
      <c r="CI719" s="114"/>
      <c r="CJ719" s="114"/>
      <c r="CK719" s="114"/>
      <c r="CL719" s="114"/>
      <c r="CM719" s="114"/>
      <c r="CN719" s="128"/>
      <c r="CO719" s="128"/>
      <c r="CP719" s="128"/>
      <c r="CQ719" s="128"/>
      <c r="CR719" s="128"/>
      <c r="CS719" s="128"/>
      <c r="CT719" s="128"/>
      <c r="CU719" s="128"/>
      <c r="CV719" s="128"/>
      <c r="CW719" s="128"/>
      <c r="CX719" s="128"/>
      <c r="CY719" s="128"/>
    </row>
    <row r="720" spans="1:134" ht="11.25" customHeight="1" x14ac:dyDescent="0.3">
      <c r="A720" s="113"/>
      <c r="B720" s="113"/>
      <c r="C720" s="113"/>
      <c r="D720" s="114"/>
      <c r="E720" s="114"/>
      <c r="F720" s="115"/>
      <c r="G720" s="116"/>
      <c r="H720" s="117"/>
      <c r="I720" s="117"/>
      <c r="J720" s="114"/>
      <c r="K720" s="118"/>
      <c r="L720" s="119"/>
      <c r="M720" s="120"/>
      <c r="N720" s="117"/>
      <c r="O720" s="116"/>
      <c r="P720" s="116"/>
      <c r="Q720" s="116"/>
      <c r="R720" s="113"/>
      <c r="S720" s="121"/>
      <c r="T720" s="115"/>
      <c r="U720" s="117"/>
      <c r="V720" s="122"/>
      <c r="W720" s="122"/>
      <c r="X720" s="122"/>
      <c r="Y720" s="122"/>
      <c r="Z720" s="122"/>
      <c r="AA720" s="122"/>
      <c r="AB720" s="122"/>
      <c r="AC720" s="122"/>
      <c r="AD720" s="122"/>
      <c r="AE720" s="122"/>
      <c r="AF720" s="122"/>
      <c r="AG720" s="122"/>
      <c r="AH720" s="122"/>
      <c r="AI720" s="123"/>
      <c r="AJ720" s="122"/>
      <c r="AK720" s="122"/>
      <c r="AL720" s="122"/>
      <c r="AM720" s="122"/>
      <c r="AN720" s="122"/>
      <c r="AO720" s="122"/>
      <c r="AP720" s="124"/>
      <c r="AQ720" s="122"/>
      <c r="AR720" s="122"/>
      <c r="AS720" s="122"/>
      <c r="AT720" s="122"/>
      <c r="AU720" s="122"/>
      <c r="AV720" s="124"/>
      <c r="AW720" s="125"/>
      <c r="AX720" s="126"/>
      <c r="AY720" s="127"/>
      <c r="AZ720" s="127"/>
      <c r="BA720" s="122"/>
      <c r="BB720" s="122"/>
      <c r="BC720" s="125"/>
      <c r="BD720" s="125"/>
      <c r="BE720" s="125"/>
      <c r="BF720" s="123"/>
      <c r="BG720" s="125"/>
      <c r="BH720" s="125"/>
      <c r="BI720" s="125"/>
      <c r="BJ720" s="125"/>
      <c r="BK720" s="125"/>
      <c r="BL720" s="125"/>
      <c r="BM720" s="123"/>
      <c r="BN720" s="114"/>
      <c r="BO720" s="114"/>
      <c r="BP720" s="114"/>
      <c r="BQ720" s="114"/>
      <c r="BR720" s="114"/>
      <c r="BS720" s="114"/>
      <c r="BT720" s="114"/>
      <c r="BU720" s="114"/>
      <c r="BV720" s="114"/>
      <c r="BW720" s="114"/>
      <c r="BX720" s="114"/>
      <c r="BY720" s="114"/>
      <c r="BZ720" s="114"/>
      <c r="CA720" s="114"/>
      <c r="CB720" s="114"/>
      <c r="CC720" s="114"/>
      <c r="CD720" s="114"/>
      <c r="CE720" s="114"/>
      <c r="CF720" s="114"/>
      <c r="CG720" s="114"/>
      <c r="CH720" s="114"/>
      <c r="CI720" s="114"/>
      <c r="CJ720" s="114"/>
      <c r="CK720" s="114"/>
      <c r="CL720" s="114"/>
      <c r="CM720" s="114"/>
      <c r="CN720" s="128"/>
      <c r="CO720" s="128"/>
      <c r="CP720" s="128"/>
      <c r="CQ720" s="128"/>
      <c r="CR720" s="128"/>
      <c r="CS720" s="128"/>
      <c r="CT720" s="128"/>
      <c r="CU720" s="128"/>
      <c r="CV720" s="128"/>
      <c r="CW720" s="128"/>
      <c r="CX720" s="128"/>
      <c r="CY720" s="128"/>
    </row>
    <row r="721" spans="1:103" ht="11.25" customHeight="1" x14ac:dyDescent="0.3">
      <c r="A721" s="113"/>
      <c r="B721" s="113"/>
      <c r="C721" s="113"/>
      <c r="D721" s="114"/>
      <c r="E721" s="114"/>
      <c r="F721" s="115"/>
      <c r="G721" s="116"/>
      <c r="H721" s="117"/>
      <c r="I721" s="117"/>
      <c r="J721" s="114"/>
      <c r="K721" s="118"/>
      <c r="L721" s="119"/>
      <c r="M721" s="120"/>
      <c r="N721" s="117"/>
      <c r="O721" s="116"/>
      <c r="P721" s="116"/>
      <c r="Q721" s="116"/>
      <c r="R721" s="113"/>
      <c r="S721" s="121"/>
      <c r="T721" s="115"/>
      <c r="U721" s="117"/>
      <c r="V721" s="122"/>
      <c r="W721" s="122"/>
      <c r="X721" s="122"/>
      <c r="Y721" s="122"/>
      <c r="Z721" s="122"/>
      <c r="AA721" s="122"/>
      <c r="AB721" s="122"/>
      <c r="AC721" s="122"/>
      <c r="AD721" s="122"/>
      <c r="AE721" s="122"/>
      <c r="AF721" s="122"/>
      <c r="AG721" s="122"/>
      <c r="AH721" s="122"/>
      <c r="AI721" s="123"/>
      <c r="AJ721" s="122"/>
      <c r="AK721" s="122"/>
      <c r="AL721" s="122"/>
      <c r="AM721" s="122"/>
      <c r="AN721" s="122"/>
      <c r="AO721" s="122"/>
      <c r="AP721" s="124"/>
      <c r="AQ721" s="122"/>
      <c r="AR721" s="122"/>
      <c r="AS721" s="122"/>
      <c r="AT721" s="122"/>
      <c r="AU721" s="122"/>
      <c r="AV721" s="124"/>
      <c r="AW721" s="125"/>
      <c r="AX721" s="126"/>
      <c r="AY721" s="127"/>
      <c r="AZ721" s="127"/>
      <c r="BA721" s="122"/>
      <c r="BB721" s="122"/>
      <c r="BC721" s="125"/>
      <c r="BD721" s="125"/>
      <c r="BE721" s="125"/>
      <c r="BF721" s="123"/>
      <c r="BG721" s="125"/>
      <c r="BH721" s="125"/>
      <c r="BI721" s="125"/>
      <c r="BJ721" s="125"/>
      <c r="BK721" s="125"/>
      <c r="BL721" s="125"/>
      <c r="BM721" s="123"/>
      <c r="BN721" s="114"/>
      <c r="BO721" s="114"/>
      <c r="BP721" s="114"/>
      <c r="BQ721" s="114"/>
      <c r="BR721" s="114"/>
      <c r="BS721" s="114"/>
      <c r="BT721" s="114"/>
      <c r="BU721" s="114"/>
      <c r="BV721" s="114"/>
      <c r="BW721" s="114"/>
      <c r="BX721" s="114"/>
      <c r="BY721" s="114"/>
      <c r="BZ721" s="114"/>
      <c r="CA721" s="114"/>
      <c r="CB721" s="114"/>
      <c r="CC721" s="114"/>
      <c r="CD721" s="114"/>
      <c r="CE721" s="114"/>
      <c r="CF721" s="114"/>
      <c r="CG721" s="114"/>
      <c r="CH721" s="114"/>
      <c r="CI721" s="114"/>
      <c r="CJ721" s="114"/>
      <c r="CK721" s="114"/>
      <c r="CL721" s="114"/>
      <c r="CM721" s="114"/>
      <c r="CN721" s="128"/>
      <c r="CO721" s="128"/>
      <c r="CP721" s="128"/>
      <c r="CQ721" s="128"/>
      <c r="CR721" s="128"/>
      <c r="CS721" s="128"/>
      <c r="CT721" s="128"/>
      <c r="CU721" s="128"/>
      <c r="CV721" s="128"/>
      <c r="CW721" s="128"/>
      <c r="CX721" s="128"/>
      <c r="CY721" s="128"/>
    </row>
    <row r="722" spans="1:103" ht="11.25" customHeight="1" x14ac:dyDescent="0.3">
      <c r="A722" s="113"/>
      <c r="B722" s="113"/>
      <c r="C722" s="113"/>
      <c r="D722" s="114"/>
      <c r="E722" s="114"/>
      <c r="F722" s="115"/>
      <c r="G722" s="116"/>
      <c r="H722" s="117"/>
      <c r="I722" s="117"/>
      <c r="J722" s="114"/>
      <c r="K722" s="118"/>
      <c r="L722" s="119"/>
      <c r="M722" s="120"/>
      <c r="N722" s="117"/>
      <c r="O722" s="116"/>
      <c r="P722" s="116"/>
      <c r="Q722" s="116"/>
      <c r="R722" s="113"/>
      <c r="S722" s="121"/>
      <c r="T722" s="115"/>
      <c r="U722" s="117"/>
      <c r="V722" s="122"/>
      <c r="W722" s="122"/>
      <c r="X722" s="122"/>
      <c r="Y722" s="122"/>
      <c r="Z722" s="122"/>
      <c r="AA722" s="122"/>
      <c r="AB722" s="122"/>
      <c r="AC722" s="122"/>
      <c r="AD722" s="122"/>
      <c r="AE722" s="122"/>
      <c r="AF722" s="122"/>
      <c r="AG722" s="122"/>
      <c r="AH722" s="122"/>
      <c r="AI722" s="123"/>
      <c r="AJ722" s="122"/>
      <c r="AK722" s="122"/>
      <c r="AL722" s="122"/>
      <c r="AM722" s="122"/>
      <c r="AN722" s="122"/>
      <c r="AO722" s="122"/>
      <c r="AP722" s="124"/>
      <c r="AQ722" s="122"/>
      <c r="AR722" s="122"/>
      <c r="AS722" s="122"/>
      <c r="AT722" s="122"/>
      <c r="AU722" s="122"/>
      <c r="AV722" s="124"/>
      <c r="AW722" s="125"/>
      <c r="AX722" s="126"/>
      <c r="AY722" s="127"/>
      <c r="AZ722" s="127"/>
      <c r="BA722" s="122"/>
      <c r="BB722" s="122"/>
      <c r="BC722" s="125"/>
      <c r="BD722" s="125"/>
      <c r="BE722" s="125"/>
      <c r="BF722" s="123"/>
      <c r="BG722" s="125"/>
      <c r="BH722" s="125"/>
      <c r="BI722" s="125"/>
      <c r="BJ722" s="125"/>
      <c r="BK722" s="125"/>
      <c r="BL722" s="125"/>
      <c r="BM722" s="123"/>
      <c r="BN722" s="114"/>
      <c r="BO722" s="114"/>
      <c r="BP722" s="114"/>
      <c r="BQ722" s="114"/>
      <c r="BR722" s="114"/>
      <c r="BS722" s="114"/>
      <c r="BT722" s="114"/>
      <c r="BU722" s="114"/>
      <c r="BV722" s="114"/>
      <c r="BW722" s="114"/>
      <c r="BX722" s="114"/>
      <c r="BY722" s="114"/>
      <c r="BZ722" s="114"/>
      <c r="CA722" s="114"/>
      <c r="CB722" s="114"/>
      <c r="CC722" s="114"/>
      <c r="CD722" s="114"/>
      <c r="CE722" s="114"/>
      <c r="CF722" s="114"/>
      <c r="CG722" s="114"/>
      <c r="CH722" s="114"/>
      <c r="CI722" s="114"/>
      <c r="CJ722" s="114"/>
      <c r="CK722" s="114"/>
      <c r="CL722" s="114"/>
      <c r="CM722" s="114"/>
      <c r="CN722" s="128"/>
      <c r="CO722" s="128"/>
      <c r="CP722" s="128"/>
      <c r="CQ722" s="128"/>
      <c r="CR722" s="128"/>
      <c r="CS722" s="128"/>
      <c r="CT722" s="128"/>
      <c r="CU722" s="128"/>
      <c r="CV722" s="128"/>
      <c r="CW722" s="128"/>
      <c r="CX722" s="128"/>
      <c r="CY722" s="128"/>
    </row>
    <row r="723" spans="1:103" ht="11.25" customHeight="1" x14ac:dyDescent="0.3">
      <c r="A723" s="113"/>
      <c r="B723" s="113"/>
      <c r="C723" s="113"/>
      <c r="D723" s="114"/>
      <c r="E723" s="114"/>
      <c r="F723" s="115"/>
      <c r="G723" s="116"/>
      <c r="H723" s="117"/>
      <c r="I723" s="117"/>
      <c r="J723" s="114"/>
      <c r="K723" s="118"/>
      <c r="L723" s="119"/>
      <c r="M723" s="120"/>
      <c r="N723" s="117"/>
      <c r="O723" s="116"/>
      <c r="P723" s="116"/>
      <c r="Q723" s="116"/>
      <c r="R723" s="113"/>
      <c r="S723" s="121"/>
      <c r="T723" s="115"/>
      <c r="U723" s="117"/>
      <c r="V723" s="122"/>
      <c r="W723" s="122"/>
      <c r="X723" s="122"/>
      <c r="Y723" s="122"/>
      <c r="Z723" s="122"/>
      <c r="AA723" s="122"/>
      <c r="AB723" s="122"/>
      <c r="AC723" s="122"/>
      <c r="AD723" s="122"/>
      <c r="AE723" s="122"/>
      <c r="AF723" s="122"/>
      <c r="AG723" s="122"/>
      <c r="AH723" s="122"/>
      <c r="AI723" s="123"/>
      <c r="AJ723" s="122"/>
      <c r="AK723" s="122"/>
      <c r="AL723" s="122"/>
      <c r="AM723" s="122"/>
      <c r="AN723" s="122"/>
      <c r="AO723" s="122"/>
      <c r="AP723" s="124"/>
      <c r="AQ723" s="122"/>
      <c r="AR723" s="122"/>
      <c r="AS723" s="122"/>
      <c r="AT723" s="122"/>
      <c r="AU723" s="122"/>
      <c r="AV723" s="124"/>
      <c r="AW723" s="125"/>
      <c r="AX723" s="126"/>
      <c r="AY723" s="127"/>
      <c r="AZ723" s="127"/>
      <c r="BA723" s="122"/>
      <c r="BB723" s="122"/>
      <c r="BC723" s="125"/>
      <c r="BD723" s="125"/>
      <c r="BE723" s="125"/>
      <c r="BF723" s="123"/>
      <c r="BG723" s="125"/>
      <c r="BH723" s="125"/>
      <c r="BI723" s="125"/>
      <c r="BJ723" s="125"/>
      <c r="BK723" s="125"/>
      <c r="BL723" s="125"/>
      <c r="BM723" s="123"/>
      <c r="BN723" s="114"/>
      <c r="BO723" s="114"/>
      <c r="BP723" s="114"/>
      <c r="BQ723" s="114"/>
      <c r="BR723" s="114"/>
      <c r="BS723" s="114"/>
      <c r="BT723" s="114"/>
      <c r="BU723" s="114"/>
      <c r="BV723" s="114"/>
      <c r="BW723" s="114"/>
      <c r="BX723" s="114"/>
      <c r="BY723" s="114"/>
      <c r="BZ723" s="114"/>
      <c r="CA723" s="114"/>
      <c r="CB723" s="114"/>
      <c r="CC723" s="114"/>
      <c r="CD723" s="114"/>
      <c r="CE723" s="114"/>
      <c r="CF723" s="114"/>
      <c r="CG723" s="114"/>
      <c r="CH723" s="114"/>
      <c r="CI723" s="114"/>
      <c r="CJ723" s="114"/>
      <c r="CK723" s="114"/>
      <c r="CL723" s="114"/>
      <c r="CM723" s="114"/>
      <c r="CN723" s="128"/>
      <c r="CO723" s="128"/>
      <c r="CP723" s="128"/>
      <c r="CQ723" s="128"/>
      <c r="CR723" s="128"/>
      <c r="CS723" s="128"/>
      <c r="CT723" s="128"/>
      <c r="CU723" s="128"/>
      <c r="CV723" s="128"/>
      <c r="CW723" s="128"/>
      <c r="CX723" s="128"/>
      <c r="CY723" s="128"/>
    </row>
    <row r="724" spans="1:103" ht="11.25" customHeight="1" x14ac:dyDescent="0.3">
      <c r="A724" s="113"/>
      <c r="B724" s="113"/>
      <c r="C724" s="113"/>
      <c r="D724" s="114"/>
      <c r="E724" s="114"/>
      <c r="F724" s="115"/>
      <c r="G724" s="116"/>
      <c r="H724" s="117"/>
      <c r="I724" s="117"/>
      <c r="J724" s="114"/>
      <c r="K724" s="118"/>
      <c r="L724" s="119"/>
      <c r="M724" s="120"/>
      <c r="N724" s="117"/>
      <c r="O724" s="116"/>
      <c r="P724" s="116"/>
      <c r="Q724" s="116"/>
      <c r="R724" s="113"/>
      <c r="S724" s="121"/>
      <c r="T724" s="115"/>
      <c r="U724" s="117"/>
      <c r="V724" s="122"/>
      <c r="W724" s="122"/>
      <c r="X724" s="122"/>
      <c r="Y724" s="122"/>
      <c r="Z724" s="122"/>
      <c r="AA724" s="122"/>
      <c r="AB724" s="122"/>
      <c r="AC724" s="122"/>
      <c r="AD724" s="122"/>
      <c r="AE724" s="122"/>
      <c r="AF724" s="122"/>
      <c r="AG724" s="122"/>
      <c r="AH724" s="122"/>
      <c r="AI724" s="123"/>
      <c r="AJ724" s="122"/>
      <c r="AK724" s="122"/>
      <c r="AL724" s="122"/>
      <c r="AM724" s="122"/>
      <c r="AN724" s="122"/>
      <c r="AO724" s="122"/>
      <c r="AP724" s="124"/>
      <c r="AQ724" s="122"/>
      <c r="AR724" s="122"/>
      <c r="AS724" s="122"/>
      <c r="AT724" s="122"/>
      <c r="AU724" s="122"/>
      <c r="AV724" s="124"/>
      <c r="AW724" s="125"/>
      <c r="AX724" s="126"/>
      <c r="AY724" s="127"/>
      <c r="AZ724" s="127"/>
      <c r="BA724" s="122"/>
      <c r="BB724" s="122"/>
      <c r="BC724" s="125"/>
      <c r="BD724" s="125"/>
      <c r="BE724" s="125"/>
      <c r="BF724" s="123"/>
      <c r="BG724" s="125"/>
      <c r="BH724" s="125"/>
      <c r="BI724" s="125"/>
      <c r="BJ724" s="125"/>
      <c r="BK724" s="125"/>
      <c r="BL724" s="125"/>
      <c r="BM724" s="123"/>
      <c r="BN724" s="114"/>
      <c r="BO724" s="114"/>
      <c r="BP724" s="114"/>
      <c r="BQ724" s="114"/>
      <c r="BR724" s="114"/>
      <c r="BS724" s="114"/>
      <c r="BT724" s="114"/>
      <c r="BU724" s="114"/>
      <c r="BV724" s="114"/>
      <c r="BW724" s="114"/>
      <c r="BX724" s="114"/>
      <c r="BY724" s="114"/>
      <c r="BZ724" s="114"/>
      <c r="CA724" s="114"/>
      <c r="CB724" s="114"/>
      <c r="CC724" s="114"/>
      <c r="CD724" s="114"/>
      <c r="CE724" s="114"/>
      <c r="CF724" s="114"/>
      <c r="CG724" s="114"/>
      <c r="CH724" s="114"/>
      <c r="CI724" s="114"/>
      <c r="CJ724" s="114"/>
      <c r="CK724" s="114"/>
      <c r="CL724" s="114"/>
      <c r="CM724" s="114"/>
      <c r="CN724" s="128"/>
      <c r="CO724" s="128"/>
      <c r="CP724" s="128"/>
      <c r="CQ724" s="128"/>
      <c r="CR724" s="128"/>
      <c r="CS724" s="128"/>
      <c r="CT724" s="128"/>
      <c r="CU724" s="128"/>
      <c r="CV724" s="128"/>
      <c r="CW724" s="128"/>
      <c r="CX724" s="128"/>
      <c r="CY724" s="128"/>
    </row>
    <row r="725" spans="1:103" ht="11.25" customHeight="1" x14ac:dyDescent="0.3">
      <c r="A725" s="113"/>
      <c r="B725" s="113"/>
      <c r="C725" s="113"/>
      <c r="D725" s="114"/>
      <c r="E725" s="114"/>
      <c r="F725" s="115"/>
      <c r="G725" s="116"/>
      <c r="H725" s="117"/>
      <c r="I725" s="117"/>
      <c r="J725" s="114"/>
      <c r="K725" s="118"/>
      <c r="L725" s="119"/>
      <c r="M725" s="120"/>
      <c r="N725" s="117"/>
      <c r="O725" s="116"/>
      <c r="P725" s="116"/>
      <c r="Q725" s="116"/>
      <c r="R725" s="113"/>
      <c r="S725" s="121"/>
      <c r="T725" s="115"/>
      <c r="U725" s="117"/>
      <c r="V725" s="122"/>
      <c r="W725" s="122"/>
      <c r="X725" s="122"/>
      <c r="Y725" s="122"/>
      <c r="Z725" s="122"/>
      <c r="AA725" s="122"/>
      <c r="AB725" s="122"/>
      <c r="AC725" s="122"/>
      <c r="AD725" s="122"/>
      <c r="AE725" s="122"/>
      <c r="AF725" s="122"/>
      <c r="AG725" s="122"/>
      <c r="AH725" s="122"/>
      <c r="AI725" s="123"/>
      <c r="AJ725" s="122"/>
      <c r="AK725" s="122"/>
      <c r="AL725" s="122"/>
      <c r="AM725" s="122"/>
      <c r="AN725" s="122"/>
      <c r="AO725" s="122"/>
      <c r="AP725" s="124"/>
      <c r="AQ725" s="122"/>
      <c r="AR725" s="122"/>
      <c r="AS725" s="122"/>
      <c r="AT725" s="122"/>
      <c r="AU725" s="122"/>
      <c r="AV725" s="124"/>
      <c r="AW725" s="125"/>
      <c r="AX725" s="126"/>
      <c r="AY725" s="127"/>
      <c r="AZ725" s="127"/>
      <c r="BA725" s="122"/>
      <c r="BB725" s="122"/>
      <c r="BC725" s="125"/>
      <c r="BD725" s="125"/>
      <c r="BE725" s="125"/>
      <c r="BF725" s="123"/>
      <c r="BG725" s="125"/>
      <c r="BH725" s="125"/>
      <c r="BI725" s="125"/>
      <c r="BJ725" s="125"/>
      <c r="BK725" s="125"/>
      <c r="BL725" s="125"/>
      <c r="BM725" s="123"/>
      <c r="BN725" s="114"/>
      <c r="BO725" s="114"/>
      <c r="BP725" s="114"/>
      <c r="BQ725" s="114"/>
      <c r="BR725" s="114"/>
      <c r="BS725" s="114"/>
      <c r="BT725" s="114"/>
      <c r="BU725" s="114"/>
      <c r="BV725" s="114"/>
      <c r="BW725" s="114"/>
      <c r="BX725" s="114"/>
      <c r="BY725" s="114"/>
      <c r="BZ725" s="114"/>
      <c r="CA725" s="114"/>
      <c r="CB725" s="114"/>
      <c r="CC725" s="114"/>
      <c r="CD725" s="114"/>
      <c r="CE725" s="114"/>
      <c r="CF725" s="114"/>
      <c r="CG725" s="114"/>
      <c r="CH725" s="114"/>
      <c r="CI725" s="114"/>
      <c r="CJ725" s="114"/>
      <c r="CK725" s="114"/>
      <c r="CL725" s="114"/>
      <c r="CM725" s="114"/>
      <c r="CN725" s="128"/>
      <c r="CO725" s="128"/>
      <c r="CP725" s="128"/>
      <c r="CQ725" s="128"/>
      <c r="CR725" s="128"/>
      <c r="CS725" s="128"/>
      <c r="CT725" s="128"/>
      <c r="CU725" s="128"/>
      <c r="CV725" s="128"/>
      <c r="CW725" s="128"/>
      <c r="CX725" s="128"/>
      <c r="CY725" s="128"/>
    </row>
    <row r="726" spans="1:103" ht="11.25" customHeight="1" x14ac:dyDescent="0.3">
      <c r="A726" s="113"/>
      <c r="B726" s="113"/>
      <c r="C726" s="113"/>
      <c r="D726" s="114"/>
      <c r="E726" s="114"/>
      <c r="F726" s="115"/>
      <c r="G726" s="116"/>
      <c r="H726" s="117"/>
      <c r="I726" s="117"/>
      <c r="J726" s="114"/>
      <c r="K726" s="118"/>
      <c r="L726" s="119"/>
      <c r="M726" s="120"/>
      <c r="N726" s="117"/>
      <c r="O726" s="116"/>
      <c r="P726" s="116"/>
      <c r="Q726" s="116"/>
      <c r="R726" s="113"/>
      <c r="S726" s="121"/>
      <c r="T726" s="115"/>
      <c r="U726" s="117"/>
      <c r="V726" s="122"/>
      <c r="W726" s="122"/>
      <c r="X726" s="122"/>
      <c r="Y726" s="122"/>
      <c r="Z726" s="122"/>
      <c r="AA726" s="122"/>
      <c r="AB726" s="122"/>
      <c r="AC726" s="122"/>
      <c r="AD726" s="122"/>
      <c r="AE726" s="122"/>
      <c r="AF726" s="122"/>
      <c r="AG726" s="122"/>
      <c r="AH726" s="122"/>
      <c r="AI726" s="123"/>
      <c r="AJ726" s="122"/>
      <c r="AK726" s="122"/>
      <c r="AL726" s="122"/>
      <c r="AM726" s="122"/>
      <c r="AN726" s="122"/>
      <c r="AO726" s="122"/>
      <c r="AP726" s="124"/>
      <c r="AQ726" s="122"/>
      <c r="AR726" s="122"/>
      <c r="AS726" s="122"/>
      <c r="AT726" s="122"/>
      <c r="AU726" s="122"/>
      <c r="AV726" s="124"/>
      <c r="AW726" s="125"/>
      <c r="AX726" s="126"/>
      <c r="AY726" s="127"/>
      <c r="AZ726" s="127"/>
      <c r="BA726" s="122"/>
      <c r="BB726" s="122"/>
      <c r="BC726" s="125"/>
      <c r="BD726" s="125"/>
      <c r="BE726" s="125"/>
      <c r="BF726" s="123"/>
      <c r="BG726" s="125"/>
      <c r="BH726" s="125"/>
      <c r="BI726" s="125"/>
      <c r="BJ726" s="125"/>
      <c r="BK726" s="125"/>
      <c r="BL726" s="125"/>
      <c r="BM726" s="123"/>
      <c r="BN726" s="114"/>
      <c r="BO726" s="114"/>
      <c r="BP726" s="114"/>
      <c r="BQ726" s="114"/>
      <c r="BR726" s="114"/>
      <c r="BS726" s="114"/>
      <c r="BT726" s="114"/>
      <c r="BU726" s="114"/>
      <c r="BV726" s="114"/>
      <c r="BW726" s="114"/>
      <c r="BX726" s="114"/>
      <c r="BY726" s="114"/>
      <c r="BZ726" s="114"/>
      <c r="CA726" s="114"/>
      <c r="CB726" s="114"/>
      <c r="CC726" s="114"/>
      <c r="CD726" s="114"/>
      <c r="CE726" s="114"/>
      <c r="CF726" s="114"/>
      <c r="CG726" s="114"/>
      <c r="CH726" s="114"/>
      <c r="CI726" s="114"/>
      <c r="CJ726" s="114"/>
      <c r="CK726" s="114"/>
      <c r="CL726" s="114"/>
      <c r="CM726" s="114"/>
      <c r="CN726" s="128"/>
      <c r="CO726" s="128"/>
      <c r="CP726" s="128"/>
      <c r="CQ726" s="128"/>
      <c r="CR726" s="128"/>
      <c r="CS726" s="128"/>
      <c r="CT726" s="128"/>
      <c r="CU726" s="128"/>
      <c r="CV726" s="128"/>
      <c r="CW726" s="128"/>
      <c r="CX726" s="128"/>
      <c r="CY726" s="128"/>
    </row>
    <row r="727" spans="1:103" ht="11.25" customHeight="1" x14ac:dyDescent="0.3">
      <c r="A727" s="113"/>
      <c r="B727" s="113"/>
      <c r="C727" s="113"/>
      <c r="D727" s="114"/>
      <c r="E727" s="114"/>
      <c r="F727" s="115"/>
      <c r="G727" s="116"/>
      <c r="H727" s="117"/>
      <c r="I727" s="117"/>
      <c r="J727" s="114"/>
      <c r="K727" s="118"/>
      <c r="L727" s="119"/>
      <c r="M727" s="120"/>
      <c r="N727" s="117"/>
      <c r="O727" s="116"/>
      <c r="P727" s="116"/>
      <c r="Q727" s="116"/>
      <c r="R727" s="113"/>
      <c r="S727" s="121"/>
      <c r="T727" s="115"/>
      <c r="U727" s="117"/>
      <c r="V727" s="122"/>
      <c r="W727" s="122"/>
      <c r="X727" s="122"/>
      <c r="Y727" s="122"/>
      <c r="Z727" s="122"/>
      <c r="AA727" s="122"/>
      <c r="AB727" s="122"/>
      <c r="AC727" s="122"/>
      <c r="AD727" s="122"/>
      <c r="AE727" s="122"/>
      <c r="AF727" s="122"/>
      <c r="AG727" s="122"/>
      <c r="AH727" s="122"/>
      <c r="AI727" s="123"/>
      <c r="AJ727" s="122"/>
      <c r="AK727" s="122"/>
      <c r="AL727" s="122"/>
      <c r="AM727" s="122"/>
      <c r="AN727" s="122"/>
      <c r="AO727" s="122"/>
      <c r="AP727" s="124"/>
      <c r="AQ727" s="122"/>
      <c r="AR727" s="122"/>
      <c r="AS727" s="122"/>
      <c r="AT727" s="122"/>
      <c r="AU727" s="122"/>
      <c r="AV727" s="124"/>
      <c r="AW727" s="125"/>
      <c r="AX727" s="126"/>
      <c r="AY727" s="127"/>
      <c r="AZ727" s="127"/>
      <c r="BA727" s="122"/>
      <c r="BB727" s="122"/>
      <c r="BC727" s="125"/>
      <c r="BD727" s="125"/>
      <c r="BE727" s="125"/>
      <c r="BF727" s="123"/>
      <c r="BG727" s="125"/>
      <c r="BH727" s="125"/>
      <c r="BI727" s="125"/>
      <c r="BJ727" s="125"/>
      <c r="BK727" s="125"/>
      <c r="BL727" s="125"/>
      <c r="BM727" s="123"/>
      <c r="BN727" s="114"/>
      <c r="BO727" s="114"/>
      <c r="BP727" s="114"/>
      <c r="BQ727" s="114"/>
      <c r="BR727" s="114"/>
      <c r="BS727" s="114"/>
      <c r="BT727" s="114"/>
      <c r="BU727" s="114"/>
      <c r="BV727" s="114"/>
      <c r="BW727" s="114"/>
      <c r="BX727" s="114"/>
      <c r="BY727" s="114"/>
      <c r="BZ727" s="114"/>
      <c r="CA727" s="114"/>
      <c r="CB727" s="114"/>
      <c r="CC727" s="114"/>
      <c r="CD727" s="114"/>
      <c r="CE727" s="114"/>
      <c r="CF727" s="114"/>
      <c r="CG727" s="114"/>
      <c r="CH727" s="114"/>
      <c r="CI727" s="114"/>
      <c r="CJ727" s="114"/>
      <c r="CK727" s="114"/>
      <c r="CL727" s="114"/>
      <c r="CM727" s="114"/>
      <c r="CN727" s="128"/>
      <c r="CO727" s="128"/>
      <c r="CP727" s="128"/>
      <c r="CQ727" s="128"/>
      <c r="CR727" s="128"/>
      <c r="CS727" s="128"/>
      <c r="CT727" s="128"/>
      <c r="CU727" s="128"/>
      <c r="CV727" s="128"/>
      <c r="CW727" s="128"/>
      <c r="CX727" s="128"/>
      <c r="CY727" s="128"/>
    </row>
    <row r="728" spans="1:103" ht="11.25" customHeight="1" x14ac:dyDescent="0.3">
      <c r="A728" s="113"/>
      <c r="B728" s="113"/>
      <c r="C728" s="113"/>
      <c r="D728" s="114"/>
      <c r="E728" s="114"/>
      <c r="F728" s="115"/>
      <c r="G728" s="116"/>
      <c r="H728" s="117"/>
      <c r="I728" s="117"/>
      <c r="J728" s="114"/>
      <c r="K728" s="118"/>
      <c r="L728" s="119"/>
      <c r="M728" s="120"/>
      <c r="N728" s="117"/>
      <c r="O728" s="116"/>
      <c r="P728" s="116"/>
      <c r="Q728" s="116"/>
      <c r="R728" s="113"/>
      <c r="S728" s="121"/>
      <c r="T728" s="115"/>
      <c r="U728" s="117"/>
      <c r="V728" s="122"/>
      <c r="W728" s="122"/>
      <c r="X728" s="122"/>
      <c r="Y728" s="122"/>
      <c r="Z728" s="122"/>
      <c r="AA728" s="122"/>
      <c r="AB728" s="122"/>
      <c r="AC728" s="122"/>
      <c r="AD728" s="122"/>
      <c r="AE728" s="122"/>
      <c r="AF728" s="122"/>
      <c r="AG728" s="122"/>
      <c r="AH728" s="122"/>
      <c r="AI728" s="123"/>
      <c r="AJ728" s="122"/>
      <c r="AK728" s="122"/>
      <c r="AL728" s="122"/>
      <c r="AM728" s="122"/>
      <c r="AN728" s="122"/>
      <c r="AO728" s="122"/>
      <c r="AP728" s="124"/>
      <c r="AQ728" s="122"/>
      <c r="AR728" s="122"/>
      <c r="AS728" s="122"/>
      <c r="AT728" s="122"/>
      <c r="AU728" s="122"/>
      <c r="AV728" s="124"/>
      <c r="AW728" s="125"/>
      <c r="AX728" s="126"/>
      <c r="AY728" s="127"/>
      <c r="AZ728" s="127"/>
      <c r="BA728" s="122"/>
      <c r="BB728" s="122"/>
      <c r="BC728" s="125"/>
      <c r="BD728" s="125"/>
      <c r="BE728" s="125"/>
      <c r="BF728" s="123"/>
      <c r="BG728" s="125"/>
      <c r="BH728" s="125"/>
      <c r="BI728" s="125"/>
      <c r="BJ728" s="125"/>
      <c r="BK728" s="125"/>
      <c r="BL728" s="125"/>
      <c r="BM728" s="123"/>
      <c r="BN728" s="114"/>
      <c r="BO728" s="114"/>
      <c r="BP728" s="114"/>
      <c r="BQ728" s="114"/>
      <c r="BR728" s="114"/>
      <c r="BS728" s="114"/>
      <c r="BT728" s="114"/>
      <c r="BU728" s="114"/>
      <c r="BV728" s="114"/>
      <c r="BW728" s="114"/>
      <c r="BX728" s="114"/>
      <c r="BY728" s="114"/>
      <c r="BZ728" s="114"/>
      <c r="CA728" s="114"/>
      <c r="CB728" s="114"/>
      <c r="CC728" s="114"/>
      <c r="CD728" s="114"/>
      <c r="CE728" s="114"/>
      <c r="CF728" s="114"/>
      <c r="CG728" s="114"/>
      <c r="CH728" s="114"/>
      <c r="CI728" s="114"/>
      <c r="CJ728" s="114"/>
      <c r="CK728" s="114"/>
      <c r="CL728" s="114"/>
      <c r="CM728" s="114"/>
      <c r="CN728" s="128"/>
      <c r="CO728" s="128"/>
      <c r="CP728" s="128"/>
      <c r="CQ728" s="128"/>
      <c r="CR728" s="128"/>
      <c r="CS728" s="128"/>
      <c r="CT728" s="128"/>
      <c r="CU728" s="128"/>
      <c r="CV728" s="128"/>
      <c r="CW728" s="128"/>
      <c r="CX728" s="128"/>
      <c r="CY728" s="128"/>
    </row>
    <row r="729" spans="1:103" ht="11.25" customHeight="1" x14ac:dyDescent="0.3">
      <c r="A729" s="113"/>
      <c r="B729" s="113"/>
      <c r="C729" s="113"/>
      <c r="D729" s="114"/>
      <c r="E729" s="114"/>
      <c r="F729" s="115"/>
      <c r="G729" s="116"/>
      <c r="H729" s="117"/>
      <c r="I729" s="117"/>
      <c r="J729" s="114"/>
      <c r="K729" s="118"/>
      <c r="L729" s="119"/>
      <c r="M729" s="120"/>
      <c r="N729" s="117"/>
      <c r="O729" s="116"/>
      <c r="P729" s="116"/>
      <c r="Q729" s="116"/>
      <c r="R729" s="113"/>
      <c r="S729" s="121"/>
      <c r="T729" s="115"/>
      <c r="U729" s="117"/>
      <c r="V729" s="122"/>
      <c r="W729" s="122"/>
      <c r="X729" s="122"/>
      <c r="Y729" s="122"/>
      <c r="Z729" s="122"/>
      <c r="AA729" s="122"/>
      <c r="AB729" s="122"/>
      <c r="AC729" s="122"/>
      <c r="AD729" s="122"/>
      <c r="AE729" s="122"/>
      <c r="AF729" s="122"/>
      <c r="AG729" s="122"/>
      <c r="AH729" s="122"/>
      <c r="AI729" s="123"/>
      <c r="AJ729" s="122"/>
      <c r="AK729" s="122"/>
      <c r="AL729" s="122"/>
      <c r="AM729" s="122"/>
      <c r="AN729" s="122"/>
      <c r="AO729" s="122"/>
      <c r="AP729" s="124"/>
      <c r="AQ729" s="122"/>
      <c r="AR729" s="122"/>
      <c r="AS729" s="122"/>
      <c r="AT729" s="122"/>
      <c r="AU729" s="122"/>
      <c r="AV729" s="124"/>
      <c r="AW729" s="125"/>
      <c r="AX729" s="126"/>
      <c r="AY729" s="127"/>
      <c r="AZ729" s="127"/>
      <c r="BA729" s="122"/>
      <c r="BB729" s="122"/>
      <c r="BC729" s="125"/>
      <c r="BD729" s="125"/>
      <c r="BE729" s="125"/>
      <c r="BF729" s="123"/>
      <c r="BG729" s="125"/>
      <c r="BH729" s="125"/>
      <c r="BI729" s="125"/>
      <c r="BJ729" s="125"/>
      <c r="BK729" s="125"/>
      <c r="BL729" s="125"/>
      <c r="BM729" s="123"/>
      <c r="BN729" s="114"/>
      <c r="BO729" s="114"/>
      <c r="BP729" s="114"/>
      <c r="BQ729" s="114"/>
      <c r="BR729" s="114"/>
      <c r="BS729" s="114"/>
      <c r="BT729" s="114"/>
      <c r="BU729" s="114"/>
      <c r="BV729" s="114"/>
      <c r="BW729" s="114"/>
      <c r="BX729" s="114"/>
      <c r="BY729" s="114"/>
      <c r="BZ729" s="114"/>
      <c r="CA729" s="114"/>
      <c r="CB729" s="114"/>
      <c r="CC729" s="114"/>
      <c r="CD729" s="114"/>
      <c r="CE729" s="114"/>
      <c r="CF729" s="114"/>
      <c r="CG729" s="114"/>
      <c r="CH729" s="114"/>
      <c r="CI729" s="114"/>
      <c r="CJ729" s="114"/>
      <c r="CK729" s="114"/>
      <c r="CL729" s="114"/>
      <c r="CM729" s="114"/>
      <c r="CN729" s="128"/>
      <c r="CO729" s="128"/>
      <c r="CP729" s="128"/>
      <c r="CQ729" s="128"/>
      <c r="CR729" s="128"/>
      <c r="CS729" s="128"/>
      <c r="CT729" s="128"/>
      <c r="CU729" s="128"/>
      <c r="CV729" s="128"/>
      <c r="CW729" s="128"/>
      <c r="CX729" s="128"/>
      <c r="CY729" s="128"/>
    </row>
    <row r="730" spans="1:103" ht="11.25" customHeight="1" x14ac:dyDescent="0.3">
      <c r="A730" s="113"/>
      <c r="B730" s="113"/>
      <c r="C730" s="113"/>
      <c r="D730" s="114"/>
      <c r="E730" s="114"/>
      <c r="F730" s="115"/>
      <c r="G730" s="116"/>
      <c r="H730" s="117"/>
      <c r="I730" s="117"/>
      <c r="J730" s="114"/>
      <c r="K730" s="118"/>
      <c r="L730" s="119"/>
      <c r="M730" s="120"/>
      <c r="N730" s="117"/>
      <c r="O730" s="116"/>
      <c r="P730" s="116"/>
      <c r="Q730" s="116"/>
      <c r="R730" s="113"/>
      <c r="S730" s="121"/>
      <c r="T730" s="115"/>
      <c r="U730" s="117"/>
      <c r="V730" s="122"/>
      <c r="W730" s="122"/>
      <c r="X730" s="122"/>
      <c r="Y730" s="122"/>
      <c r="Z730" s="122"/>
      <c r="AA730" s="122"/>
      <c r="AB730" s="122"/>
      <c r="AC730" s="122"/>
      <c r="AD730" s="122"/>
      <c r="AE730" s="122"/>
      <c r="AF730" s="122"/>
      <c r="AG730" s="122"/>
      <c r="AH730" s="122"/>
      <c r="AI730" s="123"/>
      <c r="AJ730" s="122"/>
      <c r="AK730" s="122"/>
      <c r="AL730" s="122"/>
      <c r="AM730" s="122"/>
      <c r="AN730" s="122"/>
      <c r="AO730" s="122"/>
      <c r="AP730" s="124"/>
      <c r="AQ730" s="122"/>
      <c r="AR730" s="122"/>
      <c r="AS730" s="122"/>
      <c r="AT730" s="122"/>
      <c r="AU730" s="122"/>
      <c r="AV730" s="124"/>
      <c r="AW730" s="125"/>
      <c r="AX730" s="126"/>
      <c r="AY730" s="127"/>
      <c r="AZ730" s="127"/>
      <c r="BA730" s="122"/>
      <c r="BB730" s="122"/>
      <c r="BC730" s="125"/>
      <c r="BD730" s="125"/>
      <c r="BE730" s="125"/>
      <c r="BF730" s="123"/>
      <c r="BG730" s="125"/>
      <c r="BH730" s="125"/>
      <c r="BI730" s="125"/>
      <c r="BJ730" s="125"/>
      <c r="BK730" s="125"/>
      <c r="BL730" s="125"/>
      <c r="BM730" s="123"/>
      <c r="BN730" s="114"/>
      <c r="BO730" s="114"/>
      <c r="BP730" s="114"/>
      <c r="BQ730" s="114"/>
      <c r="BR730" s="114"/>
      <c r="BS730" s="114"/>
      <c r="BT730" s="114"/>
      <c r="BU730" s="114"/>
      <c r="BV730" s="114"/>
      <c r="BW730" s="114"/>
      <c r="BX730" s="114"/>
      <c r="BY730" s="114"/>
      <c r="BZ730" s="114"/>
      <c r="CA730" s="114"/>
      <c r="CB730" s="114"/>
      <c r="CC730" s="114"/>
      <c r="CD730" s="114"/>
      <c r="CE730" s="114"/>
      <c r="CF730" s="114"/>
      <c r="CG730" s="114"/>
      <c r="CH730" s="114"/>
      <c r="CI730" s="114"/>
      <c r="CJ730" s="114"/>
      <c r="CK730" s="114"/>
      <c r="CL730" s="114"/>
      <c r="CM730" s="114"/>
      <c r="CN730" s="128"/>
      <c r="CO730" s="128"/>
      <c r="CP730" s="128"/>
      <c r="CQ730" s="128"/>
      <c r="CR730" s="128"/>
      <c r="CS730" s="128"/>
      <c r="CT730" s="128"/>
      <c r="CU730" s="128"/>
      <c r="CV730" s="128"/>
      <c r="CW730" s="128"/>
      <c r="CX730" s="128"/>
      <c r="CY730" s="128"/>
    </row>
    <row r="731" spans="1:103" ht="11.25" customHeight="1" x14ac:dyDescent="0.3">
      <c r="A731" s="113"/>
      <c r="B731" s="113"/>
      <c r="C731" s="113"/>
      <c r="D731" s="114"/>
      <c r="E731" s="114"/>
      <c r="F731" s="115"/>
      <c r="G731" s="116"/>
      <c r="H731" s="117"/>
      <c r="I731" s="117"/>
      <c r="J731" s="114"/>
      <c r="K731" s="118"/>
      <c r="L731" s="119"/>
      <c r="M731" s="120"/>
      <c r="N731" s="117"/>
      <c r="O731" s="116"/>
      <c r="P731" s="116"/>
      <c r="Q731" s="116"/>
      <c r="R731" s="113"/>
      <c r="S731" s="121"/>
      <c r="T731" s="115"/>
      <c r="U731" s="117"/>
      <c r="V731" s="122"/>
      <c r="W731" s="122"/>
      <c r="X731" s="122"/>
      <c r="Y731" s="122"/>
      <c r="Z731" s="122"/>
      <c r="AA731" s="122"/>
      <c r="AB731" s="122"/>
      <c r="AC731" s="122"/>
      <c r="AD731" s="122"/>
      <c r="AE731" s="122"/>
      <c r="AF731" s="122"/>
      <c r="AG731" s="122"/>
      <c r="AH731" s="122"/>
      <c r="AI731" s="123"/>
      <c r="AJ731" s="122"/>
      <c r="AK731" s="122"/>
      <c r="AL731" s="122"/>
      <c r="AM731" s="122"/>
      <c r="AN731" s="122"/>
      <c r="AO731" s="122"/>
      <c r="AP731" s="124"/>
      <c r="AQ731" s="122"/>
      <c r="AR731" s="122"/>
      <c r="AS731" s="122"/>
      <c r="AT731" s="122"/>
      <c r="AU731" s="122"/>
      <c r="AV731" s="124"/>
      <c r="AW731" s="125"/>
      <c r="AX731" s="126"/>
      <c r="AY731" s="127"/>
      <c r="AZ731" s="127"/>
      <c r="BA731" s="122"/>
      <c r="BB731" s="122"/>
      <c r="BC731" s="125"/>
      <c r="BD731" s="125"/>
      <c r="BE731" s="125"/>
      <c r="BF731" s="123"/>
      <c r="BG731" s="125"/>
      <c r="BH731" s="125"/>
      <c r="BI731" s="125"/>
      <c r="BJ731" s="125"/>
      <c r="BK731" s="125"/>
      <c r="BL731" s="125"/>
      <c r="BM731" s="123"/>
      <c r="BN731" s="114"/>
      <c r="BO731" s="114"/>
      <c r="BP731" s="114"/>
      <c r="BQ731" s="114"/>
      <c r="BR731" s="114"/>
      <c r="BS731" s="114"/>
      <c r="BT731" s="114"/>
      <c r="BU731" s="114"/>
      <c r="BV731" s="114"/>
      <c r="BW731" s="114"/>
      <c r="BX731" s="114"/>
      <c r="BY731" s="114"/>
      <c r="BZ731" s="114"/>
      <c r="CA731" s="114"/>
      <c r="CB731" s="114"/>
      <c r="CC731" s="114"/>
      <c r="CD731" s="114"/>
      <c r="CE731" s="114"/>
      <c r="CF731" s="114"/>
      <c r="CG731" s="114"/>
      <c r="CH731" s="114"/>
      <c r="CI731" s="114"/>
      <c r="CJ731" s="114"/>
      <c r="CK731" s="114"/>
      <c r="CL731" s="114"/>
      <c r="CM731" s="114"/>
      <c r="CN731" s="128"/>
      <c r="CO731" s="128"/>
      <c r="CP731" s="128"/>
      <c r="CQ731" s="128"/>
      <c r="CR731" s="128"/>
      <c r="CS731" s="128"/>
      <c r="CT731" s="128"/>
      <c r="CU731" s="128"/>
      <c r="CV731" s="128"/>
      <c r="CW731" s="128"/>
      <c r="CX731" s="128"/>
      <c r="CY731" s="128"/>
    </row>
    <row r="732" spans="1:103" ht="11.25" customHeight="1" x14ac:dyDescent="0.3">
      <c r="A732" s="113"/>
      <c r="B732" s="113"/>
      <c r="C732" s="113"/>
      <c r="D732" s="114"/>
      <c r="E732" s="114"/>
      <c r="F732" s="115"/>
      <c r="G732" s="116"/>
      <c r="H732" s="117"/>
      <c r="I732" s="117"/>
      <c r="J732" s="114"/>
      <c r="K732" s="118"/>
      <c r="L732" s="119"/>
      <c r="M732" s="120"/>
      <c r="N732" s="117"/>
      <c r="O732" s="116"/>
      <c r="P732" s="116"/>
      <c r="Q732" s="116"/>
      <c r="R732" s="113"/>
      <c r="S732" s="121"/>
      <c r="T732" s="115"/>
      <c r="U732" s="117"/>
      <c r="V732" s="122"/>
      <c r="W732" s="122"/>
      <c r="X732" s="122"/>
      <c r="Y732" s="122"/>
      <c r="Z732" s="122"/>
      <c r="AA732" s="122"/>
      <c r="AB732" s="122"/>
      <c r="AC732" s="122"/>
      <c r="AD732" s="122"/>
      <c r="AE732" s="122"/>
      <c r="AF732" s="122"/>
      <c r="AG732" s="122"/>
      <c r="AH732" s="122"/>
      <c r="AI732" s="123"/>
      <c r="AJ732" s="122"/>
      <c r="AK732" s="122"/>
      <c r="AL732" s="122"/>
      <c r="AM732" s="122"/>
      <c r="AN732" s="122"/>
      <c r="AO732" s="122"/>
      <c r="AP732" s="124"/>
      <c r="AQ732" s="122"/>
      <c r="AR732" s="122"/>
      <c r="AS732" s="122"/>
      <c r="AT732" s="122"/>
      <c r="AU732" s="122"/>
      <c r="AV732" s="124"/>
      <c r="AW732" s="125"/>
      <c r="AX732" s="126"/>
      <c r="AY732" s="127"/>
      <c r="AZ732" s="127"/>
      <c r="BA732" s="122"/>
      <c r="BB732" s="122"/>
      <c r="BC732" s="125"/>
      <c r="BD732" s="125"/>
      <c r="BE732" s="125"/>
      <c r="BF732" s="123"/>
      <c r="BG732" s="125"/>
      <c r="BH732" s="125"/>
      <c r="BI732" s="125"/>
      <c r="BJ732" s="125"/>
      <c r="BK732" s="125"/>
      <c r="BL732" s="125"/>
      <c r="BM732" s="123"/>
      <c r="BN732" s="114"/>
      <c r="BO732" s="114"/>
      <c r="BP732" s="114"/>
      <c r="BQ732" s="114"/>
      <c r="BR732" s="114"/>
      <c r="BS732" s="114"/>
      <c r="BT732" s="114"/>
      <c r="BU732" s="114"/>
      <c r="BV732" s="114"/>
      <c r="BW732" s="114"/>
      <c r="BX732" s="114"/>
      <c r="BY732" s="114"/>
      <c r="BZ732" s="114"/>
      <c r="CA732" s="114"/>
      <c r="CB732" s="114"/>
      <c r="CC732" s="114"/>
      <c r="CD732" s="114"/>
      <c r="CE732" s="114"/>
      <c r="CF732" s="114"/>
      <c r="CG732" s="114"/>
      <c r="CH732" s="114"/>
      <c r="CI732" s="114"/>
      <c r="CJ732" s="114"/>
      <c r="CK732" s="114"/>
      <c r="CL732" s="114"/>
      <c r="CM732" s="114"/>
      <c r="CN732" s="128"/>
      <c r="CO732" s="128"/>
      <c r="CP732" s="128"/>
      <c r="CQ732" s="128"/>
      <c r="CR732" s="128"/>
      <c r="CS732" s="128"/>
      <c r="CT732" s="128"/>
      <c r="CU732" s="128"/>
      <c r="CV732" s="128"/>
      <c r="CW732" s="128"/>
      <c r="CX732" s="128"/>
      <c r="CY732" s="128"/>
    </row>
    <row r="733" spans="1:103" ht="11.25" customHeight="1" x14ac:dyDescent="0.3">
      <c r="A733" s="113"/>
      <c r="B733" s="113"/>
      <c r="C733" s="113"/>
      <c r="D733" s="114"/>
      <c r="E733" s="114"/>
      <c r="F733" s="115"/>
      <c r="G733" s="116"/>
      <c r="H733" s="117"/>
      <c r="I733" s="117"/>
      <c r="J733" s="114"/>
      <c r="K733" s="118"/>
      <c r="L733" s="119"/>
      <c r="M733" s="120"/>
      <c r="N733" s="117"/>
      <c r="O733" s="116"/>
      <c r="P733" s="116"/>
      <c r="Q733" s="116"/>
      <c r="R733" s="113"/>
      <c r="S733" s="121"/>
      <c r="T733" s="115"/>
      <c r="U733" s="117"/>
      <c r="V733" s="122"/>
      <c r="W733" s="122"/>
      <c r="X733" s="122"/>
      <c r="Y733" s="122"/>
      <c r="Z733" s="122"/>
      <c r="AA733" s="122"/>
      <c r="AB733" s="122"/>
      <c r="AC733" s="122"/>
      <c r="AD733" s="122"/>
      <c r="AE733" s="122"/>
      <c r="AF733" s="122"/>
      <c r="AG733" s="122"/>
      <c r="AH733" s="122"/>
      <c r="AI733" s="123"/>
      <c r="AJ733" s="122"/>
      <c r="AK733" s="122"/>
      <c r="AL733" s="122"/>
      <c r="AM733" s="122"/>
      <c r="AN733" s="122"/>
      <c r="AO733" s="122"/>
      <c r="AP733" s="124"/>
      <c r="AQ733" s="122"/>
      <c r="AR733" s="122"/>
      <c r="AS733" s="122"/>
      <c r="AT733" s="122"/>
      <c r="AU733" s="122"/>
      <c r="AV733" s="124"/>
      <c r="AW733" s="125"/>
      <c r="AX733" s="126"/>
      <c r="AY733" s="127"/>
      <c r="AZ733" s="127"/>
      <c r="BA733" s="122"/>
      <c r="BB733" s="122"/>
      <c r="BC733" s="125"/>
      <c r="BD733" s="125"/>
      <c r="BE733" s="125"/>
      <c r="BF733" s="123"/>
      <c r="BG733" s="125"/>
      <c r="BH733" s="125"/>
      <c r="BI733" s="125"/>
      <c r="BJ733" s="125"/>
      <c r="BK733" s="125"/>
      <c r="BL733" s="125"/>
      <c r="BM733" s="123"/>
      <c r="BN733" s="114"/>
      <c r="BO733" s="114"/>
      <c r="BP733" s="114"/>
      <c r="BQ733" s="114"/>
      <c r="BR733" s="114"/>
      <c r="BS733" s="114"/>
      <c r="BT733" s="114"/>
      <c r="BU733" s="114"/>
      <c r="BV733" s="114"/>
      <c r="BW733" s="114"/>
      <c r="BX733" s="114"/>
      <c r="BY733" s="114"/>
      <c r="BZ733" s="114"/>
      <c r="CA733" s="114"/>
      <c r="CB733" s="114"/>
      <c r="CC733" s="114"/>
      <c r="CD733" s="114"/>
      <c r="CE733" s="114"/>
      <c r="CF733" s="114"/>
      <c r="CG733" s="114"/>
      <c r="CH733" s="114"/>
      <c r="CI733" s="114"/>
      <c r="CJ733" s="114"/>
      <c r="CK733" s="114"/>
      <c r="CL733" s="114"/>
      <c r="CM733" s="114"/>
      <c r="CN733" s="128"/>
      <c r="CO733" s="128"/>
      <c r="CP733" s="128"/>
      <c r="CQ733" s="128"/>
      <c r="CR733" s="128"/>
      <c r="CS733" s="128"/>
      <c r="CT733" s="128"/>
      <c r="CU733" s="128"/>
      <c r="CV733" s="128"/>
      <c r="CW733" s="128"/>
      <c r="CX733" s="128"/>
      <c r="CY733" s="128"/>
    </row>
    <row r="734" spans="1:103" ht="11.25" customHeight="1" x14ac:dyDescent="0.3">
      <c r="A734" s="113"/>
      <c r="B734" s="113"/>
      <c r="C734" s="113"/>
      <c r="D734" s="114"/>
      <c r="E734" s="114"/>
      <c r="F734" s="115"/>
      <c r="G734" s="116"/>
      <c r="H734" s="117"/>
      <c r="I734" s="117"/>
      <c r="J734" s="114"/>
      <c r="K734" s="118"/>
      <c r="L734" s="119"/>
      <c r="M734" s="120"/>
      <c r="N734" s="117"/>
      <c r="O734" s="116"/>
      <c r="P734" s="116"/>
      <c r="Q734" s="116"/>
      <c r="R734" s="113"/>
      <c r="S734" s="121"/>
      <c r="T734" s="115"/>
      <c r="U734" s="117"/>
      <c r="V734" s="122"/>
      <c r="W734" s="122"/>
      <c r="X734" s="122"/>
      <c r="Y734" s="122"/>
      <c r="Z734" s="122"/>
      <c r="AA734" s="122"/>
      <c r="AB734" s="122"/>
      <c r="AC734" s="122"/>
      <c r="AD734" s="122"/>
      <c r="AE734" s="122"/>
      <c r="AF734" s="122"/>
      <c r="AG734" s="122"/>
      <c r="AH734" s="122"/>
      <c r="AI734" s="123"/>
      <c r="AJ734" s="122"/>
      <c r="AK734" s="122"/>
      <c r="AL734" s="122"/>
      <c r="AM734" s="122"/>
      <c r="AN734" s="122"/>
      <c r="AO734" s="122"/>
      <c r="AP734" s="124"/>
      <c r="AQ734" s="122"/>
      <c r="AR734" s="122"/>
      <c r="AS734" s="122"/>
      <c r="AT734" s="122"/>
      <c r="AU734" s="122"/>
      <c r="AV734" s="124"/>
      <c r="AW734" s="125"/>
      <c r="AX734" s="126"/>
      <c r="AY734" s="127"/>
      <c r="AZ734" s="127"/>
      <c r="BA734" s="122"/>
      <c r="BB734" s="122"/>
      <c r="BC734" s="125"/>
      <c r="BD734" s="125"/>
      <c r="BE734" s="125"/>
      <c r="BF734" s="123"/>
      <c r="BG734" s="125"/>
      <c r="BH734" s="125"/>
      <c r="BI734" s="125"/>
      <c r="BJ734" s="125"/>
      <c r="BK734" s="125"/>
      <c r="BL734" s="125"/>
      <c r="BM734" s="123"/>
      <c r="BN734" s="114"/>
      <c r="BO734" s="114"/>
      <c r="BP734" s="114"/>
      <c r="BQ734" s="114"/>
      <c r="BR734" s="114"/>
      <c r="BS734" s="114"/>
      <c r="BT734" s="114"/>
      <c r="BU734" s="114"/>
      <c r="BV734" s="114"/>
      <c r="BW734" s="114"/>
      <c r="BX734" s="114"/>
      <c r="BY734" s="114"/>
      <c r="BZ734" s="114"/>
      <c r="CA734" s="114"/>
      <c r="CB734" s="114"/>
      <c r="CC734" s="114"/>
      <c r="CD734" s="114"/>
      <c r="CE734" s="114"/>
      <c r="CF734" s="114"/>
      <c r="CG734" s="114"/>
      <c r="CH734" s="114"/>
      <c r="CI734" s="114"/>
      <c r="CJ734" s="114"/>
      <c r="CK734" s="114"/>
      <c r="CL734" s="114"/>
      <c r="CM734" s="114"/>
      <c r="CN734" s="128"/>
      <c r="CO734" s="128"/>
      <c r="CP734" s="128"/>
      <c r="CQ734" s="128"/>
      <c r="CR734" s="128"/>
      <c r="CS734" s="128"/>
      <c r="CT734" s="128"/>
      <c r="CU734" s="128"/>
      <c r="CV734" s="128"/>
      <c r="CW734" s="128"/>
      <c r="CX734" s="128"/>
      <c r="CY734" s="128"/>
    </row>
    <row r="735" spans="1:103" ht="11.25" customHeight="1" x14ac:dyDescent="0.3">
      <c r="A735" s="113"/>
      <c r="B735" s="113"/>
      <c r="C735" s="113"/>
      <c r="D735" s="114"/>
      <c r="E735" s="114"/>
      <c r="F735" s="115"/>
      <c r="G735" s="116"/>
      <c r="H735" s="117"/>
      <c r="I735" s="117"/>
      <c r="J735" s="114"/>
      <c r="K735" s="118"/>
      <c r="L735" s="119"/>
      <c r="M735" s="120"/>
      <c r="N735" s="117"/>
      <c r="O735" s="116"/>
      <c r="P735" s="116"/>
      <c r="Q735" s="116"/>
      <c r="R735" s="113"/>
      <c r="S735" s="121"/>
      <c r="T735" s="115"/>
      <c r="U735" s="117"/>
      <c r="V735" s="122"/>
      <c r="W735" s="122"/>
      <c r="X735" s="122"/>
      <c r="Y735" s="122"/>
      <c r="Z735" s="122"/>
      <c r="AA735" s="122"/>
      <c r="AB735" s="122"/>
      <c r="AC735" s="122"/>
      <c r="AD735" s="122"/>
      <c r="AE735" s="122"/>
      <c r="AF735" s="122"/>
      <c r="AG735" s="122"/>
      <c r="AH735" s="122"/>
      <c r="AI735" s="123"/>
      <c r="AJ735" s="122"/>
      <c r="AK735" s="122"/>
      <c r="AL735" s="122"/>
      <c r="AM735" s="122"/>
      <c r="AN735" s="122"/>
      <c r="AO735" s="122"/>
      <c r="AP735" s="124"/>
      <c r="AQ735" s="122"/>
      <c r="AR735" s="122"/>
      <c r="AS735" s="122"/>
      <c r="AT735" s="122"/>
      <c r="AU735" s="122"/>
      <c r="AV735" s="124"/>
      <c r="AW735" s="125"/>
      <c r="AX735" s="126"/>
      <c r="AY735" s="127"/>
      <c r="AZ735" s="127"/>
      <c r="BA735" s="122"/>
      <c r="BB735" s="122"/>
      <c r="BC735" s="125"/>
      <c r="BD735" s="125"/>
      <c r="BE735" s="125"/>
      <c r="BF735" s="123"/>
      <c r="BG735" s="125"/>
      <c r="BH735" s="125"/>
      <c r="BI735" s="125"/>
      <c r="BJ735" s="125"/>
      <c r="BK735" s="125"/>
      <c r="BL735" s="125"/>
      <c r="BM735" s="123"/>
      <c r="BN735" s="114"/>
      <c r="BO735" s="114"/>
      <c r="BP735" s="114"/>
      <c r="BQ735" s="114"/>
      <c r="BR735" s="114"/>
      <c r="BS735" s="114"/>
      <c r="BT735" s="114"/>
      <c r="BU735" s="114"/>
      <c r="BV735" s="114"/>
      <c r="BW735" s="114"/>
      <c r="BX735" s="114"/>
      <c r="BY735" s="114"/>
      <c r="BZ735" s="114"/>
      <c r="CA735" s="114"/>
      <c r="CB735" s="114"/>
      <c r="CC735" s="114"/>
      <c r="CD735" s="114"/>
      <c r="CE735" s="114"/>
      <c r="CF735" s="114"/>
      <c r="CG735" s="114"/>
      <c r="CH735" s="114"/>
      <c r="CI735" s="114"/>
      <c r="CJ735" s="114"/>
      <c r="CK735" s="114"/>
      <c r="CL735" s="114"/>
      <c r="CM735" s="114"/>
      <c r="CN735" s="128"/>
      <c r="CO735" s="128"/>
      <c r="CP735" s="128"/>
      <c r="CQ735" s="128"/>
      <c r="CR735" s="128"/>
      <c r="CS735" s="128"/>
      <c r="CT735" s="128"/>
      <c r="CU735" s="128"/>
      <c r="CV735" s="128"/>
      <c r="CW735" s="128"/>
      <c r="CX735" s="128"/>
      <c r="CY735" s="128"/>
    </row>
    <row r="736" spans="1:103" ht="11.25" customHeight="1" x14ac:dyDescent="0.3">
      <c r="A736" s="113"/>
      <c r="B736" s="113"/>
      <c r="C736" s="113"/>
      <c r="D736" s="114"/>
      <c r="E736" s="114"/>
      <c r="F736" s="115"/>
      <c r="G736" s="116"/>
      <c r="H736" s="117"/>
      <c r="I736" s="117"/>
      <c r="J736" s="114"/>
      <c r="K736" s="118"/>
      <c r="L736" s="119"/>
      <c r="M736" s="120"/>
      <c r="N736" s="117"/>
      <c r="O736" s="116"/>
      <c r="P736" s="116"/>
      <c r="Q736" s="116"/>
      <c r="R736" s="113"/>
      <c r="S736" s="121"/>
      <c r="T736" s="115"/>
      <c r="U736" s="117"/>
      <c r="V736" s="122"/>
      <c r="W736" s="122"/>
      <c r="X736" s="122"/>
      <c r="Y736" s="122"/>
      <c r="Z736" s="122"/>
      <c r="AA736" s="122"/>
      <c r="AB736" s="122"/>
      <c r="AC736" s="122"/>
      <c r="AD736" s="122"/>
      <c r="AE736" s="122"/>
      <c r="AF736" s="122"/>
      <c r="AG736" s="122"/>
      <c r="AH736" s="122"/>
      <c r="AI736" s="123"/>
      <c r="AJ736" s="122"/>
      <c r="AK736" s="122"/>
      <c r="AL736" s="122"/>
      <c r="AM736" s="122"/>
      <c r="AN736" s="122"/>
      <c r="AO736" s="122"/>
      <c r="AP736" s="124"/>
      <c r="AQ736" s="122"/>
      <c r="AR736" s="122"/>
      <c r="AS736" s="122"/>
      <c r="AT736" s="122"/>
      <c r="AU736" s="122"/>
      <c r="AV736" s="124"/>
      <c r="AW736" s="125"/>
      <c r="AX736" s="126"/>
      <c r="AY736" s="127"/>
      <c r="AZ736" s="127"/>
      <c r="BA736" s="122"/>
      <c r="BB736" s="122"/>
      <c r="BC736" s="125"/>
      <c r="BD736" s="125"/>
      <c r="BE736" s="125"/>
      <c r="BF736" s="123"/>
      <c r="BG736" s="125"/>
      <c r="BH736" s="125"/>
      <c r="BI736" s="125"/>
      <c r="BJ736" s="125"/>
      <c r="BK736" s="125"/>
      <c r="BL736" s="125"/>
      <c r="BM736" s="123"/>
      <c r="BN736" s="114"/>
      <c r="BO736" s="114"/>
      <c r="BP736" s="114"/>
      <c r="BQ736" s="114"/>
      <c r="BR736" s="114"/>
      <c r="BS736" s="114"/>
      <c r="BT736" s="114"/>
      <c r="BU736" s="114"/>
      <c r="BV736" s="114"/>
      <c r="BW736" s="114"/>
      <c r="BX736" s="114"/>
      <c r="BY736" s="114"/>
      <c r="BZ736" s="114"/>
      <c r="CA736" s="114"/>
      <c r="CB736" s="114"/>
      <c r="CC736" s="114"/>
      <c r="CD736" s="114"/>
      <c r="CE736" s="114"/>
      <c r="CF736" s="114"/>
      <c r="CG736" s="114"/>
      <c r="CH736" s="114"/>
      <c r="CI736" s="114"/>
      <c r="CJ736" s="114"/>
      <c r="CK736" s="114"/>
      <c r="CL736" s="114"/>
      <c r="CM736" s="114"/>
      <c r="CN736" s="128"/>
      <c r="CO736" s="128"/>
      <c r="CP736" s="128"/>
      <c r="CQ736" s="128"/>
      <c r="CR736" s="128"/>
      <c r="CS736" s="128"/>
      <c r="CT736" s="128"/>
      <c r="CU736" s="128"/>
      <c r="CV736" s="128"/>
      <c r="CW736" s="128"/>
      <c r="CX736" s="128"/>
      <c r="CY736" s="128"/>
    </row>
    <row r="737" spans="1:103" ht="11.25" customHeight="1" x14ac:dyDescent="0.3">
      <c r="A737" s="113"/>
      <c r="B737" s="113"/>
      <c r="C737" s="113"/>
      <c r="D737" s="114"/>
      <c r="E737" s="114"/>
      <c r="F737" s="115"/>
      <c r="G737" s="116"/>
      <c r="H737" s="117"/>
      <c r="I737" s="117"/>
      <c r="J737" s="114"/>
      <c r="K737" s="118"/>
      <c r="L737" s="119"/>
      <c r="M737" s="120"/>
      <c r="N737" s="117"/>
      <c r="O737" s="116"/>
      <c r="P737" s="116"/>
      <c r="Q737" s="116"/>
      <c r="R737" s="113"/>
      <c r="S737" s="121"/>
      <c r="T737" s="115"/>
      <c r="U737" s="117"/>
      <c r="V737" s="122"/>
      <c r="W737" s="122"/>
      <c r="X737" s="122"/>
      <c r="Y737" s="122"/>
      <c r="Z737" s="122"/>
      <c r="AA737" s="122"/>
      <c r="AB737" s="122"/>
      <c r="AC737" s="122"/>
      <c r="AD737" s="122"/>
      <c r="AE737" s="122"/>
      <c r="AF737" s="122"/>
      <c r="AG737" s="122"/>
      <c r="AH737" s="122"/>
      <c r="AI737" s="123"/>
      <c r="AJ737" s="122"/>
      <c r="AK737" s="122"/>
      <c r="AL737" s="122"/>
      <c r="AM737" s="122"/>
      <c r="AN737" s="122"/>
      <c r="AO737" s="122"/>
      <c r="AP737" s="124"/>
      <c r="AQ737" s="122"/>
      <c r="AR737" s="122"/>
      <c r="AS737" s="122"/>
      <c r="AT737" s="122"/>
      <c r="AU737" s="122"/>
      <c r="AV737" s="124"/>
      <c r="AW737" s="125"/>
      <c r="AX737" s="126"/>
      <c r="AY737" s="127"/>
      <c r="AZ737" s="127"/>
      <c r="BA737" s="122"/>
      <c r="BB737" s="122"/>
      <c r="BC737" s="125"/>
      <c r="BD737" s="125"/>
      <c r="BE737" s="125"/>
      <c r="BF737" s="123"/>
      <c r="BG737" s="125"/>
      <c r="BH737" s="125"/>
      <c r="BI737" s="125"/>
      <c r="BJ737" s="125"/>
      <c r="BK737" s="125"/>
      <c r="BL737" s="125"/>
      <c r="BM737" s="123"/>
      <c r="BN737" s="114"/>
      <c r="BO737" s="114"/>
      <c r="BP737" s="114"/>
      <c r="BQ737" s="114"/>
      <c r="BR737" s="114"/>
      <c r="BS737" s="114"/>
      <c r="BT737" s="114"/>
      <c r="BU737" s="114"/>
      <c r="BV737" s="114"/>
      <c r="BW737" s="114"/>
      <c r="BX737" s="114"/>
      <c r="BY737" s="114"/>
      <c r="BZ737" s="114"/>
      <c r="CA737" s="114"/>
      <c r="CB737" s="114"/>
      <c r="CC737" s="114"/>
      <c r="CD737" s="114"/>
      <c r="CE737" s="114"/>
      <c r="CF737" s="114"/>
      <c r="CG737" s="114"/>
      <c r="CH737" s="114"/>
      <c r="CI737" s="114"/>
      <c r="CJ737" s="114"/>
      <c r="CK737" s="114"/>
      <c r="CL737" s="114"/>
      <c r="CM737" s="114"/>
      <c r="CN737" s="128"/>
      <c r="CO737" s="128"/>
      <c r="CP737" s="128"/>
      <c r="CQ737" s="128"/>
      <c r="CR737" s="128"/>
      <c r="CS737" s="128"/>
      <c r="CT737" s="128"/>
      <c r="CU737" s="128"/>
      <c r="CV737" s="128"/>
      <c r="CW737" s="128"/>
      <c r="CX737" s="128"/>
      <c r="CY737" s="128"/>
    </row>
    <row r="738" spans="1:103" ht="11.25" customHeight="1" x14ac:dyDescent="0.3">
      <c r="A738" s="113"/>
      <c r="B738" s="113"/>
      <c r="C738" s="113"/>
      <c r="D738" s="114"/>
      <c r="E738" s="114"/>
      <c r="F738" s="115"/>
      <c r="G738" s="116"/>
      <c r="H738" s="117"/>
      <c r="I738" s="117"/>
      <c r="J738" s="114"/>
      <c r="K738" s="118"/>
      <c r="L738" s="119"/>
      <c r="M738" s="120"/>
      <c r="N738" s="117"/>
      <c r="O738" s="116"/>
      <c r="P738" s="116"/>
      <c r="Q738" s="116"/>
      <c r="R738" s="113"/>
      <c r="S738" s="121"/>
      <c r="T738" s="115"/>
      <c r="U738" s="117"/>
      <c r="V738" s="122"/>
      <c r="W738" s="122"/>
      <c r="X738" s="122"/>
      <c r="Y738" s="122"/>
      <c r="Z738" s="122"/>
      <c r="AA738" s="122"/>
      <c r="AB738" s="122"/>
      <c r="AC738" s="122"/>
      <c r="AD738" s="122"/>
      <c r="AE738" s="122"/>
      <c r="AF738" s="122"/>
      <c r="AG738" s="122"/>
      <c r="AH738" s="122"/>
      <c r="AI738" s="123"/>
      <c r="AJ738" s="122"/>
      <c r="AK738" s="122"/>
      <c r="AL738" s="122"/>
      <c r="AM738" s="122"/>
      <c r="AN738" s="122"/>
      <c r="AO738" s="122"/>
      <c r="AP738" s="124"/>
      <c r="AQ738" s="122"/>
      <c r="AR738" s="122"/>
      <c r="AS738" s="122"/>
      <c r="AT738" s="122"/>
      <c r="AU738" s="122"/>
      <c r="AV738" s="124"/>
      <c r="AW738" s="125"/>
      <c r="AX738" s="126"/>
      <c r="AY738" s="127"/>
      <c r="AZ738" s="127"/>
      <c r="BA738" s="122"/>
      <c r="BB738" s="122"/>
      <c r="BC738" s="125"/>
      <c r="BD738" s="125"/>
      <c r="BE738" s="125"/>
      <c r="BF738" s="123"/>
      <c r="BG738" s="125"/>
      <c r="BH738" s="125"/>
      <c r="BI738" s="125"/>
      <c r="BJ738" s="125"/>
      <c r="BK738" s="125"/>
      <c r="BL738" s="125"/>
      <c r="BM738" s="123"/>
      <c r="BN738" s="114"/>
      <c r="BO738" s="114"/>
      <c r="BP738" s="114"/>
      <c r="BQ738" s="114"/>
      <c r="BR738" s="114"/>
      <c r="BS738" s="114"/>
      <c r="BT738" s="114"/>
      <c r="BU738" s="114"/>
      <c r="BV738" s="114"/>
      <c r="BW738" s="114"/>
      <c r="BX738" s="114"/>
      <c r="BY738" s="114"/>
      <c r="BZ738" s="114"/>
      <c r="CA738" s="114"/>
      <c r="CB738" s="114"/>
      <c r="CC738" s="114"/>
      <c r="CD738" s="114"/>
      <c r="CE738" s="114"/>
      <c r="CF738" s="114"/>
      <c r="CG738" s="114"/>
      <c r="CH738" s="114"/>
      <c r="CI738" s="114"/>
      <c r="CJ738" s="114"/>
      <c r="CK738" s="114"/>
      <c r="CL738" s="114"/>
      <c r="CM738" s="114"/>
      <c r="CN738" s="128"/>
      <c r="CO738" s="128"/>
      <c r="CP738" s="128"/>
      <c r="CQ738" s="128"/>
      <c r="CR738" s="128"/>
      <c r="CS738" s="128"/>
      <c r="CT738" s="128"/>
      <c r="CU738" s="128"/>
      <c r="CV738" s="128"/>
      <c r="CW738" s="128"/>
      <c r="CX738" s="128"/>
      <c r="CY738" s="128"/>
    </row>
    <row r="739" spans="1:103" ht="11.25" customHeight="1" x14ac:dyDescent="0.3">
      <c r="A739" s="113"/>
      <c r="B739" s="113"/>
      <c r="C739" s="113"/>
      <c r="D739" s="114"/>
      <c r="E739" s="114"/>
      <c r="F739" s="115"/>
      <c r="G739" s="116"/>
      <c r="H739" s="117"/>
      <c r="I739" s="117"/>
      <c r="J739" s="114"/>
      <c r="K739" s="118"/>
      <c r="L739" s="119"/>
      <c r="M739" s="120"/>
      <c r="N739" s="117"/>
      <c r="O739" s="116"/>
      <c r="P739" s="116"/>
      <c r="Q739" s="116"/>
      <c r="R739" s="113"/>
      <c r="S739" s="121"/>
      <c r="T739" s="115"/>
      <c r="U739" s="117"/>
      <c r="V739" s="122"/>
      <c r="W739" s="122"/>
      <c r="X739" s="122"/>
      <c r="Y739" s="122"/>
      <c r="Z739" s="122"/>
      <c r="AA739" s="122"/>
      <c r="AB739" s="122"/>
      <c r="AC739" s="122"/>
      <c r="AD739" s="122"/>
      <c r="AE739" s="122"/>
      <c r="AF739" s="122"/>
      <c r="AG739" s="122"/>
      <c r="AH739" s="122"/>
      <c r="AI739" s="123"/>
      <c r="AJ739" s="122"/>
      <c r="AK739" s="122"/>
      <c r="AL739" s="122"/>
      <c r="AM739" s="122"/>
      <c r="AN739" s="122"/>
      <c r="AO739" s="122"/>
      <c r="AP739" s="124"/>
      <c r="AQ739" s="122"/>
      <c r="AR739" s="122"/>
      <c r="AS739" s="122"/>
      <c r="AT739" s="122"/>
      <c r="AU739" s="122"/>
      <c r="AV739" s="124"/>
      <c r="AW739" s="125"/>
      <c r="AX739" s="126"/>
      <c r="AY739" s="127"/>
      <c r="AZ739" s="127"/>
      <c r="BA739" s="122"/>
      <c r="BB739" s="122"/>
      <c r="BC739" s="125"/>
      <c r="BD739" s="125"/>
      <c r="BE739" s="125"/>
      <c r="BF739" s="123"/>
      <c r="BG739" s="125"/>
      <c r="BH739" s="125"/>
      <c r="BI739" s="125"/>
      <c r="BJ739" s="125"/>
      <c r="BK739" s="125"/>
      <c r="BL739" s="125"/>
      <c r="BM739" s="123"/>
      <c r="BN739" s="114"/>
      <c r="BO739" s="114"/>
      <c r="BP739" s="114"/>
      <c r="BQ739" s="114"/>
      <c r="BR739" s="114"/>
      <c r="BS739" s="114"/>
      <c r="BT739" s="114"/>
      <c r="BU739" s="114"/>
      <c r="BV739" s="114"/>
      <c r="BW739" s="114"/>
      <c r="BX739" s="114"/>
      <c r="BY739" s="114"/>
      <c r="BZ739" s="114"/>
      <c r="CA739" s="114"/>
      <c r="CB739" s="114"/>
      <c r="CC739" s="114"/>
      <c r="CD739" s="114"/>
      <c r="CE739" s="114"/>
      <c r="CF739" s="114"/>
      <c r="CG739" s="114"/>
      <c r="CH739" s="114"/>
      <c r="CI739" s="114"/>
      <c r="CJ739" s="114"/>
      <c r="CK739" s="114"/>
      <c r="CL739" s="114"/>
      <c r="CM739" s="114"/>
      <c r="CN739" s="128"/>
      <c r="CO739" s="128"/>
      <c r="CP739" s="128"/>
      <c r="CQ739" s="128"/>
      <c r="CR739" s="128"/>
      <c r="CS739" s="128"/>
      <c r="CT739" s="128"/>
      <c r="CU739" s="128"/>
      <c r="CV739" s="128"/>
      <c r="CW739" s="128"/>
      <c r="CX739" s="128"/>
      <c r="CY739" s="128"/>
    </row>
    <row r="740" spans="1:103" ht="11.25" customHeight="1" x14ac:dyDescent="0.3">
      <c r="A740" s="113"/>
      <c r="B740" s="113"/>
      <c r="C740" s="113"/>
      <c r="D740" s="114"/>
      <c r="E740" s="114"/>
      <c r="F740" s="115"/>
      <c r="G740" s="116"/>
      <c r="H740" s="117"/>
      <c r="I740" s="117"/>
      <c r="J740" s="114"/>
      <c r="K740" s="118"/>
      <c r="L740" s="119"/>
      <c r="M740" s="120"/>
      <c r="N740" s="117"/>
      <c r="O740" s="116"/>
      <c r="P740" s="116"/>
      <c r="Q740" s="116"/>
      <c r="R740" s="113"/>
      <c r="S740" s="121"/>
      <c r="T740" s="115"/>
      <c r="U740" s="117"/>
      <c r="V740" s="122"/>
      <c r="W740" s="122"/>
      <c r="X740" s="122"/>
      <c r="Y740" s="122"/>
      <c r="Z740" s="122"/>
      <c r="AA740" s="122"/>
      <c r="AB740" s="122"/>
      <c r="AC740" s="122"/>
      <c r="AD740" s="122"/>
      <c r="AE740" s="122"/>
      <c r="AF740" s="122"/>
      <c r="AG740" s="122"/>
      <c r="AH740" s="122"/>
      <c r="AI740" s="123"/>
      <c r="AJ740" s="122"/>
      <c r="AK740" s="122"/>
      <c r="AL740" s="122"/>
      <c r="AM740" s="122"/>
      <c r="AN740" s="122"/>
      <c r="AO740" s="122"/>
      <c r="AP740" s="124"/>
      <c r="AQ740" s="122"/>
      <c r="AR740" s="122"/>
      <c r="AS740" s="122"/>
      <c r="AT740" s="122"/>
      <c r="AU740" s="122"/>
      <c r="AV740" s="124"/>
      <c r="AW740" s="125"/>
      <c r="AX740" s="126"/>
      <c r="AY740" s="127"/>
      <c r="AZ740" s="127"/>
      <c r="BA740" s="122"/>
      <c r="BB740" s="122"/>
      <c r="BC740" s="125"/>
      <c r="BD740" s="125"/>
      <c r="BE740" s="125"/>
      <c r="BF740" s="123"/>
      <c r="BG740" s="125"/>
      <c r="BH740" s="125"/>
      <c r="BI740" s="125"/>
      <c r="BJ740" s="125"/>
      <c r="BK740" s="125"/>
      <c r="BL740" s="125"/>
      <c r="BM740" s="123"/>
      <c r="BN740" s="114"/>
      <c r="BO740" s="114"/>
      <c r="BP740" s="114"/>
      <c r="BQ740" s="114"/>
      <c r="BR740" s="114"/>
      <c r="BS740" s="114"/>
      <c r="BT740" s="114"/>
      <c r="BU740" s="114"/>
      <c r="BV740" s="114"/>
      <c r="BW740" s="114"/>
      <c r="BX740" s="114"/>
      <c r="BY740" s="114"/>
      <c r="BZ740" s="114"/>
      <c r="CA740" s="114"/>
      <c r="CB740" s="114"/>
      <c r="CC740" s="114"/>
      <c r="CD740" s="114"/>
      <c r="CE740" s="114"/>
      <c r="CF740" s="114"/>
      <c r="CG740" s="114"/>
      <c r="CH740" s="114"/>
      <c r="CI740" s="114"/>
      <c r="CJ740" s="114"/>
      <c r="CK740" s="114"/>
      <c r="CL740" s="114"/>
      <c r="CM740" s="114"/>
      <c r="CN740" s="128"/>
      <c r="CO740" s="128"/>
      <c r="CP740" s="128"/>
      <c r="CQ740" s="128"/>
      <c r="CR740" s="128"/>
      <c r="CS740" s="128"/>
      <c r="CT740" s="128"/>
      <c r="CU740" s="128"/>
      <c r="CV740" s="128"/>
      <c r="CW740" s="128"/>
      <c r="CX740" s="128"/>
      <c r="CY740" s="128"/>
    </row>
    <row r="741" spans="1:103" ht="11.25" customHeight="1" x14ac:dyDescent="0.3">
      <c r="A741" s="113"/>
      <c r="B741" s="113"/>
      <c r="C741" s="113"/>
      <c r="D741" s="114"/>
      <c r="E741" s="114"/>
      <c r="F741" s="115"/>
      <c r="G741" s="116"/>
      <c r="H741" s="117"/>
      <c r="I741" s="117"/>
      <c r="J741" s="114"/>
      <c r="K741" s="118"/>
      <c r="L741" s="119"/>
      <c r="M741" s="120"/>
      <c r="N741" s="117"/>
      <c r="O741" s="116"/>
      <c r="P741" s="116"/>
      <c r="Q741" s="116"/>
      <c r="R741" s="113"/>
      <c r="S741" s="121"/>
      <c r="T741" s="115"/>
      <c r="U741" s="117"/>
      <c r="V741" s="122"/>
      <c r="W741" s="122"/>
      <c r="X741" s="122"/>
      <c r="Y741" s="122"/>
      <c r="Z741" s="122"/>
      <c r="AA741" s="122"/>
      <c r="AB741" s="122"/>
      <c r="AC741" s="122"/>
      <c r="AD741" s="122"/>
      <c r="AE741" s="122"/>
      <c r="AF741" s="122"/>
      <c r="AG741" s="122"/>
      <c r="AH741" s="122"/>
      <c r="AI741" s="123"/>
      <c r="AJ741" s="122"/>
      <c r="AK741" s="122"/>
      <c r="AL741" s="122"/>
      <c r="AM741" s="122"/>
      <c r="AN741" s="122"/>
      <c r="AO741" s="122"/>
      <c r="AP741" s="124"/>
      <c r="AQ741" s="122"/>
      <c r="AR741" s="122"/>
      <c r="AS741" s="122"/>
      <c r="AT741" s="122"/>
      <c r="AU741" s="122"/>
      <c r="AV741" s="124"/>
      <c r="AW741" s="125"/>
      <c r="AX741" s="126"/>
      <c r="AY741" s="127"/>
      <c r="AZ741" s="127"/>
      <c r="BA741" s="122"/>
      <c r="BB741" s="122"/>
      <c r="BC741" s="125"/>
      <c r="BD741" s="125"/>
      <c r="BE741" s="125"/>
      <c r="BF741" s="123"/>
      <c r="BG741" s="125"/>
      <c r="BH741" s="125"/>
      <c r="BI741" s="125"/>
      <c r="BJ741" s="125"/>
      <c r="BK741" s="125"/>
      <c r="BL741" s="125"/>
      <c r="BM741" s="123"/>
      <c r="BN741" s="114"/>
      <c r="BO741" s="114"/>
      <c r="BP741" s="114"/>
      <c r="BQ741" s="114"/>
      <c r="BR741" s="114"/>
      <c r="BS741" s="114"/>
      <c r="BT741" s="114"/>
      <c r="BU741" s="114"/>
      <c r="BV741" s="114"/>
      <c r="BW741" s="114"/>
      <c r="BX741" s="114"/>
      <c r="BY741" s="114"/>
      <c r="BZ741" s="114"/>
      <c r="CA741" s="114"/>
      <c r="CB741" s="114"/>
      <c r="CC741" s="114"/>
      <c r="CD741" s="114"/>
      <c r="CE741" s="114"/>
      <c r="CF741" s="114"/>
      <c r="CG741" s="114"/>
      <c r="CH741" s="114"/>
      <c r="CI741" s="114"/>
      <c r="CJ741" s="114"/>
      <c r="CK741" s="114"/>
      <c r="CL741" s="114"/>
      <c r="CM741" s="114"/>
      <c r="CN741" s="128"/>
      <c r="CO741" s="128"/>
      <c r="CP741" s="128"/>
      <c r="CQ741" s="128"/>
      <c r="CR741" s="128"/>
      <c r="CS741" s="128"/>
      <c r="CT741" s="128"/>
      <c r="CU741" s="128"/>
      <c r="CV741" s="128"/>
      <c r="CW741" s="128"/>
      <c r="CX741" s="128"/>
      <c r="CY741" s="128"/>
    </row>
    <row r="742" spans="1:103" ht="11.25" customHeight="1" x14ac:dyDescent="0.3">
      <c r="A742" s="113"/>
      <c r="B742" s="113"/>
      <c r="C742" s="113"/>
      <c r="D742" s="114"/>
      <c r="E742" s="114"/>
      <c r="F742" s="115"/>
      <c r="G742" s="116"/>
      <c r="H742" s="117"/>
      <c r="I742" s="117"/>
      <c r="J742" s="114"/>
      <c r="K742" s="118"/>
      <c r="L742" s="119"/>
      <c r="M742" s="120"/>
      <c r="N742" s="117"/>
      <c r="O742" s="116"/>
      <c r="P742" s="116"/>
      <c r="Q742" s="116"/>
      <c r="R742" s="113"/>
      <c r="S742" s="121"/>
      <c r="T742" s="115"/>
      <c r="U742" s="117"/>
      <c r="V742" s="122"/>
      <c r="W742" s="122"/>
      <c r="X742" s="122"/>
      <c r="Y742" s="122"/>
      <c r="Z742" s="122"/>
      <c r="AA742" s="122"/>
      <c r="AB742" s="122"/>
      <c r="AC742" s="122"/>
      <c r="AD742" s="122"/>
      <c r="AE742" s="122"/>
      <c r="AF742" s="122"/>
      <c r="AG742" s="122"/>
      <c r="AH742" s="122"/>
      <c r="AI742" s="123"/>
      <c r="AJ742" s="122"/>
      <c r="AK742" s="122"/>
      <c r="AL742" s="122"/>
      <c r="AM742" s="122"/>
      <c r="AN742" s="122"/>
      <c r="AO742" s="122"/>
      <c r="AP742" s="124"/>
      <c r="AQ742" s="122"/>
      <c r="AR742" s="122"/>
      <c r="AS742" s="122"/>
      <c r="AT742" s="122"/>
      <c r="AU742" s="122"/>
      <c r="AV742" s="124"/>
      <c r="AW742" s="125"/>
      <c r="AX742" s="126"/>
      <c r="AY742" s="127"/>
      <c r="AZ742" s="127"/>
      <c r="BA742" s="122"/>
      <c r="BB742" s="122"/>
      <c r="BC742" s="125"/>
      <c r="BD742" s="125"/>
      <c r="BE742" s="125"/>
      <c r="BF742" s="123"/>
      <c r="BG742" s="125"/>
      <c r="BH742" s="125"/>
      <c r="BI742" s="125"/>
      <c r="BJ742" s="125"/>
      <c r="BK742" s="125"/>
      <c r="BL742" s="125"/>
      <c r="BM742" s="123"/>
      <c r="BN742" s="114"/>
      <c r="BO742" s="114"/>
      <c r="BP742" s="114"/>
      <c r="BQ742" s="114"/>
      <c r="BR742" s="114"/>
      <c r="BS742" s="114"/>
      <c r="BT742" s="114"/>
      <c r="BU742" s="114"/>
      <c r="BV742" s="114"/>
      <c r="BW742" s="114"/>
      <c r="BX742" s="114"/>
      <c r="BY742" s="114"/>
      <c r="BZ742" s="114"/>
      <c r="CA742" s="114"/>
      <c r="CB742" s="114"/>
      <c r="CC742" s="114"/>
      <c r="CD742" s="114"/>
      <c r="CE742" s="114"/>
      <c r="CF742" s="114"/>
      <c r="CG742" s="114"/>
      <c r="CH742" s="114"/>
      <c r="CI742" s="114"/>
      <c r="CJ742" s="114"/>
      <c r="CK742" s="114"/>
      <c r="CL742" s="114"/>
      <c r="CM742" s="114"/>
      <c r="CN742" s="128"/>
      <c r="CO742" s="128"/>
      <c r="CP742" s="128"/>
      <c r="CQ742" s="128"/>
      <c r="CR742" s="128"/>
      <c r="CS742" s="128"/>
      <c r="CT742" s="128"/>
      <c r="CU742" s="128"/>
      <c r="CV742" s="128"/>
      <c r="CW742" s="128"/>
      <c r="CX742" s="128"/>
      <c r="CY742" s="128"/>
    </row>
    <row r="743" spans="1:103" ht="11.25" customHeight="1" x14ac:dyDescent="0.3">
      <c r="A743" s="113"/>
      <c r="B743" s="113"/>
      <c r="C743" s="113"/>
      <c r="D743" s="114"/>
      <c r="E743" s="114"/>
      <c r="F743" s="115"/>
      <c r="G743" s="116"/>
      <c r="H743" s="117"/>
      <c r="I743" s="117"/>
      <c r="J743" s="114"/>
      <c r="K743" s="118"/>
      <c r="L743" s="119"/>
      <c r="M743" s="120"/>
      <c r="N743" s="117"/>
      <c r="O743" s="116"/>
      <c r="P743" s="116"/>
      <c r="Q743" s="116"/>
      <c r="R743" s="113"/>
      <c r="S743" s="121"/>
      <c r="T743" s="115"/>
      <c r="U743" s="117"/>
      <c r="V743" s="122"/>
      <c r="W743" s="122"/>
      <c r="X743" s="122"/>
      <c r="Y743" s="122"/>
      <c r="Z743" s="122"/>
      <c r="AA743" s="122"/>
      <c r="AB743" s="122"/>
      <c r="AC743" s="122"/>
      <c r="AD743" s="122"/>
      <c r="AE743" s="122"/>
      <c r="AF743" s="122"/>
      <c r="AG743" s="122"/>
      <c r="AH743" s="122"/>
      <c r="AI743" s="123"/>
      <c r="AJ743" s="122"/>
      <c r="AK743" s="122"/>
      <c r="AL743" s="122"/>
      <c r="AM743" s="122"/>
      <c r="AN743" s="122"/>
      <c r="AO743" s="122"/>
      <c r="AP743" s="124"/>
      <c r="AQ743" s="122"/>
      <c r="AR743" s="122"/>
      <c r="AS743" s="122"/>
      <c r="AT743" s="122"/>
      <c r="AU743" s="122"/>
      <c r="AV743" s="124"/>
      <c r="AW743" s="125"/>
      <c r="AX743" s="126"/>
      <c r="AY743" s="127"/>
      <c r="AZ743" s="127"/>
      <c r="BA743" s="122"/>
      <c r="BB743" s="122"/>
      <c r="BC743" s="125"/>
      <c r="BD743" s="125"/>
      <c r="BE743" s="125"/>
      <c r="BF743" s="123"/>
      <c r="BG743" s="125"/>
      <c r="BH743" s="125"/>
      <c r="BI743" s="125"/>
      <c r="BJ743" s="125"/>
      <c r="BK743" s="125"/>
      <c r="BL743" s="125"/>
      <c r="BM743" s="123"/>
      <c r="BN743" s="114"/>
      <c r="BO743" s="114"/>
      <c r="BP743" s="114"/>
      <c r="BQ743" s="114"/>
      <c r="BR743" s="114"/>
      <c r="BS743" s="114"/>
      <c r="BT743" s="114"/>
      <c r="BU743" s="114"/>
      <c r="BV743" s="114"/>
      <c r="BW743" s="114"/>
      <c r="BX743" s="114"/>
      <c r="BY743" s="114"/>
      <c r="BZ743" s="114"/>
      <c r="CA743" s="114"/>
      <c r="CB743" s="114"/>
      <c r="CC743" s="114"/>
      <c r="CD743" s="114"/>
      <c r="CE743" s="114"/>
      <c r="CF743" s="114"/>
      <c r="CG743" s="114"/>
      <c r="CH743" s="114"/>
      <c r="CI743" s="114"/>
      <c r="CJ743" s="114"/>
      <c r="CK743" s="114"/>
      <c r="CL743" s="114"/>
      <c r="CM743" s="114"/>
      <c r="CN743" s="128"/>
      <c r="CO743" s="128"/>
      <c r="CP743" s="128"/>
      <c r="CQ743" s="128"/>
      <c r="CR743" s="128"/>
      <c r="CS743" s="128"/>
      <c r="CT743" s="128"/>
      <c r="CU743" s="128"/>
      <c r="CV743" s="128"/>
      <c r="CW743" s="128"/>
      <c r="CX743" s="128"/>
      <c r="CY743" s="128"/>
    </row>
    <row r="744" spans="1:103" ht="11.25" customHeight="1" x14ac:dyDescent="0.3">
      <c r="A744" s="113"/>
      <c r="B744" s="113"/>
      <c r="C744" s="113"/>
      <c r="D744" s="114"/>
      <c r="E744" s="114"/>
      <c r="F744" s="115"/>
      <c r="G744" s="116"/>
      <c r="H744" s="117"/>
      <c r="I744" s="117"/>
      <c r="J744" s="114"/>
      <c r="K744" s="118"/>
      <c r="L744" s="119"/>
      <c r="M744" s="120"/>
      <c r="N744" s="117"/>
      <c r="O744" s="116"/>
      <c r="P744" s="116"/>
      <c r="Q744" s="116"/>
      <c r="R744" s="113"/>
      <c r="S744" s="121"/>
      <c r="T744" s="115"/>
      <c r="U744" s="117"/>
      <c r="V744" s="122"/>
      <c r="W744" s="122"/>
      <c r="X744" s="122"/>
      <c r="Y744" s="122"/>
      <c r="Z744" s="122"/>
      <c r="AA744" s="122"/>
      <c r="AB744" s="122"/>
      <c r="AC744" s="122"/>
      <c r="AD744" s="122"/>
      <c r="AE744" s="122"/>
      <c r="AF744" s="122"/>
      <c r="AG744" s="122"/>
      <c r="AH744" s="122"/>
      <c r="AI744" s="123"/>
      <c r="AJ744" s="122"/>
      <c r="AK744" s="122"/>
      <c r="AL744" s="122"/>
      <c r="AM744" s="122"/>
      <c r="AN744" s="122"/>
      <c r="AO744" s="122"/>
      <c r="AP744" s="124"/>
      <c r="AQ744" s="122"/>
      <c r="AR744" s="122"/>
      <c r="AS744" s="122"/>
      <c r="AT744" s="122"/>
      <c r="AU744" s="122"/>
      <c r="AV744" s="124"/>
      <c r="AW744" s="125"/>
      <c r="AX744" s="126"/>
      <c r="AY744" s="127"/>
      <c r="AZ744" s="127"/>
      <c r="BA744" s="122"/>
      <c r="BB744" s="122"/>
      <c r="BC744" s="125"/>
      <c r="BD744" s="125"/>
      <c r="BE744" s="125"/>
      <c r="BF744" s="123"/>
      <c r="BG744" s="125"/>
      <c r="BH744" s="125"/>
      <c r="BI744" s="125"/>
      <c r="BJ744" s="125"/>
      <c r="BK744" s="125"/>
      <c r="BL744" s="125"/>
      <c r="BM744" s="123"/>
      <c r="BN744" s="114"/>
      <c r="BO744" s="114"/>
      <c r="BP744" s="114"/>
      <c r="BQ744" s="114"/>
      <c r="BR744" s="114"/>
      <c r="BS744" s="114"/>
      <c r="BT744" s="114"/>
      <c r="BU744" s="114"/>
      <c r="BV744" s="114"/>
      <c r="BW744" s="114"/>
      <c r="BX744" s="114"/>
      <c r="BY744" s="114"/>
      <c r="BZ744" s="114"/>
      <c r="CA744" s="114"/>
      <c r="CB744" s="114"/>
      <c r="CC744" s="114"/>
      <c r="CD744" s="114"/>
      <c r="CE744" s="114"/>
      <c r="CF744" s="114"/>
      <c r="CG744" s="114"/>
      <c r="CH744" s="114"/>
      <c r="CI744" s="114"/>
      <c r="CJ744" s="114"/>
      <c r="CK744" s="114"/>
      <c r="CL744" s="114"/>
      <c r="CM744" s="114"/>
      <c r="CN744" s="128"/>
      <c r="CO744" s="128"/>
      <c r="CP744" s="128"/>
      <c r="CQ744" s="128"/>
      <c r="CR744" s="128"/>
      <c r="CS744" s="128"/>
      <c r="CT744" s="128"/>
      <c r="CU744" s="128"/>
      <c r="CV744" s="128"/>
      <c r="CW744" s="128"/>
      <c r="CX744" s="128"/>
      <c r="CY744" s="128"/>
    </row>
    <row r="745" spans="1:103" ht="11.25" customHeight="1" x14ac:dyDescent="0.3">
      <c r="A745" s="113"/>
      <c r="B745" s="113"/>
      <c r="C745" s="113"/>
      <c r="D745" s="114"/>
      <c r="E745" s="114"/>
      <c r="F745" s="115"/>
      <c r="G745" s="116"/>
      <c r="H745" s="117"/>
      <c r="I745" s="117"/>
      <c r="J745" s="114"/>
      <c r="K745" s="118"/>
      <c r="L745" s="119"/>
      <c r="M745" s="120"/>
      <c r="N745" s="117"/>
      <c r="O745" s="116"/>
      <c r="P745" s="116"/>
      <c r="Q745" s="116"/>
      <c r="R745" s="113"/>
      <c r="S745" s="121"/>
      <c r="T745" s="115"/>
      <c r="U745" s="117"/>
      <c r="V745" s="122"/>
      <c r="W745" s="122"/>
      <c r="X745" s="122"/>
      <c r="Y745" s="122"/>
      <c r="Z745" s="122"/>
      <c r="AA745" s="122"/>
      <c r="AB745" s="122"/>
      <c r="AC745" s="122"/>
      <c r="AD745" s="122"/>
      <c r="AE745" s="122"/>
      <c r="AF745" s="122"/>
      <c r="AG745" s="122"/>
      <c r="AH745" s="122"/>
      <c r="AI745" s="123"/>
      <c r="AJ745" s="122"/>
      <c r="AK745" s="122"/>
      <c r="AL745" s="122"/>
      <c r="AM745" s="122"/>
      <c r="AN745" s="122"/>
      <c r="AO745" s="122"/>
      <c r="AP745" s="124"/>
      <c r="AQ745" s="122"/>
      <c r="AR745" s="122"/>
      <c r="AS745" s="122"/>
      <c r="AT745" s="122"/>
      <c r="AU745" s="122"/>
      <c r="AV745" s="124"/>
      <c r="AW745" s="125"/>
      <c r="AX745" s="126"/>
      <c r="AY745" s="127"/>
      <c r="AZ745" s="127"/>
      <c r="BA745" s="122"/>
      <c r="BB745" s="122"/>
      <c r="BC745" s="125"/>
      <c r="BD745" s="125"/>
      <c r="BE745" s="125"/>
      <c r="BF745" s="123"/>
      <c r="BG745" s="125"/>
      <c r="BH745" s="125"/>
      <c r="BI745" s="125"/>
      <c r="BJ745" s="125"/>
      <c r="BK745" s="125"/>
      <c r="BL745" s="125"/>
      <c r="BM745" s="123"/>
      <c r="BN745" s="114"/>
      <c r="BO745" s="114"/>
      <c r="BP745" s="114"/>
      <c r="BQ745" s="114"/>
      <c r="BR745" s="114"/>
      <c r="BS745" s="114"/>
      <c r="BT745" s="114"/>
      <c r="BU745" s="114"/>
      <c r="BV745" s="114"/>
      <c r="BW745" s="114"/>
      <c r="BX745" s="114"/>
      <c r="BY745" s="114"/>
      <c r="BZ745" s="114"/>
      <c r="CA745" s="114"/>
      <c r="CB745" s="114"/>
      <c r="CC745" s="114"/>
      <c r="CD745" s="114"/>
      <c r="CE745" s="114"/>
      <c r="CF745" s="114"/>
      <c r="CG745" s="114"/>
      <c r="CH745" s="114"/>
      <c r="CI745" s="114"/>
      <c r="CJ745" s="114"/>
      <c r="CK745" s="114"/>
      <c r="CL745" s="114"/>
      <c r="CM745" s="114"/>
      <c r="CN745" s="128"/>
      <c r="CO745" s="128"/>
      <c r="CP745" s="128"/>
      <c r="CQ745" s="128"/>
      <c r="CR745" s="128"/>
      <c r="CS745" s="128"/>
      <c r="CT745" s="128"/>
      <c r="CU745" s="128"/>
      <c r="CV745" s="128"/>
      <c r="CW745" s="128"/>
      <c r="CX745" s="128"/>
      <c r="CY745" s="128"/>
    </row>
    <row r="746" spans="1:103" ht="11.25" customHeight="1" x14ac:dyDescent="0.3">
      <c r="A746" s="113"/>
      <c r="B746" s="113"/>
      <c r="C746" s="113"/>
      <c r="D746" s="114"/>
      <c r="E746" s="114"/>
      <c r="F746" s="115"/>
      <c r="G746" s="116"/>
      <c r="H746" s="117"/>
      <c r="I746" s="117"/>
      <c r="J746" s="114"/>
      <c r="K746" s="118"/>
      <c r="L746" s="119"/>
      <c r="M746" s="120"/>
      <c r="N746" s="117"/>
      <c r="O746" s="116"/>
      <c r="P746" s="116"/>
      <c r="Q746" s="116"/>
      <c r="R746" s="113"/>
      <c r="S746" s="121"/>
      <c r="T746" s="115"/>
      <c r="U746" s="117"/>
      <c r="V746" s="122"/>
      <c r="W746" s="122"/>
      <c r="X746" s="122"/>
      <c r="Y746" s="122"/>
      <c r="Z746" s="122"/>
      <c r="AA746" s="122"/>
      <c r="AB746" s="122"/>
      <c r="AC746" s="122"/>
      <c r="AD746" s="122"/>
      <c r="AE746" s="122"/>
      <c r="AF746" s="122"/>
      <c r="AG746" s="122"/>
      <c r="AH746" s="122"/>
      <c r="AI746" s="123"/>
      <c r="AJ746" s="122"/>
      <c r="AK746" s="122"/>
      <c r="AL746" s="122"/>
      <c r="AM746" s="122"/>
      <c r="AN746" s="122"/>
      <c r="AO746" s="122"/>
      <c r="AP746" s="124"/>
      <c r="AQ746" s="122"/>
      <c r="AR746" s="122"/>
      <c r="AS746" s="122"/>
      <c r="AT746" s="122"/>
      <c r="AU746" s="122"/>
      <c r="AV746" s="124"/>
      <c r="AW746" s="125"/>
      <c r="AX746" s="126"/>
      <c r="AY746" s="127"/>
      <c r="AZ746" s="127"/>
      <c r="BA746" s="122"/>
      <c r="BB746" s="122"/>
      <c r="BC746" s="125"/>
      <c r="BD746" s="125"/>
      <c r="BE746" s="125"/>
      <c r="BF746" s="123"/>
      <c r="BG746" s="125"/>
      <c r="BH746" s="125"/>
      <c r="BI746" s="125"/>
      <c r="BJ746" s="125"/>
      <c r="BK746" s="125"/>
      <c r="BL746" s="125"/>
      <c r="BM746" s="123"/>
      <c r="BN746" s="114"/>
      <c r="BO746" s="114"/>
      <c r="BP746" s="114"/>
      <c r="BQ746" s="114"/>
      <c r="BR746" s="114"/>
      <c r="BS746" s="114"/>
      <c r="BT746" s="114"/>
      <c r="BU746" s="114"/>
      <c r="BV746" s="114"/>
      <c r="BW746" s="114"/>
      <c r="BX746" s="114"/>
      <c r="BY746" s="114"/>
      <c r="BZ746" s="114"/>
      <c r="CA746" s="114"/>
      <c r="CB746" s="114"/>
      <c r="CC746" s="114"/>
      <c r="CD746" s="114"/>
      <c r="CE746" s="114"/>
      <c r="CF746" s="114"/>
      <c r="CG746" s="114"/>
      <c r="CH746" s="114"/>
      <c r="CI746" s="114"/>
      <c r="CJ746" s="114"/>
      <c r="CK746" s="114"/>
      <c r="CL746" s="114"/>
      <c r="CM746" s="114"/>
      <c r="CN746" s="128"/>
      <c r="CO746" s="128"/>
      <c r="CP746" s="128"/>
      <c r="CQ746" s="128"/>
      <c r="CR746" s="128"/>
      <c r="CS746" s="128"/>
      <c r="CT746" s="128"/>
      <c r="CU746" s="128"/>
      <c r="CV746" s="128"/>
      <c r="CW746" s="128"/>
      <c r="CX746" s="128"/>
      <c r="CY746" s="128"/>
    </row>
    <row r="747" spans="1:103" ht="11.25" customHeight="1" x14ac:dyDescent="0.3">
      <c r="A747" s="113"/>
      <c r="B747" s="113"/>
      <c r="C747" s="113"/>
      <c r="D747" s="114"/>
      <c r="E747" s="114"/>
      <c r="F747" s="115"/>
      <c r="G747" s="116"/>
      <c r="H747" s="117"/>
      <c r="I747" s="117"/>
      <c r="J747" s="114"/>
      <c r="K747" s="118"/>
      <c r="L747" s="119"/>
      <c r="M747" s="120"/>
      <c r="N747" s="117"/>
      <c r="O747" s="116"/>
      <c r="P747" s="116"/>
      <c r="Q747" s="116"/>
      <c r="R747" s="113"/>
      <c r="S747" s="121"/>
      <c r="T747" s="115"/>
      <c r="U747" s="117"/>
      <c r="V747" s="122"/>
      <c r="W747" s="122"/>
      <c r="X747" s="122"/>
      <c r="Y747" s="122"/>
      <c r="Z747" s="122"/>
      <c r="AA747" s="122"/>
      <c r="AB747" s="122"/>
      <c r="AC747" s="122"/>
      <c r="AD747" s="122"/>
      <c r="AE747" s="122"/>
      <c r="AF747" s="122"/>
      <c r="AG747" s="122"/>
      <c r="AH747" s="122"/>
      <c r="AI747" s="123"/>
      <c r="AJ747" s="122"/>
      <c r="AK747" s="122"/>
      <c r="AL747" s="122"/>
      <c r="AM747" s="122"/>
      <c r="AN747" s="122"/>
      <c r="AO747" s="122"/>
      <c r="AP747" s="124"/>
      <c r="AQ747" s="122"/>
      <c r="AR747" s="122"/>
      <c r="AS747" s="122"/>
      <c r="AT747" s="122"/>
      <c r="AU747" s="122"/>
      <c r="AV747" s="124"/>
      <c r="AW747" s="125"/>
      <c r="AX747" s="126"/>
      <c r="AY747" s="127"/>
      <c r="AZ747" s="127"/>
      <c r="BA747" s="122"/>
      <c r="BB747" s="122"/>
      <c r="BC747" s="125"/>
      <c r="BD747" s="125"/>
      <c r="BE747" s="125"/>
      <c r="BF747" s="123"/>
      <c r="BG747" s="125"/>
      <c r="BH747" s="125"/>
      <c r="BI747" s="125"/>
      <c r="BJ747" s="125"/>
      <c r="BK747" s="125"/>
      <c r="BL747" s="125"/>
      <c r="BM747" s="123"/>
      <c r="BN747" s="114"/>
      <c r="BO747" s="114"/>
      <c r="BP747" s="114"/>
      <c r="BQ747" s="114"/>
      <c r="BR747" s="114"/>
      <c r="BS747" s="114"/>
      <c r="BT747" s="114"/>
      <c r="BU747" s="114"/>
      <c r="BV747" s="114"/>
      <c r="BW747" s="114"/>
      <c r="BX747" s="114"/>
      <c r="BY747" s="114"/>
      <c r="BZ747" s="114"/>
      <c r="CA747" s="114"/>
      <c r="CB747" s="114"/>
      <c r="CC747" s="114"/>
      <c r="CD747" s="114"/>
      <c r="CE747" s="114"/>
      <c r="CF747" s="114"/>
      <c r="CG747" s="114"/>
      <c r="CH747" s="114"/>
      <c r="CI747" s="114"/>
      <c r="CJ747" s="114"/>
      <c r="CK747" s="114"/>
      <c r="CL747" s="114"/>
      <c r="CM747" s="114"/>
      <c r="CN747" s="128"/>
      <c r="CO747" s="128"/>
      <c r="CP747" s="128"/>
      <c r="CQ747" s="128"/>
      <c r="CR747" s="128"/>
      <c r="CS747" s="128"/>
      <c r="CT747" s="128"/>
      <c r="CU747" s="128"/>
      <c r="CV747" s="128"/>
      <c r="CW747" s="128"/>
      <c r="CX747" s="128"/>
      <c r="CY747" s="128"/>
    </row>
    <row r="748" spans="1:103" ht="11.25" customHeight="1" x14ac:dyDescent="0.3">
      <c r="A748" s="113"/>
      <c r="B748" s="113"/>
      <c r="C748" s="113"/>
      <c r="D748" s="114"/>
      <c r="E748" s="114"/>
      <c r="F748" s="115"/>
      <c r="G748" s="116"/>
      <c r="H748" s="117"/>
      <c r="I748" s="117"/>
      <c r="J748" s="114"/>
      <c r="K748" s="118"/>
      <c r="L748" s="119"/>
      <c r="M748" s="120"/>
      <c r="N748" s="117"/>
      <c r="O748" s="116"/>
      <c r="P748" s="116"/>
      <c r="Q748" s="116"/>
      <c r="R748" s="113"/>
      <c r="S748" s="121"/>
      <c r="T748" s="115"/>
      <c r="U748" s="117"/>
      <c r="V748" s="122"/>
      <c r="W748" s="122"/>
      <c r="X748" s="122"/>
      <c r="Y748" s="122"/>
      <c r="Z748" s="122"/>
      <c r="AA748" s="122"/>
      <c r="AB748" s="122"/>
      <c r="AC748" s="122"/>
      <c r="AD748" s="122"/>
      <c r="AE748" s="122"/>
      <c r="AF748" s="122"/>
      <c r="AG748" s="122"/>
      <c r="AH748" s="122"/>
      <c r="AI748" s="123"/>
      <c r="AJ748" s="122"/>
      <c r="AK748" s="122"/>
      <c r="AL748" s="122"/>
      <c r="AM748" s="122"/>
      <c r="AN748" s="122"/>
      <c r="AO748" s="122"/>
      <c r="AP748" s="124"/>
      <c r="AQ748" s="122"/>
      <c r="AR748" s="122"/>
      <c r="AS748" s="122"/>
      <c r="AT748" s="122"/>
      <c r="AU748" s="122"/>
      <c r="AV748" s="124"/>
      <c r="AW748" s="125"/>
      <c r="AX748" s="126"/>
      <c r="AY748" s="127"/>
      <c r="AZ748" s="127"/>
      <c r="BA748" s="122"/>
      <c r="BB748" s="122"/>
      <c r="BC748" s="125"/>
      <c r="BD748" s="125"/>
      <c r="BE748" s="125"/>
      <c r="BF748" s="123"/>
      <c r="BG748" s="125"/>
      <c r="BH748" s="125"/>
      <c r="BI748" s="125"/>
      <c r="BJ748" s="125"/>
      <c r="BK748" s="125"/>
      <c r="BL748" s="125"/>
      <c r="BM748" s="123"/>
      <c r="BN748" s="114"/>
      <c r="BO748" s="114"/>
      <c r="BP748" s="114"/>
      <c r="BQ748" s="114"/>
      <c r="BR748" s="114"/>
      <c r="BS748" s="114"/>
      <c r="BT748" s="114"/>
      <c r="BU748" s="114"/>
      <c r="BV748" s="114"/>
      <c r="BW748" s="114"/>
      <c r="BX748" s="114"/>
      <c r="BY748" s="114"/>
      <c r="BZ748" s="114"/>
      <c r="CA748" s="114"/>
      <c r="CB748" s="114"/>
      <c r="CC748" s="114"/>
      <c r="CD748" s="114"/>
      <c r="CE748" s="114"/>
      <c r="CF748" s="114"/>
      <c r="CG748" s="114"/>
      <c r="CH748" s="114"/>
      <c r="CI748" s="114"/>
      <c r="CJ748" s="114"/>
      <c r="CK748" s="114"/>
      <c r="CL748" s="114"/>
      <c r="CM748" s="114"/>
      <c r="CN748" s="128"/>
      <c r="CO748" s="128"/>
      <c r="CP748" s="128"/>
      <c r="CQ748" s="128"/>
      <c r="CR748" s="128"/>
      <c r="CS748" s="128"/>
      <c r="CT748" s="128"/>
      <c r="CU748" s="128"/>
      <c r="CV748" s="128"/>
      <c r="CW748" s="128"/>
      <c r="CX748" s="128"/>
      <c r="CY748" s="128"/>
    </row>
    <row r="749" spans="1:103" ht="11.25" customHeight="1" x14ac:dyDescent="0.3">
      <c r="A749" s="113"/>
      <c r="B749" s="113"/>
      <c r="C749" s="113"/>
      <c r="D749" s="114"/>
      <c r="E749" s="114"/>
      <c r="F749" s="115"/>
      <c r="G749" s="116"/>
      <c r="H749" s="117"/>
      <c r="I749" s="117"/>
      <c r="J749" s="114"/>
      <c r="K749" s="118"/>
      <c r="L749" s="119"/>
      <c r="M749" s="120"/>
      <c r="N749" s="117"/>
      <c r="O749" s="116"/>
      <c r="P749" s="116"/>
      <c r="Q749" s="116"/>
      <c r="R749" s="113"/>
      <c r="S749" s="121"/>
      <c r="T749" s="115"/>
      <c r="U749" s="117"/>
      <c r="V749" s="122"/>
      <c r="W749" s="122"/>
      <c r="X749" s="122"/>
      <c r="Y749" s="122"/>
      <c r="Z749" s="122"/>
      <c r="AA749" s="122"/>
      <c r="AB749" s="122"/>
      <c r="AC749" s="122"/>
      <c r="AD749" s="122"/>
      <c r="AE749" s="122"/>
      <c r="AF749" s="122"/>
      <c r="AG749" s="122"/>
      <c r="AH749" s="122"/>
      <c r="AI749" s="123"/>
      <c r="AJ749" s="122"/>
      <c r="AK749" s="122"/>
      <c r="AL749" s="122"/>
      <c r="AM749" s="122"/>
      <c r="AN749" s="122"/>
      <c r="AO749" s="122"/>
      <c r="AP749" s="124"/>
      <c r="AQ749" s="122"/>
      <c r="AR749" s="122"/>
      <c r="AS749" s="122"/>
      <c r="AT749" s="122"/>
      <c r="AU749" s="122"/>
      <c r="AV749" s="124"/>
      <c r="AW749" s="125"/>
      <c r="AX749" s="126"/>
      <c r="AY749" s="127"/>
      <c r="AZ749" s="127"/>
      <c r="BA749" s="122"/>
      <c r="BB749" s="122"/>
      <c r="BC749" s="125"/>
      <c r="BD749" s="125"/>
      <c r="BE749" s="125"/>
      <c r="BF749" s="123"/>
      <c r="BG749" s="125"/>
      <c r="BH749" s="125"/>
      <c r="BI749" s="125"/>
      <c r="BJ749" s="125"/>
      <c r="BK749" s="125"/>
      <c r="BL749" s="125"/>
      <c r="BM749" s="123"/>
      <c r="BN749" s="114"/>
      <c r="BO749" s="114"/>
      <c r="BP749" s="114"/>
      <c r="BQ749" s="114"/>
      <c r="BR749" s="114"/>
      <c r="BS749" s="114"/>
      <c r="BT749" s="114"/>
      <c r="BU749" s="114"/>
      <c r="BV749" s="114"/>
      <c r="BW749" s="114"/>
      <c r="BX749" s="114"/>
      <c r="BY749" s="114"/>
      <c r="BZ749" s="114"/>
      <c r="CA749" s="114"/>
      <c r="CB749" s="114"/>
      <c r="CC749" s="114"/>
      <c r="CD749" s="114"/>
      <c r="CE749" s="114"/>
      <c r="CF749" s="114"/>
      <c r="CG749" s="114"/>
      <c r="CH749" s="114"/>
      <c r="CI749" s="114"/>
      <c r="CJ749" s="114"/>
      <c r="CK749" s="114"/>
      <c r="CL749" s="114"/>
      <c r="CM749" s="114"/>
      <c r="CN749" s="128"/>
      <c r="CO749" s="128"/>
      <c r="CP749" s="128"/>
      <c r="CQ749" s="128"/>
      <c r="CR749" s="128"/>
      <c r="CS749" s="128"/>
      <c r="CT749" s="128"/>
      <c r="CU749" s="128"/>
      <c r="CV749" s="128"/>
      <c r="CW749" s="128"/>
      <c r="CX749" s="128"/>
      <c r="CY749" s="128"/>
    </row>
    <row r="750" spans="1:103" ht="11.25" customHeight="1" x14ac:dyDescent="0.3">
      <c r="A750" s="113"/>
      <c r="B750" s="113"/>
      <c r="C750" s="113"/>
      <c r="D750" s="114"/>
      <c r="E750" s="114"/>
      <c r="F750" s="115"/>
      <c r="G750" s="116"/>
      <c r="H750" s="117"/>
      <c r="I750" s="117"/>
      <c r="J750" s="114"/>
      <c r="K750" s="118"/>
      <c r="L750" s="119"/>
      <c r="M750" s="120"/>
      <c r="N750" s="117"/>
      <c r="O750" s="116"/>
      <c r="P750" s="116"/>
      <c r="Q750" s="116"/>
      <c r="R750" s="113"/>
      <c r="S750" s="121"/>
      <c r="T750" s="115"/>
      <c r="U750" s="117"/>
      <c r="V750" s="122"/>
      <c r="W750" s="122"/>
      <c r="X750" s="122"/>
      <c r="Y750" s="122"/>
      <c r="Z750" s="122"/>
      <c r="AA750" s="122"/>
      <c r="AB750" s="122"/>
      <c r="AC750" s="122"/>
      <c r="AD750" s="122"/>
      <c r="AE750" s="122"/>
      <c r="AF750" s="122"/>
      <c r="AG750" s="122"/>
      <c r="AH750" s="122"/>
      <c r="AI750" s="123"/>
      <c r="AJ750" s="122"/>
      <c r="AK750" s="122"/>
      <c r="AL750" s="122"/>
      <c r="AM750" s="122"/>
      <c r="AN750" s="122"/>
      <c r="AO750" s="122"/>
      <c r="AP750" s="124"/>
      <c r="AQ750" s="122"/>
      <c r="AR750" s="122"/>
      <c r="AS750" s="122"/>
      <c r="AT750" s="122"/>
      <c r="AU750" s="122"/>
      <c r="AV750" s="124"/>
      <c r="AW750" s="125"/>
      <c r="AX750" s="126"/>
      <c r="AY750" s="127"/>
      <c r="AZ750" s="127"/>
      <c r="BA750" s="122"/>
      <c r="BB750" s="122"/>
      <c r="BC750" s="125"/>
      <c r="BD750" s="125"/>
      <c r="BE750" s="125"/>
      <c r="BF750" s="123"/>
      <c r="BG750" s="125"/>
      <c r="BH750" s="125"/>
      <c r="BI750" s="125"/>
      <c r="BJ750" s="125"/>
      <c r="BK750" s="125"/>
      <c r="BL750" s="125"/>
      <c r="BM750" s="123"/>
      <c r="BN750" s="114"/>
      <c r="BO750" s="114"/>
      <c r="BP750" s="114"/>
      <c r="BQ750" s="114"/>
      <c r="BR750" s="114"/>
      <c r="BS750" s="114"/>
      <c r="BT750" s="114"/>
      <c r="BU750" s="114"/>
      <c r="BV750" s="114"/>
      <c r="BW750" s="114"/>
      <c r="BX750" s="114"/>
      <c r="BY750" s="114"/>
      <c r="BZ750" s="114"/>
      <c r="CA750" s="114"/>
      <c r="CB750" s="114"/>
      <c r="CC750" s="114"/>
      <c r="CD750" s="114"/>
      <c r="CE750" s="114"/>
      <c r="CF750" s="114"/>
      <c r="CG750" s="114"/>
      <c r="CH750" s="114"/>
      <c r="CI750" s="114"/>
      <c r="CJ750" s="114"/>
      <c r="CK750" s="114"/>
      <c r="CL750" s="114"/>
      <c r="CM750" s="114"/>
      <c r="CN750" s="128"/>
      <c r="CO750" s="128"/>
      <c r="CP750" s="128"/>
      <c r="CQ750" s="128"/>
      <c r="CR750" s="128"/>
      <c r="CS750" s="128"/>
      <c r="CT750" s="128"/>
      <c r="CU750" s="128"/>
      <c r="CV750" s="128"/>
      <c r="CW750" s="128"/>
      <c r="CX750" s="128"/>
      <c r="CY750" s="128"/>
    </row>
    <row r="751" spans="1:103" ht="11.25" customHeight="1" x14ac:dyDescent="0.3">
      <c r="A751" s="113"/>
      <c r="B751" s="113"/>
      <c r="C751" s="113"/>
      <c r="D751" s="114"/>
      <c r="E751" s="114"/>
      <c r="F751" s="115"/>
      <c r="G751" s="116"/>
      <c r="H751" s="117"/>
      <c r="I751" s="117"/>
      <c r="J751" s="114"/>
      <c r="K751" s="118"/>
      <c r="L751" s="119"/>
      <c r="M751" s="120"/>
      <c r="N751" s="117"/>
      <c r="O751" s="116"/>
      <c r="P751" s="116"/>
      <c r="Q751" s="116"/>
      <c r="R751" s="113"/>
      <c r="S751" s="121"/>
      <c r="T751" s="115"/>
      <c r="U751" s="117"/>
      <c r="V751" s="122"/>
      <c r="W751" s="122"/>
      <c r="X751" s="122"/>
      <c r="Y751" s="122"/>
      <c r="Z751" s="122"/>
      <c r="AA751" s="122"/>
      <c r="AB751" s="122"/>
      <c r="AC751" s="122"/>
      <c r="AD751" s="122"/>
      <c r="AE751" s="122"/>
      <c r="AF751" s="122"/>
      <c r="AG751" s="122"/>
      <c r="AH751" s="122"/>
      <c r="AI751" s="123"/>
      <c r="AJ751" s="122"/>
      <c r="AK751" s="122"/>
      <c r="AL751" s="122"/>
      <c r="AM751" s="122"/>
      <c r="AN751" s="122"/>
      <c r="AO751" s="122"/>
      <c r="AP751" s="124"/>
      <c r="AQ751" s="122"/>
      <c r="AR751" s="122"/>
      <c r="AS751" s="122"/>
      <c r="AT751" s="122"/>
      <c r="AU751" s="122"/>
      <c r="AV751" s="124"/>
      <c r="AW751" s="125"/>
      <c r="AX751" s="126"/>
      <c r="AY751" s="127"/>
      <c r="AZ751" s="127"/>
      <c r="BA751" s="122"/>
      <c r="BB751" s="122"/>
      <c r="BC751" s="125"/>
      <c r="BD751" s="125"/>
      <c r="BE751" s="125"/>
      <c r="BF751" s="123"/>
      <c r="BG751" s="125"/>
      <c r="BH751" s="125"/>
      <c r="BI751" s="125"/>
      <c r="BJ751" s="125"/>
      <c r="BK751" s="125"/>
      <c r="BL751" s="125"/>
      <c r="BM751" s="123"/>
      <c r="BN751" s="114"/>
      <c r="BO751" s="114"/>
      <c r="BP751" s="114"/>
      <c r="BQ751" s="114"/>
      <c r="BR751" s="114"/>
      <c r="BS751" s="114"/>
      <c r="BT751" s="114"/>
      <c r="BU751" s="114"/>
      <c r="BV751" s="114"/>
      <c r="BW751" s="114"/>
      <c r="BX751" s="114"/>
      <c r="BY751" s="114"/>
      <c r="BZ751" s="114"/>
      <c r="CA751" s="114"/>
      <c r="CB751" s="114"/>
      <c r="CC751" s="114"/>
      <c r="CD751" s="114"/>
      <c r="CE751" s="114"/>
      <c r="CF751" s="114"/>
      <c r="CG751" s="114"/>
      <c r="CH751" s="114"/>
      <c r="CI751" s="114"/>
      <c r="CJ751" s="114"/>
      <c r="CK751" s="114"/>
      <c r="CL751" s="114"/>
      <c r="CM751" s="114"/>
      <c r="CN751" s="128"/>
      <c r="CO751" s="128"/>
      <c r="CP751" s="128"/>
      <c r="CQ751" s="128"/>
      <c r="CR751" s="128"/>
      <c r="CS751" s="128"/>
      <c r="CT751" s="128"/>
      <c r="CU751" s="128"/>
      <c r="CV751" s="128"/>
      <c r="CW751" s="128"/>
      <c r="CX751" s="128"/>
      <c r="CY751" s="128"/>
    </row>
    <row r="752" spans="1:103" ht="11.25" customHeight="1" x14ac:dyDescent="0.3">
      <c r="A752" s="113"/>
      <c r="B752" s="113"/>
      <c r="C752" s="113"/>
      <c r="D752" s="114"/>
      <c r="E752" s="114"/>
      <c r="F752" s="115"/>
      <c r="G752" s="116"/>
      <c r="H752" s="117"/>
      <c r="I752" s="117"/>
      <c r="J752" s="114"/>
      <c r="K752" s="118"/>
      <c r="L752" s="119"/>
      <c r="M752" s="120"/>
      <c r="N752" s="117"/>
      <c r="O752" s="116"/>
      <c r="P752" s="116"/>
      <c r="Q752" s="116"/>
      <c r="R752" s="113"/>
      <c r="S752" s="121"/>
      <c r="T752" s="115"/>
      <c r="U752" s="117"/>
      <c r="V752" s="122"/>
      <c r="W752" s="122"/>
      <c r="X752" s="122"/>
      <c r="Y752" s="122"/>
      <c r="Z752" s="122"/>
      <c r="AA752" s="122"/>
      <c r="AB752" s="122"/>
      <c r="AC752" s="122"/>
      <c r="AD752" s="122"/>
      <c r="AE752" s="122"/>
      <c r="AF752" s="122"/>
      <c r="AG752" s="122"/>
      <c r="AH752" s="122"/>
      <c r="AI752" s="123"/>
      <c r="AJ752" s="122"/>
      <c r="AK752" s="122"/>
      <c r="AL752" s="122"/>
      <c r="AM752" s="122"/>
      <c r="AN752" s="122"/>
      <c r="AO752" s="122"/>
      <c r="AP752" s="124"/>
      <c r="AQ752" s="122"/>
      <c r="AR752" s="122"/>
      <c r="AS752" s="122"/>
      <c r="AT752" s="122"/>
      <c r="AU752" s="122"/>
      <c r="AV752" s="124"/>
      <c r="AW752" s="125"/>
      <c r="AX752" s="126"/>
      <c r="AY752" s="127"/>
      <c r="AZ752" s="127"/>
      <c r="BA752" s="122"/>
      <c r="BB752" s="122"/>
      <c r="BC752" s="125"/>
      <c r="BD752" s="125"/>
      <c r="BE752" s="125"/>
      <c r="BF752" s="123"/>
      <c r="BG752" s="125"/>
      <c r="BH752" s="125"/>
      <c r="BI752" s="125"/>
      <c r="BJ752" s="125"/>
      <c r="BK752" s="125"/>
      <c r="BL752" s="125"/>
      <c r="BM752" s="123"/>
      <c r="BN752" s="114"/>
      <c r="BO752" s="114"/>
      <c r="BP752" s="114"/>
      <c r="BQ752" s="114"/>
      <c r="BR752" s="114"/>
      <c r="BS752" s="114"/>
      <c r="BT752" s="114"/>
      <c r="BU752" s="114"/>
      <c r="BV752" s="114"/>
      <c r="BW752" s="114"/>
      <c r="BX752" s="114"/>
      <c r="BY752" s="114"/>
      <c r="BZ752" s="114"/>
      <c r="CA752" s="114"/>
      <c r="CB752" s="114"/>
      <c r="CC752" s="114"/>
      <c r="CD752" s="114"/>
      <c r="CE752" s="114"/>
      <c r="CF752" s="114"/>
      <c r="CG752" s="114"/>
      <c r="CH752" s="114"/>
      <c r="CI752" s="114"/>
      <c r="CJ752" s="114"/>
      <c r="CK752" s="114"/>
      <c r="CL752" s="114"/>
      <c r="CM752" s="114"/>
      <c r="CN752" s="128"/>
      <c r="CO752" s="128"/>
      <c r="CP752" s="128"/>
      <c r="CQ752" s="128"/>
      <c r="CR752" s="128"/>
      <c r="CS752" s="128"/>
      <c r="CT752" s="128"/>
      <c r="CU752" s="128"/>
      <c r="CV752" s="128"/>
      <c r="CW752" s="128"/>
      <c r="CX752" s="128"/>
      <c r="CY752" s="128"/>
    </row>
    <row r="753" spans="1:103" ht="11.25" customHeight="1" x14ac:dyDescent="0.3">
      <c r="A753" s="113"/>
      <c r="B753" s="113"/>
      <c r="C753" s="113"/>
      <c r="D753" s="114"/>
      <c r="E753" s="114"/>
      <c r="F753" s="115"/>
      <c r="G753" s="116"/>
      <c r="H753" s="117"/>
      <c r="I753" s="117"/>
      <c r="J753" s="114"/>
      <c r="K753" s="118"/>
      <c r="L753" s="119"/>
      <c r="M753" s="120"/>
      <c r="N753" s="117"/>
      <c r="O753" s="116"/>
      <c r="P753" s="116"/>
      <c r="Q753" s="116"/>
      <c r="R753" s="113"/>
      <c r="S753" s="121"/>
      <c r="T753" s="115"/>
      <c r="U753" s="117"/>
      <c r="V753" s="122"/>
      <c r="W753" s="122"/>
      <c r="X753" s="122"/>
      <c r="Y753" s="122"/>
      <c r="Z753" s="122"/>
      <c r="AA753" s="122"/>
      <c r="AB753" s="122"/>
      <c r="AC753" s="122"/>
      <c r="AD753" s="122"/>
      <c r="AE753" s="122"/>
      <c r="AF753" s="122"/>
      <c r="AG753" s="122"/>
      <c r="AH753" s="122"/>
      <c r="AI753" s="123"/>
      <c r="AJ753" s="122"/>
      <c r="AK753" s="122"/>
      <c r="AL753" s="122"/>
      <c r="AM753" s="122"/>
      <c r="AN753" s="122"/>
      <c r="AO753" s="122"/>
      <c r="AP753" s="124"/>
      <c r="AQ753" s="122"/>
      <c r="AR753" s="122"/>
      <c r="AS753" s="122"/>
      <c r="AT753" s="122"/>
      <c r="AU753" s="122"/>
      <c r="AV753" s="124"/>
      <c r="AW753" s="125"/>
      <c r="AX753" s="126"/>
      <c r="AY753" s="127"/>
      <c r="AZ753" s="127"/>
      <c r="BA753" s="122"/>
      <c r="BB753" s="122"/>
      <c r="BC753" s="125"/>
      <c r="BD753" s="125"/>
      <c r="BE753" s="125"/>
      <c r="BF753" s="123"/>
      <c r="BG753" s="125"/>
      <c r="BH753" s="125"/>
      <c r="BI753" s="125"/>
      <c r="BJ753" s="125"/>
      <c r="BK753" s="125"/>
      <c r="BL753" s="125"/>
      <c r="BM753" s="123"/>
      <c r="BN753" s="114"/>
      <c r="BO753" s="114"/>
      <c r="BP753" s="114"/>
      <c r="BQ753" s="114"/>
      <c r="BR753" s="114"/>
      <c r="BS753" s="114"/>
      <c r="BT753" s="114"/>
      <c r="BU753" s="114"/>
      <c r="BV753" s="114"/>
      <c r="BW753" s="114"/>
      <c r="BX753" s="114"/>
      <c r="BY753" s="114"/>
      <c r="BZ753" s="114"/>
      <c r="CA753" s="114"/>
      <c r="CB753" s="114"/>
      <c r="CC753" s="114"/>
      <c r="CD753" s="114"/>
      <c r="CE753" s="114"/>
      <c r="CF753" s="114"/>
      <c r="CG753" s="114"/>
      <c r="CH753" s="114"/>
      <c r="CI753" s="114"/>
      <c r="CJ753" s="114"/>
      <c r="CK753" s="114"/>
      <c r="CL753" s="114"/>
      <c r="CM753" s="114"/>
      <c r="CN753" s="128"/>
      <c r="CO753" s="128"/>
      <c r="CP753" s="128"/>
      <c r="CQ753" s="128"/>
      <c r="CR753" s="128"/>
      <c r="CS753" s="128"/>
      <c r="CT753" s="128"/>
      <c r="CU753" s="128"/>
      <c r="CV753" s="128"/>
      <c r="CW753" s="128"/>
      <c r="CX753" s="128"/>
      <c r="CY753" s="128"/>
    </row>
    <row r="754" spans="1:103" ht="11.25" customHeight="1" x14ac:dyDescent="0.3">
      <c r="A754" s="113"/>
      <c r="B754" s="113"/>
      <c r="C754" s="113"/>
      <c r="D754" s="114"/>
      <c r="E754" s="114"/>
      <c r="F754" s="115"/>
      <c r="G754" s="116"/>
      <c r="H754" s="117"/>
      <c r="I754" s="117"/>
      <c r="J754" s="114"/>
      <c r="K754" s="118"/>
      <c r="L754" s="119"/>
      <c r="M754" s="120"/>
      <c r="N754" s="117"/>
      <c r="O754" s="116"/>
      <c r="P754" s="116"/>
      <c r="Q754" s="116"/>
      <c r="R754" s="113"/>
      <c r="S754" s="121"/>
      <c r="T754" s="115"/>
      <c r="U754" s="117"/>
      <c r="V754" s="122"/>
      <c r="W754" s="122"/>
      <c r="X754" s="122"/>
      <c r="Y754" s="122"/>
      <c r="Z754" s="122"/>
      <c r="AA754" s="122"/>
      <c r="AB754" s="122"/>
      <c r="AC754" s="122"/>
      <c r="AD754" s="122"/>
      <c r="AE754" s="122"/>
      <c r="AF754" s="122"/>
      <c r="AG754" s="122"/>
      <c r="AH754" s="122"/>
      <c r="AI754" s="123"/>
      <c r="AJ754" s="122"/>
      <c r="AK754" s="122"/>
      <c r="AL754" s="122"/>
      <c r="AM754" s="122"/>
      <c r="AN754" s="122"/>
      <c r="AO754" s="122"/>
      <c r="AP754" s="124"/>
      <c r="AQ754" s="122"/>
      <c r="AR754" s="122"/>
      <c r="AS754" s="122"/>
      <c r="AT754" s="122"/>
      <c r="AU754" s="122"/>
      <c r="AV754" s="124"/>
      <c r="AW754" s="125"/>
      <c r="AX754" s="126"/>
      <c r="AY754" s="127"/>
      <c r="AZ754" s="127"/>
      <c r="BA754" s="122"/>
      <c r="BB754" s="122"/>
      <c r="BC754" s="125"/>
      <c r="BD754" s="125"/>
      <c r="BE754" s="125"/>
      <c r="BF754" s="123"/>
      <c r="BG754" s="125"/>
      <c r="BH754" s="125"/>
      <c r="BI754" s="125"/>
      <c r="BJ754" s="125"/>
      <c r="BK754" s="125"/>
      <c r="BL754" s="125"/>
      <c r="BM754" s="123"/>
      <c r="BN754" s="114"/>
      <c r="BO754" s="114"/>
      <c r="BP754" s="114"/>
      <c r="BQ754" s="114"/>
      <c r="BR754" s="114"/>
      <c r="BS754" s="114"/>
      <c r="BT754" s="114"/>
      <c r="BU754" s="114"/>
      <c r="BV754" s="114"/>
      <c r="BW754" s="114"/>
      <c r="BX754" s="114"/>
      <c r="BY754" s="114"/>
      <c r="BZ754" s="114"/>
      <c r="CA754" s="114"/>
      <c r="CB754" s="114"/>
      <c r="CC754" s="114"/>
      <c r="CD754" s="114"/>
      <c r="CE754" s="114"/>
      <c r="CF754" s="114"/>
      <c r="CG754" s="114"/>
      <c r="CH754" s="114"/>
      <c r="CI754" s="114"/>
      <c r="CJ754" s="114"/>
      <c r="CK754" s="114"/>
      <c r="CL754" s="114"/>
      <c r="CM754" s="114"/>
      <c r="CN754" s="128"/>
      <c r="CO754" s="128"/>
      <c r="CP754" s="128"/>
      <c r="CQ754" s="128"/>
      <c r="CR754" s="128"/>
      <c r="CS754" s="128"/>
      <c r="CT754" s="128"/>
      <c r="CU754" s="128"/>
      <c r="CV754" s="128"/>
      <c r="CW754" s="128"/>
      <c r="CX754" s="128"/>
      <c r="CY754" s="128"/>
    </row>
    <row r="755" spans="1:103" ht="11.25" customHeight="1" x14ac:dyDescent="0.3">
      <c r="A755" s="113"/>
      <c r="B755" s="113"/>
      <c r="C755" s="113"/>
      <c r="D755" s="114"/>
      <c r="E755" s="114"/>
      <c r="F755" s="115"/>
      <c r="G755" s="116"/>
      <c r="H755" s="117"/>
      <c r="I755" s="117"/>
      <c r="J755" s="114"/>
      <c r="K755" s="118"/>
      <c r="L755" s="119"/>
      <c r="M755" s="120"/>
      <c r="N755" s="117"/>
      <c r="O755" s="116"/>
      <c r="P755" s="116"/>
      <c r="Q755" s="116"/>
      <c r="R755" s="113"/>
      <c r="S755" s="121"/>
      <c r="T755" s="115"/>
      <c r="U755" s="117"/>
      <c r="V755" s="122"/>
      <c r="W755" s="122"/>
      <c r="X755" s="122"/>
      <c r="Y755" s="122"/>
      <c r="Z755" s="122"/>
      <c r="AA755" s="122"/>
      <c r="AB755" s="122"/>
      <c r="AC755" s="122"/>
      <c r="AD755" s="122"/>
      <c r="AE755" s="122"/>
      <c r="AF755" s="122"/>
      <c r="AG755" s="122"/>
      <c r="AH755" s="122"/>
      <c r="AI755" s="123"/>
      <c r="AJ755" s="122"/>
      <c r="AK755" s="122"/>
      <c r="AL755" s="122"/>
      <c r="AM755" s="122"/>
      <c r="AN755" s="122"/>
      <c r="AO755" s="122"/>
      <c r="AP755" s="124"/>
      <c r="AQ755" s="122"/>
      <c r="AR755" s="122"/>
      <c r="AS755" s="122"/>
      <c r="AT755" s="122"/>
      <c r="AU755" s="122"/>
      <c r="AV755" s="124"/>
      <c r="AW755" s="125"/>
      <c r="AX755" s="126"/>
      <c r="AY755" s="127"/>
      <c r="AZ755" s="127"/>
      <c r="BA755" s="122"/>
      <c r="BB755" s="122"/>
      <c r="BC755" s="125"/>
      <c r="BD755" s="125"/>
      <c r="BE755" s="125"/>
      <c r="BF755" s="123"/>
      <c r="BG755" s="125"/>
      <c r="BH755" s="125"/>
      <c r="BI755" s="125"/>
      <c r="BJ755" s="125"/>
      <c r="BK755" s="125"/>
      <c r="BL755" s="125"/>
      <c r="BM755" s="123"/>
      <c r="BN755" s="114"/>
      <c r="BO755" s="114"/>
      <c r="BP755" s="114"/>
      <c r="BQ755" s="114"/>
      <c r="BR755" s="114"/>
      <c r="BS755" s="114"/>
      <c r="BT755" s="114"/>
      <c r="BU755" s="114"/>
      <c r="BV755" s="114"/>
      <c r="BW755" s="114"/>
      <c r="BX755" s="114"/>
      <c r="BY755" s="114"/>
      <c r="BZ755" s="114"/>
      <c r="CA755" s="114"/>
      <c r="CB755" s="114"/>
      <c r="CC755" s="114"/>
      <c r="CD755" s="114"/>
      <c r="CE755" s="114"/>
      <c r="CF755" s="114"/>
      <c r="CG755" s="114"/>
      <c r="CH755" s="114"/>
      <c r="CI755" s="114"/>
      <c r="CJ755" s="114"/>
      <c r="CK755" s="114"/>
      <c r="CL755" s="114"/>
      <c r="CM755" s="114"/>
      <c r="CN755" s="128"/>
      <c r="CO755" s="128"/>
      <c r="CP755" s="128"/>
      <c r="CQ755" s="128"/>
      <c r="CR755" s="128"/>
      <c r="CS755" s="128"/>
      <c r="CT755" s="128"/>
      <c r="CU755" s="128"/>
      <c r="CV755" s="128"/>
      <c r="CW755" s="128"/>
      <c r="CX755" s="128"/>
      <c r="CY755" s="128"/>
    </row>
    <row r="756" spans="1:103" ht="11.25" customHeight="1" x14ac:dyDescent="0.3">
      <c r="A756" s="113"/>
      <c r="B756" s="113"/>
      <c r="C756" s="113"/>
      <c r="D756" s="114"/>
      <c r="E756" s="114"/>
      <c r="F756" s="115"/>
      <c r="G756" s="116"/>
      <c r="H756" s="117"/>
      <c r="I756" s="117"/>
      <c r="J756" s="114"/>
      <c r="K756" s="118"/>
      <c r="L756" s="119"/>
      <c r="M756" s="120"/>
      <c r="N756" s="117"/>
      <c r="O756" s="116"/>
      <c r="P756" s="116"/>
      <c r="Q756" s="116"/>
      <c r="R756" s="113"/>
      <c r="S756" s="121"/>
      <c r="T756" s="115"/>
      <c r="U756" s="117"/>
      <c r="V756" s="122"/>
      <c r="W756" s="122"/>
      <c r="X756" s="122"/>
      <c r="Y756" s="122"/>
      <c r="Z756" s="122"/>
      <c r="AA756" s="122"/>
      <c r="AB756" s="122"/>
      <c r="AC756" s="122"/>
      <c r="AD756" s="122"/>
      <c r="AE756" s="122"/>
      <c r="AF756" s="122"/>
      <c r="AG756" s="122"/>
      <c r="AH756" s="122"/>
      <c r="AI756" s="123"/>
      <c r="AJ756" s="122"/>
      <c r="AK756" s="122"/>
      <c r="AL756" s="122"/>
      <c r="AM756" s="122"/>
      <c r="AN756" s="122"/>
      <c r="AO756" s="122"/>
      <c r="AP756" s="124"/>
      <c r="AQ756" s="122"/>
      <c r="AR756" s="122"/>
      <c r="AS756" s="122"/>
      <c r="AT756" s="122"/>
      <c r="AU756" s="122"/>
      <c r="AV756" s="124"/>
      <c r="AW756" s="125"/>
      <c r="AX756" s="126"/>
      <c r="AY756" s="127"/>
      <c r="AZ756" s="127"/>
      <c r="BA756" s="122"/>
      <c r="BB756" s="122"/>
      <c r="BC756" s="125"/>
      <c r="BD756" s="125"/>
      <c r="BE756" s="125"/>
      <c r="BF756" s="123"/>
      <c r="BG756" s="125"/>
      <c r="BH756" s="125"/>
      <c r="BI756" s="125"/>
      <c r="BJ756" s="125"/>
      <c r="BK756" s="125"/>
      <c r="BL756" s="125"/>
      <c r="BM756" s="123"/>
      <c r="BN756" s="114"/>
      <c r="BO756" s="114"/>
      <c r="BP756" s="114"/>
      <c r="BQ756" s="114"/>
      <c r="BR756" s="114"/>
      <c r="BS756" s="114"/>
      <c r="BT756" s="114"/>
      <c r="BU756" s="114"/>
      <c r="BV756" s="114"/>
      <c r="BW756" s="114"/>
      <c r="BX756" s="114"/>
      <c r="BY756" s="114"/>
      <c r="BZ756" s="114"/>
      <c r="CA756" s="114"/>
      <c r="CB756" s="114"/>
      <c r="CC756" s="114"/>
      <c r="CD756" s="114"/>
      <c r="CE756" s="114"/>
      <c r="CF756" s="114"/>
      <c r="CG756" s="114"/>
      <c r="CH756" s="114"/>
      <c r="CI756" s="114"/>
      <c r="CJ756" s="114"/>
      <c r="CK756" s="114"/>
      <c r="CL756" s="114"/>
      <c r="CM756" s="114"/>
      <c r="CN756" s="128"/>
      <c r="CO756" s="128"/>
      <c r="CP756" s="128"/>
      <c r="CQ756" s="128"/>
      <c r="CR756" s="128"/>
      <c r="CS756" s="128"/>
      <c r="CT756" s="128"/>
      <c r="CU756" s="128"/>
      <c r="CV756" s="128"/>
      <c r="CW756" s="128"/>
      <c r="CX756" s="128"/>
      <c r="CY756" s="128"/>
    </row>
    <row r="757" spans="1:103" ht="11.25" customHeight="1" x14ac:dyDescent="0.3">
      <c r="A757" s="113"/>
      <c r="B757" s="113"/>
      <c r="C757" s="113"/>
      <c r="D757" s="114"/>
      <c r="E757" s="114"/>
      <c r="F757" s="115"/>
      <c r="G757" s="116"/>
      <c r="H757" s="117"/>
      <c r="I757" s="117"/>
      <c r="J757" s="114"/>
      <c r="K757" s="118"/>
      <c r="L757" s="119"/>
      <c r="M757" s="120"/>
      <c r="N757" s="117"/>
      <c r="O757" s="116"/>
      <c r="P757" s="116"/>
      <c r="Q757" s="116"/>
      <c r="R757" s="113"/>
      <c r="S757" s="121"/>
      <c r="T757" s="115"/>
      <c r="U757" s="117"/>
      <c r="V757" s="122"/>
      <c r="W757" s="122"/>
      <c r="X757" s="122"/>
      <c r="Y757" s="122"/>
      <c r="Z757" s="122"/>
      <c r="AA757" s="122"/>
      <c r="AB757" s="122"/>
      <c r="AC757" s="122"/>
      <c r="AD757" s="122"/>
      <c r="AE757" s="122"/>
      <c r="AF757" s="122"/>
      <c r="AG757" s="122"/>
      <c r="AH757" s="122"/>
      <c r="AI757" s="123"/>
      <c r="AJ757" s="122"/>
      <c r="AK757" s="122"/>
      <c r="AL757" s="122"/>
      <c r="AM757" s="122"/>
      <c r="AN757" s="122"/>
      <c r="AO757" s="122"/>
      <c r="AP757" s="124"/>
      <c r="AQ757" s="122"/>
      <c r="AR757" s="122"/>
      <c r="AS757" s="122"/>
      <c r="AT757" s="122"/>
      <c r="AU757" s="122"/>
      <c r="AV757" s="124"/>
      <c r="AW757" s="125"/>
      <c r="AX757" s="126"/>
      <c r="AY757" s="127"/>
      <c r="AZ757" s="127"/>
      <c r="BA757" s="122"/>
      <c r="BB757" s="122"/>
      <c r="BC757" s="125"/>
      <c r="BD757" s="125"/>
      <c r="BE757" s="125"/>
      <c r="BF757" s="123"/>
      <c r="BG757" s="125"/>
      <c r="BH757" s="125"/>
      <c r="BI757" s="125"/>
      <c r="BJ757" s="125"/>
      <c r="BK757" s="125"/>
      <c r="BL757" s="125"/>
      <c r="BM757" s="123"/>
      <c r="BN757" s="114"/>
      <c r="BO757" s="114"/>
      <c r="BP757" s="114"/>
      <c r="BQ757" s="114"/>
      <c r="BR757" s="114"/>
      <c r="BS757" s="114"/>
      <c r="BT757" s="114"/>
      <c r="BU757" s="114"/>
      <c r="BV757" s="114"/>
      <c r="BW757" s="114"/>
      <c r="BX757" s="114"/>
      <c r="BY757" s="114"/>
      <c r="BZ757" s="114"/>
      <c r="CA757" s="114"/>
      <c r="CB757" s="114"/>
      <c r="CC757" s="114"/>
      <c r="CD757" s="114"/>
      <c r="CE757" s="114"/>
      <c r="CF757" s="114"/>
      <c r="CG757" s="114"/>
      <c r="CH757" s="114"/>
      <c r="CI757" s="114"/>
      <c r="CJ757" s="114"/>
      <c r="CK757" s="114"/>
      <c r="CL757" s="114"/>
      <c r="CM757" s="114"/>
      <c r="CN757" s="128"/>
      <c r="CO757" s="128"/>
      <c r="CP757" s="128"/>
      <c r="CQ757" s="128"/>
      <c r="CR757" s="128"/>
      <c r="CS757" s="128"/>
      <c r="CT757" s="128"/>
      <c r="CU757" s="128"/>
      <c r="CV757" s="128"/>
      <c r="CW757" s="128"/>
      <c r="CX757" s="128"/>
      <c r="CY757" s="128"/>
    </row>
    <row r="758" spans="1:103" ht="11.25" customHeight="1" x14ac:dyDescent="0.3">
      <c r="A758" s="113"/>
      <c r="B758" s="113"/>
      <c r="C758" s="113"/>
      <c r="D758" s="114"/>
      <c r="E758" s="114"/>
      <c r="F758" s="115"/>
      <c r="G758" s="116"/>
      <c r="H758" s="117"/>
      <c r="I758" s="117"/>
      <c r="J758" s="114"/>
      <c r="K758" s="118"/>
      <c r="L758" s="119"/>
      <c r="M758" s="120"/>
      <c r="N758" s="117"/>
      <c r="O758" s="116"/>
      <c r="P758" s="116"/>
      <c r="Q758" s="116"/>
      <c r="R758" s="113"/>
      <c r="S758" s="121"/>
      <c r="T758" s="115"/>
      <c r="U758" s="117"/>
      <c r="V758" s="122"/>
      <c r="W758" s="122"/>
      <c r="X758" s="122"/>
      <c r="Y758" s="122"/>
      <c r="Z758" s="122"/>
      <c r="AA758" s="122"/>
      <c r="AB758" s="122"/>
      <c r="AC758" s="122"/>
      <c r="AD758" s="122"/>
      <c r="AE758" s="122"/>
      <c r="AF758" s="122"/>
      <c r="AG758" s="122"/>
      <c r="AH758" s="122"/>
      <c r="AI758" s="123"/>
      <c r="AJ758" s="122"/>
      <c r="AK758" s="122"/>
      <c r="AL758" s="122"/>
      <c r="AM758" s="122"/>
      <c r="AN758" s="122"/>
      <c r="AO758" s="122"/>
      <c r="AP758" s="124"/>
      <c r="AQ758" s="122"/>
      <c r="AR758" s="122"/>
      <c r="AS758" s="122"/>
      <c r="AT758" s="122"/>
      <c r="AU758" s="122"/>
      <c r="AV758" s="124"/>
      <c r="AW758" s="125"/>
      <c r="AX758" s="126"/>
      <c r="AY758" s="127"/>
      <c r="AZ758" s="127"/>
      <c r="BA758" s="122"/>
      <c r="BB758" s="122"/>
      <c r="BC758" s="125"/>
      <c r="BD758" s="125"/>
      <c r="BE758" s="125"/>
      <c r="BF758" s="123"/>
      <c r="BG758" s="125"/>
      <c r="BH758" s="125"/>
      <c r="BI758" s="125"/>
      <c r="BJ758" s="125"/>
      <c r="BK758" s="125"/>
      <c r="BL758" s="125"/>
      <c r="BM758" s="123"/>
      <c r="BN758" s="114"/>
      <c r="BO758" s="114"/>
      <c r="BP758" s="114"/>
      <c r="BQ758" s="114"/>
      <c r="BR758" s="114"/>
      <c r="BS758" s="114"/>
      <c r="BT758" s="114"/>
      <c r="BU758" s="114"/>
      <c r="BV758" s="114"/>
      <c r="BW758" s="114"/>
      <c r="BX758" s="114"/>
      <c r="BY758" s="114"/>
      <c r="BZ758" s="114"/>
      <c r="CA758" s="114"/>
      <c r="CB758" s="114"/>
      <c r="CC758" s="114"/>
      <c r="CD758" s="114"/>
      <c r="CE758" s="114"/>
      <c r="CF758" s="114"/>
      <c r="CG758" s="114"/>
      <c r="CH758" s="114"/>
      <c r="CI758" s="114"/>
      <c r="CJ758" s="114"/>
      <c r="CK758" s="114"/>
      <c r="CL758" s="114"/>
      <c r="CM758" s="114"/>
      <c r="CN758" s="128"/>
      <c r="CO758" s="128"/>
      <c r="CP758" s="128"/>
      <c r="CQ758" s="128"/>
      <c r="CR758" s="128"/>
      <c r="CS758" s="128"/>
      <c r="CT758" s="128"/>
      <c r="CU758" s="128"/>
      <c r="CV758" s="128"/>
      <c r="CW758" s="128"/>
      <c r="CX758" s="128"/>
      <c r="CY758" s="128"/>
    </row>
    <row r="759" spans="1:103" ht="11.25" customHeight="1" x14ac:dyDescent="0.3">
      <c r="A759" s="113"/>
      <c r="B759" s="113"/>
      <c r="C759" s="113"/>
      <c r="D759" s="114"/>
      <c r="E759" s="114"/>
      <c r="F759" s="115"/>
      <c r="G759" s="116"/>
      <c r="H759" s="117"/>
      <c r="I759" s="117"/>
      <c r="J759" s="114"/>
      <c r="K759" s="118"/>
      <c r="L759" s="119"/>
      <c r="M759" s="120"/>
      <c r="N759" s="117"/>
      <c r="O759" s="116"/>
      <c r="P759" s="116"/>
      <c r="Q759" s="116"/>
      <c r="R759" s="113"/>
      <c r="S759" s="121"/>
      <c r="T759" s="115"/>
      <c r="U759" s="117"/>
      <c r="V759" s="122"/>
      <c r="W759" s="122"/>
      <c r="X759" s="122"/>
      <c r="Y759" s="122"/>
      <c r="Z759" s="122"/>
      <c r="AA759" s="122"/>
      <c r="AB759" s="122"/>
      <c r="AC759" s="122"/>
      <c r="AD759" s="122"/>
      <c r="AE759" s="122"/>
      <c r="AF759" s="122"/>
      <c r="AG759" s="122"/>
      <c r="AH759" s="122"/>
      <c r="AI759" s="123"/>
      <c r="AJ759" s="122"/>
      <c r="AK759" s="122"/>
      <c r="AL759" s="122"/>
      <c r="AM759" s="122"/>
      <c r="AN759" s="122"/>
      <c r="AO759" s="122"/>
      <c r="AP759" s="124"/>
      <c r="AQ759" s="122"/>
      <c r="AR759" s="122"/>
      <c r="AS759" s="122"/>
      <c r="AT759" s="122"/>
      <c r="AU759" s="122"/>
      <c r="AV759" s="124"/>
      <c r="AW759" s="125"/>
      <c r="AX759" s="126"/>
      <c r="AY759" s="127"/>
      <c r="AZ759" s="127"/>
      <c r="BA759" s="122"/>
      <c r="BB759" s="122"/>
      <c r="BC759" s="125"/>
      <c r="BD759" s="125"/>
      <c r="BE759" s="125"/>
      <c r="BF759" s="123"/>
      <c r="BG759" s="125"/>
      <c r="BH759" s="125"/>
      <c r="BI759" s="125"/>
      <c r="BJ759" s="125"/>
      <c r="BK759" s="125"/>
      <c r="BL759" s="125"/>
      <c r="BM759" s="123"/>
      <c r="BN759" s="114"/>
      <c r="BO759" s="114"/>
      <c r="BP759" s="114"/>
      <c r="BQ759" s="114"/>
      <c r="BR759" s="114"/>
      <c r="BS759" s="114"/>
      <c r="BT759" s="114"/>
      <c r="BU759" s="114"/>
      <c r="BV759" s="114"/>
      <c r="BW759" s="114"/>
      <c r="BX759" s="114"/>
      <c r="BY759" s="114"/>
      <c r="BZ759" s="114"/>
      <c r="CA759" s="114"/>
      <c r="CB759" s="114"/>
      <c r="CC759" s="114"/>
      <c r="CD759" s="114"/>
      <c r="CE759" s="114"/>
      <c r="CF759" s="114"/>
      <c r="CG759" s="114"/>
      <c r="CH759" s="114"/>
      <c r="CI759" s="114"/>
      <c r="CJ759" s="114"/>
      <c r="CK759" s="114"/>
      <c r="CL759" s="114"/>
      <c r="CM759" s="114"/>
      <c r="CN759" s="128"/>
      <c r="CO759" s="128"/>
      <c r="CP759" s="128"/>
      <c r="CQ759" s="128"/>
      <c r="CR759" s="128"/>
      <c r="CS759" s="128"/>
      <c r="CT759" s="128"/>
      <c r="CU759" s="128"/>
      <c r="CV759" s="128"/>
      <c r="CW759" s="128"/>
      <c r="CX759" s="128"/>
      <c r="CY759" s="128"/>
    </row>
    <row r="760" spans="1:103" ht="11.25" customHeight="1" x14ac:dyDescent="0.3">
      <c r="A760" s="113"/>
      <c r="B760" s="113"/>
      <c r="C760" s="113"/>
      <c r="D760" s="114"/>
      <c r="E760" s="114"/>
      <c r="F760" s="115"/>
      <c r="G760" s="116"/>
      <c r="H760" s="117"/>
      <c r="I760" s="117"/>
      <c r="J760" s="114"/>
      <c r="K760" s="118"/>
      <c r="L760" s="119"/>
      <c r="M760" s="120"/>
      <c r="N760" s="117"/>
      <c r="O760" s="116"/>
      <c r="P760" s="116"/>
      <c r="Q760" s="116"/>
      <c r="R760" s="113"/>
      <c r="S760" s="121"/>
      <c r="T760" s="115"/>
      <c r="U760" s="117"/>
      <c r="V760" s="122"/>
      <c r="W760" s="122"/>
      <c r="X760" s="122"/>
      <c r="Y760" s="122"/>
      <c r="Z760" s="122"/>
      <c r="AA760" s="122"/>
      <c r="AB760" s="122"/>
      <c r="AC760" s="122"/>
      <c r="AD760" s="122"/>
      <c r="AE760" s="122"/>
      <c r="AF760" s="122"/>
      <c r="AG760" s="122"/>
      <c r="AH760" s="122"/>
      <c r="AI760" s="123"/>
      <c r="AJ760" s="122"/>
      <c r="AK760" s="122"/>
      <c r="AL760" s="122"/>
      <c r="AM760" s="122"/>
      <c r="AN760" s="122"/>
      <c r="AO760" s="122"/>
      <c r="AP760" s="124"/>
      <c r="AQ760" s="122"/>
      <c r="AR760" s="122"/>
      <c r="AS760" s="122"/>
      <c r="AT760" s="122"/>
      <c r="AU760" s="122"/>
      <c r="AV760" s="124"/>
      <c r="AW760" s="125"/>
      <c r="AX760" s="126"/>
      <c r="AY760" s="127"/>
      <c r="AZ760" s="127"/>
      <c r="BA760" s="122"/>
      <c r="BB760" s="122"/>
      <c r="BC760" s="125"/>
      <c r="BD760" s="125"/>
      <c r="BE760" s="125"/>
      <c r="BF760" s="123"/>
      <c r="BG760" s="125"/>
      <c r="BH760" s="125"/>
      <c r="BI760" s="125"/>
      <c r="BJ760" s="125"/>
      <c r="BK760" s="125"/>
      <c r="BL760" s="125"/>
      <c r="BM760" s="123"/>
      <c r="BN760" s="114"/>
      <c r="BO760" s="114"/>
      <c r="BP760" s="114"/>
      <c r="BQ760" s="114"/>
      <c r="BR760" s="114"/>
      <c r="BS760" s="114"/>
      <c r="BT760" s="114"/>
      <c r="BU760" s="114"/>
      <c r="BV760" s="114"/>
      <c r="BW760" s="114"/>
      <c r="BX760" s="114"/>
      <c r="BY760" s="114"/>
      <c r="BZ760" s="114"/>
      <c r="CA760" s="114"/>
      <c r="CB760" s="114"/>
      <c r="CC760" s="114"/>
      <c r="CD760" s="114"/>
      <c r="CE760" s="114"/>
      <c r="CF760" s="114"/>
      <c r="CG760" s="114"/>
      <c r="CH760" s="114"/>
      <c r="CI760" s="114"/>
      <c r="CJ760" s="114"/>
      <c r="CK760" s="114"/>
      <c r="CL760" s="114"/>
      <c r="CM760" s="114"/>
      <c r="CN760" s="128"/>
      <c r="CO760" s="128"/>
      <c r="CP760" s="128"/>
      <c r="CQ760" s="128"/>
      <c r="CR760" s="128"/>
      <c r="CS760" s="128"/>
      <c r="CT760" s="128"/>
      <c r="CU760" s="128"/>
      <c r="CV760" s="128"/>
      <c r="CW760" s="128"/>
      <c r="CX760" s="128"/>
      <c r="CY760" s="128"/>
    </row>
    <row r="761" spans="1:103" ht="11.25" customHeight="1" x14ac:dyDescent="0.3">
      <c r="A761" s="113"/>
      <c r="B761" s="113"/>
      <c r="C761" s="113"/>
      <c r="D761" s="114"/>
      <c r="E761" s="114"/>
      <c r="F761" s="115"/>
      <c r="G761" s="116"/>
      <c r="H761" s="117"/>
      <c r="I761" s="117"/>
      <c r="J761" s="114"/>
      <c r="K761" s="118"/>
      <c r="L761" s="119"/>
      <c r="M761" s="120"/>
      <c r="N761" s="117"/>
      <c r="O761" s="116"/>
      <c r="P761" s="116"/>
      <c r="Q761" s="116"/>
      <c r="R761" s="113"/>
      <c r="S761" s="121"/>
      <c r="T761" s="115"/>
      <c r="U761" s="117"/>
      <c r="V761" s="122"/>
      <c r="W761" s="122"/>
      <c r="X761" s="122"/>
      <c r="Y761" s="122"/>
      <c r="Z761" s="122"/>
      <c r="AA761" s="122"/>
      <c r="AB761" s="122"/>
      <c r="AC761" s="122"/>
      <c r="AD761" s="122"/>
      <c r="AE761" s="122"/>
      <c r="AF761" s="122"/>
      <c r="AG761" s="122"/>
      <c r="AH761" s="122"/>
      <c r="AI761" s="123"/>
      <c r="AJ761" s="122"/>
      <c r="AK761" s="122"/>
      <c r="AL761" s="122"/>
      <c r="AM761" s="122"/>
      <c r="AN761" s="122"/>
      <c r="AO761" s="122"/>
      <c r="AP761" s="124"/>
      <c r="AQ761" s="122"/>
      <c r="AR761" s="122"/>
      <c r="AS761" s="122"/>
      <c r="AT761" s="122"/>
      <c r="AU761" s="122"/>
      <c r="AV761" s="124"/>
      <c r="AW761" s="125"/>
      <c r="AX761" s="126"/>
      <c r="AY761" s="127"/>
      <c r="AZ761" s="127"/>
      <c r="BA761" s="122"/>
      <c r="BB761" s="122"/>
      <c r="BC761" s="125"/>
      <c r="BD761" s="125"/>
      <c r="BE761" s="125"/>
      <c r="BF761" s="123"/>
      <c r="BG761" s="125"/>
      <c r="BH761" s="125"/>
      <c r="BI761" s="125"/>
      <c r="BJ761" s="125"/>
      <c r="BK761" s="125"/>
      <c r="BL761" s="125"/>
      <c r="BM761" s="123"/>
      <c r="BN761" s="114"/>
      <c r="BO761" s="114"/>
      <c r="BP761" s="114"/>
      <c r="BQ761" s="114"/>
      <c r="BR761" s="114"/>
      <c r="BS761" s="114"/>
      <c r="BT761" s="114"/>
      <c r="BU761" s="114"/>
      <c r="BV761" s="114"/>
      <c r="BW761" s="114"/>
      <c r="BX761" s="114"/>
      <c r="BY761" s="114"/>
      <c r="BZ761" s="114"/>
      <c r="CA761" s="114"/>
      <c r="CB761" s="114"/>
      <c r="CC761" s="114"/>
      <c r="CD761" s="114"/>
      <c r="CE761" s="114"/>
      <c r="CF761" s="114"/>
      <c r="CG761" s="114"/>
      <c r="CH761" s="114"/>
      <c r="CI761" s="114"/>
      <c r="CJ761" s="114"/>
      <c r="CK761" s="114"/>
      <c r="CL761" s="114"/>
      <c r="CM761" s="114"/>
      <c r="CN761" s="128"/>
      <c r="CO761" s="128"/>
      <c r="CP761" s="128"/>
      <c r="CQ761" s="128"/>
      <c r="CR761" s="128"/>
      <c r="CS761" s="128"/>
      <c r="CT761" s="128"/>
      <c r="CU761" s="128"/>
      <c r="CV761" s="128"/>
      <c r="CW761" s="128"/>
      <c r="CX761" s="128"/>
      <c r="CY761" s="128"/>
    </row>
    <row r="762" spans="1:103" ht="11.25" customHeight="1" x14ac:dyDescent="0.3">
      <c r="A762" s="113"/>
      <c r="B762" s="113"/>
      <c r="C762" s="113"/>
      <c r="D762" s="114"/>
      <c r="E762" s="114"/>
      <c r="F762" s="115"/>
      <c r="G762" s="116"/>
      <c r="H762" s="117"/>
      <c r="I762" s="117"/>
      <c r="J762" s="114"/>
      <c r="K762" s="118"/>
      <c r="L762" s="119"/>
      <c r="M762" s="120"/>
      <c r="N762" s="117"/>
      <c r="O762" s="116"/>
      <c r="P762" s="116"/>
      <c r="Q762" s="116"/>
      <c r="R762" s="113"/>
      <c r="S762" s="121"/>
      <c r="T762" s="115"/>
      <c r="U762" s="117"/>
      <c r="V762" s="122"/>
      <c r="W762" s="122"/>
      <c r="X762" s="122"/>
      <c r="Y762" s="122"/>
      <c r="Z762" s="122"/>
      <c r="AA762" s="122"/>
      <c r="AB762" s="122"/>
      <c r="AC762" s="122"/>
      <c r="AD762" s="122"/>
      <c r="AE762" s="122"/>
      <c r="AF762" s="122"/>
      <c r="AG762" s="122"/>
      <c r="AH762" s="122"/>
      <c r="AI762" s="123"/>
      <c r="AJ762" s="122"/>
      <c r="AK762" s="122"/>
      <c r="AL762" s="122"/>
      <c r="AM762" s="122"/>
      <c r="AN762" s="122"/>
      <c r="AO762" s="122"/>
      <c r="AP762" s="124"/>
      <c r="AQ762" s="122"/>
      <c r="AR762" s="122"/>
      <c r="AS762" s="122"/>
      <c r="AT762" s="122"/>
      <c r="AU762" s="122"/>
      <c r="AV762" s="124"/>
      <c r="AW762" s="125"/>
      <c r="AX762" s="126"/>
      <c r="AY762" s="127"/>
      <c r="AZ762" s="127"/>
      <c r="BA762" s="122"/>
      <c r="BB762" s="122"/>
      <c r="BC762" s="125"/>
      <c r="BD762" s="125"/>
      <c r="BE762" s="125"/>
      <c r="BF762" s="123"/>
      <c r="BG762" s="125"/>
      <c r="BH762" s="125"/>
      <c r="BI762" s="125"/>
      <c r="BJ762" s="125"/>
      <c r="BK762" s="125"/>
      <c r="BL762" s="125"/>
      <c r="BM762" s="123"/>
      <c r="BN762" s="114"/>
      <c r="BO762" s="114"/>
      <c r="BP762" s="114"/>
      <c r="BQ762" s="114"/>
      <c r="BR762" s="114"/>
      <c r="BS762" s="114"/>
      <c r="BT762" s="114"/>
      <c r="BU762" s="114"/>
      <c r="BV762" s="114"/>
      <c r="BW762" s="114"/>
      <c r="BX762" s="114"/>
      <c r="BY762" s="114"/>
      <c r="BZ762" s="114"/>
      <c r="CA762" s="114"/>
      <c r="CB762" s="114"/>
      <c r="CC762" s="114"/>
      <c r="CD762" s="114"/>
      <c r="CE762" s="114"/>
      <c r="CF762" s="114"/>
      <c r="CG762" s="114"/>
      <c r="CH762" s="114"/>
      <c r="CI762" s="114"/>
      <c r="CJ762" s="114"/>
      <c r="CK762" s="114"/>
      <c r="CL762" s="114"/>
      <c r="CM762" s="114"/>
      <c r="CN762" s="128"/>
      <c r="CO762" s="128"/>
      <c r="CP762" s="128"/>
      <c r="CQ762" s="128"/>
      <c r="CR762" s="128"/>
      <c r="CS762" s="128"/>
      <c r="CT762" s="128"/>
      <c r="CU762" s="128"/>
      <c r="CV762" s="128"/>
      <c r="CW762" s="128"/>
      <c r="CX762" s="128"/>
      <c r="CY762" s="128"/>
    </row>
    <row r="763" spans="1:103" ht="11.25" customHeight="1" x14ac:dyDescent="0.3">
      <c r="A763" s="113"/>
      <c r="B763" s="113"/>
      <c r="C763" s="113"/>
      <c r="D763" s="114"/>
      <c r="E763" s="114"/>
      <c r="F763" s="115"/>
      <c r="G763" s="116"/>
      <c r="H763" s="117"/>
      <c r="I763" s="117"/>
      <c r="J763" s="114"/>
      <c r="K763" s="118"/>
      <c r="L763" s="119"/>
      <c r="M763" s="120"/>
      <c r="N763" s="117"/>
      <c r="O763" s="116"/>
      <c r="P763" s="116"/>
      <c r="Q763" s="116"/>
      <c r="R763" s="113"/>
      <c r="S763" s="121"/>
      <c r="T763" s="115"/>
      <c r="U763" s="117"/>
      <c r="V763" s="122"/>
      <c r="W763" s="122"/>
      <c r="X763" s="122"/>
      <c r="Y763" s="122"/>
      <c r="Z763" s="122"/>
      <c r="AA763" s="122"/>
      <c r="AB763" s="122"/>
      <c r="AC763" s="122"/>
      <c r="AD763" s="122"/>
      <c r="AE763" s="122"/>
      <c r="AF763" s="122"/>
      <c r="AG763" s="122"/>
      <c r="AH763" s="122"/>
      <c r="AI763" s="123"/>
      <c r="AJ763" s="122"/>
      <c r="AK763" s="122"/>
      <c r="AL763" s="122"/>
      <c r="AM763" s="122"/>
      <c r="AN763" s="122"/>
      <c r="AO763" s="122"/>
      <c r="AP763" s="124"/>
      <c r="AQ763" s="122"/>
      <c r="AR763" s="122"/>
      <c r="AS763" s="122"/>
      <c r="AT763" s="122"/>
      <c r="AU763" s="122"/>
      <c r="AV763" s="124"/>
      <c r="AW763" s="125"/>
      <c r="AX763" s="126"/>
      <c r="AY763" s="127"/>
      <c r="AZ763" s="127"/>
      <c r="BA763" s="122"/>
      <c r="BB763" s="122"/>
      <c r="BC763" s="125"/>
      <c r="BD763" s="125"/>
      <c r="BE763" s="125"/>
      <c r="BF763" s="123"/>
      <c r="BG763" s="125"/>
      <c r="BH763" s="125"/>
      <c r="BI763" s="125"/>
      <c r="BJ763" s="125"/>
      <c r="BK763" s="125"/>
      <c r="BL763" s="125"/>
      <c r="BM763" s="123"/>
      <c r="BN763" s="114"/>
      <c r="BO763" s="114"/>
      <c r="BP763" s="114"/>
      <c r="BQ763" s="114"/>
      <c r="BR763" s="114"/>
      <c r="BS763" s="114"/>
      <c r="BT763" s="114"/>
      <c r="BU763" s="114"/>
      <c r="BV763" s="114"/>
      <c r="BW763" s="114"/>
      <c r="BX763" s="114"/>
      <c r="BY763" s="114"/>
      <c r="BZ763" s="114"/>
      <c r="CA763" s="114"/>
      <c r="CB763" s="114"/>
      <c r="CC763" s="114"/>
      <c r="CD763" s="114"/>
      <c r="CE763" s="114"/>
      <c r="CF763" s="114"/>
      <c r="CG763" s="114"/>
      <c r="CH763" s="114"/>
      <c r="CI763" s="114"/>
      <c r="CJ763" s="114"/>
      <c r="CK763" s="114"/>
      <c r="CL763" s="114"/>
      <c r="CM763" s="114"/>
      <c r="CN763" s="128"/>
      <c r="CO763" s="128"/>
      <c r="CP763" s="128"/>
      <c r="CQ763" s="128"/>
      <c r="CR763" s="128"/>
      <c r="CS763" s="128"/>
      <c r="CT763" s="128"/>
      <c r="CU763" s="128"/>
      <c r="CV763" s="128"/>
      <c r="CW763" s="128"/>
      <c r="CX763" s="128"/>
      <c r="CY763" s="128"/>
    </row>
    <row r="764" spans="1:103" ht="11.25" customHeight="1" x14ac:dyDescent="0.3">
      <c r="A764" s="113"/>
      <c r="B764" s="113"/>
      <c r="C764" s="113"/>
      <c r="D764" s="114"/>
      <c r="E764" s="114"/>
      <c r="F764" s="115"/>
      <c r="G764" s="116"/>
      <c r="H764" s="117"/>
      <c r="I764" s="117"/>
      <c r="J764" s="114"/>
      <c r="K764" s="118"/>
      <c r="L764" s="119"/>
      <c r="M764" s="120"/>
      <c r="N764" s="117"/>
      <c r="O764" s="116"/>
      <c r="P764" s="116"/>
      <c r="Q764" s="116"/>
      <c r="R764" s="113"/>
      <c r="S764" s="121"/>
      <c r="T764" s="115"/>
      <c r="U764" s="117"/>
      <c r="V764" s="122"/>
      <c r="W764" s="122"/>
      <c r="X764" s="122"/>
      <c r="Y764" s="122"/>
      <c r="Z764" s="122"/>
      <c r="AA764" s="122"/>
      <c r="AB764" s="122"/>
      <c r="AC764" s="122"/>
      <c r="AD764" s="122"/>
      <c r="AE764" s="122"/>
      <c r="AF764" s="122"/>
      <c r="AG764" s="122"/>
      <c r="AH764" s="122"/>
      <c r="AI764" s="123"/>
      <c r="AJ764" s="122"/>
      <c r="AK764" s="122"/>
      <c r="AL764" s="122"/>
      <c r="AM764" s="122"/>
      <c r="AN764" s="122"/>
      <c r="AO764" s="122"/>
      <c r="AP764" s="124"/>
      <c r="AQ764" s="122"/>
      <c r="AR764" s="122"/>
      <c r="AS764" s="122"/>
      <c r="AT764" s="122"/>
      <c r="AU764" s="122"/>
      <c r="AV764" s="124"/>
      <c r="AW764" s="125"/>
      <c r="AX764" s="126"/>
      <c r="AY764" s="127"/>
      <c r="AZ764" s="127"/>
      <c r="BA764" s="122"/>
      <c r="BB764" s="122"/>
      <c r="BC764" s="125"/>
      <c r="BD764" s="125"/>
      <c r="BE764" s="125"/>
      <c r="BF764" s="123"/>
      <c r="BG764" s="125"/>
      <c r="BH764" s="125"/>
      <c r="BI764" s="125"/>
      <c r="BJ764" s="125"/>
      <c r="BK764" s="125"/>
      <c r="BL764" s="125"/>
      <c r="BM764" s="123"/>
      <c r="BN764" s="114"/>
      <c r="BO764" s="114"/>
      <c r="BP764" s="114"/>
      <c r="BQ764" s="114"/>
      <c r="BR764" s="114"/>
      <c r="BS764" s="114"/>
      <c r="BT764" s="114"/>
      <c r="BU764" s="114"/>
      <c r="BV764" s="114"/>
      <c r="BW764" s="114"/>
      <c r="BX764" s="114"/>
      <c r="BY764" s="114"/>
      <c r="BZ764" s="114"/>
      <c r="CA764" s="114"/>
      <c r="CB764" s="114"/>
      <c r="CC764" s="114"/>
      <c r="CD764" s="114"/>
      <c r="CE764" s="114"/>
      <c r="CF764" s="114"/>
      <c r="CG764" s="114"/>
      <c r="CH764" s="114"/>
      <c r="CI764" s="114"/>
      <c r="CJ764" s="114"/>
      <c r="CK764" s="114"/>
      <c r="CL764" s="114"/>
      <c r="CM764" s="114"/>
      <c r="CN764" s="128"/>
      <c r="CO764" s="128"/>
      <c r="CP764" s="128"/>
      <c r="CQ764" s="128"/>
      <c r="CR764" s="128"/>
      <c r="CS764" s="128"/>
      <c r="CT764" s="128"/>
      <c r="CU764" s="128"/>
      <c r="CV764" s="128"/>
      <c r="CW764" s="128"/>
      <c r="CX764" s="128"/>
      <c r="CY764" s="128"/>
    </row>
    <row r="765" spans="1:103" ht="11.25" customHeight="1" x14ac:dyDescent="0.3">
      <c r="A765" s="113"/>
      <c r="B765" s="113"/>
      <c r="C765" s="113"/>
      <c r="D765" s="114"/>
      <c r="E765" s="114"/>
      <c r="F765" s="115"/>
      <c r="G765" s="116"/>
      <c r="H765" s="117"/>
      <c r="I765" s="117"/>
      <c r="J765" s="114"/>
      <c r="K765" s="118"/>
      <c r="L765" s="119"/>
      <c r="M765" s="120"/>
      <c r="N765" s="117"/>
      <c r="O765" s="116"/>
      <c r="P765" s="116"/>
      <c r="Q765" s="116"/>
      <c r="R765" s="113"/>
      <c r="S765" s="121"/>
      <c r="T765" s="115"/>
      <c r="U765" s="117"/>
      <c r="V765" s="122"/>
      <c r="W765" s="122"/>
      <c r="X765" s="122"/>
      <c r="Y765" s="122"/>
      <c r="Z765" s="122"/>
      <c r="AA765" s="122"/>
      <c r="AB765" s="122"/>
      <c r="AC765" s="122"/>
      <c r="AD765" s="122"/>
      <c r="AE765" s="122"/>
      <c r="AF765" s="122"/>
      <c r="AG765" s="122"/>
      <c r="AH765" s="122"/>
      <c r="AI765" s="123"/>
      <c r="AJ765" s="122"/>
      <c r="AK765" s="122"/>
      <c r="AL765" s="122"/>
      <c r="AM765" s="122"/>
      <c r="AN765" s="122"/>
      <c r="AO765" s="122"/>
      <c r="AP765" s="124"/>
      <c r="AQ765" s="122"/>
      <c r="AR765" s="122"/>
      <c r="AS765" s="122"/>
      <c r="AT765" s="122"/>
      <c r="AU765" s="122"/>
      <c r="AV765" s="124"/>
      <c r="AW765" s="125"/>
      <c r="AX765" s="126"/>
      <c r="AY765" s="127"/>
      <c r="AZ765" s="127"/>
      <c r="BA765" s="122"/>
      <c r="BB765" s="122"/>
      <c r="BC765" s="125"/>
      <c r="BD765" s="125"/>
      <c r="BE765" s="125"/>
      <c r="BF765" s="123"/>
      <c r="BG765" s="125"/>
      <c r="BH765" s="125"/>
      <c r="BI765" s="125"/>
      <c r="BJ765" s="125"/>
      <c r="BK765" s="125"/>
      <c r="BL765" s="125"/>
      <c r="BM765" s="123"/>
      <c r="BN765" s="114"/>
      <c r="BO765" s="114"/>
      <c r="BP765" s="114"/>
      <c r="BQ765" s="114"/>
      <c r="BR765" s="114"/>
      <c r="BS765" s="114"/>
      <c r="BT765" s="114"/>
      <c r="BU765" s="114"/>
      <c r="BV765" s="114"/>
      <c r="BW765" s="114"/>
      <c r="BX765" s="114"/>
      <c r="BY765" s="114"/>
      <c r="BZ765" s="114"/>
      <c r="CA765" s="114"/>
      <c r="CB765" s="114"/>
      <c r="CC765" s="114"/>
      <c r="CD765" s="114"/>
      <c r="CE765" s="114"/>
      <c r="CF765" s="114"/>
      <c r="CG765" s="114"/>
      <c r="CH765" s="114"/>
      <c r="CI765" s="114"/>
      <c r="CJ765" s="114"/>
      <c r="CK765" s="114"/>
      <c r="CL765" s="114"/>
      <c r="CM765" s="114"/>
      <c r="CN765" s="128"/>
      <c r="CO765" s="128"/>
      <c r="CP765" s="128"/>
      <c r="CQ765" s="128"/>
      <c r="CR765" s="128"/>
      <c r="CS765" s="128"/>
      <c r="CT765" s="128"/>
      <c r="CU765" s="128"/>
      <c r="CV765" s="128"/>
      <c r="CW765" s="128"/>
      <c r="CX765" s="128"/>
      <c r="CY765" s="128"/>
    </row>
    <row r="766" spans="1:103" ht="11.25" customHeight="1" x14ac:dyDescent="0.3">
      <c r="A766" s="113"/>
      <c r="B766" s="113"/>
      <c r="C766" s="113"/>
      <c r="D766" s="114"/>
      <c r="E766" s="114"/>
      <c r="F766" s="115"/>
      <c r="G766" s="116"/>
      <c r="H766" s="117"/>
      <c r="I766" s="117"/>
      <c r="J766" s="114"/>
      <c r="K766" s="118"/>
      <c r="L766" s="119"/>
      <c r="M766" s="120"/>
      <c r="N766" s="117"/>
      <c r="O766" s="116"/>
      <c r="P766" s="116"/>
      <c r="Q766" s="116"/>
      <c r="R766" s="113"/>
      <c r="S766" s="121"/>
      <c r="T766" s="115"/>
      <c r="U766" s="117"/>
      <c r="V766" s="122"/>
      <c r="W766" s="122"/>
      <c r="X766" s="122"/>
      <c r="Y766" s="122"/>
      <c r="Z766" s="122"/>
      <c r="AA766" s="122"/>
      <c r="AB766" s="122"/>
      <c r="AC766" s="122"/>
      <c r="AD766" s="122"/>
      <c r="AE766" s="122"/>
      <c r="AF766" s="122"/>
      <c r="AG766" s="122"/>
      <c r="AH766" s="122"/>
      <c r="AI766" s="123"/>
      <c r="AJ766" s="122"/>
      <c r="AK766" s="122"/>
      <c r="AL766" s="122"/>
      <c r="AM766" s="122"/>
      <c r="AN766" s="122"/>
      <c r="AO766" s="122"/>
      <c r="AP766" s="124"/>
      <c r="AQ766" s="122"/>
      <c r="AR766" s="122"/>
      <c r="AS766" s="122"/>
      <c r="AT766" s="122"/>
      <c r="AU766" s="122"/>
      <c r="AV766" s="124"/>
      <c r="AW766" s="125"/>
      <c r="AX766" s="126"/>
      <c r="AY766" s="127"/>
      <c r="AZ766" s="127"/>
      <c r="BA766" s="122"/>
      <c r="BB766" s="122"/>
      <c r="BC766" s="125"/>
      <c r="BD766" s="125"/>
      <c r="BE766" s="125"/>
      <c r="BF766" s="123"/>
      <c r="BG766" s="125"/>
      <c r="BH766" s="125"/>
      <c r="BI766" s="125"/>
      <c r="BJ766" s="125"/>
      <c r="BK766" s="125"/>
      <c r="BL766" s="125"/>
      <c r="BM766" s="123"/>
      <c r="BN766" s="114"/>
      <c r="BO766" s="114"/>
      <c r="BP766" s="114"/>
      <c r="BQ766" s="114"/>
      <c r="BR766" s="114"/>
      <c r="BS766" s="114"/>
      <c r="BT766" s="114"/>
      <c r="BU766" s="114"/>
      <c r="BV766" s="114"/>
      <c r="BW766" s="114"/>
      <c r="BX766" s="114"/>
      <c r="BY766" s="114"/>
      <c r="BZ766" s="114"/>
      <c r="CA766" s="114"/>
      <c r="CB766" s="114"/>
      <c r="CC766" s="114"/>
      <c r="CD766" s="114"/>
      <c r="CE766" s="114"/>
      <c r="CF766" s="114"/>
      <c r="CG766" s="114"/>
      <c r="CH766" s="114"/>
      <c r="CI766" s="114"/>
      <c r="CJ766" s="114"/>
      <c r="CK766" s="114"/>
      <c r="CL766" s="114"/>
      <c r="CM766" s="114"/>
      <c r="CN766" s="128"/>
      <c r="CO766" s="128"/>
      <c r="CP766" s="128"/>
      <c r="CQ766" s="128"/>
      <c r="CR766" s="128"/>
      <c r="CS766" s="128"/>
      <c r="CT766" s="128"/>
      <c r="CU766" s="128"/>
      <c r="CV766" s="128"/>
      <c r="CW766" s="128"/>
      <c r="CX766" s="128"/>
      <c r="CY766" s="128"/>
    </row>
    <row r="767" spans="1:103" ht="11.25" customHeight="1" x14ac:dyDescent="0.3">
      <c r="A767" s="113"/>
      <c r="B767" s="113"/>
      <c r="C767" s="113"/>
      <c r="D767" s="114"/>
      <c r="E767" s="114"/>
      <c r="F767" s="115"/>
      <c r="G767" s="116"/>
      <c r="H767" s="117"/>
      <c r="I767" s="117"/>
      <c r="J767" s="114"/>
      <c r="K767" s="118"/>
      <c r="L767" s="119"/>
      <c r="M767" s="120"/>
      <c r="N767" s="117"/>
      <c r="O767" s="116"/>
      <c r="P767" s="116"/>
      <c r="Q767" s="116"/>
      <c r="R767" s="113"/>
      <c r="S767" s="121"/>
      <c r="T767" s="115"/>
      <c r="U767" s="117"/>
      <c r="V767" s="122"/>
      <c r="W767" s="122"/>
      <c r="X767" s="122"/>
      <c r="Y767" s="122"/>
      <c r="Z767" s="122"/>
      <c r="AA767" s="122"/>
      <c r="AB767" s="122"/>
      <c r="AC767" s="122"/>
      <c r="AD767" s="122"/>
      <c r="AE767" s="122"/>
      <c r="AF767" s="122"/>
      <c r="AG767" s="122"/>
      <c r="AH767" s="122"/>
      <c r="AI767" s="123"/>
      <c r="AJ767" s="122"/>
      <c r="AK767" s="122"/>
      <c r="AL767" s="122"/>
      <c r="AM767" s="122"/>
      <c r="AN767" s="122"/>
      <c r="AO767" s="122"/>
      <c r="AP767" s="124"/>
      <c r="AQ767" s="122"/>
      <c r="AR767" s="122"/>
      <c r="AS767" s="122"/>
      <c r="AT767" s="122"/>
      <c r="AU767" s="122"/>
      <c r="AV767" s="124"/>
      <c r="AW767" s="125"/>
      <c r="AX767" s="126"/>
      <c r="AY767" s="127"/>
      <c r="AZ767" s="127"/>
      <c r="BA767" s="122"/>
      <c r="BB767" s="122"/>
      <c r="BC767" s="125"/>
      <c r="BD767" s="125"/>
      <c r="BE767" s="125"/>
      <c r="BF767" s="123"/>
      <c r="BG767" s="125"/>
      <c r="BH767" s="125"/>
      <c r="BI767" s="125"/>
      <c r="BJ767" s="125"/>
      <c r="BK767" s="125"/>
      <c r="BL767" s="125"/>
      <c r="BM767" s="123"/>
      <c r="BN767" s="114"/>
      <c r="BO767" s="114"/>
      <c r="BP767" s="114"/>
      <c r="BQ767" s="114"/>
      <c r="BR767" s="114"/>
      <c r="BS767" s="114"/>
      <c r="BT767" s="114"/>
      <c r="BU767" s="114"/>
      <c r="BV767" s="114"/>
      <c r="BW767" s="114"/>
      <c r="BX767" s="114"/>
      <c r="BY767" s="114"/>
      <c r="BZ767" s="114"/>
      <c r="CA767" s="114"/>
      <c r="CB767" s="114"/>
      <c r="CC767" s="114"/>
      <c r="CD767" s="114"/>
      <c r="CE767" s="114"/>
      <c r="CF767" s="114"/>
      <c r="CG767" s="114"/>
      <c r="CH767" s="114"/>
      <c r="CI767" s="114"/>
      <c r="CJ767" s="114"/>
      <c r="CK767" s="114"/>
      <c r="CL767" s="114"/>
      <c r="CM767" s="114"/>
      <c r="CN767" s="128"/>
      <c r="CO767" s="128"/>
      <c r="CP767" s="128"/>
      <c r="CQ767" s="128"/>
      <c r="CR767" s="128"/>
      <c r="CS767" s="128"/>
      <c r="CT767" s="128"/>
      <c r="CU767" s="128"/>
      <c r="CV767" s="128"/>
      <c r="CW767" s="128"/>
      <c r="CX767" s="128"/>
      <c r="CY767" s="128"/>
    </row>
    <row r="768" spans="1:103" ht="11.25" customHeight="1" x14ac:dyDescent="0.3">
      <c r="A768" s="113"/>
      <c r="B768" s="113"/>
      <c r="C768" s="113"/>
      <c r="D768" s="114"/>
      <c r="E768" s="114"/>
      <c r="F768" s="115"/>
      <c r="G768" s="116"/>
      <c r="H768" s="117"/>
      <c r="I768" s="117"/>
      <c r="J768" s="114"/>
      <c r="K768" s="118"/>
      <c r="L768" s="119"/>
      <c r="M768" s="120"/>
      <c r="N768" s="117"/>
      <c r="O768" s="116"/>
      <c r="P768" s="116"/>
      <c r="Q768" s="116"/>
      <c r="R768" s="113"/>
      <c r="S768" s="121"/>
      <c r="T768" s="115"/>
      <c r="U768" s="117"/>
      <c r="V768" s="122"/>
      <c r="W768" s="122"/>
      <c r="X768" s="122"/>
      <c r="Y768" s="122"/>
      <c r="Z768" s="122"/>
      <c r="AA768" s="122"/>
      <c r="AB768" s="122"/>
      <c r="AC768" s="122"/>
      <c r="AD768" s="122"/>
      <c r="AE768" s="122"/>
      <c r="AF768" s="122"/>
      <c r="AG768" s="122"/>
      <c r="AH768" s="122"/>
      <c r="AI768" s="123"/>
      <c r="AJ768" s="122"/>
      <c r="AK768" s="122"/>
      <c r="AL768" s="122"/>
      <c r="AM768" s="122"/>
      <c r="AN768" s="122"/>
      <c r="AO768" s="122"/>
      <c r="AP768" s="124"/>
      <c r="AQ768" s="122"/>
      <c r="AR768" s="122"/>
      <c r="AS768" s="122"/>
      <c r="AT768" s="122"/>
      <c r="AU768" s="122"/>
      <c r="AV768" s="124"/>
      <c r="AW768" s="125"/>
      <c r="AX768" s="126"/>
      <c r="AY768" s="127"/>
      <c r="AZ768" s="127"/>
      <c r="BA768" s="122"/>
      <c r="BB768" s="122"/>
      <c r="BC768" s="125"/>
      <c r="BD768" s="125"/>
      <c r="BE768" s="125"/>
      <c r="BF768" s="123"/>
      <c r="BG768" s="125"/>
      <c r="BH768" s="125"/>
      <c r="BI768" s="125"/>
      <c r="BJ768" s="125"/>
      <c r="BK768" s="125"/>
      <c r="BL768" s="125"/>
      <c r="BM768" s="123"/>
      <c r="BN768" s="114"/>
      <c r="BO768" s="114"/>
      <c r="BP768" s="114"/>
      <c r="BQ768" s="114"/>
      <c r="BR768" s="114"/>
      <c r="BS768" s="114"/>
      <c r="BT768" s="114"/>
      <c r="BU768" s="114"/>
      <c r="BV768" s="114"/>
      <c r="BW768" s="114"/>
      <c r="BX768" s="114"/>
      <c r="BY768" s="114"/>
      <c r="BZ768" s="114"/>
      <c r="CA768" s="114"/>
      <c r="CB768" s="114"/>
      <c r="CC768" s="114"/>
      <c r="CD768" s="114"/>
      <c r="CE768" s="114"/>
      <c r="CF768" s="114"/>
      <c r="CG768" s="114"/>
      <c r="CH768" s="114"/>
      <c r="CI768" s="114"/>
      <c r="CJ768" s="114"/>
      <c r="CK768" s="114"/>
      <c r="CL768" s="114"/>
      <c r="CM768" s="114"/>
      <c r="CN768" s="128"/>
      <c r="CO768" s="128"/>
      <c r="CP768" s="128"/>
      <c r="CQ768" s="128"/>
      <c r="CR768" s="128"/>
      <c r="CS768" s="128"/>
      <c r="CT768" s="128"/>
      <c r="CU768" s="128"/>
      <c r="CV768" s="128"/>
      <c r="CW768" s="128"/>
      <c r="CX768" s="128"/>
      <c r="CY768" s="128"/>
    </row>
    <row r="769" spans="1:103" ht="11.25" customHeight="1" x14ac:dyDescent="0.3">
      <c r="A769" s="113"/>
      <c r="B769" s="113"/>
      <c r="C769" s="113"/>
      <c r="D769" s="114"/>
      <c r="E769" s="114"/>
      <c r="F769" s="115"/>
      <c r="G769" s="116"/>
      <c r="H769" s="117"/>
      <c r="I769" s="117"/>
      <c r="J769" s="114"/>
      <c r="K769" s="118"/>
      <c r="L769" s="119"/>
      <c r="M769" s="120"/>
      <c r="N769" s="117"/>
      <c r="O769" s="116"/>
      <c r="P769" s="116"/>
      <c r="Q769" s="116"/>
      <c r="R769" s="113"/>
      <c r="S769" s="121"/>
      <c r="T769" s="115"/>
      <c r="U769" s="117"/>
      <c r="V769" s="122"/>
      <c r="W769" s="122"/>
      <c r="X769" s="122"/>
      <c r="Y769" s="122"/>
      <c r="Z769" s="122"/>
      <c r="AA769" s="122"/>
      <c r="AB769" s="122"/>
      <c r="AC769" s="122"/>
      <c r="AD769" s="122"/>
      <c r="AE769" s="122"/>
      <c r="AF769" s="122"/>
      <c r="AG769" s="122"/>
      <c r="AH769" s="122"/>
      <c r="AI769" s="123"/>
      <c r="AJ769" s="122"/>
      <c r="AK769" s="122"/>
      <c r="AL769" s="122"/>
      <c r="AM769" s="122"/>
      <c r="AN769" s="122"/>
      <c r="AO769" s="122"/>
      <c r="AP769" s="124"/>
      <c r="AQ769" s="122"/>
      <c r="AR769" s="122"/>
      <c r="AS769" s="122"/>
      <c r="AT769" s="122"/>
      <c r="AU769" s="122"/>
      <c r="AV769" s="124"/>
      <c r="AW769" s="125"/>
      <c r="AX769" s="126"/>
      <c r="AY769" s="127"/>
      <c r="AZ769" s="127"/>
      <c r="BA769" s="122"/>
      <c r="BB769" s="122"/>
      <c r="BC769" s="125"/>
      <c r="BD769" s="125"/>
      <c r="BE769" s="125"/>
      <c r="BF769" s="123"/>
      <c r="BG769" s="125"/>
      <c r="BH769" s="125"/>
      <c r="BI769" s="125"/>
      <c r="BJ769" s="125"/>
      <c r="BK769" s="125"/>
      <c r="BL769" s="125"/>
      <c r="BM769" s="123"/>
      <c r="BN769" s="114"/>
      <c r="BO769" s="114"/>
      <c r="BP769" s="114"/>
      <c r="BQ769" s="114"/>
      <c r="BR769" s="114"/>
      <c r="BS769" s="114"/>
      <c r="BT769" s="114"/>
      <c r="BU769" s="114"/>
      <c r="BV769" s="114"/>
      <c r="BW769" s="114"/>
      <c r="BX769" s="114"/>
      <c r="BY769" s="114"/>
      <c r="BZ769" s="114"/>
      <c r="CA769" s="114"/>
      <c r="CB769" s="114"/>
      <c r="CC769" s="114"/>
      <c r="CD769" s="114"/>
      <c r="CE769" s="114"/>
      <c r="CF769" s="114"/>
      <c r="CG769" s="114"/>
      <c r="CH769" s="114"/>
      <c r="CI769" s="114"/>
      <c r="CJ769" s="114"/>
      <c r="CK769" s="114"/>
      <c r="CL769" s="114"/>
      <c r="CM769" s="114"/>
      <c r="CN769" s="128"/>
      <c r="CO769" s="128"/>
      <c r="CP769" s="128"/>
      <c r="CQ769" s="128"/>
      <c r="CR769" s="128"/>
      <c r="CS769" s="128"/>
      <c r="CT769" s="128"/>
      <c r="CU769" s="128"/>
      <c r="CV769" s="128"/>
      <c r="CW769" s="128"/>
      <c r="CX769" s="128"/>
      <c r="CY769" s="128"/>
    </row>
    <row r="770" spans="1:103" ht="11.25" customHeight="1" x14ac:dyDescent="0.3">
      <c r="A770" s="113"/>
      <c r="B770" s="113"/>
      <c r="C770" s="113"/>
      <c r="D770" s="114"/>
      <c r="E770" s="114"/>
      <c r="F770" s="115"/>
      <c r="G770" s="116"/>
      <c r="H770" s="117"/>
      <c r="I770" s="117"/>
      <c r="J770" s="114"/>
      <c r="K770" s="118"/>
      <c r="L770" s="119"/>
      <c r="M770" s="120"/>
      <c r="N770" s="117"/>
      <c r="O770" s="116"/>
      <c r="P770" s="116"/>
      <c r="Q770" s="116"/>
      <c r="R770" s="113"/>
      <c r="S770" s="121"/>
      <c r="T770" s="115"/>
      <c r="U770" s="117"/>
      <c r="V770" s="122"/>
      <c r="W770" s="122"/>
      <c r="X770" s="122"/>
      <c r="Y770" s="122"/>
      <c r="Z770" s="122"/>
      <c r="AA770" s="122"/>
      <c r="AB770" s="122"/>
      <c r="AC770" s="122"/>
      <c r="AD770" s="122"/>
      <c r="AE770" s="122"/>
      <c r="AF770" s="122"/>
      <c r="AG770" s="122"/>
      <c r="AH770" s="122"/>
      <c r="AI770" s="123"/>
      <c r="AJ770" s="122"/>
      <c r="AK770" s="122"/>
      <c r="AL770" s="122"/>
      <c r="AM770" s="122"/>
      <c r="AN770" s="122"/>
      <c r="AO770" s="122"/>
      <c r="AP770" s="124"/>
      <c r="AQ770" s="122"/>
      <c r="AR770" s="122"/>
      <c r="AS770" s="122"/>
      <c r="AT770" s="122"/>
      <c r="AU770" s="122"/>
      <c r="AV770" s="124"/>
      <c r="AW770" s="125"/>
      <c r="AX770" s="126"/>
      <c r="AY770" s="127"/>
      <c r="AZ770" s="127"/>
      <c r="BA770" s="122"/>
      <c r="BB770" s="122"/>
      <c r="BC770" s="125"/>
      <c r="BD770" s="125"/>
      <c r="BE770" s="125"/>
      <c r="BF770" s="123"/>
      <c r="BG770" s="125"/>
      <c r="BH770" s="125"/>
      <c r="BI770" s="125"/>
      <c r="BJ770" s="125"/>
      <c r="BK770" s="125"/>
      <c r="BL770" s="125"/>
      <c r="BM770" s="123"/>
      <c r="BN770" s="114"/>
      <c r="BO770" s="114"/>
      <c r="BP770" s="114"/>
      <c r="BQ770" s="114"/>
      <c r="BR770" s="114"/>
      <c r="BS770" s="114"/>
      <c r="BT770" s="114"/>
      <c r="BU770" s="114"/>
      <c r="BV770" s="114"/>
      <c r="BW770" s="114"/>
      <c r="BX770" s="114"/>
      <c r="BY770" s="114"/>
      <c r="BZ770" s="114"/>
      <c r="CA770" s="114"/>
      <c r="CB770" s="114"/>
      <c r="CC770" s="114"/>
      <c r="CD770" s="114"/>
      <c r="CE770" s="114"/>
      <c r="CF770" s="114"/>
      <c r="CG770" s="114"/>
      <c r="CH770" s="114"/>
      <c r="CI770" s="114"/>
      <c r="CJ770" s="114"/>
      <c r="CK770" s="114"/>
      <c r="CL770" s="114"/>
      <c r="CM770" s="114"/>
      <c r="CN770" s="128"/>
      <c r="CO770" s="128"/>
      <c r="CP770" s="128"/>
      <c r="CQ770" s="128"/>
      <c r="CR770" s="128"/>
      <c r="CS770" s="128"/>
      <c r="CT770" s="128"/>
      <c r="CU770" s="128"/>
      <c r="CV770" s="128"/>
      <c r="CW770" s="128"/>
      <c r="CX770" s="128"/>
      <c r="CY770" s="128"/>
    </row>
    <row r="771" spans="1:103" ht="11.25" customHeight="1" x14ac:dyDescent="0.3">
      <c r="A771" s="113"/>
      <c r="B771" s="113"/>
      <c r="C771" s="113"/>
      <c r="D771" s="114"/>
      <c r="E771" s="114"/>
      <c r="F771" s="115"/>
      <c r="G771" s="116"/>
      <c r="H771" s="117"/>
      <c r="I771" s="117"/>
      <c r="J771" s="114"/>
      <c r="K771" s="118"/>
      <c r="L771" s="119"/>
      <c r="M771" s="120"/>
      <c r="N771" s="117"/>
      <c r="O771" s="116"/>
      <c r="P771" s="116"/>
      <c r="Q771" s="116"/>
      <c r="R771" s="113"/>
      <c r="S771" s="121"/>
      <c r="T771" s="115"/>
      <c r="U771" s="117"/>
      <c r="V771" s="122"/>
      <c r="W771" s="122"/>
      <c r="X771" s="122"/>
      <c r="Y771" s="122"/>
      <c r="Z771" s="122"/>
      <c r="AA771" s="122"/>
      <c r="AB771" s="122"/>
      <c r="AC771" s="122"/>
      <c r="AD771" s="122"/>
      <c r="AE771" s="122"/>
      <c r="AF771" s="122"/>
      <c r="AG771" s="122"/>
      <c r="AH771" s="122"/>
      <c r="AI771" s="123"/>
      <c r="AJ771" s="122"/>
      <c r="AK771" s="122"/>
      <c r="AL771" s="122"/>
      <c r="AM771" s="122"/>
      <c r="AN771" s="122"/>
      <c r="AO771" s="122"/>
      <c r="AP771" s="124"/>
      <c r="AQ771" s="122"/>
      <c r="AR771" s="122"/>
      <c r="AS771" s="122"/>
      <c r="AT771" s="122"/>
      <c r="AU771" s="122"/>
      <c r="AV771" s="124"/>
      <c r="AW771" s="125"/>
      <c r="AX771" s="126"/>
      <c r="AY771" s="127"/>
      <c r="AZ771" s="127"/>
      <c r="BA771" s="122"/>
      <c r="BB771" s="122"/>
      <c r="BC771" s="125"/>
      <c r="BD771" s="125"/>
      <c r="BE771" s="125"/>
      <c r="BF771" s="123"/>
      <c r="BG771" s="125"/>
      <c r="BH771" s="125"/>
      <c r="BI771" s="125"/>
      <c r="BJ771" s="125"/>
      <c r="BK771" s="125"/>
      <c r="BL771" s="125"/>
      <c r="BM771" s="123"/>
      <c r="BN771" s="114"/>
      <c r="BO771" s="114"/>
      <c r="BP771" s="114"/>
      <c r="BQ771" s="114"/>
      <c r="BR771" s="114"/>
      <c r="BS771" s="114"/>
      <c r="BT771" s="114"/>
      <c r="BU771" s="114"/>
      <c r="BV771" s="114"/>
      <c r="BW771" s="114"/>
      <c r="BX771" s="114"/>
      <c r="BY771" s="114"/>
      <c r="BZ771" s="114"/>
      <c r="CA771" s="114"/>
      <c r="CB771" s="114"/>
      <c r="CC771" s="114"/>
      <c r="CD771" s="114"/>
      <c r="CE771" s="114"/>
      <c r="CF771" s="114"/>
      <c r="CG771" s="114"/>
      <c r="CH771" s="114"/>
      <c r="CI771" s="114"/>
      <c r="CJ771" s="114"/>
      <c r="CK771" s="114"/>
      <c r="CL771" s="114"/>
      <c r="CM771" s="114"/>
      <c r="CN771" s="128"/>
      <c r="CO771" s="128"/>
      <c r="CP771" s="128"/>
      <c r="CQ771" s="128"/>
      <c r="CR771" s="128"/>
      <c r="CS771" s="128"/>
      <c r="CT771" s="128"/>
      <c r="CU771" s="128"/>
      <c r="CV771" s="128"/>
      <c r="CW771" s="128"/>
      <c r="CX771" s="128"/>
      <c r="CY771" s="128"/>
    </row>
    <row r="772" spans="1:103" ht="11.25" customHeight="1" x14ac:dyDescent="0.3">
      <c r="A772" s="113"/>
      <c r="B772" s="113"/>
      <c r="C772" s="113"/>
      <c r="D772" s="114"/>
      <c r="E772" s="114"/>
      <c r="F772" s="115"/>
      <c r="G772" s="116"/>
      <c r="H772" s="117"/>
      <c r="I772" s="117"/>
      <c r="J772" s="114"/>
      <c r="K772" s="118"/>
      <c r="L772" s="119"/>
      <c r="M772" s="120"/>
      <c r="N772" s="117"/>
      <c r="O772" s="116"/>
      <c r="P772" s="116"/>
      <c r="Q772" s="116"/>
      <c r="R772" s="113"/>
      <c r="S772" s="121"/>
      <c r="T772" s="115"/>
      <c r="U772" s="117"/>
      <c r="V772" s="122"/>
      <c r="W772" s="122"/>
      <c r="X772" s="122"/>
      <c r="Y772" s="122"/>
      <c r="Z772" s="122"/>
      <c r="AA772" s="122"/>
      <c r="AB772" s="122"/>
      <c r="AC772" s="122"/>
      <c r="AD772" s="122"/>
      <c r="AE772" s="122"/>
      <c r="AF772" s="122"/>
      <c r="AG772" s="122"/>
      <c r="AH772" s="122"/>
      <c r="AI772" s="123"/>
      <c r="AJ772" s="122"/>
      <c r="AK772" s="122"/>
      <c r="AL772" s="122"/>
      <c r="AM772" s="122"/>
      <c r="AN772" s="122"/>
      <c r="AO772" s="122"/>
      <c r="AP772" s="124"/>
      <c r="AQ772" s="122"/>
      <c r="AR772" s="122"/>
      <c r="AS772" s="122"/>
      <c r="AT772" s="122"/>
      <c r="AU772" s="122"/>
      <c r="AV772" s="124"/>
      <c r="AW772" s="125"/>
      <c r="AX772" s="126"/>
      <c r="AY772" s="127"/>
      <c r="AZ772" s="127"/>
      <c r="BA772" s="122"/>
      <c r="BB772" s="122"/>
      <c r="BC772" s="125"/>
      <c r="BD772" s="125"/>
      <c r="BE772" s="125"/>
      <c r="BF772" s="123"/>
      <c r="BG772" s="125"/>
      <c r="BH772" s="125"/>
      <c r="BI772" s="125"/>
      <c r="BJ772" s="125"/>
      <c r="BK772" s="125"/>
      <c r="BL772" s="125"/>
      <c r="BM772" s="123"/>
      <c r="BN772" s="114"/>
      <c r="BO772" s="114"/>
      <c r="BP772" s="114"/>
      <c r="BQ772" s="114"/>
      <c r="BR772" s="114"/>
      <c r="BS772" s="114"/>
      <c r="BT772" s="114"/>
      <c r="BU772" s="114"/>
      <c r="BV772" s="114"/>
      <c r="BW772" s="114"/>
      <c r="BX772" s="114"/>
      <c r="BY772" s="114"/>
      <c r="BZ772" s="114"/>
      <c r="CA772" s="114"/>
      <c r="CB772" s="114"/>
      <c r="CC772" s="114"/>
      <c r="CD772" s="114"/>
      <c r="CE772" s="114"/>
      <c r="CF772" s="114"/>
      <c r="CG772" s="114"/>
      <c r="CH772" s="114"/>
      <c r="CI772" s="114"/>
      <c r="CJ772" s="114"/>
      <c r="CK772" s="114"/>
      <c r="CL772" s="114"/>
      <c r="CM772" s="114"/>
      <c r="CN772" s="128"/>
      <c r="CO772" s="128"/>
      <c r="CP772" s="128"/>
      <c r="CQ772" s="128"/>
      <c r="CR772" s="128"/>
      <c r="CS772" s="128"/>
      <c r="CT772" s="128"/>
      <c r="CU772" s="128"/>
      <c r="CV772" s="128"/>
      <c r="CW772" s="128"/>
      <c r="CX772" s="128"/>
      <c r="CY772" s="128"/>
    </row>
    <row r="773" spans="1:103" ht="11.25" customHeight="1" x14ac:dyDescent="0.3">
      <c r="A773" s="113"/>
      <c r="B773" s="113"/>
      <c r="C773" s="113"/>
      <c r="D773" s="114"/>
      <c r="E773" s="114"/>
      <c r="F773" s="115"/>
      <c r="G773" s="116"/>
      <c r="H773" s="117"/>
      <c r="I773" s="117"/>
      <c r="J773" s="114"/>
      <c r="K773" s="118"/>
      <c r="L773" s="119"/>
      <c r="M773" s="120"/>
      <c r="N773" s="117"/>
      <c r="O773" s="116"/>
      <c r="P773" s="116"/>
      <c r="Q773" s="116"/>
      <c r="R773" s="113"/>
      <c r="S773" s="121"/>
      <c r="T773" s="115"/>
      <c r="U773" s="117"/>
      <c r="V773" s="122"/>
      <c r="W773" s="122"/>
      <c r="X773" s="122"/>
      <c r="Y773" s="122"/>
      <c r="Z773" s="122"/>
      <c r="AA773" s="122"/>
      <c r="AB773" s="122"/>
      <c r="AC773" s="122"/>
      <c r="AD773" s="122"/>
      <c r="AE773" s="122"/>
      <c r="AF773" s="122"/>
      <c r="AG773" s="122"/>
      <c r="AH773" s="122"/>
      <c r="AI773" s="123"/>
      <c r="AJ773" s="122"/>
      <c r="AK773" s="122"/>
      <c r="AL773" s="122"/>
      <c r="AM773" s="122"/>
      <c r="AN773" s="122"/>
      <c r="AO773" s="122"/>
      <c r="AP773" s="124"/>
      <c r="AQ773" s="122"/>
      <c r="AR773" s="122"/>
      <c r="AS773" s="122"/>
      <c r="AT773" s="122"/>
      <c r="AU773" s="122"/>
      <c r="AV773" s="124"/>
      <c r="AW773" s="125"/>
      <c r="AX773" s="126"/>
      <c r="AY773" s="127"/>
      <c r="AZ773" s="127"/>
      <c r="BA773" s="122"/>
      <c r="BB773" s="122"/>
      <c r="BC773" s="125"/>
      <c r="BD773" s="125"/>
      <c r="BE773" s="125"/>
      <c r="BF773" s="123"/>
      <c r="BG773" s="125"/>
      <c r="BH773" s="125"/>
      <c r="BI773" s="125"/>
      <c r="BJ773" s="125"/>
      <c r="BK773" s="125"/>
      <c r="BL773" s="125"/>
      <c r="BM773" s="123"/>
      <c r="BN773" s="114"/>
      <c r="BO773" s="114"/>
      <c r="BP773" s="114"/>
      <c r="BQ773" s="114"/>
      <c r="BR773" s="114"/>
      <c r="BS773" s="114"/>
      <c r="BT773" s="114"/>
      <c r="BU773" s="114"/>
      <c r="BV773" s="114"/>
      <c r="BW773" s="114"/>
      <c r="BX773" s="114"/>
      <c r="BY773" s="114"/>
      <c r="BZ773" s="114"/>
      <c r="CA773" s="114"/>
      <c r="CB773" s="114"/>
      <c r="CC773" s="114"/>
      <c r="CD773" s="114"/>
      <c r="CE773" s="114"/>
      <c r="CF773" s="114"/>
      <c r="CG773" s="114"/>
      <c r="CH773" s="114"/>
      <c r="CI773" s="114"/>
      <c r="CJ773" s="114"/>
      <c r="CK773" s="114"/>
      <c r="CL773" s="114"/>
      <c r="CM773" s="114"/>
      <c r="CN773" s="128"/>
      <c r="CO773" s="128"/>
      <c r="CP773" s="128"/>
      <c r="CQ773" s="128"/>
      <c r="CR773" s="128"/>
      <c r="CS773" s="128"/>
      <c r="CT773" s="128"/>
      <c r="CU773" s="128"/>
      <c r="CV773" s="128"/>
      <c r="CW773" s="128"/>
      <c r="CX773" s="128"/>
      <c r="CY773" s="128"/>
    </row>
    <row r="774" spans="1:103" ht="11.25" customHeight="1" x14ac:dyDescent="0.3">
      <c r="A774" s="113"/>
      <c r="B774" s="113"/>
      <c r="C774" s="113"/>
      <c r="D774" s="114"/>
      <c r="E774" s="114"/>
      <c r="F774" s="115"/>
      <c r="G774" s="116"/>
      <c r="H774" s="117"/>
      <c r="I774" s="117"/>
      <c r="J774" s="114"/>
      <c r="K774" s="118"/>
      <c r="L774" s="119"/>
      <c r="M774" s="120"/>
      <c r="N774" s="117"/>
      <c r="O774" s="116"/>
      <c r="P774" s="116"/>
      <c r="Q774" s="116"/>
      <c r="R774" s="113"/>
      <c r="S774" s="121"/>
      <c r="T774" s="115"/>
      <c r="U774" s="117"/>
      <c r="V774" s="122"/>
      <c r="W774" s="122"/>
      <c r="X774" s="122"/>
      <c r="Y774" s="122"/>
      <c r="Z774" s="122"/>
      <c r="AA774" s="122"/>
      <c r="AB774" s="122"/>
      <c r="AC774" s="122"/>
      <c r="AD774" s="122"/>
      <c r="AE774" s="122"/>
      <c r="AF774" s="122"/>
      <c r="AG774" s="122"/>
      <c r="AH774" s="122"/>
      <c r="AI774" s="123"/>
      <c r="AJ774" s="122"/>
      <c r="AK774" s="122"/>
      <c r="AL774" s="122"/>
      <c r="AM774" s="122"/>
      <c r="AN774" s="122"/>
      <c r="AO774" s="122"/>
      <c r="AP774" s="124"/>
      <c r="AQ774" s="122"/>
      <c r="AR774" s="122"/>
      <c r="AS774" s="122"/>
      <c r="AT774" s="122"/>
      <c r="AU774" s="122"/>
      <c r="AV774" s="124"/>
      <c r="AW774" s="125"/>
      <c r="AX774" s="126"/>
      <c r="AY774" s="127"/>
      <c r="AZ774" s="127"/>
      <c r="BA774" s="122"/>
      <c r="BB774" s="122"/>
      <c r="BC774" s="125"/>
      <c r="BD774" s="125"/>
      <c r="BE774" s="125"/>
      <c r="BF774" s="123"/>
      <c r="BG774" s="125"/>
      <c r="BH774" s="125"/>
      <c r="BI774" s="125"/>
      <c r="BJ774" s="125"/>
      <c r="BK774" s="125"/>
      <c r="BL774" s="125"/>
      <c r="BM774" s="123"/>
      <c r="BN774" s="114"/>
      <c r="BO774" s="114"/>
      <c r="BP774" s="114"/>
      <c r="BQ774" s="114"/>
      <c r="BR774" s="114"/>
      <c r="BS774" s="114"/>
      <c r="BT774" s="114"/>
      <c r="BU774" s="114"/>
      <c r="BV774" s="114"/>
      <c r="BW774" s="114"/>
      <c r="BX774" s="114"/>
      <c r="BY774" s="114"/>
      <c r="BZ774" s="114"/>
      <c r="CA774" s="114"/>
      <c r="CB774" s="114"/>
      <c r="CC774" s="114"/>
      <c r="CD774" s="114"/>
      <c r="CE774" s="114"/>
      <c r="CF774" s="114"/>
      <c r="CG774" s="114"/>
      <c r="CH774" s="114"/>
      <c r="CI774" s="114"/>
      <c r="CJ774" s="114"/>
      <c r="CK774" s="114"/>
      <c r="CL774" s="114"/>
      <c r="CM774" s="114"/>
      <c r="CN774" s="128"/>
      <c r="CO774" s="128"/>
      <c r="CP774" s="128"/>
      <c r="CQ774" s="128"/>
      <c r="CR774" s="128"/>
      <c r="CS774" s="128"/>
      <c r="CT774" s="128"/>
      <c r="CU774" s="128"/>
      <c r="CV774" s="128"/>
      <c r="CW774" s="128"/>
      <c r="CX774" s="128"/>
      <c r="CY774" s="128"/>
    </row>
    <row r="775" spans="1:103" ht="11.25" customHeight="1" x14ac:dyDescent="0.3">
      <c r="A775" s="113"/>
      <c r="B775" s="113"/>
      <c r="C775" s="113"/>
      <c r="D775" s="114"/>
      <c r="E775" s="114"/>
      <c r="F775" s="115"/>
      <c r="G775" s="116"/>
      <c r="H775" s="117"/>
      <c r="I775" s="117"/>
      <c r="J775" s="114"/>
      <c r="K775" s="118"/>
      <c r="L775" s="119"/>
      <c r="M775" s="120"/>
      <c r="N775" s="117"/>
      <c r="O775" s="116"/>
      <c r="P775" s="116"/>
      <c r="Q775" s="116"/>
      <c r="R775" s="113"/>
      <c r="S775" s="121"/>
      <c r="T775" s="115"/>
      <c r="U775" s="117"/>
      <c r="V775" s="122"/>
      <c r="W775" s="122"/>
      <c r="X775" s="122"/>
      <c r="Y775" s="122"/>
      <c r="Z775" s="122"/>
      <c r="AA775" s="122"/>
      <c r="AB775" s="122"/>
      <c r="AC775" s="122"/>
      <c r="AD775" s="122"/>
      <c r="AE775" s="122"/>
      <c r="AF775" s="122"/>
      <c r="AG775" s="122"/>
      <c r="AH775" s="122"/>
      <c r="AI775" s="123"/>
      <c r="AJ775" s="122"/>
      <c r="AK775" s="122"/>
      <c r="AL775" s="122"/>
      <c r="AM775" s="122"/>
      <c r="AN775" s="122"/>
      <c r="AO775" s="122"/>
      <c r="AP775" s="124"/>
      <c r="AQ775" s="122"/>
      <c r="AR775" s="122"/>
      <c r="AS775" s="122"/>
      <c r="AT775" s="122"/>
      <c r="AU775" s="122"/>
      <c r="AV775" s="124"/>
      <c r="AW775" s="125"/>
      <c r="AX775" s="126"/>
      <c r="AY775" s="127"/>
      <c r="AZ775" s="127"/>
      <c r="BA775" s="122"/>
      <c r="BB775" s="122"/>
      <c r="BC775" s="125"/>
      <c r="BD775" s="125"/>
      <c r="BE775" s="125"/>
      <c r="BF775" s="123"/>
      <c r="BG775" s="125"/>
      <c r="BH775" s="125"/>
      <c r="BI775" s="125"/>
      <c r="BJ775" s="125"/>
      <c r="BK775" s="125"/>
      <c r="BL775" s="125"/>
      <c r="BM775" s="123"/>
      <c r="BN775" s="114"/>
      <c r="BO775" s="114"/>
      <c r="BP775" s="114"/>
      <c r="BQ775" s="114"/>
      <c r="BR775" s="114"/>
      <c r="BS775" s="114"/>
      <c r="BT775" s="114"/>
      <c r="BU775" s="114"/>
      <c r="BV775" s="114"/>
      <c r="BW775" s="114"/>
      <c r="BX775" s="114"/>
      <c r="BY775" s="114"/>
      <c r="BZ775" s="114"/>
      <c r="CA775" s="114"/>
      <c r="CB775" s="114"/>
      <c r="CC775" s="114"/>
      <c r="CD775" s="114"/>
      <c r="CE775" s="114"/>
      <c r="CF775" s="114"/>
      <c r="CG775" s="114"/>
      <c r="CH775" s="114"/>
      <c r="CI775" s="114"/>
      <c r="CJ775" s="114"/>
      <c r="CK775" s="114"/>
      <c r="CL775" s="114"/>
      <c r="CM775" s="114"/>
      <c r="CN775" s="128"/>
      <c r="CO775" s="128"/>
      <c r="CP775" s="128"/>
      <c r="CQ775" s="128"/>
      <c r="CR775" s="128"/>
      <c r="CS775" s="128"/>
      <c r="CT775" s="128"/>
      <c r="CU775" s="128"/>
      <c r="CV775" s="128"/>
      <c r="CW775" s="128"/>
      <c r="CX775" s="128"/>
      <c r="CY775" s="128"/>
    </row>
    <row r="776" spans="1:103" ht="11.25" customHeight="1" x14ac:dyDescent="0.3">
      <c r="A776" s="113"/>
      <c r="B776" s="113"/>
      <c r="C776" s="113"/>
      <c r="D776" s="114"/>
      <c r="E776" s="114"/>
      <c r="F776" s="115"/>
      <c r="G776" s="116"/>
      <c r="H776" s="117"/>
      <c r="I776" s="117"/>
      <c r="J776" s="114"/>
      <c r="K776" s="118"/>
      <c r="L776" s="119"/>
      <c r="M776" s="120"/>
      <c r="N776" s="117"/>
      <c r="O776" s="116"/>
      <c r="P776" s="116"/>
      <c r="Q776" s="116"/>
      <c r="R776" s="113"/>
      <c r="S776" s="121"/>
      <c r="T776" s="115"/>
      <c r="U776" s="117"/>
      <c r="V776" s="122"/>
      <c r="W776" s="122"/>
      <c r="X776" s="122"/>
      <c r="Y776" s="122"/>
      <c r="Z776" s="122"/>
      <c r="AA776" s="122"/>
      <c r="AB776" s="122"/>
      <c r="AC776" s="122"/>
      <c r="AD776" s="122"/>
      <c r="AE776" s="122"/>
      <c r="AF776" s="122"/>
      <c r="AG776" s="122"/>
      <c r="AH776" s="122"/>
      <c r="AI776" s="123"/>
      <c r="AJ776" s="122"/>
      <c r="AK776" s="122"/>
      <c r="AL776" s="122"/>
      <c r="AM776" s="122"/>
      <c r="AN776" s="122"/>
      <c r="AO776" s="122"/>
      <c r="AP776" s="124"/>
      <c r="AQ776" s="122"/>
      <c r="AR776" s="122"/>
      <c r="AS776" s="122"/>
      <c r="AT776" s="122"/>
      <c r="AU776" s="122"/>
      <c r="AV776" s="124"/>
      <c r="AW776" s="125"/>
      <c r="AX776" s="126"/>
      <c r="AY776" s="127"/>
      <c r="AZ776" s="127"/>
      <c r="BA776" s="122"/>
      <c r="BB776" s="122"/>
      <c r="BC776" s="125"/>
      <c r="BD776" s="125"/>
      <c r="BE776" s="125"/>
      <c r="BF776" s="123"/>
      <c r="BG776" s="125"/>
      <c r="BH776" s="125"/>
      <c r="BI776" s="125"/>
      <c r="BJ776" s="125"/>
      <c r="BK776" s="125"/>
      <c r="BL776" s="125"/>
      <c r="BM776" s="123"/>
      <c r="BN776" s="114"/>
      <c r="BO776" s="114"/>
      <c r="BP776" s="114"/>
      <c r="BQ776" s="114"/>
      <c r="BR776" s="114"/>
      <c r="BS776" s="114"/>
      <c r="BT776" s="114"/>
      <c r="BU776" s="114"/>
      <c r="BV776" s="114"/>
      <c r="BW776" s="114"/>
      <c r="BX776" s="114"/>
      <c r="BY776" s="114"/>
      <c r="BZ776" s="114"/>
      <c r="CA776" s="114"/>
      <c r="CB776" s="114"/>
      <c r="CC776" s="114"/>
      <c r="CD776" s="114"/>
      <c r="CE776" s="114"/>
      <c r="CF776" s="114"/>
      <c r="CG776" s="114"/>
      <c r="CH776" s="114"/>
      <c r="CI776" s="114"/>
      <c r="CJ776" s="114"/>
      <c r="CK776" s="114"/>
      <c r="CL776" s="114"/>
      <c r="CM776" s="114"/>
      <c r="CN776" s="128"/>
      <c r="CO776" s="128"/>
      <c r="CP776" s="128"/>
      <c r="CQ776" s="128"/>
      <c r="CR776" s="128"/>
      <c r="CS776" s="128"/>
      <c r="CT776" s="128"/>
      <c r="CU776" s="128"/>
      <c r="CV776" s="128"/>
      <c r="CW776" s="128"/>
      <c r="CX776" s="128"/>
      <c r="CY776" s="128"/>
    </row>
    <row r="777" spans="1:103" ht="11.25" customHeight="1" x14ac:dyDescent="0.3">
      <c r="A777" s="113"/>
      <c r="B777" s="113"/>
      <c r="C777" s="113"/>
      <c r="D777" s="114"/>
      <c r="E777" s="114"/>
      <c r="F777" s="115"/>
      <c r="G777" s="116"/>
      <c r="H777" s="117"/>
      <c r="I777" s="117"/>
      <c r="J777" s="114"/>
      <c r="K777" s="118"/>
      <c r="L777" s="119"/>
      <c r="M777" s="120"/>
      <c r="N777" s="117"/>
      <c r="O777" s="116"/>
      <c r="P777" s="116"/>
      <c r="Q777" s="116"/>
      <c r="R777" s="113"/>
      <c r="S777" s="121"/>
      <c r="T777" s="115"/>
      <c r="U777" s="117"/>
      <c r="V777" s="122"/>
      <c r="W777" s="122"/>
      <c r="X777" s="122"/>
      <c r="Y777" s="122"/>
      <c r="Z777" s="122"/>
      <c r="AA777" s="122"/>
      <c r="AB777" s="122"/>
      <c r="AC777" s="122"/>
      <c r="AD777" s="122"/>
      <c r="AE777" s="122"/>
      <c r="AF777" s="122"/>
      <c r="AG777" s="122"/>
      <c r="AH777" s="122"/>
      <c r="AI777" s="123"/>
      <c r="AJ777" s="122"/>
      <c r="AK777" s="122"/>
      <c r="AL777" s="122"/>
      <c r="AM777" s="122"/>
      <c r="AN777" s="122"/>
      <c r="AO777" s="122"/>
      <c r="AP777" s="124"/>
      <c r="AQ777" s="122"/>
      <c r="AR777" s="122"/>
      <c r="AS777" s="122"/>
      <c r="AT777" s="122"/>
      <c r="AU777" s="122"/>
      <c r="AV777" s="124"/>
      <c r="AW777" s="125"/>
      <c r="AX777" s="126"/>
      <c r="AY777" s="127"/>
      <c r="AZ777" s="127"/>
      <c r="BA777" s="122"/>
      <c r="BB777" s="122"/>
      <c r="BC777" s="125"/>
      <c r="BD777" s="125"/>
      <c r="BE777" s="125"/>
      <c r="BF777" s="123"/>
      <c r="BG777" s="125"/>
      <c r="BH777" s="125"/>
      <c r="BI777" s="125"/>
      <c r="BJ777" s="125"/>
      <c r="BK777" s="125"/>
      <c r="BL777" s="125"/>
      <c r="BM777" s="123"/>
      <c r="BN777" s="114"/>
      <c r="BO777" s="114"/>
      <c r="BP777" s="114"/>
      <c r="BQ777" s="114"/>
      <c r="BR777" s="114"/>
      <c r="BS777" s="114"/>
      <c r="BT777" s="114"/>
      <c r="BU777" s="114"/>
      <c r="BV777" s="114"/>
      <c r="BW777" s="114"/>
      <c r="BX777" s="114"/>
      <c r="BY777" s="114"/>
      <c r="BZ777" s="114"/>
      <c r="CA777" s="114"/>
      <c r="CB777" s="114"/>
      <c r="CC777" s="114"/>
      <c r="CD777" s="114"/>
      <c r="CE777" s="114"/>
      <c r="CF777" s="114"/>
      <c r="CG777" s="114"/>
      <c r="CH777" s="114"/>
      <c r="CI777" s="114"/>
      <c r="CJ777" s="114"/>
      <c r="CK777" s="114"/>
      <c r="CL777" s="114"/>
      <c r="CM777" s="114"/>
      <c r="CN777" s="128"/>
      <c r="CO777" s="128"/>
      <c r="CP777" s="128"/>
      <c r="CQ777" s="128"/>
      <c r="CR777" s="128"/>
      <c r="CS777" s="128"/>
      <c r="CT777" s="128"/>
      <c r="CU777" s="128"/>
      <c r="CV777" s="128"/>
      <c r="CW777" s="128"/>
      <c r="CX777" s="128"/>
      <c r="CY777" s="128"/>
    </row>
    <row r="778" spans="1:103" ht="11.25" customHeight="1" x14ac:dyDescent="0.3">
      <c r="A778" s="113"/>
      <c r="B778" s="113"/>
      <c r="C778" s="113"/>
      <c r="D778" s="114"/>
      <c r="E778" s="114"/>
      <c r="F778" s="115"/>
      <c r="G778" s="116"/>
      <c r="H778" s="117"/>
      <c r="I778" s="117"/>
      <c r="J778" s="114"/>
      <c r="K778" s="118"/>
      <c r="L778" s="119"/>
      <c r="M778" s="120"/>
      <c r="N778" s="117"/>
      <c r="O778" s="116"/>
      <c r="P778" s="116"/>
      <c r="Q778" s="116"/>
      <c r="R778" s="113"/>
      <c r="S778" s="121"/>
      <c r="T778" s="115"/>
      <c r="U778" s="117"/>
      <c r="V778" s="122"/>
      <c r="W778" s="122"/>
      <c r="X778" s="122"/>
      <c r="Y778" s="122"/>
      <c r="Z778" s="122"/>
      <c r="AA778" s="122"/>
      <c r="AB778" s="122"/>
      <c r="AC778" s="122"/>
      <c r="AD778" s="122"/>
      <c r="AE778" s="122"/>
      <c r="AF778" s="122"/>
      <c r="AG778" s="122"/>
      <c r="AH778" s="122"/>
      <c r="AI778" s="123"/>
      <c r="AJ778" s="122"/>
      <c r="AK778" s="122"/>
      <c r="AL778" s="122"/>
      <c r="AM778" s="122"/>
      <c r="AN778" s="122"/>
      <c r="AO778" s="122"/>
      <c r="AP778" s="124"/>
      <c r="AQ778" s="122"/>
      <c r="AR778" s="122"/>
      <c r="AS778" s="122"/>
      <c r="AT778" s="122"/>
      <c r="AU778" s="122"/>
      <c r="AV778" s="124"/>
      <c r="AW778" s="125"/>
      <c r="AX778" s="126"/>
      <c r="AY778" s="127"/>
      <c r="AZ778" s="127"/>
      <c r="BA778" s="122"/>
      <c r="BB778" s="122"/>
      <c r="BC778" s="125"/>
      <c r="BD778" s="125"/>
      <c r="BE778" s="125"/>
      <c r="BF778" s="123"/>
      <c r="BG778" s="125"/>
      <c r="BH778" s="125"/>
      <c r="BI778" s="125"/>
      <c r="BJ778" s="125"/>
      <c r="BK778" s="125"/>
      <c r="BL778" s="125"/>
      <c r="BM778" s="123"/>
      <c r="BN778" s="114"/>
      <c r="BO778" s="114"/>
      <c r="BP778" s="114"/>
      <c r="BQ778" s="114"/>
      <c r="BR778" s="114"/>
      <c r="BS778" s="114"/>
      <c r="BT778" s="114"/>
      <c r="BU778" s="114"/>
      <c r="BV778" s="114"/>
      <c r="BW778" s="114"/>
      <c r="BX778" s="114"/>
      <c r="BY778" s="114"/>
      <c r="BZ778" s="114"/>
      <c r="CA778" s="114"/>
      <c r="CB778" s="114"/>
      <c r="CC778" s="114"/>
      <c r="CD778" s="114"/>
      <c r="CE778" s="114"/>
      <c r="CF778" s="114"/>
      <c r="CG778" s="114"/>
      <c r="CH778" s="114"/>
      <c r="CI778" s="114"/>
      <c r="CJ778" s="114"/>
      <c r="CK778" s="114"/>
      <c r="CL778" s="114"/>
      <c r="CM778" s="114"/>
      <c r="CN778" s="128"/>
      <c r="CO778" s="128"/>
      <c r="CP778" s="128"/>
      <c r="CQ778" s="128"/>
      <c r="CR778" s="128"/>
      <c r="CS778" s="128"/>
      <c r="CT778" s="128"/>
      <c r="CU778" s="128"/>
      <c r="CV778" s="128"/>
      <c r="CW778" s="128"/>
      <c r="CX778" s="128"/>
      <c r="CY778" s="128"/>
    </row>
    <row r="779" spans="1:103" ht="11.25" customHeight="1" x14ac:dyDescent="0.3">
      <c r="A779" s="113"/>
      <c r="B779" s="113"/>
      <c r="C779" s="113"/>
      <c r="D779" s="114"/>
      <c r="E779" s="114"/>
      <c r="F779" s="115"/>
      <c r="G779" s="116"/>
      <c r="H779" s="117"/>
      <c r="I779" s="117"/>
      <c r="J779" s="114"/>
      <c r="K779" s="118"/>
      <c r="L779" s="119"/>
      <c r="M779" s="120"/>
      <c r="N779" s="117"/>
      <c r="O779" s="116"/>
      <c r="P779" s="116"/>
      <c r="Q779" s="116"/>
      <c r="R779" s="113"/>
      <c r="S779" s="121"/>
      <c r="T779" s="115"/>
      <c r="U779" s="117"/>
      <c r="V779" s="122"/>
      <c r="W779" s="122"/>
      <c r="X779" s="122"/>
      <c r="Y779" s="122"/>
      <c r="Z779" s="122"/>
      <c r="AA779" s="122"/>
      <c r="AB779" s="122"/>
      <c r="AC779" s="122"/>
      <c r="AD779" s="122"/>
      <c r="AE779" s="122"/>
      <c r="AF779" s="122"/>
      <c r="AG779" s="122"/>
      <c r="AH779" s="122"/>
      <c r="AI779" s="123"/>
      <c r="AJ779" s="122"/>
      <c r="AK779" s="122"/>
      <c r="AL779" s="122"/>
      <c r="AM779" s="122"/>
      <c r="AN779" s="122"/>
      <c r="AO779" s="122"/>
      <c r="AP779" s="124"/>
      <c r="AQ779" s="122"/>
      <c r="AR779" s="122"/>
      <c r="AS779" s="122"/>
      <c r="AT779" s="122"/>
      <c r="AU779" s="122"/>
      <c r="AV779" s="124"/>
      <c r="AW779" s="125"/>
      <c r="AX779" s="126"/>
      <c r="AY779" s="127"/>
      <c r="AZ779" s="127"/>
      <c r="BA779" s="122"/>
      <c r="BB779" s="122"/>
      <c r="BC779" s="125"/>
      <c r="BD779" s="125"/>
      <c r="BE779" s="125"/>
      <c r="BF779" s="123"/>
      <c r="BG779" s="125"/>
      <c r="BH779" s="125"/>
      <c r="BI779" s="125"/>
      <c r="BJ779" s="125"/>
      <c r="BK779" s="125"/>
      <c r="BL779" s="125"/>
      <c r="BM779" s="123"/>
      <c r="BN779" s="114"/>
      <c r="BO779" s="114"/>
      <c r="BP779" s="114"/>
      <c r="BQ779" s="114"/>
      <c r="BR779" s="114"/>
      <c r="BS779" s="114"/>
      <c r="BT779" s="114"/>
      <c r="BU779" s="114"/>
      <c r="BV779" s="114"/>
      <c r="BW779" s="114"/>
      <c r="BX779" s="114"/>
      <c r="BY779" s="114"/>
      <c r="BZ779" s="114"/>
      <c r="CA779" s="114"/>
      <c r="CB779" s="114"/>
      <c r="CC779" s="114"/>
      <c r="CD779" s="114"/>
      <c r="CE779" s="114"/>
      <c r="CF779" s="114"/>
      <c r="CG779" s="114"/>
      <c r="CH779" s="114"/>
      <c r="CI779" s="114"/>
      <c r="CJ779" s="114"/>
      <c r="CK779" s="114"/>
      <c r="CL779" s="114"/>
      <c r="CM779" s="114"/>
      <c r="CN779" s="128"/>
      <c r="CO779" s="128"/>
      <c r="CP779" s="128"/>
      <c r="CQ779" s="128"/>
      <c r="CR779" s="128"/>
      <c r="CS779" s="128"/>
      <c r="CT779" s="128"/>
      <c r="CU779" s="128"/>
      <c r="CV779" s="128"/>
      <c r="CW779" s="128"/>
      <c r="CX779" s="128"/>
      <c r="CY779" s="128"/>
    </row>
    <row r="780" spans="1:103" ht="11.25" customHeight="1" x14ac:dyDescent="0.3">
      <c r="A780" s="113"/>
      <c r="B780" s="113"/>
      <c r="C780" s="113"/>
      <c r="D780" s="114"/>
      <c r="E780" s="114"/>
      <c r="F780" s="115"/>
      <c r="G780" s="116"/>
      <c r="H780" s="117"/>
      <c r="I780" s="117"/>
      <c r="J780" s="114"/>
      <c r="K780" s="118"/>
      <c r="L780" s="119"/>
      <c r="M780" s="120"/>
      <c r="N780" s="117"/>
      <c r="O780" s="116"/>
      <c r="P780" s="116"/>
      <c r="Q780" s="116"/>
      <c r="R780" s="113"/>
      <c r="S780" s="121"/>
      <c r="T780" s="115"/>
      <c r="U780" s="117"/>
      <c r="V780" s="122"/>
      <c r="W780" s="122"/>
      <c r="X780" s="122"/>
      <c r="Y780" s="122"/>
      <c r="Z780" s="122"/>
      <c r="AA780" s="122"/>
      <c r="AB780" s="122"/>
      <c r="AC780" s="122"/>
      <c r="AD780" s="122"/>
      <c r="AE780" s="122"/>
      <c r="AF780" s="122"/>
      <c r="AG780" s="122"/>
      <c r="AH780" s="122"/>
      <c r="AI780" s="123"/>
      <c r="AJ780" s="122"/>
      <c r="AK780" s="122"/>
      <c r="AL780" s="122"/>
      <c r="AM780" s="122"/>
      <c r="AN780" s="122"/>
      <c r="AO780" s="122"/>
      <c r="AP780" s="124"/>
      <c r="AQ780" s="122"/>
      <c r="AR780" s="122"/>
      <c r="AS780" s="122"/>
      <c r="AT780" s="122"/>
      <c r="AU780" s="122"/>
      <c r="AV780" s="124"/>
      <c r="AW780" s="125"/>
      <c r="AX780" s="126"/>
      <c r="AY780" s="127"/>
      <c r="AZ780" s="127"/>
      <c r="BA780" s="122"/>
      <c r="BB780" s="122"/>
      <c r="BC780" s="125"/>
      <c r="BD780" s="125"/>
      <c r="BE780" s="125"/>
      <c r="BF780" s="123"/>
      <c r="BG780" s="125"/>
      <c r="BH780" s="125"/>
      <c r="BI780" s="125"/>
      <c r="BJ780" s="125"/>
      <c r="BK780" s="125"/>
      <c r="BL780" s="125"/>
      <c r="BM780" s="123"/>
      <c r="BN780" s="114"/>
      <c r="BO780" s="114"/>
      <c r="BP780" s="114"/>
      <c r="BQ780" s="114"/>
      <c r="BR780" s="114"/>
      <c r="BS780" s="114"/>
      <c r="BT780" s="114"/>
      <c r="BU780" s="114"/>
      <c r="BV780" s="114"/>
      <c r="BW780" s="114"/>
      <c r="BX780" s="114"/>
      <c r="BY780" s="114"/>
      <c r="BZ780" s="114"/>
      <c r="CA780" s="114"/>
      <c r="CB780" s="114"/>
      <c r="CC780" s="114"/>
      <c r="CD780" s="114"/>
      <c r="CE780" s="114"/>
      <c r="CF780" s="114"/>
      <c r="CG780" s="114"/>
      <c r="CH780" s="114"/>
      <c r="CI780" s="114"/>
      <c r="CJ780" s="114"/>
      <c r="CK780" s="114"/>
      <c r="CL780" s="114"/>
      <c r="CM780" s="114"/>
      <c r="CN780" s="128"/>
      <c r="CO780" s="128"/>
      <c r="CP780" s="128"/>
      <c r="CQ780" s="128"/>
      <c r="CR780" s="128"/>
      <c r="CS780" s="128"/>
      <c r="CT780" s="128"/>
      <c r="CU780" s="128"/>
      <c r="CV780" s="128"/>
      <c r="CW780" s="128"/>
      <c r="CX780" s="128"/>
      <c r="CY780" s="128"/>
    </row>
    <row r="781" spans="1:103" ht="11.25" customHeight="1" x14ac:dyDescent="0.3">
      <c r="A781" s="113"/>
      <c r="B781" s="113"/>
      <c r="C781" s="113"/>
      <c r="D781" s="114"/>
      <c r="E781" s="114"/>
      <c r="F781" s="115"/>
      <c r="G781" s="116"/>
      <c r="H781" s="117"/>
      <c r="I781" s="117"/>
      <c r="J781" s="114"/>
      <c r="K781" s="118"/>
      <c r="L781" s="119"/>
      <c r="M781" s="120"/>
      <c r="N781" s="117"/>
      <c r="O781" s="116"/>
      <c r="P781" s="116"/>
      <c r="Q781" s="116"/>
      <c r="R781" s="113"/>
      <c r="S781" s="121"/>
      <c r="T781" s="115"/>
      <c r="U781" s="117"/>
      <c r="V781" s="122"/>
      <c r="W781" s="122"/>
      <c r="X781" s="122"/>
      <c r="Y781" s="122"/>
      <c r="Z781" s="122"/>
      <c r="AA781" s="122"/>
      <c r="AB781" s="122"/>
      <c r="AC781" s="122"/>
      <c r="AD781" s="122"/>
      <c r="AE781" s="122"/>
      <c r="AF781" s="122"/>
      <c r="AG781" s="122"/>
      <c r="AH781" s="122"/>
      <c r="AI781" s="123"/>
      <c r="AJ781" s="122"/>
      <c r="AK781" s="122"/>
      <c r="AL781" s="122"/>
      <c r="AM781" s="122"/>
      <c r="AN781" s="122"/>
      <c r="AO781" s="122"/>
      <c r="AP781" s="124"/>
      <c r="AQ781" s="122"/>
      <c r="AR781" s="122"/>
      <c r="AS781" s="122"/>
      <c r="AT781" s="122"/>
      <c r="AU781" s="122"/>
      <c r="AV781" s="124"/>
      <c r="AW781" s="125"/>
      <c r="AX781" s="126"/>
      <c r="AY781" s="127"/>
      <c r="AZ781" s="127"/>
      <c r="BA781" s="122"/>
      <c r="BB781" s="122"/>
      <c r="BC781" s="125"/>
      <c r="BD781" s="125"/>
      <c r="BE781" s="125"/>
      <c r="BF781" s="123"/>
      <c r="BG781" s="125"/>
      <c r="BH781" s="125"/>
      <c r="BI781" s="125"/>
      <c r="BJ781" s="125"/>
      <c r="BK781" s="125"/>
      <c r="BL781" s="125"/>
      <c r="BM781" s="123"/>
      <c r="BN781" s="114"/>
      <c r="BO781" s="114"/>
      <c r="BP781" s="114"/>
      <c r="BQ781" s="114"/>
      <c r="BR781" s="114"/>
      <c r="BS781" s="114"/>
      <c r="BT781" s="114"/>
      <c r="BU781" s="114"/>
      <c r="BV781" s="114"/>
      <c r="BW781" s="114"/>
      <c r="BX781" s="114"/>
      <c r="BY781" s="114"/>
      <c r="BZ781" s="114"/>
      <c r="CA781" s="114"/>
      <c r="CB781" s="114"/>
      <c r="CC781" s="114"/>
      <c r="CD781" s="114"/>
      <c r="CE781" s="114"/>
      <c r="CF781" s="114"/>
      <c r="CG781" s="114"/>
      <c r="CH781" s="114"/>
      <c r="CI781" s="114"/>
      <c r="CJ781" s="114"/>
      <c r="CK781" s="114"/>
      <c r="CL781" s="114"/>
      <c r="CM781" s="114"/>
      <c r="CN781" s="128"/>
      <c r="CO781" s="128"/>
      <c r="CP781" s="128"/>
      <c r="CQ781" s="128"/>
      <c r="CR781" s="128"/>
      <c r="CS781" s="128"/>
      <c r="CT781" s="128"/>
      <c r="CU781" s="128"/>
      <c r="CV781" s="128"/>
      <c r="CW781" s="128"/>
      <c r="CX781" s="128"/>
      <c r="CY781" s="128"/>
    </row>
    <row r="782" spans="1:103" ht="11.25" customHeight="1" x14ac:dyDescent="0.3">
      <c r="A782" s="113"/>
      <c r="B782" s="113"/>
      <c r="C782" s="113"/>
      <c r="D782" s="114"/>
      <c r="E782" s="114"/>
      <c r="F782" s="115"/>
      <c r="G782" s="116"/>
      <c r="H782" s="117"/>
      <c r="I782" s="117"/>
      <c r="J782" s="114"/>
      <c r="K782" s="118"/>
      <c r="L782" s="119"/>
      <c r="M782" s="120"/>
      <c r="N782" s="117"/>
      <c r="O782" s="116"/>
      <c r="P782" s="116"/>
      <c r="Q782" s="116"/>
      <c r="R782" s="113"/>
      <c r="S782" s="121"/>
      <c r="T782" s="115"/>
      <c r="U782" s="117"/>
      <c r="V782" s="122"/>
      <c r="W782" s="122"/>
      <c r="X782" s="122"/>
      <c r="Y782" s="122"/>
      <c r="Z782" s="122"/>
      <c r="AA782" s="122"/>
      <c r="AB782" s="122"/>
      <c r="AC782" s="122"/>
      <c r="AD782" s="122"/>
      <c r="AE782" s="122"/>
      <c r="AF782" s="122"/>
      <c r="AG782" s="122"/>
      <c r="AH782" s="122"/>
      <c r="AI782" s="123"/>
      <c r="AJ782" s="122"/>
      <c r="AK782" s="122"/>
      <c r="AL782" s="122"/>
      <c r="AM782" s="122"/>
      <c r="AN782" s="122"/>
      <c r="AO782" s="122"/>
      <c r="AP782" s="124"/>
      <c r="AQ782" s="122"/>
      <c r="AR782" s="122"/>
      <c r="AS782" s="122"/>
      <c r="AT782" s="122"/>
      <c r="AU782" s="122"/>
      <c r="AV782" s="124"/>
      <c r="AW782" s="125"/>
      <c r="AX782" s="126"/>
      <c r="AY782" s="127"/>
      <c r="AZ782" s="127"/>
      <c r="BA782" s="122"/>
      <c r="BB782" s="122"/>
      <c r="BC782" s="125"/>
      <c r="BD782" s="125"/>
      <c r="BE782" s="125"/>
      <c r="BF782" s="123"/>
      <c r="BG782" s="125"/>
      <c r="BH782" s="125"/>
      <c r="BI782" s="125"/>
      <c r="BJ782" s="125"/>
      <c r="BK782" s="125"/>
      <c r="BL782" s="125"/>
      <c r="BM782" s="123"/>
      <c r="BN782" s="114"/>
      <c r="BO782" s="114"/>
      <c r="BP782" s="114"/>
      <c r="BQ782" s="114"/>
      <c r="BR782" s="114"/>
      <c r="BS782" s="114"/>
      <c r="BT782" s="114"/>
      <c r="BU782" s="114"/>
      <c r="BV782" s="114"/>
      <c r="BW782" s="114"/>
      <c r="BX782" s="114"/>
      <c r="BY782" s="114"/>
      <c r="BZ782" s="114"/>
      <c r="CA782" s="114"/>
      <c r="CB782" s="114"/>
      <c r="CC782" s="114"/>
      <c r="CD782" s="114"/>
      <c r="CE782" s="114"/>
      <c r="CF782" s="114"/>
      <c r="CG782" s="114"/>
      <c r="CH782" s="114"/>
      <c r="CI782" s="114"/>
      <c r="CJ782" s="114"/>
      <c r="CK782" s="114"/>
      <c r="CL782" s="114"/>
      <c r="CM782" s="114"/>
      <c r="CN782" s="128"/>
      <c r="CO782" s="128"/>
      <c r="CP782" s="128"/>
      <c r="CQ782" s="128"/>
      <c r="CR782" s="128"/>
      <c r="CS782" s="128"/>
      <c r="CT782" s="128"/>
      <c r="CU782" s="128"/>
      <c r="CV782" s="128"/>
      <c r="CW782" s="128"/>
      <c r="CX782" s="128"/>
      <c r="CY782" s="128"/>
    </row>
    <row r="783" spans="1:103" ht="11.25" customHeight="1" x14ac:dyDescent="0.3">
      <c r="A783" s="113"/>
      <c r="B783" s="113"/>
      <c r="C783" s="113"/>
      <c r="D783" s="114"/>
      <c r="E783" s="114"/>
      <c r="F783" s="115"/>
      <c r="G783" s="116"/>
      <c r="H783" s="117"/>
      <c r="I783" s="117"/>
      <c r="J783" s="114"/>
      <c r="K783" s="118"/>
      <c r="L783" s="119"/>
      <c r="M783" s="120"/>
      <c r="N783" s="117"/>
      <c r="O783" s="116"/>
      <c r="P783" s="116"/>
      <c r="Q783" s="116"/>
      <c r="R783" s="113"/>
      <c r="S783" s="121"/>
      <c r="T783" s="115"/>
      <c r="U783" s="117"/>
      <c r="V783" s="122"/>
      <c r="W783" s="122"/>
      <c r="X783" s="122"/>
      <c r="Y783" s="122"/>
      <c r="Z783" s="122"/>
      <c r="AA783" s="122"/>
      <c r="AB783" s="122"/>
      <c r="AC783" s="122"/>
      <c r="AD783" s="122"/>
      <c r="AE783" s="122"/>
      <c r="AF783" s="122"/>
      <c r="AG783" s="122"/>
      <c r="AH783" s="122"/>
      <c r="AI783" s="123"/>
      <c r="AJ783" s="122"/>
      <c r="AK783" s="122"/>
      <c r="AL783" s="122"/>
      <c r="AM783" s="122"/>
      <c r="AN783" s="122"/>
      <c r="AO783" s="122"/>
      <c r="AP783" s="124"/>
      <c r="AQ783" s="122"/>
      <c r="AR783" s="122"/>
      <c r="AS783" s="122"/>
      <c r="AT783" s="122"/>
      <c r="AU783" s="122"/>
      <c r="AV783" s="124"/>
      <c r="AW783" s="125"/>
      <c r="AX783" s="126"/>
      <c r="AY783" s="127"/>
      <c r="AZ783" s="127"/>
      <c r="BA783" s="122"/>
      <c r="BB783" s="122"/>
      <c r="BC783" s="125"/>
      <c r="BD783" s="125"/>
      <c r="BE783" s="125"/>
      <c r="BF783" s="123"/>
      <c r="BG783" s="125"/>
      <c r="BH783" s="125"/>
      <c r="BI783" s="125"/>
      <c r="BJ783" s="125"/>
      <c r="BK783" s="125"/>
      <c r="BL783" s="125"/>
      <c r="BM783" s="123"/>
      <c r="BN783" s="114"/>
      <c r="BO783" s="114"/>
      <c r="BP783" s="114"/>
      <c r="BQ783" s="114"/>
      <c r="BR783" s="114"/>
      <c r="BS783" s="114"/>
      <c r="BT783" s="114"/>
      <c r="BU783" s="114"/>
      <c r="BV783" s="114"/>
      <c r="BW783" s="114"/>
      <c r="BX783" s="114"/>
      <c r="BY783" s="114"/>
      <c r="BZ783" s="114"/>
      <c r="CA783" s="114"/>
      <c r="CB783" s="114"/>
      <c r="CC783" s="114"/>
      <c r="CD783" s="114"/>
      <c r="CE783" s="114"/>
      <c r="CF783" s="114"/>
      <c r="CG783" s="114"/>
      <c r="CH783" s="114"/>
      <c r="CI783" s="114"/>
      <c r="CJ783" s="114"/>
      <c r="CK783" s="114"/>
      <c r="CL783" s="114"/>
      <c r="CM783" s="114"/>
      <c r="CN783" s="128"/>
      <c r="CO783" s="128"/>
      <c r="CP783" s="128"/>
      <c r="CQ783" s="128"/>
      <c r="CR783" s="128"/>
      <c r="CS783" s="128"/>
      <c r="CT783" s="128"/>
      <c r="CU783" s="128"/>
      <c r="CV783" s="128"/>
      <c r="CW783" s="128"/>
      <c r="CX783" s="128"/>
      <c r="CY783" s="128"/>
    </row>
    <row r="784" spans="1:103" ht="11.25" customHeight="1" x14ac:dyDescent="0.3">
      <c r="A784" s="113"/>
      <c r="B784" s="113"/>
      <c r="C784" s="113"/>
      <c r="D784" s="114"/>
      <c r="E784" s="114"/>
      <c r="F784" s="115"/>
      <c r="G784" s="116"/>
      <c r="H784" s="117"/>
      <c r="I784" s="117"/>
      <c r="J784" s="114"/>
      <c r="K784" s="118"/>
      <c r="L784" s="119"/>
      <c r="M784" s="120"/>
      <c r="N784" s="117"/>
      <c r="O784" s="116"/>
      <c r="P784" s="116"/>
      <c r="Q784" s="116"/>
      <c r="R784" s="113"/>
      <c r="S784" s="121"/>
      <c r="T784" s="115"/>
      <c r="U784" s="117"/>
      <c r="V784" s="122"/>
      <c r="W784" s="122"/>
      <c r="X784" s="122"/>
      <c r="Y784" s="122"/>
      <c r="Z784" s="122"/>
      <c r="AA784" s="122"/>
      <c r="AB784" s="122"/>
      <c r="AC784" s="122"/>
      <c r="AD784" s="122"/>
      <c r="AE784" s="122"/>
      <c r="AF784" s="122"/>
      <c r="AG784" s="122"/>
      <c r="AH784" s="122"/>
      <c r="AI784" s="123"/>
      <c r="AJ784" s="122"/>
      <c r="AK784" s="122"/>
      <c r="AL784" s="122"/>
      <c r="AM784" s="122"/>
      <c r="AN784" s="122"/>
      <c r="AO784" s="122"/>
      <c r="AP784" s="124"/>
      <c r="AQ784" s="122"/>
      <c r="AR784" s="122"/>
      <c r="AS784" s="122"/>
      <c r="AT784" s="122"/>
      <c r="AU784" s="122"/>
      <c r="AV784" s="124"/>
      <c r="AW784" s="125"/>
      <c r="AX784" s="126"/>
      <c r="AY784" s="127"/>
      <c r="AZ784" s="127"/>
      <c r="BA784" s="122"/>
      <c r="BB784" s="122"/>
      <c r="BC784" s="125"/>
      <c r="BD784" s="125"/>
      <c r="BE784" s="125"/>
      <c r="BF784" s="123"/>
      <c r="BG784" s="125"/>
      <c r="BH784" s="125"/>
      <c r="BI784" s="125"/>
      <c r="BJ784" s="125"/>
      <c r="BK784" s="125"/>
      <c r="BL784" s="125"/>
      <c r="BM784" s="123"/>
      <c r="BN784" s="114"/>
      <c r="BO784" s="114"/>
      <c r="BP784" s="114"/>
      <c r="BQ784" s="114"/>
      <c r="BR784" s="114"/>
      <c r="BS784" s="114"/>
      <c r="BT784" s="114"/>
      <c r="BU784" s="114"/>
      <c r="BV784" s="114"/>
      <c r="BW784" s="114"/>
      <c r="BX784" s="114"/>
      <c r="BY784" s="114"/>
      <c r="BZ784" s="114"/>
      <c r="CA784" s="114"/>
      <c r="CB784" s="114"/>
      <c r="CC784" s="114"/>
      <c r="CD784" s="114"/>
      <c r="CE784" s="114"/>
      <c r="CF784" s="114"/>
      <c r="CG784" s="114"/>
      <c r="CH784" s="114"/>
      <c r="CI784" s="114"/>
      <c r="CJ784" s="114"/>
      <c r="CK784" s="114"/>
      <c r="CL784" s="114"/>
      <c r="CM784" s="114"/>
      <c r="CN784" s="128"/>
      <c r="CO784" s="128"/>
      <c r="CP784" s="128"/>
      <c r="CQ784" s="128"/>
      <c r="CR784" s="128"/>
      <c r="CS784" s="128"/>
      <c r="CT784" s="128"/>
      <c r="CU784" s="128"/>
      <c r="CV784" s="128"/>
      <c r="CW784" s="128"/>
      <c r="CX784" s="128"/>
      <c r="CY784" s="128"/>
    </row>
    <row r="785" spans="1:103" ht="11.25" customHeight="1" x14ac:dyDescent="0.3">
      <c r="A785" s="113"/>
      <c r="B785" s="113"/>
      <c r="C785" s="113"/>
      <c r="D785" s="114"/>
      <c r="E785" s="114"/>
      <c r="F785" s="115"/>
      <c r="G785" s="116"/>
      <c r="H785" s="117"/>
      <c r="I785" s="117"/>
      <c r="J785" s="114"/>
      <c r="K785" s="118"/>
      <c r="L785" s="119"/>
      <c r="M785" s="120"/>
      <c r="N785" s="117"/>
      <c r="O785" s="116"/>
      <c r="P785" s="116"/>
      <c r="Q785" s="116"/>
      <c r="R785" s="113"/>
      <c r="S785" s="121"/>
      <c r="T785" s="115"/>
      <c r="U785" s="117"/>
      <c r="V785" s="122"/>
      <c r="W785" s="122"/>
      <c r="X785" s="122"/>
      <c r="Y785" s="122"/>
      <c r="Z785" s="122"/>
      <c r="AA785" s="122"/>
      <c r="AB785" s="122"/>
      <c r="AC785" s="122"/>
      <c r="AD785" s="122"/>
      <c r="AE785" s="122"/>
      <c r="AF785" s="122"/>
      <c r="AG785" s="122"/>
      <c r="AH785" s="122"/>
      <c r="AI785" s="123"/>
      <c r="AJ785" s="122"/>
      <c r="AK785" s="122"/>
      <c r="AL785" s="122"/>
      <c r="AM785" s="122"/>
      <c r="AN785" s="122"/>
      <c r="AO785" s="122"/>
      <c r="AP785" s="124"/>
      <c r="AQ785" s="122"/>
      <c r="AR785" s="122"/>
      <c r="AS785" s="122"/>
      <c r="AT785" s="122"/>
      <c r="AU785" s="122"/>
      <c r="AV785" s="124"/>
      <c r="AW785" s="125"/>
      <c r="AX785" s="126"/>
      <c r="AY785" s="127"/>
      <c r="AZ785" s="127"/>
      <c r="BA785" s="122"/>
      <c r="BB785" s="122"/>
      <c r="BC785" s="125"/>
      <c r="BD785" s="125"/>
      <c r="BE785" s="125"/>
      <c r="BF785" s="123"/>
      <c r="BG785" s="125"/>
      <c r="BH785" s="125"/>
      <c r="BI785" s="125"/>
      <c r="BJ785" s="125"/>
      <c r="BK785" s="125"/>
      <c r="BL785" s="125"/>
      <c r="BM785" s="123"/>
      <c r="BN785" s="114"/>
      <c r="BO785" s="114"/>
      <c r="BP785" s="114"/>
      <c r="BQ785" s="114"/>
      <c r="BR785" s="114"/>
      <c r="BS785" s="114"/>
      <c r="BT785" s="114"/>
      <c r="BU785" s="114"/>
      <c r="BV785" s="114"/>
      <c r="BW785" s="114"/>
      <c r="BX785" s="114"/>
      <c r="BY785" s="114"/>
      <c r="BZ785" s="114"/>
      <c r="CA785" s="114"/>
      <c r="CB785" s="114"/>
      <c r="CC785" s="114"/>
      <c r="CD785" s="114"/>
      <c r="CE785" s="114"/>
      <c r="CF785" s="114"/>
      <c r="CG785" s="114"/>
      <c r="CH785" s="114"/>
      <c r="CI785" s="114"/>
      <c r="CJ785" s="114"/>
      <c r="CK785" s="114"/>
      <c r="CL785" s="114"/>
      <c r="CM785" s="114"/>
      <c r="CN785" s="128"/>
      <c r="CO785" s="128"/>
      <c r="CP785" s="128"/>
      <c r="CQ785" s="128"/>
      <c r="CR785" s="128"/>
      <c r="CS785" s="128"/>
      <c r="CT785" s="128"/>
      <c r="CU785" s="128"/>
      <c r="CV785" s="128"/>
      <c r="CW785" s="128"/>
      <c r="CX785" s="128"/>
      <c r="CY785" s="128"/>
    </row>
    <row r="786" spans="1:103" ht="11.25" customHeight="1" x14ac:dyDescent="0.3">
      <c r="A786" s="113"/>
      <c r="B786" s="113"/>
      <c r="C786" s="113"/>
      <c r="D786" s="114"/>
      <c r="E786" s="114"/>
      <c r="F786" s="115"/>
      <c r="G786" s="116"/>
      <c r="H786" s="117"/>
      <c r="I786" s="117"/>
      <c r="J786" s="114"/>
      <c r="K786" s="118"/>
      <c r="L786" s="119"/>
      <c r="M786" s="120"/>
      <c r="N786" s="117"/>
      <c r="O786" s="116"/>
      <c r="P786" s="116"/>
      <c r="Q786" s="116"/>
      <c r="R786" s="113"/>
      <c r="S786" s="121"/>
      <c r="T786" s="115"/>
      <c r="U786" s="117"/>
      <c r="V786" s="122"/>
      <c r="W786" s="122"/>
      <c r="X786" s="122"/>
      <c r="Y786" s="122"/>
      <c r="Z786" s="122"/>
      <c r="AA786" s="122"/>
      <c r="AB786" s="122"/>
      <c r="AC786" s="122"/>
      <c r="AD786" s="122"/>
      <c r="AE786" s="122"/>
      <c r="AF786" s="122"/>
      <c r="AG786" s="122"/>
      <c r="AH786" s="122"/>
      <c r="AI786" s="123"/>
      <c r="AJ786" s="122"/>
      <c r="AK786" s="122"/>
      <c r="AL786" s="122"/>
      <c r="AM786" s="122"/>
      <c r="AN786" s="122"/>
      <c r="AO786" s="122"/>
      <c r="AP786" s="124"/>
      <c r="AQ786" s="122"/>
      <c r="AR786" s="122"/>
      <c r="AS786" s="122"/>
      <c r="AT786" s="122"/>
      <c r="AU786" s="122"/>
      <c r="AV786" s="124"/>
      <c r="AW786" s="125"/>
      <c r="AX786" s="126"/>
      <c r="AY786" s="127"/>
      <c r="AZ786" s="127"/>
      <c r="BA786" s="122"/>
      <c r="BB786" s="122"/>
      <c r="BC786" s="125"/>
      <c r="BD786" s="125"/>
      <c r="BE786" s="125"/>
      <c r="BF786" s="123"/>
      <c r="BG786" s="125"/>
      <c r="BH786" s="125"/>
      <c r="BI786" s="125"/>
      <c r="BJ786" s="125"/>
      <c r="BK786" s="125"/>
      <c r="BL786" s="125"/>
      <c r="BM786" s="123"/>
      <c r="BN786" s="114"/>
      <c r="BO786" s="114"/>
      <c r="BP786" s="114"/>
      <c r="BQ786" s="114"/>
      <c r="BR786" s="114"/>
      <c r="BS786" s="114"/>
      <c r="BT786" s="114"/>
      <c r="BU786" s="114"/>
      <c r="BV786" s="114"/>
      <c r="BW786" s="114"/>
      <c r="BX786" s="114"/>
      <c r="BY786" s="114"/>
      <c r="BZ786" s="114"/>
      <c r="CA786" s="114"/>
      <c r="CB786" s="114"/>
      <c r="CC786" s="114"/>
      <c r="CD786" s="114"/>
      <c r="CE786" s="114"/>
      <c r="CF786" s="114"/>
      <c r="CG786" s="114"/>
      <c r="CH786" s="114"/>
      <c r="CI786" s="114"/>
      <c r="CJ786" s="114"/>
      <c r="CK786" s="114"/>
      <c r="CL786" s="114"/>
      <c r="CM786" s="114"/>
      <c r="CN786" s="128"/>
      <c r="CO786" s="128"/>
      <c r="CP786" s="128"/>
      <c r="CQ786" s="128"/>
      <c r="CR786" s="128"/>
      <c r="CS786" s="128"/>
      <c r="CT786" s="128"/>
      <c r="CU786" s="128"/>
      <c r="CV786" s="128"/>
      <c r="CW786" s="128"/>
      <c r="CX786" s="128"/>
      <c r="CY786" s="128"/>
    </row>
    <row r="787" spans="1:103" ht="11.25" customHeight="1" x14ac:dyDescent="0.3">
      <c r="A787" s="113"/>
      <c r="B787" s="113"/>
      <c r="C787" s="113"/>
      <c r="D787" s="114"/>
      <c r="E787" s="114"/>
      <c r="F787" s="115"/>
      <c r="G787" s="116"/>
      <c r="H787" s="117"/>
      <c r="I787" s="117"/>
      <c r="J787" s="114"/>
      <c r="K787" s="118"/>
      <c r="L787" s="119"/>
      <c r="M787" s="120"/>
      <c r="N787" s="117"/>
      <c r="O787" s="116"/>
      <c r="P787" s="116"/>
      <c r="Q787" s="116"/>
      <c r="R787" s="113"/>
      <c r="S787" s="121"/>
      <c r="T787" s="115"/>
      <c r="U787" s="117"/>
      <c r="V787" s="122"/>
      <c r="W787" s="122"/>
      <c r="X787" s="122"/>
      <c r="Y787" s="122"/>
      <c r="Z787" s="122"/>
      <c r="AA787" s="122"/>
      <c r="AB787" s="122"/>
      <c r="AC787" s="122"/>
      <c r="AD787" s="122"/>
      <c r="AE787" s="122"/>
      <c r="AF787" s="122"/>
      <c r="AG787" s="122"/>
      <c r="AH787" s="122"/>
      <c r="AI787" s="123"/>
      <c r="AJ787" s="122"/>
      <c r="AK787" s="122"/>
      <c r="AL787" s="122"/>
      <c r="AM787" s="122"/>
      <c r="AN787" s="122"/>
      <c r="AO787" s="122"/>
      <c r="AP787" s="124"/>
      <c r="AQ787" s="122"/>
      <c r="AR787" s="122"/>
      <c r="AS787" s="122"/>
      <c r="AT787" s="122"/>
      <c r="AU787" s="122"/>
      <c r="AV787" s="124"/>
      <c r="AW787" s="125"/>
      <c r="AX787" s="126"/>
      <c r="AY787" s="127"/>
      <c r="AZ787" s="127"/>
      <c r="BA787" s="122"/>
      <c r="BB787" s="122"/>
      <c r="BC787" s="125"/>
      <c r="BD787" s="125"/>
      <c r="BE787" s="125"/>
      <c r="BF787" s="123"/>
      <c r="BG787" s="125"/>
      <c r="BH787" s="125"/>
      <c r="BI787" s="125"/>
      <c r="BJ787" s="125"/>
      <c r="BK787" s="125"/>
      <c r="BL787" s="125"/>
      <c r="BM787" s="123"/>
      <c r="BN787" s="114"/>
      <c r="BO787" s="114"/>
      <c r="BP787" s="114"/>
      <c r="BQ787" s="114"/>
      <c r="BR787" s="114"/>
      <c r="BS787" s="114"/>
      <c r="BT787" s="114"/>
      <c r="BU787" s="114"/>
      <c r="BV787" s="114"/>
      <c r="BW787" s="114"/>
      <c r="BX787" s="114"/>
      <c r="BY787" s="114"/>
      <c r="BZ787" s="114"/>
      <c r="CA787" s="114"/>
      <c r="CB787" s="114"/>
      <c r="CC787" s="114"/>
      <c r="CD787" s="114"/>
      <c r="CE787" s="114"/>
      <c r="CF787" s="114"/>
      <c r="CG787" s="114"/>
      <c r="CH787" s="114"/>
      <c r="CI787" s="114"/>
      <c r="CJ787" s="114"/>
      <c r="CK787" s="114"/>
      <c r="CL787" s="114"/>
      <c r="CM787" s="114"/>
      <c r="CN787" s="128"/>
      <c r="CO787" s="128"/>
      <c r="CP787" s="128"/>
      <c r="CQ787" s="128"/>
      <c r="CR787" s="128"/>
      <c r="CS787" s="128"/>
      <c r="CT787" s="128"/>
      <c r="CU787" s="128"/>
      <c r="CV787" s="128"/>
      <c r="CW787" s="128"/>
      <c r="CX787" s="128"/>
      <c r="CY787" s="128"/>
    </row>
    <row r="788" spans="1:103" ht="11.25" customHeight="1" x14ac:dyDescent="0.3">
      <c r="A788" s="113"/>
      <c r="B788" s="113"/>
      <c r="C788" s="113"/>
      <c r="D788" s="114"/>
      <c r="E788" s="114"/>
      <c r="F788" s="115"/>
      <c r="G788" s="116"/>
      <c r="H788" s="117"/>
      <c r="I788" s="117"/>
      <c r="J788" s="114"/>
      <c r="K788" s="118"/>
      <c r="L788" s="119"/>
      <c r="M788" s="120"/>
      <c r="N788" s="117"/>
      <c r="O788" s="116"/>
      <c r="P788" s="116"/>
      <c r="Q788" s="116"/>
      <c r="R788" s="113"/>
      <c r="S788" s="121"/>
      <c r="T788" s="115"/>
      <c r="U788" s="117"/>
      <c r="V788" s="122"/>
      <c r="W788" s="122"/>
      <c r="X788" s="122"/>
      <c r="Y788" s="122"/>
      <c r="Z788" s="122"/>
      <c r="AA788" s="122"/>
      <c r="AB788" s="122"/>
      <c r="AC788" s="122"/>
      <c r="AD788" s="122"/>
      <c r="AE788" s="122"/>
      <c r="AF788" s="122"/>
      <c r="AG788" s="122"/>
      <c r="AH788" s="122"/>
      <c r="AI788" s="123"/>
      <c r="AJ788" s="122"/>
      <c r="AK788" s="122"/>
      <c r="AL788" s="122"/>
      <c r="AM788" s="122"/>
      <c r="AN788" s="122"/>
      <c r="AO788" s="122"/>
      <c r="AP788" s="124"/>
      <c r="AQ788" s="122"/>
      <c r="AR788" s="122"/>
      <c r="AS788" s="122"/>
      <c r="AT788" s="122"/>
      <c r="AU788" s="122"/>
      <c r="AV788" s="124"/>
      <c r="AW788" s="125"/>
      <c r="AX788" s="126"/>
      <c r="AY788" s="127"/>
      <c r="AZ788" s="127"/>
      <c r="BA788" s="122"/>
      <c r="BB788" s="122"/>
      <c r="BC788" s="125"/>
      <c r="BD788" s="125"/>
      <c r="BE788" s="125"/>
      <c r="BF788" s="123"/>
      <c r="BG788" s="125"/>
      <c r="BH788" s="125"/>
      <c r="BI788" s="125"/>
      <c r="BJ788" s="125"/>
      <c r="BK788" s="125"/>
      <c r="BL788" s="125"/>
      <c r="BM788" s="123"/>
      <c r="BN788" s="114"/>
      <c r="BO788" s="114"/>
      <c r="BP788" s="114"/>
      <c r="BQ788" s="114"/>
      <c r="BR788" s="114"/>
      <c r="BS788" s="114"/>
      <c r="BT788" s="114"/>
      <c r="BU788" s="114"/>
      <c r="BV788" s="114"/>
      <c r="BW788" s="114"/>
      <c r="BX788" s="114"/>
      <c r="BY788" s="114"/>
      <c r="BZ788" s="114"/>
      <c r="CA788" s="114"/>
      <c r="CB788" s="114"/>
      <c r="CC788" s="114"/>
      <c r="CD788" s="114"/>
      <c r="CE788" s="114"/>
      <c r="CF788" s="114"/>
      <c r="CG788" s="114"/>
      <c r="CH788" s="114"/>
      <c r="CI788" s="114"/>
      <c r="CJ788" s="114"/>
      <c r="CK788" s="114"/>
      <c r="CL788" s="114"/>
      <c r="CM788" s="114"/>
      <c r="CN788" s="128"/>
      <c r="CO788" s="128"/>
      <c r="CP788" s="128"/>
      <c r="CQ788" s="128"/>
      <c r="CR788" s="128"/>
      <c r="CS788" s="128"/>
      <c r="CT788" s="128"/>
      <c r="CU788" s="128"/>
      <c r="CV788" s="128"/>
      <c r="CW788" s="128"/>
      <c r="CX788" s="128"/>
      <c r="CY788" s="128"/>
    </row>
    <row r="789" spans="1:103" ht="11.25" customHeight="1" x14ac:dyDescent="0.3">
      <c r="A789" s="113"/>
      <c r="B789" s="113"/>
      <c r="C789" s="113"/>
      <c r="D789" s="114"/>
      <c r="E789" s="114"/>
      <c r="F789" s="115"/>
      <c r="G789" s="116"/>
      <c r="H789" s="117"/>
      <c r="I789" s="117"/>
      <c r="J789" s="114"/>
      <c r="K789" s="118"/>
      <c r="L789" s="119"/>
      <c r="M789" s="120"/>
      <c r="N789" s="117"/>
      <c r="O789" s="116"/>
      <c r="P789" s="116"/>
      <c r="Q789" s="116"/>
      <c r="R789" s="113"/>
      <c r="S789" s="121"/>
      <c r="T789" s="115"/>
      <c r="U789" s="117"/>
      <c r="V789" s="122"/>
      <c r="W789" s="122"/>
      <c r="X789" s="122"/>
      <c r="Y789" s="122"/>
      <c r="Z789" s="122"/>
      <c r="AA789" s="122"/>
      <c r="AB789" s="122"/>
      <c r="AC789" s="122"/>
      <c r="AD789" s="122"/>
      <c r="AE789" s="122"/>
      <c r="AF789" s="122"/>
      <c r="AG789" s="122"/>
      <c r="AH789" s="122"/>
      <c r="AI789" s="123"/>
      <c r="AJ789" s="122"/>
      <c r="AK789" s="122"/>
      <c r="AL789" s="122"/>
      <c r="AM789" s="122"/>
      <c r="AN789" s="122"/>
      <c r="AO789" s="122"/>
      <c r="AP789" s="124"/>
      <c r="AQ789" s="122"/>
      <c r="AR789" s="122"/>
      <c r="AS789" s="122"/>
      <c r="AT789" s="122"/>
      <c r="AU789" s="122"/>
      <c r="AV789" s="124"/>
      <c r="AW789" s="125"/>
      <c r="AX789" s="126"/>
      <c r="AY789" s="127"/>
      <c r="AZ789" s="127"/>
      <c r="BA789" s="122"/>
      <c r="BB789" s="122"/>
      <c r="BC789" s="125"/>
      <c r="BD789" s="125"/>
      <c r="BE789" s="125"/>
      <c r="BF789" s="123"/>
      <c r="BG789" s="125"/>
      <c r="BH789" s="125"/>
      <c r="BI789" s="125"/>
      <c r="BJ789" s="125"/>
      <c r="BK789" s="125"/>
      <c r="BL789" s="125"/>
      <c r="BM789" s="123"/>
      <c r="BN789" s="114"/>
      <c r="BO789" s="114"/>
      <c r="BP789" s="114"/>
      <c r="BQ789" s="114"/>
      <c r="BR789" s="114"/>
      <c r="BS789" s="114"/>
      <c r="BT789" s="114"/>
      <c r="BU789" s="114"/>
      <c r="BV789" s="114"/>
      <c r="BW789" s="114"/>
      <c r="BX789" s="114"/>
      <c r="BY789" s="114"/>
      <c r="BZ789" s="114"/>
      <c r="CA789" s="114"/>
      <c r="CB789" s="114"/>
      <c r="CC789" s="114"/>
      <c r="CD789" s="114"/>
      <c r="CE789" s="114"/>
      <c r="CF789" s="114"/>
      <c r="CG789" s="114"/>
      <c r="CH789" s="114"/>
      <c r="CI789" s="114"/>
      <c r="CJ789" s="114"/>
      <c r="CK789" s="114"/>
      <c r="CL789" s="114"/>
      <c r="CM789" s="114"/>
      <c r="CN789" s="128"/>
      <c r="CO789" s="128"/>
      <c r="CP789" s="128"/>
      <c r="CQ789" s="128"/>
      <c r="CR789" s="128"/>
      <c r="CS789" s="128"/>
      <c r="CT789" s="128"/>
      <c r="CU789" s="128"/>
      <c r="CV789" s="128"/>
      <c r="CW789" s="128"/>
      <c r="CX789" s="128"/>
      <c r="CY789" s="128"/>
    </row>
    <row r="790" spans="1:103" ht="11.25" customHeight="1" x14ac:dyDescent="0.3">
      <c r="A790" s="113"/>
      <c r="B790" s="113"/>
      <c r="C790" s="113"/>
      <c r="D790" s="114"/>
      <c r="E790" s="114"/>
      <c r="F790" s="115"/>
      <c r="G790" s="116"/>
      <c r="H790" s="117"/>
      <c r="I790" s="117"/>
      <c r="J790" s="114"/>
      <c r="K790" s="118"/>
      <c r="L790" s="119"/>
      <c r="M790" s="120"/>
      <c r="N790" s="117"/>
      <c r="O790" s="116"/>
      <c r="P790" s="116"/>
      <c r="Q790" s="116"/>
      <c r="R790" s="113"/>
      <c r="S790" s="121"/>
      <c r="T790" s="115"/>
      <c r="U790" s="117"/>
      <c r="V790" s="122"/>
      <c r="W790" s="122"/>
      <c r="X790" s="122"/>
      <c r="Y790" s="122"/>
      <c r="Z790" s="122"/>
      <c r="AA790" s="122"/>
      <c r="AB790" s="122"/>
      <c r="AC790" s="122"/>
      <c r="AD790" s="122"/>
      <c r="AE790" s="122"/>
      <c r="AF790" s="122"/>
      <c r="AG790" s="122"/>
      <c r="AH790" s="122"/>
      <c r="AI790" s="123"/>
      <c r="AJ790" s="122"/>
      <c r="AK790" s="122"/>
      <c r="AL790" s="122"/>
      <c r="AM790" s="122"/>
      <c r="AN790" s="122"/>
      <c r="AO790" s="122"/>
      <c r="AP790" s="124"/>
      <c r="AQ790" s="122"/>
      <c r="AR790" s="122"/>
      <c r="AS790" s="122"/>
      <c r="AT790" s="122"/>
      <c r="AU790" s="122"/>
      <c r="AV790" s="124"/>
      <c r="AW790" s="125"/>
      <c r="AX790" s="126"/>
      <c r="AY790" s="127"/>
      <c r="AZ790" s="127"/>
      <c r="BA790" s="122"/>
      <c r="BB790" s="122"/>
      <c r="BC790" s="125"/>
      <c r="BD790" s="125"/>
      <c r="BE790" s="125"/>
      <c r="BF790" s="123"/>
      <c r="BG790" s="125"/>
      <c r="BH790" s="125"/>
      <c r="BI790" s="125"/>
      <c r="BJ790" s="125"/>
      <c r="BK790" s="125"/>
      <c r="BL790" s="125"/>
      <c r="BM790" s="123"/>
      <c r="BN790" s="114"/>
      <c r="BO790" s="114"/>
      <c r="BP790" s="114"/>
      <c r="BQ790" s="114"/>
      <c r="BR790" s="114"/>
      <c r="BS790" s="114"/>
      <c r="BT790" s="114"/>
      <c r="BU790" s="114"/>
      <c r="BV790" s="114"/>
      <c r="BW790" s="114"/>
      <c r="BX790" s="114"/>
      <c r="BY790" s="114"/>
      <c r="BZ790" s="114"/>
      <c r="CA790" s="114"/>
      <c r="CB790" s="114"/>
      <c r="CC790" s="114"/>
      <c r="CD790" s="114"/>
      <c r="CE790" s="114"/>
      <c r="CF790" s="114"/>
      <c r="CG790" s="114"/>
      <c r="CH790" s="114"/>
      <c r="CI790" s="114"/>
      <c r="CJ790" s="114"/>
      <c r="CK790" s="114"/>
      <c r="CL790" s="114"/>
      <c r="CM790" s="114"/>
      <c r="CN790" s="128"/>
      <c r="CO790" s="128"/>
      <c r="CP790" s="128"/>
      <c r="CQ790" s="128"/>
      <c r="CR790" s="128"/>
      <c r="CS790" s="128"/>
      <c r="CT790" s="128"/>
      <c r="CU790" s="128"/>
      <c r="CV790" s="128"/>
      <c r="CW790" s="128"/>
      <c r="CX790" s="128"/>
      <c r="CY790" s="128"/>
    </row>
    <row r="791" spans="1:103" ht="11.25" customHeight="1" x14ac:dyDescent="0.3">
      <c r="A791" s="113"/>
      <c r="B791" s="113"/>
      <c r="C791" s="113"/>
      <c r="D791" s="114"/>
      <c r="E791" s="114"/>
      <c r="F791" s="115"/>
      <c r="G791" s="116"/>
      <c r="H791" s="117"/>
      <c r="I791" s="117"/>
      <c r="J791" s="114"/>
      <c r="K791" s="118"/>
      <c r="L791" s="119"/>
      <c r="M791" s="120"/>
      <c r="N791" s="117"/>
      <c r="O791" s="116"/>
      <c r="P791" s="116"/>
      <c r="Q791" s="116"/>
      <c r="R791" s="113"/>
      <c r="S791" s="121"/>
      <c r="T791" s="115"/>
      <c r="U791" s="117"/>
      <c r="V791" s="122"/>
      <c r="W791" s="122"/>
      <c r="X791" s="122"/>
      <c r="Y791" s="122"/>
      <c r="Z791" s="122"/>
      <c r="AA791" s="122"/>
      <c r="AB791" s="122"/>
      <c r="AC791" s="122"/>
      <c r="AD791" s="122"/>
      <c r="AE791" s="122"/>
      <c r="AF791" s="122"/>
      <c r="AG791" s="122"/>
      <c r="AH791" s="122"/>
      <c r="AI791" s="123"/>
      <c r="AJ791" s="122"/>
      <c r="AK791" s="122"/>
      <c r="AL791" s="122"/>
      <c r="AM791" s="122"/>
      <c r="AN791" s="122"/>
      <c r="AO791" s="122"/>
      <c r="AP791" s="124"/>
      <c r="AQ791" s="122"/>
      <c r="AR791" s="122"/>
      <c r="AS791" s="122"/>
      <c r="AT791" s="122"/>
      <c r="AU791" s="122"/>
      <c r="AV791" s="124"/>
      <c r="AW791" s="125"/>
      <c r="AX791" s="126"/>
      <c r="AY791" s="127"/>
      <c r="AZ791" s="127"/>
      <c r="BA791" s="122"/>
      <c r="BB791" s="122"/>
      <c r="BC791" s="125"/>
      <c r="BD791" s="125"/>
      <c r="BE791" s="125"/>
      <c r="BF791" s="123"/>
      <c r="BG791" s="125"/>
      <c r="BH791" s="125"/>
      <c r="BI791" s="125"/>
      <c r="BJ791" s="125"/>
      <c r="BK791" s="125"/>
      <c r="BL791" s="125"/>
      <c r="BM791" s="123"/>
      <c r="BN791" s="114"/>
      <c r="BO791" s="114"/>
      <c r="BP791" s="114"/>
      <c r="BQ791" s="114"/>
      <c r="BR791" s="114"/>
      <c r="BS791" s="114"/>
      <c r="BT791" s="114"/>
      <c r="BU791" s="114"/>
      <c r="BV791" s="114"/>
      <c r="BW791" s="114"/>
      <c r="BX791" s="114"/>
      <c r="BY791" s="114"/>
      <c r="BZ791" s="114"/>
      <c r="CA791" s="114"/>
      <c r="CB791" s="114"/>
      <c r="CC791" s="114"/>
      <c r="CD791" s="114"/>
      <c r="CE791" s="114"/>
      <c r="CF791" s="114"/>
      <c r="CG791" s="114"/>
      <c r="CH791" s="114"/>
      <c r="CI791" s="114"/>
      <c r="CJ791" s="114"/>
      <c r="CK791" s="114"/>
      <c r="CL791" s="114"/>
      <c r="CM791" s="114"/>
      <c r="CN791" s="128"/>
      <c r="CO791" s="128"/>
      <c r="CP791" s="128"/>
      <c r="CQ791" s="128"/>
      <c r="CR791" s="128"/>
      <c r="CS791" s="128"/>
      <c r="CT791" s="128"/>
      <c r="CU791" s="128"/>
      <c r="CV791" s="128"/>
      <c r="CW791" s="128"/>
      <c r="CX791" s="128"/>
      <c r="CY791" s="128"/>
    </row>
    <row r="792" spans="1:103" ht="11.25" customHeight="1" x14ac:dyDescent="0.3">
      <c r="A792" s="113"/>
      <c r="B792" s="113"/>
      <c r="C792" s="113"/>
      <c r="D792" s="114"/>
      <c r="E792" s="114"/>
      <c r="F792" s="115"/>
      <c r="G792" s="116"/>
      <c r="H792" s="117"/>
      <c r="I792" s="117"/>
      <c r="J792" s="114"/>
      <c r="K792" s="118"/>
      <c r="L792" s="119"/>
      <c r="M792" s="120"/>
      <c r="N792" s="117"/>
      <c r="O792" s="116"/>
      <c r="P792" s="116"/>
      <c r="Q792" s="116"/>
      <c r="R792" s="113"/>
      <c r="S792" s="121"/>
      <c r="T792" s="115"/>
      <c r="U792" s="117"/>
      <c r="V792" s="122"/>
      <c r="W792" s="122"/>
      <c r="X792" s="122"/>
      <c r="Y792" s="122"/>
      <c r="Z792" s="122"/>
      <c r="AA792" s="122"/>
      <c r="AB792" s="122"/>
      <c r="AC792" s="122"/>
      <c r="AD792" s="122"/>
      <c r="AE792" s="122"/>
      <c r="AF792" s="122"/>
      <c r="AG792" s="122"/>
      <c r="AH792" s="122"/>
      <c r="AI792" s="123"/>
      <c r="AJ792" s="122"/>
      <c r="AK792" s="122"/>
      <c r="AL792" s="122"/>
      <c r="AM792" s="122"/>
      <c r="AN792" s="122"/>
      <c r="AO792" s="122"/>
      <c r="AP792" s="124"/>
      <c r="AQ792" s="122"/>
      <c r="AR792" s="122"/>
      <c r="AS792" s="122"/>
      <c r="AT792" s="122"/>
      <c r="AU792" s="122"/>
      <c r="AV792" s="124"/>
      <c r="AW792" s="125"/>
      <c r="AX792" s="126"/>
      <c r="AY792" s="127"/>
      <c r="AZ792" s="127"/>
      <c r="BA792" s="122"/>
      <c r="BB792" s="122"/>
      <c r="BC792" s="125"/>
      <c r="BD792" s="125"/>
      <c r="BE792" s="125"/>
      <c r="BF792" s="123"/>
      <c r="BG792" s="125"/>
      <c r="BH792" s="125"/>
      <c r="BI792" s="125"/>
      <c r="BJ792" s="125"/>
      <c r="BK792" s="125"/>
      <c r="BL792" s="125"/>
      <c r="BM792" s="123"/>
      <c r="BN792" s="114"/>
      <c r="BO792" s="114"/>
      <c r="BP792" s="114"/>
      <c r="BQ792" s="114"/>
      <c r="BR792" s="114"/>
      <c r="BS792" s="114"/>
      <c r="BT792" s="114"/>
      <c r="BU792" s="114"/>
      <c r="BV792" s="114"/>
      <c r="BW792" s="114"/>
      <c r="BX792" s="114"/>
      <c r="BY792" s="114"/>
      <c r="BZ792" s="114"/>
      <c r="CA792" s="114"/>
      <c r="CB792" s="114"/>
      <c r="CC792" s="114"/>
      <c r="CD792" s="114"/>
      <c r="CE792" s="114"/>
      <c r="CF792" s="114"/>
      <c r="CG792" s="114"/>
      <c r="CH792" s="114"/>
      <c r="CI792" s="114"/>
      <c r="CJ792" s="114"/>
      <c r="CK792" s="114"/>
      <c r="CL792" s="114"/>
      <c r="CM792" s="114"/>
      <c r="CN792" s="128"/>
      <c r="CO792" s="128"/>
      <c r="CP792" s="128"/>
      <c r="CQ792" s="128"/>
      <c r="CR792" s="128"/>
      <c r="CS792" s="128"/>
      <c r="CT792" s="128"/>
      <c r="CU792" s="128"/>
      <c r="CV792" s="128"/>
      <c r="CW792" s="128"/>
      <c r="CX792" s="128"/>
      <c r="CY792" s="128"/>
    </row>
    <row r="793" spans="1:103" ht="11.25" customHeight="1" x14ac:dyDescent="0.3">
      <c r="A793" s="113"/>
      <c r="B793" s="113"/>
      <c r="C793" s="113"/>
      <c r="D793" s="114"/>
      <c r="E793" s="114"/>
      <c r="F793" s="115"/>
      <c r="G793" s="116"/>
      <c r="H793" s="117"/>
      <c r="I793" s="117"/>
      <c r="J793" s="114"/>
      <c r="K793" s="118"/>
      <c r="L793" s="119"/>
      <c r="M793" s="120"/>
      <c r="N793" s="117"/>
      <c r="O793" s="116"/>
      <c r="P793" s="116"/>
      <c r="Q793" s="116"/>
      <c r="R793" s="113"/>
      <c r="S793" s="121"/>
      <c r="T793" s="115"/>
      <c r="U793" s="117"/>
      <c r="V793" s="122"/>
      <c r="W793" s="122"/>
      <c r="X793" s="122"/>
      <c r="Y793" s="122"/>
      <c r="Z793" s="122"/>
      <c r="AA793" s="122"/>
      <c r="AB793" s="122"/>
      <c r="AC793" s="122"/>
      <c r="AD793" s="122"/>
      <c r="AE793" s="122"/>
      <c r="AF793" s="122"/>
      <c r="AG793" s="122"/>
      <c r="AH793" s="122"/>
      <c r="AI793" s="123"/>
      <c r="AJ793" s="122"/>
      <c r="AK793" s="122"/>
      <c r="AL793" s="122"/>
      <c r="AM793" s="122"/>
      <c r="AN793" s="122"/>
      <c r="AO793" s="122"/>
      <c r="AP793" s="124"/>
      <c r="AQ793" s="122"/>
      <c r="AR793" s="122"/>
      <c r="AS793" s="122"/>
      <c r="AT793" s="122"/>
      <c r="AU793" s="122"/>
      <c r="AV793" s="124"/>
      <c r="AW793" s="125"/>
      <c r="AX793" s="126"/>
      <c r="AY793" s="127"/>
      <c r="AZ793" s="127"/>
      <c r="BA793" s="122"/>
      <c r="BB793" s="122"/>
      <c r="BC793" s="125"/>
      <c r="BD793" s="125"/>
      <c r="BE793" s="125"/>
      <c r="BF793" s="123"/>
      <c r="BG793" s="125"/>
      <c r="BH793" s="125"/>
      <c r="BI793" s="125"/>
      <c r="BJ793" s="125"/>
      <c r="BK793" s="125"/>
      <c r="BL793" s="125"/>
      <c r="BM793" s="123"/>
      <c r="BN793" s="114"/>
      <c r="BO793" s="114"/>
      <c r="BP793" s="114"/>
      <c r="BQ793" s="114"/>
      <c r="BR793" s="114"/>
      <c r="BS793" s="114"/>
      <c r="BT793" s="114"/>
      <c r="BU793" s="114"/>
      <c r="BV793" s="114"/>
      <c r="BW793" s="114"/>
      <c r="BX793" s="114"/>
      <c r="BY793" s="114"/>
      <c r="BZ793" s="114"/>
      <c r="CA793" s="114"/>
      <c r="CB793" s="114"/>
      <c r="CC793" s="114"/>
      <c r="CD793" s="114"/>
      <c r="CE793" s="114"/>
      <c r="CF793" s="114"/>
      <c r="CG793" s="114"/>
      <c r="CH793" s="114"/>
      <c r="CI793" s="114"/>
      <c r="CJ793" s="114"/>
      <c r="CK793" s="114"/>
      <c r="CL793" s="114"/>
      <c r="CM793" s="114"/>
      <c r="CN793" s="128"/>
      <c r="CO793" s="128"/>
      <c r="CP793" s="128"/>
      <c r="CQ793" s="128"/>
      <c r="CR793" s="128"/>
      <c r="CS793" s="128"/>
      <c r="CT793" s="128"/>
      <c r="CU793" s="128"/>
      <c r="CV793" s="128"/>
      <c r="CW793" s="128"/>
      <c r="CX793" s="128"/>
      <c r="CY793" s="128"/>
    </row>
    <row r="794" spans="1:103" ht="11.25" customHeight="1" x14ac:dyDescent="0.3">
      <c r="A794" s="113"/>
      <c r="B794" s="113"/>
      <c r="C794" s="113"/>
      <c r="D794" s="114"/>
      <c r="E794" s="114"/>
      <c r="F794" s="115"/>
      <c r="G794" s="116"/>
      <c r="H794" s="117"/>
      <c r="I794" s="117"/>
      <c r="J794" s="114"/>
      <c r="K794" s="118"/>
      <c r="L794" s="119"/>
      <c r="M794" s="120"/>
      <c r="N794" s="117"/>
      <c r="O794" s="116"/>
      <c r="P794" s="116"/>
      <c r="Q794" s="116"/>
      <c r="R794" s="113"/>
      <c r="S794" s="121"/>
      <c r="T794" s="115"/>
      <c r="U794" s="117"/>
      <c r="V794" s="122"/>
      <c r="W794" s="122"/>
      <c r="X794" s="122"/>
      <c r="Y794" s="122"/>
      <c r="Z794" s="122"/>
      <c r="AA794" s="122"/>
      <c r="AB794" s="122"/>
      <c r="AC794" s="122"/>
      <c r="AD794" s="122"/>
      <c r="AE794" s="122"/>
      <c r="AF794" s="122"/>
      <c r="AG794" s="122"/>
      <c r="AH794" s="122"/>
      <c r="AI794" s="123"/>
      <c r="AJ794" s="122"/>
      <c r="AK794" s="122"/>
      <c r="AL794" s="122"/>
      <c r="AM794" s="122"/>
      <c r="AN794" s="122"/>
      <c r="AO794" s="122"/>
      <c r="AP794" s="124"/>
      <c r="AQ794" s="122"/>
      <c r="AR794" s="122"/>
      <c r="AS794" s="122"/>
      <c r="AT794" s="122"/>
      <c r="AU794" s="122"/>
      <c r="AV794" s="124"/>
      <c r="AW794" s="125"/>
      <c r="AX794" s="126"/>
      <c r="AY794" s="127"/>
      <c r="AZ794" s="127"/>
      <c r="BA794" s="122"/>
      <c r="BB794" s="122"/>
      <c r="BC794" s="125"/>
      <c r="BD794" s="125"/>
      <c r="BE794" s="125"/>
      <c r="BF794" s="123"/>
      <c r="BG794" s="125"/>
      <c r="BH794" s="125"/>
      <c r="BI794" s="125"/>
      <c r="BJ794" s="125"/>
      <c r="BK794" s="125"/>
      <c r="BL794" s="125"/>
      <c r="BM794" s="123"/>
      <c r="BN794" s="114"/>
      <c r="BO794" s="114"/>
      <c r="BP794" s="114"/>
      <c r="BQ794" s="114"/>
      <c r="BR794" s="114"/>
      <c r="BS794" s="114"/>
      <c r="BT794" s="114"/>
      <c r="BU794" s="114"/>
      <c r="BV794" s="114"/>
      <c r="BW794" s="114"/>
      <c r="BX794" s="114"/>
      <c r="BY794" s="114"/>
      <c r="BZ794" s="114"/>
      <c r="CA794" s="114"/>
      <c r="CB794" s="114"/>
      <c r="CC794" s="114"/>
      <c r="CD794" s="114"/>
      <c r="CE794" s="114"/>
      <c r="CF794" s="114"/>
      <c r="CG794" s="114"/>
      <c r="CH794" s="114"/>
      <c r="CI794" s="114"/>
      <c r="CJ794" s="114"/>
      <c r="CK794" s="114"/>
      <c r="CL794" s="114"/>
      <c r="CM794" s="114"/>
      <c r="CN794" s="128"/>
      <c r="CO794" s="128"/>
      <c r="CP794" s="128"/>
      <c r="CQ794" s="128"/>
      <c r="CR794" s="128"/>
      <c r="CS794" s="128"/>
      <c r="CT794" s="128"/>
      <c r="CU794" s="128"/>
      <c r="CV794" s="128"/>
      <c r="CW794" s="128"/>
      <c r="CX794" s="128"/>
      <c r="CY794" s="128"/>
    </row>
    <row r="795" spans="1:103" ht="11.25" customHeight="1" x14ac:dyDescent="0.3">
      <c r="A795" s="113"/>
      <c r="B795" s="113"/>
      <c r="C795" s="113"/>
      <c r="D795" s="114"/>
      <c r="E795" s="114"/>
      <c r="F795" s="115"/>
      <c r="G795" s="116"/>
      <c r="H795" s="117"/>
      <c r="I795" s="117"/>
      <c r="J795" s="114"/>
      <c r="K795" s="118"/>
      <c r="L795" s="119"/>
      <c r="M795" s="120"/>
      <c r="N795" s="117"/>
      <c r="O795" s="116"/>
      <c r="P795" s="116"/>
      <c r="Q795" s="116"/>
      <c r="R795" s="113"/>
      <c r="S795" s="121"/>
      <c r="T795" s="115"/>
      <c r="U795" s="117"/>
      <c r="V795" s="122"/>
      <c r="W795" s="122"/>
      <c r="X795" s="122"/>
      <c r="Y795" s="122"/>
      <c r="Z795" s="122"/>
      <c r="AA795" s="122"/>
      <c r="AB795" s="122"/>
      <c r="AC795" s="122"/>
      <c r="AD795" s="122"/>
      <c r="AE795" s="122"/>
      <c r="AF795" s="122"/>
      <c r="AG795" s="122"/>
      <c r="AH795" s="122"/>
      <c r="AI795" s="123"/>
      <c r="AJ795" s="122"/>
      <c r="AK795" s="122"/>
      <c r="AL795" s="122"/>
      <c r="AM795" s="122"/>
      <c r="AN795" s="122"/>
      <c r="AO795" s="122"/>
      <c r="AP795" s="124"/>
      <c r="AQ795" s="122"/>
      <c r="AR795" s="122"/>
      <c r="AS795" s="122"/>
      <c r="AT795" s="122"/>
      <c r="AU795" s="122"/>
      <c r="AV795" s="124"/>
      <c r="AW795" s="125"/>
      <c r="AX795" s="126"/>
      <c r="AY795" s="127"/>
      <c r="AZ795" s="127"/>
      <c r="BA795" s="122"/>
      <c r="BB795" s="122"/>
      <c r="BC795" s="125"/>
      <c r="BD795" s="125"/>
      <c r="BE795" s="125"/>
      <c r="BF795" s="123"/>
      <c r="BG795" s="125"/>
      <c r="BH795" s="125"/>
      <c r="BI795" s="125"/>
      <c r="BJ795" s="125"/>
      <c r="BK795" s="125"/>
      <c r="BL795" s="125"/>
      <c r="BM795" s="123"/>
      <c r="BN795" s="114"/>
      <c r="BO795" s="114"/>
      <c r="BP795" s="114"/>
      <c r="BQ795" s="114"/>
      <c r="BR795" s="114"/>
      <c r="BS795" s="114"/>
      <c r="BT795" s="114"/>
      <c r="BU795" s="114"/>
      <c r="BV795" s="114"/>
      <c r="BW795" s="114"/>
      <c r="BX795" s="114"/>
      <c r="BY795" s="114"/>
      <c r="BZ795" s="114"/>
      <c r="CA795" s="114"/>
      <c r="CB795" s="114"/>
      <c r="CC795" s="114"/>
      <c r="CD795" s="114"/>
      <c r="CE795" s="114"/>
      <c r="CF795" s="114"/>
      <c r="CG795" s="114"/>
      <c r="CH795" s="114"/>
      <c r="CI795" s="114"/>
      <c r="CJ795" s="114"/>
      <c r="CK795" s="114"/>
      <c r="CL795" s="114"/>
      <c r="CM795" s="114"/>
      <c r="CN795" s="128"/>
      <c r="CO795" s="128"/>
      <c r="CP795" s="128"/>
      <c r="CQ795" s="128"/>
      <c r="CR795" s="128"/>
      <c r="CS795" s="128"/>
      <c r="CT795" s="128"/>
      <c r="CU795" s="128"/>
      <c r="CV795" s="128"/>
      <c r="CW795" s="128"/>
      <c r="CX795" s="128"/>
      <c r="CY795" s="128"/>
    </row>
    <row r="796" spans="1:103" ht="11.25" customHeight="1" x14ac:dyDescent="0.3">
      <c r="A796" s="113"/>
      <c r="B796" s="113"/>
      <c r="C796" s="113"/>
      <c r="D796" s="114"/>
      <c r="E796" s="114"/>
      <c r="F796" s="115"/>
      <c r="G796" s="116"/>
      <c r="H796" s="117"/>
      <c r="I796" s="117"/>
      <c r="J796" s="114"/>
      <c r="K796" s="118"/>
      <c r="L796" s="119"/>
      <c r="M796" s="120"/>
      <c r="N796" s="117"/>
      <c r="O796" s="116"/>
      <c r="P796" s="116"/>
      <c r="Q796" s="116"/>
      <c r="R796" s="113"/>
      <c r="S796" s="121"/>
      <c r="T796" s="115"/>
      <c r="U796" s="117"/>
      <c r="V796" s="122"/>
      <c r="W796" s="122"/>
      <c r="X796" s="122"/>
      <c r="Y796" s="122"/>
      <c r="Z796" s="122"/>
      <c r="AA796" s="122"/>
      <c r="AB796" s="122"/>
      <c r="AC796" s="122"/>
      <c r="AD796" s="122"/>
      <c r="AE796" s="122"/>
      <c r="AF796" s="122"/>
      <c r="AG796" s="122"/>
      <c r="AH796" s="122"/>
      <c r="AI796" s="123"/>
      <c r="AJ796" s="122"/>
      <c r="AK796" s="122"/>
      <c r="AL796" s="122"/>
      <c r="AM796" s="122"/>
      <c r="AN796" s="122"/>
      <c r="AO796" s="122"/>
      <c r="AP796" s="124"/>
      <c r="AQ796" s="122"/>
      <c r="AR796" s="122"/>
      <c r="AS796" s="122"/>
      <c r="AT796" s="122"/>
      <c r="AU796" s="122"/>
      <c r="AV796" s="124"/>
      <c r="AW796" s="125"/>
      <c r="AX796" s="126"/>
      <c r="AY796" s="127"/>
      <c r="AZ796" s="127"/>
      <c r="BA796" s="122"/>
      <c r="BB796" s="122"/>
      <c r="BC796" s="125"/>
      <c r="BD796" s="125"/>
      <c r="BE796" s="125"/>
      <c r="BF796" s="123"/>
      <c r="BG796" s="125"/>
      <c r="BH796" s="125"/>
      <c r="BI796" s="125"/>
      <c r="BJ796" s="125"/>
      <c r="BK796" s="125"/>
      <c r="BL796" s="125"/>
      <c r="BM796" s="123"/>
      <c r="BN796" s="114"/>
      <c r="BO796" s="114"/>
      <c r="BP796" s="114"/>
      <c r="BQ796" s="114"/>
      <c r="BR796" s="114"/>
      <c r="BS796" s="114"/>
      <c r="BT796" s="114"/>
      <c r="BU796" s="114"/>
      <c r="BV796" s="114"/>
      <c r="BW796" s="114"/>
      <c r="BX796" s="114"/>
      <c r="BY796" s="114"/>
      <c r="BZ796" s="114"/>
      <c r="CA796" s="114"/>
      <c r="CB796" s="114"/>
      <c r="CC796" s="114"/>
      <c r="CD796" s="114"/>
      <c r="CE796" s="114"/>
      <c r="CF796" s="114"/>
      <c r="CG796" s="114"/>
      <c r="CH796" s="114"/>
      <c r="CI796" s="114"/>
      <c r="CJ796" s="114"/>
      <c r="CK796" s="114"/>
      <c r="CL796" s="114"/>
      <c r="CM796" s="114"/>
      <c r="CN796" s="128"/>
      <c r="CO796" s="128"/>
      <c r="CP796" s="128"/>
      <c r="CQ796" s="128"/>
      <c r="CR796" s="128"/>
      <c r="CS796" s="128"/>
      <c r="CT796" s="128"/>
      <c r="CU796" s="128"/>
      <c r="CV796" s="128"/>
      <c r="CW796" s="128"/>
      <c r="CX796" s="128"/>
      <c r="CY796" s="128"/>
    </row>
    <row r="797" spans="1:103" ht="11.25" customHeight="1" x14ac:dyDescent="0.3">
      <c r="A797" s="113"/>
      <c r="B797" s="113"/>
      <c r="C797" s="113"/>
      <c r="D797" s="114"/>
      <c r="E797" s="114"/>
      <c r="F797" s="115"/>
      <c r="G797" s="116"/>
      <c r="H797" s="117"/>
      <c r="I797" s="117"/>
      <c r="J797" s="114"/>
      <c r="K797" s="118"/>
      <c r="L797" s="119"/>
      <c r="M797" s="120"/>
      <c r="N797" s="117"/>
      <c r="O797" s="116"/>
      <c r="P797" s="116"/>
      <c r="Q797" s="116"/>
      <c r="R797" s="113"/>
      <c r="S797" s="121"/>
      <c r="T797" s="115"/>
      <c r="U797" s="117"/>
      <c r="V797" s="122"/>
      <c r="W797" s="122"/>
      <c r="X797" s="122"/>
      <c r="Y797" s="122"/>
      <c r="Z797" s="122"/>
      <c r="AA797" s="122"/>
      <c r="AB797" s="122"/>
      <c r="AC797" s="122"/>
      <c r="AD797" s="122"/>
      <c r="AE797" s="122"/>
      <c r="AF797" s="122"/>
      <c r="AG797" s="122"/>
      <c r="AH797" s="122"/>
      <c r="AI797" s="123"/>
      <c r="AJ797" s="122"/>
      <c r="AK797" s="122"/>
      <c r="AL797" s="122"/>
      <c r="AM797" s="122"/>
      <c r="AN797" s="122"/>
      <c r="AO797" s="122"/>
      <c r="AP797" s="124"/>
      <c r="AQ797" s="122"/>
      <c r="AR797" s="122"/>
      <c r="AS797" s="122"/>
      <c r="AT797" s="122"/>
      <c r="AU797" s="122"/>
      <c r="AV797" s="124"/>
      <c r="AW797" s="125"/>
      <c r="AX797" s="126"/>
      <c r="AY797" s="127"/>
      <c r="AZ797" s="127"/>
      <c r="BA797" s="122"/>
      <c r="BB797" s="122"/>
      <c r="BC797" s="125"/>
      <c r="BD797" s="125"/>
      <c r="BE797" s="125"/>
      <c r="BF797" s="123"/>
      <c r="BG797" s="125"/>
      <c r="BH797" s="125"/>
      <c r="BI797" s="125"/>
      <c r="BJ797" s="125"/>
      <c r="BK797" s="125"/>
      <c r="BL797" s="125"/>
      <c r="BM797" s="123"/>
      <c r="BN797" s="114"/>
      <c r="BO797" s="114"/>
      <c r="BP797" s="114"/>
      <c r="BQ797" s="114"/>
      <c r="BR797" s="114"/>
      <c r="BS797" s="114"/>
      <c r="BT797" s="114"/>
      <c r="BU797" s="114"/>
      <c r="BV797" s="114"/>
      <c r="BW797" s="114"/>
      <c r="BX797" s="114"/>
      <c r="BY797" s="114"/>
      <c r="BZ797" s="114"/>
      <c r="CA797" s="114"/>
      <c r="CB797" s="114"/>
      <c r="CC797" s="114"/>
      <c r="CD797" s="114"/>
      <c r="CE797" s="114"/>
      <c r="CF797" s="114"/>
      <c r="CG797" s="114"/>
      <c r="CH797" s="114"/>
      <c r="CI797" s="114"/>
      <c r="CJ797" s="114"/>
      <c r="CK797" s="114"/>
      <c r="CL797" s="114"/>
      <c r="CM797" s="114"/>
      <c r="CN797" s="128"/>
      <c r="CO797" s="128"/>
      <c r="CP797" s="128"/>
      <c r="CQ797" s="128"/>
      <c r="CR797" s="128"/>
      <c r="CS797" s="128"/>
      <c r="CT797" s="128"/>
      <c r="CU797" s="128"/>
      <c r="CV797" s="128"/>
      <c r="CW797" s="128"/>
      <c r="CX797" s="128"/>
      <c r="CY797" s="128"/>
    </row>
    <row r="798" spans="1:103" ht="11.25" customHeight="1" x14ac:dyDescent="0.3">
      <c r="A798" s="113"/>
      <c r="B798" s="113"/>
      <c r="C798" s="113"/>
      <c r="D798" s="114"/>
      <c r="E798" s="114"/>
      <c r="F798" s="115"/>
      <c r="G798" s="116"/>
      <c r="H798" s="117"/>
      <c r="I798" s="117"/>
      <c r="J798" s="114"/>
      <c r="K798" s="118"/>
      <c r="L798" s="119"/>
      <c r="M798" s="120"/>
      <c r="N798" s="117"/>
      <c r="O798" s="116"/>
      <c r="P798" s="116"/>
      <c r="Q798" s="116"/>
      <c r="R798" s="113"/>
      <c r="S798" s="121"/>
      <c r="T798" s="115"/>
      <c r="U798" s="117"/>
      <c r="V798" s="122"/>
      <c r="W798" s="122"/>
      <c r="X798" s="122"/>
      <c r="Y798" s="122"/>
      <c r="Z798" s="122"/>
      <c r="AA798" s="122"/>
      <c r="AB798" s="122"/>
      <c r="AC798" s="122"/>
      <c r="AD798" s="122"/>
      <c r="AE798" s="122"/>
      <c r="AF798" s="122"/>
      <c r="AG798" s="122"/>
      <c r="AH798" s="122"/>
      <c r="AI798" s="123"/>
      <c r="AJ798" s="122"/>
      <c r="AK798" s="122"/>
      <c r="AL798" s="122"/>
      <c r="AM798" s="122"/>
      <c r="AN798" s="122"/>
      <c r="AO798" s="122"/>
      <c r="AP798" s="124"/>
      <c r="AQ798" s="122"/>
      <c r="AR798" s="122"/>
      <c r="AS798" s="122"/>
      <c r="AT798" s="122"/>
      <c r="AU798" s="122"/>
      <c r="AV798" s="124"/>
      <c r="AW798" s="125"/>
      <c r="AX798" s="126"/>
      <c r="AY798" s="127"/>
      <c r="AZ798" s="127"/>
      <c r="BA798" s="122"/>
      <c r="BB798" s="122"/>
      <c r="BC798" s="125"/>
      <c r="BD798" s="125"/>
      <c r="BE798" s="125"/>
      <c r="BF798" s="123"/>
      <c r="BG798" s="125"/>
      <c r="BH798" s="125"/>
      <c r="BI798" s="125"/>
      <c r="BJ798" s="125"/>
      <c r="BK798" s="125"/>
      <c r="BL798" s="125"/>
      <c r="BM798" s="123"/>
      <c r="BN798" s="114"/>
      <c r="BO798" s="114"/>
      <c r="BP798" s="114"/>
      <c r="BQ798" s="114"/>
      <c r="BR798" s="114"/>
      <c r="BS798" s="114"/>
      <c r="BT798" s="114"/>
      <c r="BU798" s="114"/>
      <c r="BV798" s="114"/>
      <c r="BW798" s="114"/>
      <c r="BX798" s="114"/>
      <c r="BY798" s="114"/>
      <c r="BZ798" s="114"/>
      <c r="CA798" s="114"/>
      <c r="CB798" s="114"/>
      <c r="CC798" s="114"/>
      <c r="CD798" s="114"/>
      <c r="CE798" s="114"/>
      <c r="CF798" s="114"/>
      <c r="CG798" s="114"/>
      <c r="CH798" s="114"/>
      <c r="CI798" s="114"/>
      <c r="CJ798" s="114"/>
      <c r="CK798" s="114"/>
      <c r="CL798" s="114"/>
      <c r="CM798" s="114"/>
      <c r="CN798" s="128"/>
      <c r="CO798" s="128"/>
      <c r="CP798" s="128"/>
      <c r="CQ798" s="128"/>
      <c r="CR798" s="128"/>
      <c r="CS798" s="128"/>
      <c r="CT798" s="128"/>
      <c r="CU798" s="128"/>
      <c r="CV798" s="128"/>
      <c r="CW798" s="128"/>
      <c r="CX798" s="128"/>
      <c r="CY798" s="128"/>
    </row>
    <row r="799" spans="1:103" ht="11.25" customHeight="1" x14ac:dyDescent="0.3">
      <c r="A799" s="113"/>
      <c r="B799" s="113"/>
      <c r="C799" s="113"/>
      <c r="D799" s="114"/>
      <c r="E799" s="114"/>
      <c r="F799" s="115"/>
      <c r="G799" s="116"/>
      <c r="H799" s="117"/>
      <c r="I799" s="117"/>
      <c r="J799" s="114"/>
      <c r="K799" s="118"/>
      <c r="L799" s="119"/>
      <c r="M799" s="120"/>
      <c r="N799" s="117"/>
      <c r="O799" s="116"/>
      <c r="P799" s="116"/>
      <c r="Q799" s="116"/>
      <c r="R799" s="113"/>
      <c r="S799" s="121"/>
      <c r="T799" s="115"/>
      <c r="U799" s="117"/>
      <c r="V799" s="122"/>
      <c r="W799" s="122"/>
      <c r="X799" s="122"/>
      <c r="Y799" s="122"/>
      <c r="Z799" s="122"/>
      <c r="AA799" s="122"/>
      <c r="AB799" s="122"/>
      <c r="AC799" s="122"/>
      <c r="AD799" s="122"/>
      <c r="AE799" s="122"/>
      <c r="AF799" s="122"/>
      <c r="AG799" s="122"/>
      <c r="AH799" s="122"/>
      <c r="AI799" s="123"/>
      <c r="AJ799" s="122"/>
      <c r="AK799" s="122"/>
      <c r="AL799" s="122"/>
      <c r="AM799" s="122"/>
      <c r="AN799" s="122"/>
      <c r="AO799" s="122"/>
      <c r="AP799" s="124"/>
      <c r="AQ799" s="122"/>
      <c r="AR799" s="122"/>
      <c r="AS799" s="122"/>
      <c r="AT799" s="122"/>
      <c r="AU799" s="122"/>
      <c r="AV799" s="124"/>
      <c r="AW799" s="125"/>
      <c r="AX799" s="126"/>
      <c r="AY799" s="127"/>
      <c r="AZ799" s="127"/>
      <c r="BA799" s="122"/>
      <c r="BB799" s="122"/>
      <c r="BC799" s="125"/>
      <c r="BD799" s="125"/>
      <c r="BE799" s="125"/>
      <c r="BF799" s="123"/>
      <c r="BG799" s="125"/>
      <c r="BH799" s="125"/>
      <c r="BI799" s="125"/>
      <c r="BJ799" s="125"/>
      <c r="BK799" s="125"/>
      <c r="BL799" s="125"/>
      <c r="BM799" s="123"/>
      <c r="BN799" s="114"/>
      <c r="BO799" s="114"/>
      <c r="BP799" s="114"/>
      <c r="BQ799" s="114"/>
      <c r="BR799" s="114"/>
      <c r="BS799" s="114"/>
      <c r="BT799" s="114"/>
      <c r="BU799" s="114"/>
      <c r="BV799" s="114"/>
      <c r="BW799" s="114"/>
      <c r="BX799" s="114"/>
      <c r="BY799" s="114"/>
      <c r="BZ799" s="114"/>
      <c r="CA799" s="114"/>
      <c r="CB799" s="114"/>
      <c r="CC799" s="114"/>
      <c r="CD799" s="114"/>
      <c r="CE799" s="114"/>
      <c r="CF799" s="114"/>
      <c r="CG799" s="114"/>
      <c r="CH799" s="114"/>
      <c r="CI799" s="114"/>
      <c r="CJ799" s="114"/>
      <c r="CK799" s="114"/>
      <c r="CL799" s="114"/>
      <c r="CM799" s="114"/>
      <c r="CN799" s="128"/>
      <c r="CO799" s="128"/>
      <c r="CP799" s="128"/>
      <c r="CQ799" s="128"/>
      <c r="CR799" s="128"/>
      <c r="CS799" s="128"/>
      <c r="CT799" s="128"/>
      <c r="CU799" s="128"/>
      <c r="CV799" s="128"/>
      <c r="CW799" s="128"/>
      <c r="CX799" s="128"/>
      <c r="CY799" s="128"/>
    </row>
    <row r="800" spans="1:103" ht="11.25" customHeight="1" x14ac:dyDescent="0.3">
      <c r="A800" s="113"/>
      <c r="B800" s="113"/>
      <c r="C800" s="113"/>
      <c r="D800" s="114"/>
      <c r="E800" s="114"/>
      <c r="F800" s="115"/>
      <c r="G800" s="116"/>
      <c r="H800" s="117"/>
      <c r="I800" s="117"/>
      <c r="J800" s="114"/>
      <c r="K800" s="118"/>
      <c r="L800" s="119"/>
      <c r="M800" s="120"/>
      <c r="N800" s="117"/>
      <c r="O800" s="116"/>
      <c r="P800" s="116"/>
      <c r="Q800" s="116"/>
      <c r="R800" s="113"/>
      <c r="S800" s="121"/>
      <c r="T800" s="115"/>
      <c r="U800" s="117"/>
      <c r="V800" s="122"/>
      <c r="W800" s="122"/>
      <c r="X800" s="122"/>
      <c r="Y800" s="122"/>
      <c r="Z800" s="122"/>
      <c r="AA800" s="122"/>
      <c r="AB800" s="122"/>
      <c r="AC800" s="122"/>
      <c r="AD800" s="122"/>
      <c r="AE800" s="122"/>
      <c r="AF800" s="122"/>
      <c r="AG800" s="122"/>
      <c r="AH800" s="122"/>
      <c r="AI800" s="123"/>
      <c r="AJ800" s="122"/>
      <c r="AK800" s="122"/>
      <c r="AL800" s="122"/>
      <c r="AM800" s="122"/>
      <c r="AN800" s="122"/>
      <c r="AO800" s="122"/>
      <c r="AP800" s="124"/>
      <c r="AQ800" s="122"/>
      <c r="AR800" s="122"/>
      <c r="AS800" s="122"/>
      <c r="AT800" s="122"/>
      <c r="AU800" s="122"/>
      <c r="AV800" s="124"/>
      <c r="AW800" s="125"/>
      <c r="AX800" s="126"/>
      <c r="AY800" s="127"/>
      <c r="AZ800" s="127"/>
      <c r="BA800" s="122"/>
      <c r="BB800" s="122"/>
      <c r="BC800" s="125"/>
      <c r="BD800" s="125"/>
      <c r="BE800" s="125"/>
      <c r="BF800" s="123"/>
      <c r="BG800" s="125"/>
      <c r="BH800" s="125"/>
      <c r="BI800" s="125"/>
      <c r="BJ800" s="125"/>
      <c r="BK800" s="125"/>
      <c r="BL800" s="125"/>
      <c r="BM800" s="123"/>
      <c r="BN800" s="114"/>
      <c r="BO800" s="114"/>
      <c r="BP800" s="114"/>
      <c r="BQ800" s="114"/>
      <c r="BR800" s="114"/>
      <c r="BS800" s="114"/>
      <c r="BT800" s="114"/>
      <c r="BU800" s="114"/>
      <c r="BV800" s="114"/>
      <c r="BW800" s="114"/>
      <c r="BX800" s="114"/>
      <c r="BY800" s="114"/>
      <c r="BZ800" s="114"/>
      <c r="CA800" s="114"/>
      <c r="CB800" s="114"/>
      <c r="CC800" s="114"/>
      <c r="CD800" s="114"/>
      <c r="CE800" s="114"/>
      <c r="CF800" s="114"/>
      <c r="CG800" s="114"/>
      <c r="CH800" s="114"/>
      <c r="CI800" s="114"/>
      <c r="CJ800" s="114"/>
      <c r="CK800" s="114"/>
      <c r="CL800" s="114"/>
      <c r="CM800" s="114"/>
      <c r="CN800" s="128"/>
      <c r="CO800" s="128"/>
      <c r="CP800" s="128"/>
      <c r="CQ800" s="128"/>
      <c r="CR800" s="128"/>
      <c r="CS800" s="128"/>
      <c r="CT800" s="128"/>
      <c r="CU800" s="128"/>
      <c r="CV800" s="128"/>
      <c r="CW800" s="128"/>
      <c r="CX800" s="128"/>
      <c r="CY800" s="128"/>
    </row>
    <row r="801" spans="1:103" ht="11.25" customHeight="1" x14ac:dyDescent="0.3">
      <c r="A801" s="113"/>
      <c r="B801" s="113"/>
      <c r="C801" s="113"/>
      <c r="D801" s="114"/>
      <c r="E801" s="114"/>
      <c r="F801" s="115"/>
      <c r="G801" s="116"/>
      <c r="H801" s="117"/>
      <c r="I801" s="117"/>
      <c r="J801" s="114"/>
      <c r="K801" s="118"/>
      <c r="L801" s="119"/>
      <c r="M801" s="120"/>
      <c r="N801" s="117"/>
      <c r="O801" s="116"/>
      <c r="P801" s="116"/>
      <c r="Q801" s="116"/>
      <c r="R801" s="113"/>
      <c r="S801" s="121"/>
      <c r="T801" s="115"/>
      <c r="U801" s="117"/>
      <c r="V801" s="122"/>
      <c r="W801" s="122"/>
      <c r="X801" s="122"/>
      <c r="Y801" s="122"/>
      <c r="Z801" s="122"/>
      <c r="AA801" s="122"/>
      <c r="AB801" s="122"/>
      <c r="AC801" s="122"/>
      <c r="AD801" s="122"/>
      <c r="AE801" s="122"/>
      <c r="AF801" s="122"/>
      <c r="AG801" s="122"/>
      <c r="AH801" s="122"/>
      <c r="AI801" s="123"/>
      <c r="AJ801" s="122"/>
      <c r="AK801" s="122"/>
      <c r="AL801" s="122"/>
      <c r="AM801" s="122"/>
      <c r="AN801" s="122"/>
      <c r="AO801" s="122"/>
      <c r="AP801" s="124"/>
      <c r="AQ801" s="122"/>
      <c r="AR801" s="122"/>
      <c r="AS801" s="122"/>
      <c r="AT801" s="122"/>
      <c r="AU801" s="122"/>
      <c r="AV801" s="124"/>
      <c r="AW801" s="125"/>
      <c r="AX801" s="126"/>
      <c r="AY801" s="127"/>
      <c r="AZ801" s="127"/>
      <c r="BA801" s="122"/>
      <c r="BB801" s="122"/>
      <c r="BC801" s="125"/>
      <c r="BD801" s="125"/>
      <c r="BE801" s="125"/>
      <c r="BF801" s="123"/>
      <c r="BG801" s="125"/>
      <c r="BH801" s="125"/>
      <c r="BI801" s="125"/>
      <c r="BJ801" s="125"/>
      <c r="BK801" s="125"/>
      <c r="BL801" s="125"/>
      <c r="BM801" s="123"/>
      <c r="BN801" s="114"/>
      <c r="BO801" s="114"/>
      <c r="BP801" s="114"/>
      <c r="BQ801" s="114"/>
      <c r="BR801" s="114"/>
      <c r="BS801" s="114"/>
      <c r="BT801" s="114"/>
      <c r="BU801" s="114"/>
      <c r="BV801" s="114"/>
      <c r="BW801" s="114"/>
      <c r="BX801" s="114"/>
      <c r="BY801" s="114"/>
      <c r="BZ801" s="114"/>
      <c r="CA801" s="114"/>
      <c r="CB801" s="114"/>
      <c r="CC801" s="114"/>
      <c r="CD801" s="114"/>
      <c r="CE801" s="114"/>
      <c r="CF801" s="114"/>
      <c r="CG801" s="114"/>
      <c r="CH801" s="114"/>
      <c r="CI801" s="114"/>
      <c r="CJ801" s="114"/>
      <c r="CK801" s="114"/>
      <c r="CL801" s="114"/>
      <c r="CM801" s="114"/>
      <c r="CN801" s="128"/>
      <c r="CO801" s="128"/>
      <c r="CP801" s="128"/>
      <c r="CQ801" s="128"/>
      <c r="CR801" s="128"/>
      <c r="CS801" s="128"/>
      <c r="CT801" s="128"/>
      <c r="CU801" s="128"/>
      <c r="CV801" s="128"/>
      <c r="CW801" s="128"/>
      <c r="CX801" s="128"/>
      <c r="CY801" s="128"/>
    </row>
    <row r="802" spans="1:103" ht="11.25" customHeight="1" x14ac:dyDescent="0.3">
      <c r="A802" s="113"/>
      <c r="B802" s="113"/>
      <c r="C802" s="113"/>
      <c r="D802" s="114"/>
      <c r="E802" s="114"/>
      <c r="F802" s="115"/>
      <c r="G802" s="116"/>
      <c r="H802" s="117"/>
      <c r="I802" s="117"/>
      <c r="J802" s="114"/>
      <c r="K802" s="118"/>
      <c r="L802" s="119"/>
      <c r="M802" s="120"/>
      <c r="N802" s="117"/>
      <c r="O802" s="116"/>
      <c r="P802" s="116"/>
      <c r="Q802" s="116"/>
      <c r="R802" s="113"/>
      <c r="S802" s="121"/>
      <c r="T802" s="115"/>
      <c r="U802" s="117"/>
      <c r="V802" s="122"/>
      <c r="W802" s="122"/>
      <c r="X802" s="122"/>
      <c r="Y802" s="122"/>
      <c r="Z802" s="122"/>
      <c r="AA802" s="122"/>
      <c r="AB802" s="122"/>
      <c r="AC802" s="122"/>
      <c r="AD802" s="122"/>
      <c r="AE802" s="122"/>
      <c r="AF802" s="122"/>
      <c r="AG802" s="122"/>
      <c r="AH802" s="122"/>
      <c r="AI802" s="123"/>
      <c r="AJ802" s="122"/>
      <c r="AK802" s="122"/>
      <c r="AL802" s="122"/>
      <c r="AM802" s="122"/>
      <c r="AN802" s="122"/>
      <c r="AO802" s="122"/>
      <c r="AP802" s="124"/>
      <c r="AQ802" s="122"/>
      <c r="AR802" s="122"/>
      <c r="AS802" s="122"/>
      <c r="AT802" s="122"/>
      <c r="AU802" s="122"/>
      <c r="AV802" s="124"/>
      <c r="AW802" s="125"/>
      <c r="AX802" s="126"/>
      <c r="AY802" s="127"/>
      <c r="AZ802" s="127"/>
      <c r="BA802" s="122"/>
      <c r="BB802" s="122"/>
      <c r="BC802" s="125"/>
      <c r="BD802" s="125"/>
      <c r="BE802" s="125"/>
      <c r="BF802" s="123"/>
      <c r="BG802" s="125"/>
      <c r="BH802" s="125"/>
      <c r="BI802" s="125"/>
      <c r="BJ802" s="125"/>
      <c r="BK802" s="125"/>
      <c r="BL802" s="125"/>
      <c r="BM802" s="123"/>
      <c r="BN802" s="114"/>
      <c r="BO802" s="114"/>
      <c r="BP802" s="114"/>
      <c r="BQ802" s="114"/>
      <c r="BR802" s="114"/>
      <c r="BS802" s="114"/>
      <c r="BT802" s="114"/>
      <c r="BU802" s="114"/>
      <c r="BV802" s="114"/>
      <c r="BW802" s="114"/>
      <c r="BX802" s="114"/>
      <c r="BY802" s="114"/>
      <c r="BZ802" s="114"/>
      <c r="CA802" s="114"/>
      <c r="CB802" s="114"/>
      <c r="CC802" s="114"/>
      <c r="CD802" s="114"/>
      <c r="CE802" s="114"/>
      <c r="CF802" s="114"/>
      <c r="CG802" s="114"/>
      <c r="CH802" s="114"/>
      <c r="CI802" s="114"/>
      <c r="CJ802" s="114"/>
      <c r="CK802" s="114"/>
      <c r="CL802" s="114"/>
      <c r="CM802" s="114"/>
      <c r="CN802" s="128"/>
      <c r="CO802" s="128"/>
      <c r="CP802" s="128"/>
      <c r="CQ802" s="128"/>
      <c r="CR802" s="128"/>
      <c r="CS802" s="128"/>
      <c r="CT802" s="128"/>
      <c r="CU802" s="128"/>
      <c r="CV802" s="128"/>
      <c r="CW802" s="128"/>
      <c r="CX802" s="128"/>
      <c r="CY802" s="128"/>
    </row>
    <row r="803" spans="1:103" ht="11.25" customHeight="1" x14ac:dyDescent="0.3">
      <c r="A803" s="113"/>
      <c r="B803" s="113"/>
      <c r="C803" s="113"/>
      <c r="D803" s="114"/>
      <c r="E803" s="114"/>
      <c r="F803" s="115"/>
      <c r="G803" s="116"/>
      <c r="H803" s="117"/>
      <c r="I803" s="117"/>
      <c r="J803" s="114"/>
      <c r="K803" s="118"/>
      <c r="L803" s="119"/>
      <c r="M803" s="120"/>
      <c r="N803" s="117"/>
      <c r="O803" s="116"/>
      <c r="P803" s="116"/>
      <c r="Q803" s="116"/>
      <c r="R803" s="113"/>
      <c r="S803" s="121"/>
      <c r="T803" s="115"/>
      <c r="U803" s="117"/>
      <c r="V803" s="122"/>
      <c r="W803" s="122"/>
      <c r="X803" s="122"/>
      <c r="Y803" s="122"/>
      <c r="Z803" s="122"/>
      <c r="AA803" s="122"/>
      <c r="AB803" s="122"/>
      <c r="AC803" s="122"/>
      <c r="AD803" s="122"/>
      <c r="AE803" s="122"/>
      <c r="AF803" s="122"/>
      <c r="AG803" s="122"/>
      <c r="AH803" s="122"/>
      <c r="AI803" s="123"/>
      <c r="AJ803" s="122"/>
      <c r="AK803" s="122"/>
      <c r="AL803" s="122"/>
      <c r="AM803" s="122"/>
      <c r="AN803" s="122"/>
      <c r="AO803" s="122"/>
      <c r="AP803" s="124"/>
      <c r="AQ803" s="122"/>
      <c r="AR803" s="122"/>
      <c r="AS803" s="122"/>
      <c r="AT803" s="122"/>
      <c r="AU803" s="122"/>
      <c r="AV803" s="124"/>
      <c r="AW803" s="125"/>
      <c r="AX803" s="126"/>
      <c r="AY803" s="127"/>
      <c r="AZ803" s="127"/>
      <c r="BA803" s="122"/>
      <c r="BB803" s="122"/>
      <c r="BC803" s="125"/>
      <c r="BD803" s="125"/>
      <c r="BE803" s="125"/>
      <c r="BF803" s="123"/>
      <c r="BG803" s="125"/>
      <c r="BH803" s="125"/>
      <c r="BI803" s="125"/>
      <c r="BJ803" s="125"/>
      <c r="BK803" s="125"/>
      <c r="BL803" s="125"/>
      <c r="BM803" s="123"/>
      <c r="BN803" s="114"/>
      <c r="BO803" s="114"/>
      <c r="BP803" s="114"/>
      <c r="BQ803" s="114"/>
      <c r="BR803" s="114"/>
      <c r="BS803" s="114"/>
      <c r="BT803" s="114"/>
      <c r="BU803" s="114"/>
      <c r="BV803" s="114"/>
      <c r="BW803" s="114"/>
      <c r="BX803" s="114"/>
      <c r="BY803" s="114"/>
      <c r="BZ803" s="114"/>
      <c r="CA803" s="114"/>
      <c r="CB803" s="114"/>
      <c r="CC803" s="114"/>
      <c r="CD803" s="114"/>
      <c r="CE803" s="114"/>
      <c r="CF803" s="114"/>
      <c r="CG803" s="114"/>
      <c r="CH803" s="114"/>
      <c r="CI803" s="114"/>
      <c r="CJ803" s="114"/>
      <c r="CK803" s="114"/>
      <c r="CL803" s="114"/>
      <c r="CM803" s="114"/>
      <c r="CN803" s="128"/>
      <c r="CO803" s="128"/>
      <c r="CP803" s="128"/>
      <c r="CQ803" s="128"/>
      <c r="CR803" s="128"/>
      <c r="CS803" s="128"/>
      <c r="CT803" s="128"/>
      <c r="CU803" s="128"/>
      <c r="CV803" s="128"/>
      <c r="CW803" s="128"/>
      <c r="CX803" s="128"/>
      <c r="CY803" s="128"/>
    </row>
    <row r="804" spans="1:103" ht="11.25" customHeight="1" x14ac:dyDescent="0.3">
      <c r="A804" s="113"/>
      <c r="B804" s="113"/>
      <c r="C804" s="113"/>
      <c r="D804" s="114"/>
      <c r="E804" s="114"/>
      <c r="F804" s="115"/>
      <c r="G804" s="116"/>
      <c r="H804" s="117"/>
      <c r="I804" s="117"/>
      <c r="J804" s="114"/>
      <c r="K804" s="118"/>
      <c r="L804" s="119"/>
      <c r="M804" s="120"/>
      <c r="N804" s="117"/>
      <c r="O804" s="116"/>
      <c r="P804" s="116"/>
      <c r="Q804" s="116"/>
      <c r="R804" s="113"/>
      <c r="S804" s="121"/>
      <c r="T804" s="115"/>
      <c r="U804" s="117"/>
      <c r="V804" s="122"/>
      <c r="W804" s="122"/>
      <c r="X804" s="122"/>
      <c r="Y804" s="122"/>
      <c r="Z804" s="122"/>
      <c r="AA804" s="122"/>
      <c r="AB804" s="122"/>
      <c r="AC804" s="122"/>
      <c r="AD804" s="122"/>
      <c r="AE804" s="122"/>
      <c r="AF804" s="122"/>
      <c r="AG804" s="122"/>
      <c r="AH804" s="122"/>
      <c r="AI804" s="123"/>
      <c r="AJ804" s="122"/>
      <c r="AK804" s="122"/>
      <c r="AL804" s="122"/>
      <c r="AM804" s="122"/>
      <c r="AN804" s="122"/>
      <c r="AO804" s="122"/>
      <c r="AP804" s="124"/>
      <c r="AQ804" s="122"/>
      <c r="AR804" s="122"/>
      <c r="AS804" s="122"/>
      <c r="AT804" s="122"/>
      <c r="AU804" s="122"/>
      <c r="AV804" s="124"/>
      <c r="AW804" s="125"/>
      <c r="AX804" s="126"/>
      <c r="AY804" s="127"/>
      <c r="AZ804" s="127"/>
      <c r="BA804" s="122"/>
      <c r="BB804" s="122"/>
      <c r="BC804" s="125"/>
      <c r="BD804" s="125"/>
      <c r="BE804" s="125"/>
      <c r="BF804" s="123"/>
      <c r="BG804" s="125"/>
      <c r="BH804" s="125"/>
      <c r="BI804" s="125"/>
      <c r="BJ804" s="125"/>
      <c r="BK804" s="125"/>
      <c r="BL804" s="125"/>
      <c r="BM804" s="123"/>
      <c r="BN804" s="114"/>
      <c r="BO804" s="114"/>
      <c r="BP804" s="114"/>
      <c r="BQ804" s="114"/>
      <c r="BR804" s="114"/>
      <c r="BS804" s="114"/>
      <c r="BT804" s="114"/>
      <c r="BU804" s="114"/>
      <c r="BV804" s="114"/>
      <c r="BW804" s="114"/>
      <c r="BX804" s="114"/>
      <c r="BY804" s="114"/>
      <c r="BZ804" s="114"/>
      <c r="CA804" s="114"/>
      <c r="CB804" s="114"/>
      <c r="CC804" s="114"/>
      <c r="CD804" s="114"/>
      <c r="CE804" s="114"/>
      <c r="CF804" s="114"/>
      <c r="CG804" s="114"/>
      <c r="CH804" s="114"/>
      <c r="CI804" s="114"/>
      <c r="CJ804" s="114"/>
      <c r="CK804" s="114"/>
      <c r="CL804" s="114"/>
      <c r="CM804" s="114"/>
      <c r="CN804" s="128"/>
      <c r="CO804" s="128"/>
      <c r="CP804" s="128"/>
      <c r="CQ804" s="128"/>
      <c r="CR804" s="128"/>
      <c r="CS804" s="128"/>
      <c r="CT804" s="128"/>
      <c r="CU804" s="128"/>
      <c r="CV804" s="128"/>
      <c r="CW804" s="128"/>
      <c r="CX804" s="128"/>
      <c r="CY804" s="128"/>
    </row>
    <row r="805" spans="1:103" ht="11.25" customHeight="1" x14ac:dyDescent="0.3">
      <c r="A805" s="113"/>
      <c r="B805" s="113"/>
      <c r="C805" s="113"/>
      <c r="D805" s="114"/>
      <c r="E805" s="114"/>
      <c r="F805" s="115"/>
      <c r="G805" s="116"/>
      <c r="H805" s="117"/>
      <c r="I805" s="117"/>
      <c r="J805" s="114"/>
      <c r="K805" s="118"/>
      <c r="L805" s="119"/>
      <c r="M805" s="120"/>
      <c r="N805" s="117"/>
      <c r="O805" s="116"/>
      <c r="P805" s="116"/>
      <c r="Q805" s="116"/>
      <c r="R805" s="113"/>
      <c r="S805" s="121"/>
      <c r="T805" s="115"/>
      <c r="U805" s="117"/>
      <c r="V805" s="122"/>
      <c r="W805" s="122"/>
      <c r="X805" s="122"/>
      <c r="Y805" s="122"/>
      <c r="Z805" s="122"/>
      <c r="AA805" s="122"/>
      <c r="AB805" s="122"/>
      <c r="AC805" s="122"/>
      <c r="AD805" s="122"/>
      <c r="AE805" s="122"/>
      <c r="AF805" s="122"/>
      <c r="AG805" s="122"/>
      <c r="AH805" s="122"/>
      <c r="AI805" s="123"/>
      <c r="AJ805" s="122"/>
      <c r="AK805" s="122"/>
      <c r="AL805" s="122"/>
      <c r="AM805" s="122"/>
      <c r="AN805" s="122"/>
      <c r="AO805" s="122"/>
      <c r="AP805" s="124"/>
      <c r="AQ805" s="122"/>
      <c r="AR805" s="122"/>
      <c r="AS805" s="122"/>
      <c r="AT805" s="122"/>
      <c r="AU805" s="122"/>
      <c r="AV805" s="124"/>
      <c r="AW805" s="125"/>
      <c r="AX805" s="126"/>
      <c r="AY805" s="127"/>
      <c r="AZ805" s="127"/>
      <c r="BA805" s="122"/>
      <c r="BB805" s="122"/>
      <c r="BC805" s="125"/>
      <c r="BD805" s="125"/>
      <c r="BE805" s="125"/>
      <c r="BF805" s="123"/>
      <c r="BG805" s="125"/>
      <c r="BH805" s="125"/>
      <c r="BI805" s="125"/>
      <c r="BJ805" s="125"/>
      <c r="BK805" s="125"/>
      <c r="BL805" s="125"/>
      <c r="BM805" s="123"/>
      <c r="BN805" s="114"/>
      <c r="BO805" s="114"/>
      <c r="BP805" s="114"/>
      <c r="BQ805" s="114"/>
      <c r="BR805" s="114"/>
      <c r="BS805" s="114"/>
      <c r="BT805" s="114"/>
      <c r="BU805" s="114"/>
      <c r="BV805" s="114"/>
      <c r="BW805" s="114"/>
      <c r="BX805" s="114"/>
      <c r="BY805" s="114"/>
      <c r="BZ805" s="114"/>
      <c r="CA805" s="114"/>
      <c r="CB805" s="114"/>
      <c r="CC805" s="114"/>
      <c r="CD805" s="114"/>
      <c r="CE805" s="114"/>
      <c r="CF805" s="114"/>
      <c r="CG805" s="114"/>
      <c r="CH805" s="114"/>
      <c r="CI805" s="114"/>
      <c r="CJ805" s="114"/>
      <c r="CK805" s="114"/>
      <c r="CL805" s="114"/>
      <c r="CM805" s="114"/>
      <c r="CN805" s="128"/>
      <c r="CO805" s="128"/>
      <c r="CP805" s="128"/>
      <c r="CQ805" s="128"/>
      <c r="CR805" s="128"/>
      <c r="CS805" s="128"/>
      <c r="CT805" s="128"/>
      <c r="CU805" s="128"/>
      <c r="CV805" s="128"/>
      <c r="CW805" s="128"/>
      <c r="CX805" s="128"/>
      <c r="CY805" s="128"/>
    </row>
    <row r="806" spans="1:103" ht="11.25" customHeight="1" x14ac:dyDescent="0.3">
      <c r="A806" s="113"/>
      <c r="B806" s="113"/>
      <c r="C806" s="113"/>
      <c r="D806" s="114"/>
      <c r="E806" s="114"/>
      <c r="F806" s="115"/>
      <c r="G806" s="116"/>
      <c r="H806" s="117"/>
      <c r="I806" s="117"/>
      <c r="J806" s="114"/>
      <c r="K806" s="118"/>
      <c r="L806" s="119"/>
      <c r="M806" s="120"/>
      <c r="N806" s="117"/>
      <c r="O806" s="116"/>
      <c r="P806" s="116"/>
      <c r="Q806" s="116"/>
      <c r="R806" s="113"/>
      <c r="S806" s="121"/>
      <c r="T806" s="115"/>
      <c r="U806" s="117"/>
      <c r="V806" s="122"/>
      <c r="W806" s="122"/>
      <c r="X806" s="122"/>
      <c r="Y806" s="122"/>
      <c r="Z806" s="122"/>
      <c r="AA806" s="122"/>
      <c r="AB806" s="122"/>
      <c r="AC806" s="122"/>
      <c r="AD806" s="122"/>
      <c r="AE806" s="122"/>
      <c r="AF806" s="122"/>
      <c r="AG806" s="122"/>
      <c r="AH806" s="122"/>
      <c r="AI806" s="123"/>
      <c r="AJ806" s="122"/>
      <c r="AK806" s="122"/>
      <c r="AL806" s="122"/>
      <c r="AM806" s="122"/>
      <c r="AN806" s="122"/>
      <c r="AO806" s="122"/>
      <c r="AP806" s="124"/>
      <c r="AQ806" s="122"/>
      <c r="AR806" s="122"/>
      <c r="AS806" s="122"/>
      <c r="AT806" s="122"/>
      <c r="AU806" s="122"/>
      <c r="AV806" s="124"/>
      <c r="AW806" s="125"/>
      <c r="AX806" s="126"/>
      <c r="AY806" s="127"/>
      <c r="AZ806" s="127"/>
      <c r="BA806" s="122"/>
      <c r="BB806" s="122"/>
      <c r="BC806" s="125"/>
      <c r="BD806" s="125"/>
      <c r="BE806" s="125"/>
      <c r="BF806" s="123"/>
      <c r="BG806" s="125"/>
      <c r="BH806" s="125"/>
      <c r="BI806" s="125"/>
      <c r="BJ806" s="125"/>
      <c r="BK806" s="125"/>
      <c r="BL806" s="125"/>
      <c r="BM806" s="123"/>
      <c r="BN806" s="114"/>
      <c r="BO806" s="114"/>
      <c r="BP806" s="114"/>
      <c r="BQ806" s="114"/>
      <c r="BR806" s="114"/>
      <c r="BS806" s="114"/>
      <c r="BT806" s="114"/>
      <c r="BU806" s="114"/>
      <c r="BV806" s="114"/>
      <c r="BW806" s="114"/>
      <c r="BX806" s="114"/>
      <c r="BY806" s="114"/>
      <c r="BZ806" s="114"/>
      <c r="CA806" s="114"/>
      <c r="CB806" s="114"/>
      <c r="CC806" s="114"/>
      <c r="CD806" s="114"/>
      <c r="CE806" s="114"/>
      <c r="CF806" s="114"/>
      <c r="CG806" s="114"/>
      <c r="CH806" s="114"/>
      <c r="CI806" s="114"/>
      <c r="CJ806" s="114"/>
      <c r="CK806" s="114"/>
      <c r="CL806" s="114"/>
      <c r="CM806" s="114"/>
      <c r="CN806" s="128"/>
      <c r="CO806" s="128"/>
      <c r="CP806" s="128"/>
      <c r="CQ806" s="128"/>
      <c r="CR806" s="128"/>
      <c r="CS806" s="128"/>
      <c r="CT806" s="128"/>
      <c r="CU806" s="128"/>
      <c r="CV806" s="128"/>
      <c r="CW806" s="128"/>
      <c r="CX806" s="128"/>
      <c r="CY806" s="128"/>
    </row>
    <row r="807" spans="1:103" ht="11.25" customHeight="1" x14ac:dyDescent="0.3">
      <c r="A807" s="113"/>
      <c r="B807" s="113"/>
      <c r="C807" s="113"/>
      <c r="D807" s="114"/>
      <c r="E807" s="114"/>
      <c r="F807" s="115"/>
      <c r="G807" s="116"/>
      <c r="H807" s="117"/>
      <c r="I807" s="117"/>
      <c r="J807" s="114"/>
      <c r="K807" s="118"/>
      <c r="L807" s="119"/>
      <c r="M807" s="120"/>
      <c r="N807" s="117"/>
      <c r="O807" s="116"/>
      <c r="P807" s="116"/>
      <c r="Q807" s="116"/>
      <c r="R807" s="113"/>
      <c r="S807" s="121"/>
      <c r="T807" s="115"/>
      <c r="U807" s="117"/>
      <c r="V807" s="122"/>
      <c r="W807" s="122"/>
      <c r="X807" s="122"/>
      <c r="Y807" s="122"/>
      <c r="Z807" s="122"/>
      <c r="AA807" s="122"/>
      <c r="AB807" s="122"/>
      <c r="AC807" s="122"/>
      <c r="AD807" s="122"/>
      <c r="AE807" s="122"/>
      <c r="AF807" s="122"/>
      <c r="AG807" s="122"/>
      <c r="AH807" s="122"/>
      <c r="AI807" s="123"/>
      <c r="AJ807" s="122"/>
      <c r="AK807" s="122"/>
      <c r="AL807" s="122"/>
      <c r="AM807" s="122"/>
      <c r="AN807" s="122"/>
      <c r="AO807" s="122"/>
      <c r="AP807" s="124"/>
      <c r="AQ807" s="122"/>
      <c r="AR807" s="122"/>
      <c r="AS807" s="122"/>
      <c r="AT807" s="122"/>
      <c r="AU807" s="122"/>
      <c r="AV807" s="124"/>
      <c r="AW807" s="125"/>
      <c r="AX807" s="126"/>
      <c r="AY807" s="127"/>
      <c r="AZ807" s="127"/>
      <c r="BA807" s="122"/>
      <c r="BB807" s="122"/>
      <c r="BC807" s="125"/>
      <c r="BD807" s="125"/>
      <c r="BE807" s="125"/>
      <c r="BF807" s="123"/>
      <c r="BG807" s="125"/>
      <c r="BH807" s="125"/>
      <c r="BI807" s="125"/>
      <c r="BJ807" s="125"/>
      <c r="BK807" s="125"/>
      <c r="BL807" s="125"/>
      <c r="BM807" s="123"/>
      <c r="BN807" s="114"/>
      <c r="BO807" s="114"/>
      <c r="BP807" s="114"/>
      <c r="BQ807" s="114"/>
      <c r="BR807" s="114"/>
      <c r="BS807" s="114"/>
      <c r="BT807" s="114"/>
      <c r="BU807" s="114"/>
      <c r="BV807" s="114"/>
      <c r="BW807" s="114"/>
      <c r="BX807" s="114"/>
      <c r="BY807" s="114"/>
      <c r="BZ807" s="114"/>
      <c r="CA807" s="114"/>
      <c r="CB807" s="114"/>
      <c r="CC807" s="114"/>
      <c r="CD807" s="114"/>
      <c r="CE807" s="114"/>
      <c r="CF807" s="114"/>
      <c r="CG807" s="114"/>
      <c r="CH807" s="114"/>
      <c r="CI807" s="114"/>
      <c r="CJ807" s="114"/>
      <c r="CK807" s="114"/>
      <c r="CL807" s="114"/>
      <c r="CM807" s="114"/>
      <c r="CN807" s="128"/>
      <c r="CO807" s="128"/>
      <c r="CP807" s="128"/>
      <c r="CQ807" s="128"/>
      <c r="CR807" s="128"/>
      <c r="CS807" s="128"/>
      <c r="CT807" s="128"/>
      <c r="CU807" s="128"/>
      <c r="CV807" s="128"/>
      <c r="CW807" s="128"/>
      <c r="CX807" s="128"/>
      <c r="CY807" s="128"/>
    </row>
    <row r="808" spans="1:103" ht="11.25" customHeight="1" x14ac:dyDescent="0.3">
      <c r="A808" s="113"/>
      <c r="B808" s="113"/>
      <c r="C808" s="113"/>
      <c r="D808" s="114"/>
      <c r="E808" s="114"/>
      <c r="F808" s="115"/>
      <c r="G808" s="116"/>
      <c r="H808" s="117"/>
      <c r="I808" s="117"/>
      <c r="J808" s="114"/>
      <c r="K808" s="118"/>
      <c r="L808" s="119"/>
      <c r="M808" s="120"/>
      <c r="N808" s="117"/>
      <c r="O808" s="116"/>
      <c r="P808" s="116"/>
      <c r="Q808" s="116"/>
      <c r="R808" s="113"/>
      <c r="S808" s="121"/>
      <c r="T808" s="115"/>
      <c r="U808" s="117"/>
      <c r="V808" s="122"/>
      <c r="W808" s="122"/>
      <c r="X808" s="122"/>
      <c r="Y808" s="122"/>
      <c r="Z808" s="122"/>
      <c r="AA808" s="122"/>
      <c r="AB808" s="122"/>
      <c r="AC808" s="122"/>
      <c r="AD808" s="122"/>
      <c r="AE808" s="122"/>
      <c r="AF808" s="122"/>
      <c r="AG808" s="122"/>
      <c r="AH808" s="122"/>
      <c r="AI808" s="123"/>
      <c r="AJ808" s="122"/>
      <c r="AK808" s="122"/>
      <c r="AL808" s="122"/>
      <c r="AM808" s="122"/>
      <c r="AN808" s="122"/>
      <c r="AO808" s="122"/>
      <c r="AP808" s="124"/>
      <c r="AQ808" s="122"/>
      <c r="AR808" s="122"/>
      <c r="AS808" s="122"/>
      <c r="AT808" s="122"/>
      <c r="AU808" s="122"/>
      <c r="AV808" s="124"/>
      <c r="AW808" s="125"/>
      <c r="AX808" s="126"/>
      <c r="AY808" s="127"/>
      <c r="AZ808" s="127"/>
      <c r="BA808" s="122"/>
      <c r="BB808" s="122"/>
      <c r="BC808" s="125"/>
      <c r="BD808" s="125"/>
      <c r="BE808" s="125"/>
      <c r="BF808" s="123"/>
      <c r="BG808" s="125"/>
      <c r="BH808" s="125"/>
      <c r="BI808" s="125"/>
      <c r="BJ808" s="125"/>
      <c r="BK808" s="125"/>
      <c r="BL808" s="125"/>
      <c r="BM808" s="123"/>
      <c r="BN808" s="114"/>
      <c r="BO808" s="114"/>
      <c r="BP808" s="114"/>
      <c r="BQ808" s="114"/>
      <c r="BR808" s="114"/>
      <c r="BS808" s="114"/>
      <c r="BT808" s="114"/>
      <c r="BU808" s="114"/>
      <c r="BV808" s="114"/>
      <c r="BW808" s="114"/>
      <c r="BX808" s="114"/>
      <c r="BY808" s="114"/>
      <c r="BZ808" s="114"/>
      <c r="CA808" s="114"/>
      <c r="CB808" s="114"/>
      <c r="CC808" s="114"/>
      <c r="CD808" s="114"/>
      <c r="CE808" s="114"/>
      <c r="CF808" s="114"/>
      <c r="CG808" s="114"/>
      <c r="CH808" s="114"/>
      <c r="CI808" s="114"/>
      <c r="CJ808" s="114"/>
      <c r="CK808" s="114"/>
      <c r="CL808" s="114"/>
      <c r="CM808" s="114"/>
      <c r="CN808" s="128"/>
      <c r="CO808" s="128"/>
      <c r="CP808" s="128"/>
      <c r="CQ808" s="128"/>
      <c r="CR808" s="128"/>
      <c r="CS808" s="128"/>
      <c r="CT808" s="128"/>
      <c r="CU808" s="128"/>
      <c r="CV808" s="128"/>
      <c r="CW808" s="128"/>
      <c r="CX808" s="128"/>
      <c r="CY808" s="128"/>
    </row>
    <row r="809" spans="1:103" ht="11.25" customHeight="1" x14ac:dyDescent="0.3">
      <c r="A809" s="113"/>
      <c r="B809" s="113"/>
      <c r="C809" s="113"/>
      <c r="D809" s="114"/>
      <c r="E809" s="114"/>
      <c r="F809" s="115"/>
      <c r="G809" s="116"/>
      <c r="H809" s="117"/>
      <c r="I809" s="117"/>
      <c r="J809" s="114"/>
      <c r="K809" s="118"/>
      <c r="L809" s="119"/>
      <c r="M809" s="120"/>
      <c r="N809" s="117"/>
      <c r="O809" s="116"/>
      <c r="P809" s="116"/>
      <c r="Q809" s="116"/>
      <c r="R809" s="113"/>
      <c r="S809" s="121"/>
      <c r="T809" s="115"/>
      <c r="U809" s="117"/>
      <c r="V809" s="122"/>
      <c r="W809" s="122"/>
      <c r="X809" s="122"/>
      <c r="Y809" s="122"/>
      <c r="Z809" s="122"/>
      <c r="AA809" s="122"/>
      <c r="AB809" s="122"/>
      <c r="AC809" s="122"/>
      <c r="AD809" s="122"/>
      <c r="AE809" s="122"/>
      <c r="AF809" s="122"/>
      <c r="AG809" s="122"/>
      <c r="AH809" s="122"/>
      <c r="AI809" s="123"/>
      <c r="AJ809" s="122"/>
      <c r="AK809" s="122"/>
      <c r="AL809" s="122"/>
      <c r="AM809" s="122"/>
      <c r="AN809" s="122"/>
      <c r="AO809" s="122"/>
      <c r="AP809" s="124"/>
      <c r="AQ809" s="122"/>
      <c r="AR809" s="122"/>
      <c r="AS809" s="122"/>
      <c r="AT809" s="122"/>
      <c r="AU809" s="122"/>
      <c r="AV809" s="124"/>
      <c r="AW809" s="125"/>
      <c r="AX809" s="126"/>
      <c r="AY809" s="127"/>
      <c r="AZ809" s="127"/>
      <c r="BA809" s="122"/>
      <c r="BB809" s="122"/>
      <c r="BC809" s="125"/>
      <c r="BD809" s="125"/>
      <c r="BE809" s="125"/>
      <c r="BF809" s="123"/>
      <c r="BG809" s="125"/>
      <c r="BH809" s="125"/>
      <c r="BI809" s="125"/>
      <c r="BJ809" s="125"/>
      <c r="BK809" s="125"/>
      <c r="BL809" s="125"/>
      <c r="BM809" s="123"/>
      <c r="BN809" s="114"/>
      <c r="BO809" s="114"/>
      <c r="BP809" s="114"/>
      <c r="BQ809" s="114"/>
      <c r="BR809" s="114"/>
      <c r="BS809" s="114"/>
      <c r="BT809" s="114"/>
      <c r="BU809" s="114"/>
      <c r="BV809" s="114"/>
      <c r="BW809" s="114"/>
      <c r="BX809" s="114"/>
      <c r="BY809" s="114"/>
      <c r="BZ809" s="114"/>
      <c r="CA809" s="114"/>
      <c r="CB809" s="114"/>
      <c r="CC809" s="114"/>
      <c r="CD809" s="114"/>
      <c r="CE809" s="114"/>
      <c r="CF809" s="114"/>
      <c r="CG809" s="114"/>
      <c r="CH809" s="114"/>
      <c r="CI809" s="114"/>
      <c r="CJ809" s="114"/>
      <c r="CK809" s="114"/>
      <c r="CL809" s="114"/>
      <c r="CM809" s="114"/>
      <c r="CN809" s="128"/>
      <c r="CO809" s="128"/>
      <c r="CP809" s="128"/>
      <c r="CQ809" s="128"/>
      <c r="CR809" s="128"/>
      <c r="CS809" s="128"/>
      <c r="CT809" s="128"/>
      <c r="CU809" s="128"/>
      <c r="CV809" s="128"/>
      <c r="CW809" s="128"/>
      <c r="CX809" s="128"/>
      <c r="CY809" s="128"/>
    </row>
    <row r="810" spans="1:103" ht="11.25" customHeight="1" x14ac:dyDescent="0.3">
      <c r="A810" s="113"/>
      <c r="B810" s="113"/>
      <c r="C810" s="113"/>
      <c r="D810" s="114"/>
      <c r="E810" s="114"/>
      <c r="F810" s="115"/>
      <c r="G810" s="116"/>
      <c r="H810" s="117"/>
      <c r="I810" s="117"/>
      <c r="J810" s="114"/>
      <c r="K810" s="118"/>
      <c r="L810" s="119"/>
      <c r="M810" s="120"/>
      <c r="N810" s="117"/>
      <c r="O810" s="116"/>
      <c r="P810" s="116"/>
      <c r="Q810" s="116"/>
      <c r="R810" s="113"/>
      <c r="S810" s="121"/>
      <c r="T810" s="115"/>
      <c r="U810" s="117"/>
      <c r="V810" s="122"/>
      <c r="W810" s="122"/>
      <c r="X810" s="122"/>
      <c r="Y810" s="122"/>
      <c r="Z810" s="122"/>
      <c r="AA810" s="122"/>
      <c r="AB810" s="122"/>
      <c r="AC810" s="122"/>
      <c r="AD810" s="122"/>
      <c r="AE810" s="122"/>
      <c r="AF810" s="122"/>
      <c r="AG810" s="122"/>
      <c r="AH810" s="122"/>
      <c r="AI810" s="123"/>
      <c r="AJ810" s="122"/>
      <c r="AK810" s="122"/>
      <c r="AL810" s="122"/>
      <c r="AM810" s="122"/>
      <c r="AN810" s="122"/>
      <c r="AO810" s="122"/>
      <c r="AP810" s="124"/>
      <c r="AQ810" s="122"/>
      <c r="AR810" s="122"/>
      <c r="AS810" s="122"/>
      <c r="AT810" s="122"/>
      <c r="AU810" s="122"/>
      <c r="AV810" s="124"/>
      <c r="AW810" s="125"/>
      <c r="AX810" s="126"/>
      <c r="AY810" s="127"/>
      <c r="AZ810" s="127"/>
      <c r="BA810" s="122"/>
      <c r="BB810" s="122"/>
      <c r="BC810" s="125"/>
      <c r="BD810" s="125"/>
      <c r="BE810" s="125"/>
      <c r="BF810" s="123"/>
      <c r="BG810" s="125"/>
      <c r="BH810" s="125"/>
      <c r="BI810" s="125"/>
      <c r="BJ810" s="125"/>
      <c r="BK810" s="125"/>
      <c r="BL810" s="125"/>
      <c r="BM810" s="123"/>
      <c r="BN810" s="114"/>
      <c r="BO810" s="114"/>
      <c r="BP810" s="114"/>
      <c r="BQ810" s="114"/>
      <c r="BR810" s="114"/>
      <c r="BS810" s="114"/>
      <c r="BT810" s="114"/>
      <c r="BU810" s="114"/>
      <c r="BV810" s="114"/>
      <c r="BW810" s="114"/>
      <c r="BX810" s="114"/>
      <c r="BY810" s="114"/>
      <c r="BZ810" s="114"/>
      <c r="CA810" s="114"/>
      <c r="CB810" s="114"/>
      <c r="CC810" s="114"/>
      <c r="CD810" s="114"/>
      <c r="CE810" s="114"/>
      <c r="CF810" s="114"/>
      <c r="CG810" s="114"/>
      <c r="CH810" s="114"/>
      <c r="CI810" s="114"/>
      <c r="CJ810" s="114"/>
      <c r="CK810" s="114"/>
      <c r="CL810" s="114"/>
      <c r="CM810" s="114"/>
      <c r="CN810" s="128"/>
      <c r="CO810" s="128"/>
      <c r="CP810" s="128"/>
      <c r="CQ810" s="128"/>
      <c r="CR810" s="128"/>
      <c r="CS810" s="128"/>
      <c r="CT810" s="128"/>
      <c r="CU810" s="128"/>
      <c r="CV810" s="128"/>
      <c r="CW810" s="128"/>
      <c r="CX810" s="128"/>
      <c r="CY810" s="128"/>
    </row>
    <row r="811" spans="1:103" ht="11.25" customHeight="1" x14ac:dyDescent="0.3">
      <c r="A811" s="113"/>
      <c r="B811" s="113"/>
      <c r="C811" s="113"/>
      <c r="D811" s="114"/>
      <c r="E811" s="114"/>
      <c r="F811" s="115"/>
      <c r="G811" s="116"/>
      <c r="H811" s="117"/>
      <c r="I811" s="117"/>
      <c r="J811" s="114"/>
      <c r="K811" s="118"/>
      <c r="L811" s="119"/>
      <c r="M811" s="120"/>
      <c r="N811" s="117"/>
      <c r="O811" s="116"/>
      <c r="P811" s="116"/>
      <c r="Q811" s="116"/>
      <c r="R811" s="113"/>
      <c r="S811" s="121"/>
      <c r="T811" s="115"/>
      <c r="U811" s="117"/>
      <c r="V811" s="122"/>
      <c r="W811" s="122"/>
      <c r="X811" s="122"/>
      <c r="Y811" s="122"/>
      <c r="Z811" s="122"/>
      <c r="AA811" s="122"/>
      <c r="AB811" s="122"/>
      <c r="AC811" s="122"/>
      <c r="AD811" s="122"/>
      <c r="AE811" s="122"/>
      <c r="AF811" s="122"/>
      <c r="AG811" s="122"/>
      <c r="AH811" s="122"/>
      <c r="AI811" s="123"/>
      <c r="AJ811" s="122"/>
      <c r="AK811" s="122"/>
      <c r="AL811" s="122"/>
      <c r="AM811" s="122"/>
      <c r="AN811" s="122"/>
      <c r="AO811" s="122"/>
      <c r="AP811" s="124"/>
      <c r="AQ811" s="122"/>
      <c r="AR811" s="122"/>
      <c r="AS811" s="122"/>
      <c r="AT811" s="122"/>
      <c r="AU811" s="122"/>
      <c r="AV811" s="124"/>
      <c r="AW811" s="125"/>
      <c r="AX811" s="126"/>
      <c r="AY811" s="127"/>
      <c r="AZ811" s="127"/>
      <c r="BA811" s="122"/>
      <c r="BB811" s="122"/>
      <c r="BC811" s="125"/>
      <c r="BD811" s="125"/>
      <c r="BE811" s="125"/>
      <c r="BF811" s="123"/>
      <c r="BG811" s="125"/>
      <c r="BH811" s="125"/>
      <c r="BI811" s="125"/>
      <c r="BJ811" s="125"/>
      <c r="BK811" s="125"/>
      <c r="BL811" s="125"/>
      <c r="BM811" s="123"/>
      <c r="BN811" s="114"/>
      <c r="BO811" s="114"/>
      <c r="BP811" s="114"/>
      <c r="BQ811" s="114"/>
      <c r="BR811" s="114"/>
      <c r="BS811" s="114"/>
      <c r="BT811" s="114"/>
      <c r="BU811" s="114"/>
      <c r="BV811" s="114"/>
      <c r="BW811" s="114"/>
      <c r="BX811" s="114"/>
      <c r="BY811" s="114"/>
      <c r="BZ811" s="114"/>
      <c r="CA811" s="114"/>
      <c r="CB811" s="114"/>
      <c r="CC811" s="114"/>
      <c r="CD811" s="114"/>
      <c r="CE811" s="114"/>
      <c r="CF811" s="114"/>
      <c r="CG811" s="114"/>
      <c r="CH811" s="114"/>
      <c r="CI811" s="114"/>
      <c r="CJ811" s="114"/>
      <c r="CK811" s="114"/>
      <c r="CL811" s="114"/>
      <c r="CM811" s="114"/>
      <c r="CN811" s="128"/>
      <c r="CO811" s="128"/>
      <c r="CP811" s="128"/>
      <c r="CQ811" s="128"/>
      <c r="CR811" s="128"/>
      <c r="CS811" s="128"/>
      <c r="CT811" s="128"/>
      <c r="CU811" s="128"/>
      <c r="CV811" s="128"/>
      <c r="CW811" s="128"/>
      <c r="CX811" s="128"/>
      <c r="CY811" s="128"/>
    </row>
    <row r="812" spans="1:103" ht="11.25" customHeight="1" x14ac:dyDescent="0.3">
      <c r="A812" s="113"/>
      <c r="B812" s="113"/>
      <c r="C812" s="113"/>
      <c r="D812" s="114"/>
      <c r="E812" s="114"/>
      <c r="F812" s="115"/>
      <c r="G812" s="116"/>
      <c r="H812" s="117"/>
      <c r="I812" s="117"/>
      <c r="J812" s="114"/>
      <c r="K812" s="118"/>
      <c r="L812" s="119"/>
      <c r="M812" s="120"/>
      <c r="N812" s="117"/>
      <c r="O812" s="116"/>
      <c r="P812" s="116"/>
      <c r="Q812" s="116"/>
      <c r="R812" s="113"/>
      <c r="S812" s="121"/>
      <c r="T812" s="115"/>
      <c r="U812" s="117"/>
      <c r="V812" s="122"/>
      <c r="W812" s="122"/>
      <c r="X812" s="122"/>
      <c r="Y812" s="122"/>
      <c r="Z812" s="122"/>
      <c r="AA812" s="122"/>
      <c r="AB812" s="122"/>
      <c r="AC812" s="122"/>
      <c r="AD812" s="122"/>
      <c r="AE812" s="122"/>
      <c r="AF812" s="122"/>
      <c r="AG812" s="122"/>
      <c r="AH812" s="122"/>
      <c r="AI812" s="123"/>
      <c r="AJ812" s="122"/>
      <c r="AK812" s="122"/>
      <c r="AL812" s="122"/>
      <c r="AM812" s="122"/>
      <c r="AN812" s="122"/>
      <c r="AO812" s="122"/>
      <c r="AP812" s="124"/>
      <c r="AQ812" s="122"/>
      <c r="AR812" s="122"/>
      <c r="AS812" s="122"/>
      <c r="AT812" s="122"/>
      <c r="AU812" s="122"/>
      <c r="AV812" s="124"/>
      <c r="AW812" s="125"/>
      <c r="AX812" s="126"/>
      <c r="AY812" s="127"/>
      <c r="AZ812" s="127"/>
      <c r="BA812" s="122"/>
      <c r="BB812" s="122"/>
      <c r="BC812" s="125"/>
      <c r="BD812" s="125"/>
      <c r="BE812" s="125"/>
      <c r="BF812" s="123"/>
      <c r="BG812" s="125"/>
      <c r="BH812" s="125"/>
      <c r="BI812" s="125"/>
      <c r="BJ812" s="125"/>
      <c r="BK812" s="125"/>
      <c r="BL812" s="125"/>
      <c r="BM812" s="123"/>
      <c r="BN812" s="114"/>
      <c r="BO812" s="114"/>
      <c r="BP812" s="114"/>
      <c r="BQ812" s="114"/>
      <c r="BR812" s="114"/>
      <c r="BS812" s="114"/>
      <c r="BT812" s="114"/>
      <c r="BU812" s="114"/>
      <c r="BV812" s="114"/>
      <c r="BW812" s="114"/>
      <c r="BX812" s="114"/>
      <c r="BY812" s="114"/>
      <c r="BZ812" s="114"/>
      <c r="CA812" s="114"/>
      <c r="CB812" s="114"/>
      <c r="CC812" s="114"/>
      <c r="CD812" s="114"/>
      <c r="CE812" s="114"/>
      <c r="CF812" s="114"/>
      <c r="CG812" s="114"/>
      <c r="CH812" s="114"/>
      <c r="CI812" s="114"/>
      <c r="CJ812" s="114"/>
      <c r="CK812" s="114"/>
      <c r="CL812" s="114"/>
      <c r="CM812" s="114"/>
      <c r="CN812" s="128"/>
      <c r="CO812" s="128"/>
      <c r="CP812" s="128"/>
      <c r="CQ812" s="128"/>
      <c r="CR812" s="128"/>
      <c r="CS812" s="128"/>
      <c r="CT812" s="128"/>
      <c r="CU812" s="128"/>
      <c r="CV812" s="128"/>
      <c r="CW812" s="128"/>
      <c r="CX812" s="128"/>
      <c r="CY812" s="128"/>
    </row>
    <row r="813" spans="1:103" ht="11.25" customHeight="1" x14ac:dyDescent="0.3">
      <c r="A813" s="113"/>
      <c r="B813" s="113"/>
      <c r="C813" s="113"/>
      <c r="D813" s="114"/>
      <c r="E813" s="114"/>
      <c r="F813" s="115"/>
      <c r="G813" s="116"/>
      <c r="H813" s="117"/>
      <c r="I813" s="117"/>
      <c r="J813" s="114"/>
      <c r="K813" s="118"/>
      <c r="L813" s="119"/>
      <c r="M813" s="120"/>
      <c r="N813" s="117"/>
      <c r="O813" s="116"/>
      <c r="P813" s="116"/>
      <c r="Q813" s="116"/>
      <c r="R813" s="113"/>
      <c r="S813" s="121"/>
      <c r="T813" s="115"/>
      <c r="U813" s="117"/>
      <c r="V813" s="122"/>
      <c r="W813" s="122"/>
      <c r="X813" s="122"/>
      <c r="Y813" s="122"/>
      <c r="Z813" s="122"/>
      <c r="AA813" s="122"/>
      <c r="AB813" s="122"/>
      <c r="AC813" s="122"/>
      <c r="AD813" s="122"/>
      <c r="AE813" s="122"/>
      <c r="AF813" s="122"/>
      <c r="AG813" s="122"/>
      <c r="AH813" s="122"/>
      <c r="AI813" s="123"/>
      <c r="AJ813" s="122"/>
      <c r="AK813" s="122"/>
      <c r="AL813" s="122"/>
      <c r="AM813" s="122"/>
      <c r="AN813" s="122"/>
      <c r="AO813" s="122"/>
      <c r="AP813" s="124"/>
      <c r="AQ813" s="122"/>
      <c r="AR813" s="122"/>
      <c r="AS813" s="122"/>
      <c r="AT813" s="122"/>
      <c r="AU813" s="122"/>
      <c r="AV813" s="124"/>
      <c r="AW813" s="125"/>
      <c r="AX813" s="126"/>
      <c r="AY813" s="127"/>
      <c r="AZ813" s="127"/>
      <c r="BA813" s="122"/>
      <c r="BB813" s="122"/>
      <c r="BC813" s="125"/>
      <c r="BD813" s="125"/>
      <c r="BE813" s="125"/>
      <c r="BF813" s="123"/>
      <c r="BG813" s="125"/>
      <c r="BH813" s="125"/>
      <c r="BI813" s="125"/>
      <c r="BJ813" s="125"/>
      <c r="BK813" s="125"/>
      <c r="BL813" s="125"/>
      <c r="BM813" s="123"/>
      <c r="BN813" s="114"/>
      <c r="BO813" s="114"/>
      <c r="BP813" s="114"/>
      <c r="BQ813" s="114"/>
      <c r="BR813" s="114"/>
      <c r="BS813" s="114"/>
      <c r="BT813" s="114"/>
      <c r="BU813" s="114"/>
      <c r="BV813" s="114"/>
      <c r="BW813" s="114"/>
      <c r="BX813" s="114"/>
      <c r="BY813" s="114"/>
      <c r="BZ813" s="114"/>
      <c r="CA813" s="114"/>
      <c r="CB813" s="114"/>
      <c r="CC813" s="114"/>
      <c r="CD813" s="114"/>
      <c r="CE813" s="114"/>
      <c r="CF813" s="114"/>
      <c r="CG813" s="114"/>
      <c r="CH813" s="114"/>
      <c r="CI813" s="114"/>
      <c r="CJ813" s="114"/>
      <c r="CK813" s="114"/>
      <c r="CL813" s="114"/>
      <c r="CM813" s="114"/>
      <c r="CN813" s="128"/>
      <c r="CO813" s="128"/>
      <c r="CP813" s="128"/>
      <c r="CQ813" s="128"/>
      <c r="CR813" s="128"/>
      <c r="CS813" s="128"/>
      <c r="CT813" s="128"/>
      <c r="CU813" s="128"/>
      <c r="CV813" s="128"/>
      <c r="CW813" s="128"/>
      <c r="CX813" s="128"/>
      <c r="CY813" s="128"/>
    </row>
    <row r="814" spans="1:103" ht="11.25" customHeight="1" x14ac:dyDescent="0.3">
      <c r="A814" s="113"/>
      <c r="B814" s="113"/>
      <c r="C814" s="113"/>
      <c r="D814" s="114"/>
      <c r="E814" s="114"/>
      <c r="F814" s="115"/>
      <c r="G814" s="116"/>
      <c r="H814" s="117"/>
      <c r="I814" s="117"/>
      <c r="J814" s="114"/>
      <c r="K814" s="118"/>
      <c r="L814" s="119"/>
      <c r="M814" s="120"/>
      <c r="N814" s="117"/>
      <c r="O814" s="116"/>
      <c r="P814" s="116"/>
      <c r="Q814" s="116"/>
      <c r="R814" s="113"/>
      <c r="S814" s="121"/>
      <c r="T814" s="115"/>
      <c r="U814" s="117"/>
      <c r="V814" s="122"/>
      <c r="W814" s="122"/>
      <c r="X814" s="122"/>
      <c r="Y814" s="122"/>
      <c r="Z814" s="122"/>
      <c r="AA814" s="122"/>
      <c r="AB814" s="122"/>
      <c r="AC814" s="122"/>
      <c r="AD814" s="122"/>
      <c r="AE814" s="122"/>
      <c r="AF814" s="122"/>
      <c r="AG814" s="122"/>
      <c r="AH814" s="122"/>
      <c r="AI814" s="123"/>
      <c r="AJ814" s="122"/>
      <c r="AK814" s="122"/>
      <c r="AL814" s="122"/>
      <c r="AM814" s="122"/>
      <c r="AN814" s="122"/>
      <c r="AO814" s="122"/>
      <c r="AP814" s="124"/>
      <c r="AQ814" s="122"/>
      <c r="AR814" s="122"/>
      <c r="AS814" s="122"/>
      <c r="AT814" s="122"/>
      <c r="AU814" s="122"/>
      <c r="AV814" s="124"/>
      <c r="AW814" s="125"/>
      <c r="AX814" s="126"/>
      <c r="AY814" s="127"/>
      <c r="AZ814" s="127"/>
      <c r="BA814" s="122"/>
      <c r="BB814" s="122"/>
      <c r="BC814" s="125"/>
      <c r="BD814" s="125"/>
      <c r="BE814" s="125"/>
      <c r="BF814" s="123"/>
      <c r="BG814" s="125"/>
      <c r="BH814" s="125"/>
      <c r="BI814" s="125"/>
      <c r="BJ814" s="125"/>
      <c r="BK814" s="125"/>
      <c r="BL814" s="125"/>
      <c r="BM814" s="123"/>
      <c r="BN814" s="114"/>
      <c r="BO814" s="114"/>
      <c r="BP814" s="114"/>
      <c r="BQ814" s="114"/>
      <c r="BR814" s="114"/>
      <c r="BS814" s="114"/>
      <c r="BT814" s="114"/>
      <c r="BU814" s="114"/>
      <c r="BV814" s="114"/>
      <c r="BW814" s="114"/>
      <c r="BX814" s="114"/>
      <c r="BY814" s="114"/>
      <c r="BZ814" s="114"/>
      <c r="CA814" s="114"/>
      <c r="CB814" s="114"/>
      <c r="CC814" s="114"/>
      <c r="CD814" s="114"/>
      <c r="CE814" s="114"/>
      <c r="CF814" s="114"/>
      <c r="CG814" s="114"/>
      <c r="CH814" s="114"/>
      <c r="CI814" s="114"/>
      <c r="CJ814" s="114"/>
      <c r="CK814" s="114"/>
      <c r="CL814" s="114"/>
      <c r="CM814" s="114"/>
      <c r="CN814" s="128"/>
      <c r="CO814" s="128"/>
      <c r="CP814" s="128"/>
      <c r="CQ814" s="128"/>
      <c r="CR814" s="128"/>
      <c r="CS814" s="128"/>
      <c r="CT814" s="128"/>
      <c r="CU814" s="128"/>
      <c r="CV814" s="128"/>
      <c r="CW814" s="128"/>
      <c r="CX814" s="128"/>
      <c r="CY814" s="128"/>
    </row>
    <row r="815" spans="1:103" ht="11.25" customHeight="1" x14ac:dyDescent="0.3">
      <c r="A815" s="113"/>
      <c r="B815" s="113"/>
      <c r="C815" s="113"/>
      <c r="D815" s="114"/>
      <c r="E815" s="114"/>
      <c r="F815" s="115"/>
      <c r="G815" s="116"/>
      <c r="H815" s="117"/>
      <c r="I815" s="117"/>
      <c r="J815" s="114"/>
      <c r="K815" s="118"/>
      <c r="L815" s="119"/>
      <c r="M815" s="120"/>
      <c r="N815" s="117"/>
      <c r="O815" s="116"/>
      <c r="P815" s="116"/>
      <c r="Q815" s="116"/>
      <c r="R815" s="113"/>
      <c r="S815" s="121"/>
      <c r="T815" s="115"/>
      <c r="U815" s="117"/>
      <c r="V815" s="122"/>
      <c r="W815" s="122"/>
      <c r="X815" s="122"/>
      <c r="Y815" s="122"/>
      <c r="Z815" s="122"/>
      <c r="AA815" s="122"/>
      <c r="AB815" s="122"/>
      <c r="AC815" s="122"/>
      <c r="AD815" s="122"/>
      <c r="AE815" s="122"/>
      <c r="AF815" s="122"/>
      <c r="AG815" s="122"/>
      <c r="AH815" s="122"/>
      <c r="AI815" s="123"/>
      <c r="AJ815" s="122"/>
      <c r="AK815" s="122"/>
      <c r="AL815" s="122"/>
      <c r="AM815" s="122"/>
      <c r="AN815" s="122"/>
      <c r="AO815" s="122"/>
      <c r="AP815" s="124"/>
      <c r="AQ815" s="122"/>
      <c r="AR815" s="122"/>
      <c r="AS815" s="122"/>
      <c r="AT815" s="122"/>
      <c r="AU815" s="122"/>
      <c r="AV815" s="124"/>
      <c r="AW815" s="125"/>
      <c r="AX815" s="126"/>
      <c r="AY815" s="127"/>
      <c r="AZ815" s="127"/>
      <c r="BA815" s="122"/>
      <c r="BB815" s="122"/>
      <c r="BC815" s="125"/>
      <c r="BD815" s="125"/>
      <c r="BE815" s="125"/>
      <c r="BF815" s="123"/>
      <c r="BG815" s="125"/>
      <c r="BH815" s="125"/>
      <c r="BI815" s="125"/>
      <c r="BJ815" s="125"/>
      <c r="BK815" s="125"/>
      <c r="BL815" s="125"/>
      <c r="BM815" s="123"/>
      <c r="BN815" s="114"/>
      <c r="BO815" s="114"/>
      <c r="BP815" s="114"/>
      <c r="BQ815" s="114"/>
      <c r="BR815" s="114"/>
      <c r="BS815" s="114"/>
      <c r="BT815" s="114"/>
      <c r="BU815" s="114"/>
      <c r="BV815" s="114"/>
      <c r="BW815" s="114"/>
      <c r="BX815" s="114"/>
      <c r="BY815" s="114"/>
      <c r="BZ815" s="114"/>
      <c r="CA815" s="114"/>
      <c r="CB815" s="114"/>
      <c r="CC815" s="114"/>
      <c r="CD815" s="114"/>
      <c r="CE815" s="114"/>
      <c r="CF815" s="114"/>
      <c r="CG815" s="114"/>
      <c r="CH815" s="114"/>
      <c r="CI815" s="114"/>
      <c r="CJ815" s="114"/>
      <c r="CK815" s="114"/>
      <c r="CL815" s="114"/>
      <c r="CM815" s="114"/>
      <c r="CN815" s="128"/>
      <c r="CO815" s="128"/>
      <c r="CP815" s="128"/>
      <c r="CQ815" s="128"/>
      <c r="CR815" s="128"/>
      <c r="CS815" s="128"/>
      <c r="CT815" s="128"/>
      <c r="CU815" s="128"/>
      <c r="CV815" s="128"/>
      <c r="CW815" s="128"/>
      <c r="CX815" s="128"/>
      <c r="CY815" s="128"/>
    </row>
    <row r="816" spans="1:103" ht="11.25" customHeight="1" x14ac:dyDescent="0.3">
      <c r="A816" s="113"/>
      <c r="B816" s="113"/>
      <c r="C816" s="113"/>
      <c r="D816" s="114"/>
      <c r="E816" s="114"/>
      <c r="F816" s="115"/>
      <c r="G816" s="116"/>
      <c r="H816" s="117"/>
      <c r="I816" s="117"/>
      <c r="J816" s="114"/>
      <c r="K816" s="118"/>
      <c r="L816" s="119"/>
      <c r="M816" s="120"/>
      <c r="N816" s="117"/>
      <c r="O816" s="116"/>
      <c r="P816" s="116"/>
      <c r="Q816" s="116"/>
      <c r="R816" s="113"/>
      <c r="S816" s="121"/>
      <c r="T816" s="115"/>
      <c r="U816" s="117"/>
      <c r="V816" s="122"/>
      <c r="W816" s="122"/>
      <c r="X816" s="122"/>
      <c r="Y816" s="122"/>
      <c r="Z816" s="122"/>
      <c r="AA816" s="122"/>
      <c r="AB816" s="122"/>
      <c r="AC816" s="122"/>
      <c r="AD816" s="122"/>
      <c r="AE816" s="122"/>
      <c r="AF816" s="122"/>
      <c r="AG816" s="122"/>
      <c r="AH816" s="122"/>
      <c r="AI816" s="123"/>
      <c r="AJ816" s="122"/>
      <c r="AK816" s="122"/>
      <c r="AL816" s="122"/>
      <c r="AM816" s="122"/>
      <c r="AN816" s="122"/>
      <c r="AO816" s="122"/>
      <c r="AP816" s="124"/>
      <c r="AQ816" s="122"/>
      <c r="AR816" s="122"/>
      <c r="AS816" s="122"/>
      <c r="AT816" s="122"/>
      <c r="AU816" s="122"/>
      <c r="AV816" s="124"/>
      <c r="AW816" s="125"/>
      <c r="AX816" s="126"/>
      <c r="AY816" s="127"/>
      <c r="AZ816" s="127"/>
      <c r="BA816" s="122"/>
      <c r="BB816" s="122"/>
      <c r="BC816" s="125"/>
      <c r="BD816" s="125"/>
      <c r="BE816" s="125"/>
      <c r="BF816" s="123"/>
      <c r="BG816" s="125"/>
      <c r="BH816" s="125"/>
      <c r="BI816" s="125"/>
      <c r="BJ816" s="125"/>
      <c r="BK816" s="125"/>
      <c r="BL816" s="125"/>
      <c r="BM816" s="123"/>
      <c r="BN816" s="114"/>
      <c r="BO816" s="114"/>
      <c r="BP816" s="114"/>
      <c r="BQ816" s="114"/>
      <c r="BR816" s="114"/>
      <c r="BS816" s="114"/>
      <c r="BT816" s="114"/>
      <c r="BU816" s="114"/>
      <c r="BV816" s="114"/>
      <c r="BW816" s="114"/>
      <c r="BX816" s="114"/>
      <c r="BY816" s="114"/>
      <c r="BZ816" s="114"/>
      <c r="CA816" s="114"/>
      <c r="CB816" s="114"/>
      <c r="CC816" s="114"/>
      <c r="CD816" s="114"/>
      <c r="CE816" s="114"/>
      <c r="CF816" s="114"/>
      <c r="CG816" s="114"/>
      <c r="CH816" s="114"/>
      <c r="CI816" s="114"/>
      <c r="CJ816" s="114"/>
      <c r="CK816" s="114"/>
      <c r="CL816" s="114"/>
      <c r="CM816" s="114"/>
      <c r="CN816" s="128"/>
      <c r="CO816" s="128"/>
      <c r="CP816" s="128"/>
      <c r="CQ816" s="128"/>
      <c r="CR816" s="128"/>
      <c r="CS816" s="128"/>
      <c r="CT816" s="128"/>
      <c r="CU816" s="128"/>
      <c r="CV816" s="128"/>
      <c r="CW816" s="128"/>
      <c r="CX816" s="128"/>
      <c r="CY816" s="128"/>
    </row>
    <row r="817" spans="1:103" ht="11.25" customHeight="1" x14ac:dyDescent="0.3">
      <c r="A817" s="113"/>
      <c r="B817" s="113"/>
      <c r="C817" s="113"/>
      <c r="D817" s="114"/>
      <c r="E817" s="114"/>
      <c r="F817" s="115"/>
      <c r="G817" s="116"/>
      <c r="H817" s="117"/>
      <c r="I817" s="117"/>
      <c r="J817" s="114"/>
      <c r="K817" s="118"/>
      <c r="L817" s="119"/>
      <c r="M817" s="120"/>
      <c r="N817" s="117"/>
      <c r="O817" s="116"/>
      <c r="P817" s="116"/>
      <c r="Q817" s="116"/>
      <c r="R817" s="113"/>
      <c r="S817" s="121"/>
      <c r="T817" s="115"/>
      <c r="U817" s="117"/>
      <c r="V817" s="122"/>
      <c r="W817" s="122"/>
      <c r="X817" s="122"/>
      <c r="Y817" s="122"/>
      <c r="Z817" s="122"/>
      <c r="AA817" s="122"/>
      <c r="AB817" s="122"/>
      <c r="AC817" s="122"/>
      <c r="AD817" s="122"/>
      <c r="AE817" s="122"/>
      <c r="AF817" s="122"/>
      <c r="AG817" s="122"/>
      <c r="AH817" s="122"/>
      <c r="AI817" s="123"/>
      <c r="AJ817" s="122"/>
      <c r="AK817" s="122"/>
      <c r="AL817" s="122"/>
      <c r="AM817" s="122"/>
      <c r="AN817" s="122"/>
      <c r="AO817" s="122"/>
      <c r="AP817" s="124"/>
      <c r="AQ817" s="122"/>
      <c r="AR817" s="122"/>
      <c r="AS817" s="122"/>
      <c r="AT817" s="122"/>
      <c r="AU817" s="122"/>
      <c r="AV817" s="124"/>
      <c r="AW817" s="125"/>
      <c r="AX817" s="126"/>
      <c r="AY817" s="127"/>
      <c r="AZ817" s="127"/>
      <c r="BA817" s="122"/>
      <c r="BB817" s="122"/>
      <c r="BC817" s="125"/>
      <c r="BD817" s="125"/>
      <c r="BE817" s="125"/>
      <c r="BF817" s="123"/>
      <c r="BG817" s="125"/>
      <c r="BH817" s="125"/>
      <c r="BI817" s="125"/>
      <c r="BJ817" s="125"/>
      <c r="BK817" s="125"/>
      <c r="BL817" s="125"/>
      <c r="BM817" s="123"/>
      <c r="BN817" s="114"/>
      <c r="BO817" s="114"/>
      <c r="BP817" s="114"/>
      <c r="BQ817" s="114"/>
      <c r="BR817" s="114"/>
      <c r="BS817" s="114"/>
      <c r="BT817" s="114"/>
      <c r="BU817" s="114"/>
      <c r="BV817" s="114"/>
      <c r="BW817" s="114"/>
      <c r="BX817" s="114"/>
      <c r="BY817" s="114"/>
      <c r="BZ817" s="114"/>
      <c r="CA817" s="114"/>
      <c r="CB817" s="114"/>
      <c r="CC817" s="114"/>
      <c r="CD817" s="114"/>
      <c r="CE817" s="114"/>
      <c r="CF817" s="114"/>
      <c r="CG817" s="114"/>
      <c r="CH817" s="114"/>
      <c r="CI817" s="114"/>
      <c r="CJ817" s="114"/>
      <c r="CK817" s="114"/>
      <c r="CL817" s="114"/>
      <c r="CM817" s="114"/>
      <c r="CN817" s="128"/>
      <c r="CO817" s="128"/>
      <c r="CP817" s="128"/>
      <c r="CQ817" s="128"/>
      <c r="CR817" s="128"/>
      <c r="CS817" s="128"/>
      <c r="CT817" s="128"/>
      <c r="CU817" s="128"/>
      <c r="CV817" s="128"/>
      <c r="CW817" s="128"/>
      <c r="CX817" s="128"/>
      <c r="CY817" s="128"/>
    </row>
    <row r="818" spans="1:103" ht="11.25" customHeight="1" x14ac:dyDescent="0.3">
      <c r="A818" s="113"/>
      <c r="B818" s="113"/>
      <c r="C818" s="113"/>
      <c r="D818" s="114"/>
      <c r="E818" s="114"/>
      <c r="F818" s="115"/>
      <c r="G818" s="116"/>
      <c r="H818" s="117"/>
      <c r="I818" s="117"/>
      <c r="J818" s="114"/>
      <c r="K818" s="118"/>
      <c r="L818" s="119"/>
      <c r="M818" s="120"/>
      <c r="N818" s="117"/>
      <c r="O818" s="116"/>
      <c r="P818" s="116"/>
      <c r="Q818" s="116"/>
      <c r="R818" s="113"/>
      <c r="S818" s="121"/>
      <c r="T818" s="115"/>
      <c r="U818" s="117"/>
      <c r="V818" s="122"/>
      <c r="W818" s="122"/>
      <c r="X818" s="122"/>
      <c r="Y818" s="122"/>
      <c r="Z818" s="122"/>
      <c r="AA818" s="122"/>
      <c r="AB818" s="122"/>
      <c r="AC818" s="122"/>
      <c r="AD818" s="122"/>
      <c r="AE818" s="122"/>
      <c r="AF818" s="122"/>
      <c r="AG818" s="122"/>
      <c r="AH818" s="122"/>
      <c r="AI818" s="123"/>
      <c r="AJ818" s="122"/>
      <c r="AK818" s="122"/>
      <c r="AL818" s="122"/>
      <c r="AM818" s="122"/>
      <c r="AN818" s="122"/>
      <c r="AO818" s="122"/>
      <c r="AP818" s="124"/>
      <c r="AQ818" s="122"/>
      <c r="AR818" s="122"/>
      <c r="AS818" s="122"/>
      <c r="AT818" s="122"/>
      <c r="AU818" s="122"/>
      <c r="AV818" s="124"/>
      <c r="AW818" s="125"/>
      <c r="AX818" s="126"/>
      <c r="AY818" s="127"/>
      <c r="AZ818" s="127"/>
      <c r="BA818" s="122"/>
      <c r="BB818" s="122"/>
      <c r="BC818" s="125"/>
      <c r="BD818" s="125"/>
      <c r="BE818" s="125"/>
      <c r="BF818" s="123"/>
      <c r="BG818" s="125"/>
      <c r="BH818" s="125"/>
      <c r="BI818" s="125"/>
      <c r="BJ818" s="125"/>
      <c r="BK818" s="125"/>
      <c r="BL818" s="125"/>
      <c r="BM818" s="123"/>
      <c r="BN818" s="114"/>
      <c r="BO818" s="114"/>
      <c r="BP818" s="114"/>
      <c r="BQ818" s="114"/>
      <c r="BR818" s="114"/>
      <c r="BS818" s="114"/>
      <c r="BT818" s="114"/>
      <c r="BU818" s="114"/>
      <c r="BV818" s="114"/>
      <c r="BW818" s="114"/>
      <c r="BX818" s="114"/>
      <c r="BY818" s="114"/>
      <c r="BZ818" s="114"/>
      <c r="CA818" s="114"/>
      <c r="CB818" s="114"/>
      <c r="CC818" s="114"/>
      <c r="CD818" s="114"/>
      <c r="CE818" s="114"/>
      <c r="CF818" s="114"/>
      <c r="CG818" s="114"/>
      <c r="CH818" s="114"/>
      <c r="CI818" s="114"/>
      <c r="CJ818" s="114"/>
      <c r="CK818" s="114"/>
      <c r="CL818" s="114"/>
      <c r="CM818" s="114"/>
      <c r="CN818" s="128"/>
      <c r="CO818" s="128"/>
      <c r="CP818" s="128"/>
      <c r="CQ818" s="128"/>
      <c r="CR818" s="128"/>
      <c r="CS818" s="128"/>
      <c r="CT818" s="128"/>
      <c r="CU818" s="128"/>
      <c r="CV818" s="128"/>
      <c r="CW818" s="128"/>
      <c r="CX818" s="128"/>
      <c r="CY818" s="128"/>
    </row>
    <row r="819" spans="1:103" ht="11.25" customHeight="1" x14ac:dyDescent="0.3">
      <c r="A819" s="113"/>
      <c r="B819" s="113"/>
      <c r="C819" s="113"/>
      <c r="D819" s="114"/>
      <c r="E819" s="114"/>
      <c r="F819" s="115"/>
      <c r="G819" s="116"/>
      <c r="H819" s="117"/>
      <c r="I819" s="117"/>
      <c r="J819" s="114"/>
      <c r="K819" s="118"/>
      <c r="L819" s="119"/>
      <c r="M819" s="120"/>
      <c r="N819" s="117"/>
      <c r="O819" s="116"/>
      <c r="P819" s="116"/>
      <c r="Q819" s="116"/>
      <c r="R819" s="113"/>
      <c r="S819" s="121"/>
      <c r="T819" s="115"/>
      <c r="U819" s="117"/>
      <c r="V819" s="122"/>
      <c r="W819" s="122"/>
      <c r="X819" s="122"/>
      <c r="Y819" s="122"/>
      <c r="Z819" s="122"/>
      <c r="AA819" s="122"/>
      <c r="AB819" s="122"/>
      <c r="AC819" s="122"/>
      <c r="AD819" s="122"/>
      <c r="AE819" s="122"/>
      <c r="AF819" s="122"/>
      <c r="AG819" s="122"/>
      <c r="AH819" s="122"/>
      <c r="AI819" s="123"/>
      <c r="AJ819" s="122"/>
      <c r="AK819" s="122"/>
      <c r="AL819" s="122"/>
      <c r="AM819" s="122"/>
      <c r="AN819" s="122"/>
      <c r="AO819" s="122"/>
      <c r="AP819" s="124"/>
      <c r="AQ819" s="122"/>
      <c r="AR819" s="122"/>
      <c r="AS819" s="122"/>
      <c r="AT819" s="122"/>
      <c r="AU819" s="122"/>
      <c r="AV819" s="124"/>
      <c r="AW819" s="125"/>
      <c r="AX819" s="126"/>
      <c r="AY819" s="127"/>
      <c r="AZ819" s="127"/>
      <c r="BA819" s="122"/>
      <c r="BB819" s="122"/>
      <c r="BC819" s="125"/>
      <c r="BD819" s="125"/>
      <c r="BE819" s="125"/>
      <c r="BF819" s="123"/>
      <c r="BG819" s="125"/>
      <c r="BH819" s="125"/>
      <c r="BI819" s="125"/>
      <c r="BJ819" s="125"/>
      <c r="BK819" s="125"/>
      <c r="BL819" s="125"/>
      <c r="BM819" s="123"/>
      <c r="BN819" s="114"/>
      <c r="BO819" s="114"/>
      <c r="BP819" s="114"/>
      <c r="BQ819" s="114"/>
      <c r="BR819" s="114"/>
      <c r="BS819" s="114"/>
      <c r="BT819" s="114"/>
      <c r="BU819" s="114"/>
      <c r="BV819" s="114"/>
      <c r="BW819" s="114"/>
      <c r="BX819" s="114"/>
      <c r="BY819" s="114"/>
      <c r="BZ819" s="114"/>
      <c r="CA819" s="114"/>
      <c r="CB819" s="114"/>
      <c r="CC819" s="114"/>
      <c r="CD819" s="114"/>
      <c r="CE819" s="114"/>
      <c r="CF819" s="114"/>
      <c r="CG819" s="114"/>
      <c r="CH819" s="114"/>
      <c r="CI819" s="114"/>
      <c r="CJ819" s="114"/>
      <c r="CK819" s="114"/>
      <c r="CL819" s="114"/>
      <c r="CM819" s="114"/>
      <c r="CN819" s="128"/>
      <c r="CO819" s="128"/>
      <c r="CP819" s="128"/>
      <c r="CQ819" s="128"/>
      <c r="CR819" s="128"/>
      <c r="CS819" s="128"/>
      <c r="CT819" s="128"/>
      <c r="CU819" s="128"/>
      <c r="CV819" s="128"/>
      <c r="CW819" s="128"/>
      <c r="CX819" s="128"/>
      <c r="CY819" s="128"/>
    </row>
    <row r="820" spans="1:103" ht="11.25" customHeight="1" x14ac:dyDescent="0.3">
      <c r="A820" s="113"/>
      <c r="B820" s="113"/>
      <c r="C820" s="113"/>
      <c r="D820" s="114"/>
      <c r="E820" s="114"/>
      <c r="F820" s="115"/>
      <c r="G820" s="116"/>
      <c r="H820" s="117"/>
      <c r="I820" s="117"/>
      <c r="J820" s="114"/>
      <c r="K820" s="118"/>
      <c r="L820" s="119"/>
      <c r="M820" s="120"/>
      <c r="N820" s="117"/>
      <c r="O820" s="116"/>
      <c r="P820" s="116"/>
      <c r="Q820" s="116"/>
      <c r="R820" s="113"/>
      <c r="S820" s="121"/>
      <c r="T820" s="115"/>
      <c r="U820" s="117"/>
      <c r="V820" s="122"/>
      <c r="W820" s="122"/>
      <c r="X820" s="122"/>
      <c r="Y820" s="122"/>
      <c r="Z820" s="122"/>
      <c r="AA820" s="122"/>
      <c r="AB820" s="122"/>
      <c r="AC820" s="122"/>
      <c r="AD820" s="122"/>
      <c r="AE820" s="122"/>
      <c r="AF820" s="122"/>
      <c r="AG820" s="122"/>
      <c r="AH820" s="122"/>
      <c r="AI820" s="123"/>
      <c r="AJ820" s="122"/>
      <c r="AK820" s="122"/>
      <c r="AL820" s="122"/>
      <c r="AM820" s="122"/>
      <c r="AN820" s="122"/>
      <c r="AO820" s="122"/>
      <c r="AP820" s="124"/>
      <c r="AQ820" s="122"/>
      <c r="AR820" s="122"/>
      <c r="AS820" s="122"/>
      <c r="AT820" s="122"/>
      <c r="AU820" s="122"/>
      <c r="AV820" s="124"/>
      <c r="AW820" s="125"/>
      <c r="AX820" s="126"/>
      <c r="AY820" s="127"/>
      <c r="AZ820" s="127"/>
      <c r="BA820" s="122"/>
      <c r="BB820" s="122"/>
      <c r="BC820" s="125"/>
      <c r="BD820" s="125"/>
      <c r="BE820" s="125"/>
      <c r="BF820" s="123"/>
      <c r="BG820" s="125"/>
      <c r="BH820" s="125"/>
      <c r="BI820" s="125"/>
      <c r="BJ820" s="125"/>
      <c r="BK820" s="125"/>
      <c r="BL820" s="125"/>
      <c r="BM820" s="123"/>
      <c r="BN820" s="114"/>
      <c r="BO820" s="114"/>
      <c r="BP820" s="114"/>
      <c r="BQ820" s="114"/>
      <c r="BR820" s="114"/>
      <c r="BS820" s="114"/>
      <c r="BT820" s="114"/>
      <c r="BU820" s="114"/>
      <c r="BV820" s="114"/>
      <c r="BW820" s="114"/>
      <c r="BX820" s="114"/>
      <c r="BY820" s="114"/>
      <c r="BZ820" s="114"/>
      <c r="CA820" s="114"/>
      <c r="CB820" s="114"/>
      <c r="CC820" s="114"/>
      <c r="CD820" s="114"/>
      <c r="CE820" s="114"/>
      <c r="CF820" s="114"/>
      <c r="CG820" s="114"/>
      <c r="CH820" s="114"/>
      <c r="CI820" s="114"/>
      <c r="CJ820" s="114"/>
      <c r="CK820" s="114"/>
      <c r="CL820" s="114"/>
      <c r="CM820" s="114"/>
      <c r="CN820" s="128"/>
      <c r="CO820" s="128"/>
      <c r="CP820" s="128"/>
      <c r="CQ820" s="128"/>
      <c r="CR820" s="128"/>
      <c r="CS820" s="128"/>
      <c r="CT820" s="128"/>
      <c r="CU820" s="128"/>
      <c r="CV820" s="128"/>
      <c r="CW820" s="128"/>
      <c r="CX820" s="128"/>
      <c r="CY820" s="128"/>
    </row>
    <row r="821" spans="1:103" ht="11.25" customHeight="1" x14ac:dyDescent="0.3">
      <c r="A821" s="113"/>
      <c r="B821" s="113"/>
      <c r="C821" s="113"/>
      <c r="D821" s="114"/>
      <c r="E821" s="114"/>
      <c r="F821" s="115"/>
      <c r="G821" s="116"/>
      <c r="H821" s="117"/>
      <c r="I821" s="117"/>
      <c r="J821" s="114"/>
      <c r="K821" s="118"/>
      <c r="L821" s="119"/>
      <c r="M821" s="120"/>
      <c r="N821" s="117"/>
      <c r="O821" s="116"/>
      <c r="P821" s="116"/>
      <c r="Q821" s="116"/>
      <c r="R821" s="113"/>
      <c r="S821" s="121"/>
      <c r="T821" s="115"/>
      <c r="U821" s="117"/>
      <c r="V821" s="122"/>
      <c r="W821" s="122"/>
      <c r="X821" s="122"/>
      <c r="Y821" s="122"/>
      <c r="Z821" s="122"/>
      <c r="AA821" s="122"/>
      <c r="AB821" s="122"/>
      <c r="AC821" s="122"/>
      <c r="AD821" s="122"/>
      <c r="AE821" s="122"/>
      <c r="AF821" s="122"/>
      <c r="AG821" s="122"/>
      <c r="AH821" s="122"/>
      <c r="AI821" s="123"/>
      <c r="AJ821" s="122"/>
      <c r="AK821" s="122"/>
      <c r="AL821" s="122"/>
      <c r="AM821" s="122"/>
      <c r="AN821" s="122"/>
      <c r="AO821" s="122"/>
      <c r="AP821" s="124"/>
      <c r="AQ821" s="122"/>
      <c r="AR821" s="122"/>
      <c r="AS821" s="122"/>
      <c r="AT821" s="122"/>
      <c r="AU821" s="122"/>
      <c r="AV821" s="124"/>
      <c r="AW821" s="125"/>
      <c r="AX821" s="126"/>
      <c r="AY821" s="127"/>
      <c r="AZ821" s="127"/>
      <c r="BA821" s="122"/>
      <c r="BB821" s="122"/>
      <c r="BC821" s="125"/>
      <c r="BD821" s="125"/>
      <c r="BE821" s="125"/>
      <c r="BF821" s="123"/>
      <c r="BG821" s="125"/>
      <c r="BH821" s="125"/>
      <c r="BI821" s="125"/>
      <c r="BJ821" s="125"/>
      <c r="BK821" s="125"/>
      <c r="BL821" s="125"/>
      <c r="BM821" s="123"/>
      <c r="BN821" s="114"/>
      <c r="BO821" s="114"/>
      <c r="BP821" s="114"/>
      <c r="BQ821" s="114"/>
      <c r="BR821" s="114"/>
      <c r="BS821" s="114"/>
      <c r="BT821" s="114"/>
      <c r="BU821" s="114"/>
      <c r="BV821" s="114"/>
      <c r="BW821" s="114"/>
      <c r="BX821" s="114"/>
      <c r="BY821" s="114"/>
      <c r="BZ821" s="114"/>
      <c r="CA821" s="114"/>
      <c r="CB821" s="114"/>
      <c r="CC821" s="114"/>
      <c r="CD821" s="114"/>
      <c r="CE821" s="114"/>
      <c r="CF821" s="114"/>
      <c r="CG821" s="114"/>
      <c r="CH821" s="114"/>
      <c r="CI821" s="114"/>
      <c r="CJ821" s="114"/>
      <c r="CK821" s="114"/>
      <c r="CL821" s="114"/>
      <c r="CM821" s="114"/>
      <c r="CN821" s="128"/>
      <c r="CO821" s="128"/>
      <c r="CP821" s="128"/>
      <c r="CQ821" s="128"/>
      <c r="CR821" s="128"/>
      <c r="CS821" s="128"/>
      <c r="CT821" s="128"/>
      <c r="CU821" s="128"/>
      <c r="CV821" s="128"/>
      <c r="CW821" s="128"/>
      <c r="CX821" s="128"/>
      <c r="CY821" s="128"/>
    </row>
    <row r="822" spans="1:103" ht="11.25" customHeight="1" x14ac:dyDescent="0.3">
      <c r="A822" s="113"/>
      <c r="B822" s="113"/>
      <c r="C822" s="113"/>
      <c r="D822" s="114"/>
      <c r="E822" s="114"/>
      <c r="F822" s="115"/>
      <c r="G822" s="116"/>
      <c r="H822" s="117"/>
      <c r="I822" s="117"/>
      <c r="J822" s="114"/>
      <c r="K822" s="118"/>
      <c r="L822" s="119"/>
      <c r="M822" s="120"/>
      <c r="N822" s="117"/>
      <c r="O822" s="116"/>
      <c r="P822" s="116"/>
      <c r="Q822" s="116"/>
      <c r="R822" s="113"/>
      <c r="S822" s="121"/>
      <c r="T822" s="115"/>
      <c r="U822" s="117"/>
      <c r="V822" s="122"/>
      <c r="W822" s="122"/>
      <c r="X822" s="122"/>
      <c r="Y822" s="122"/>
      <c r="Z822" s="122"/>
      <c r="AA822" s="122"/>
      <c r="AB822" s="122"/>
      <c r="AC822" s="122"/>
      <c r="AD822" s="122"/>
      <c r="AE822" s="122"/>
      <c r="AF822" s="122"/>
      <c r="AG822" s="122"/>
      <c r="AH822" s="122"/>
      <c r="AI822" s="123"/>
      <c r="AJ822" s="122"/>
      <c r="AK822" s="122"/>
      <c r="AL822" s="122"/>
      <c r="AM822" s="122"/>
      <c r="AN822" s="122"/>
      <c r="AO822" s="122"/>
      <c r="AP822" s="124"/>
      <c r="AQ822" s="122"/>
      <c r="AR822" s="122"/>
      <c r="AS822" s="122"/>
      <c r="AT822" s="122"/>
      <c r="AU822" s="122"/>
      <c r="AV822" s="124"/>
      <c r="AW822" s="125"/>
      <c r="AX822" s="126"/>
      <c r="AY822" s="127"/>
      <c r="AZ822" s="127"/>
      <c r="BA822" s="122"/>
      <c r="BB822" s="122"/>
      <c r="BC822" s="125"/>
      <c r="BD822" s="125"/>
      <c r="BE822" s="125"/>
      <c r="BF822" s="123"/>
      <c r="BG822" s="125"/>
      <c r="BH822" s="125"/>
      <c r="BI822" s="125"/>
      <c r="BJ822" s="125"/>
      <c r="BK822" s="125"/>
      <c r="BL822" s="125"/>
      <c r="BM822" s="123"/>
      <c r="BN822" s="114"/>
      <c r="BO822" s="114"/>
      <c r="BP822" s="114"/>
      <c r="BQ822" s="114"/>
      <c r="BR822" s="114"/>
      <c r="BS822" s="114"/>
      <c r="BT822" s="114"/>
      <c r="BU822" s="114"/>
      <c r="BV822" s="114"/>
      <c r="BW822" s="114"/>
      <c r="BX822" s="114"/>
      <c r="BY822" s="114"/>
      <c r="BZ822" s="114"/>
      <c r="CA822" s="114"/>
      <c r="CB822" s="114"/>
      <c r="CC822" s="114"/>
      <c r="CD822" s="114"/>
      <c r="CE822" s="114"/>
      <c r="CF822" s="114"/>
      <c r="CG822" s="114"/>
      <c r="CH822" s="114"/>
      <c r="CI822" s="114"/>
      <c r="CJ822" s="114"/>
      <c r="CK822" s="114"/>
      <c r="CL822" s="114"/>
      <c r="CM822" s="114"/>
      <c r="CN822" s="128"/>
      <c r="CO822" s="128"/>
      <c r="CP822" s="128"/>
      <c r="CQ822" s="128"/>
      <c r="CR822" s="128"/>
      <c r="CS822" s="128"/>
      <c r="CT822" s="128"/>
      <c r="CU822" s="128"/>
      <c r="CV822" s="128"/>
      <c r="CW822" s="128"/>
      <c r="CX822" s="128"/>
      <c r="CY822" s="128"/>
    </row>
    <row r="823" spans="1:103" ht="11.25" customHeight="1" x14ac:dyDescent="0.3">
      <c r="A823" s="113"/>
      <c r="B823" s="113"/>
      <c r="C823" s="113"/>
      <c r="D823" s="114"/>
      <c r="E823" s="114"/>
      <c r="F823" s="115"/>
      <c r="G823" s="116"/>
      <c r="H823" s="117"/>
      <c r="I823" s="117"/>
      <c r="J823" s="114"/>
      <c r="K823" s="118"/>
      <c r="L823" s="119"/>
      <c r="M823" s="120"/>
      <c r="N823" s="117"/>
      <c r="O823" s="116"/>
      <c r="P823" s="116"/>
      <c r="Q823" s="116"/>
      <c r="R823" s="113"/>
      <c r="S823" s="121"/>
      <c r="T823" s="115"/>
      <c r="U823" s="117"/>
      <c r="V823" s="122"/>
      <c r="W823" s="122"/>
      <c r="X823" s="122"/>
      <c r="Y823" s="122"/>
      <c r="Z823" s="122"/>
      <c r="AA823" s="122"/>
      <c r="AB823" s="122"/>
      <c r="AC823" s="122"/>
      <c r="AD823" s="122"/>
      <c r="AE823" s="122"/>
      <c r="AF823" s="122"/>
      <c r="AG823" s="122"/>
      <c r="AH823" s="122"/>
      <c r="AI823" s="123"/>
      <c r="AJ823" s="122"/>
      <c r="AK823" s="122"/>
      <c r="AL823" s="122"/>
      <c r="AM823" s="122"/>
      <c r="AN823" s="122"/>
      <c r="AO823" s="122"/>
      <c r="AP823" s="124"/>
      <c r="AQ823" s="122"/>
      <c r="AR823" s="122"/>
      <c r="AS823" s="122"/>
      <c r="AT823" s="122"/>
      <c r="AU823" s="122"/>
      <c r="AV823" s="124"/>
      <c r="AW823" s="125"/>
      <c r="AX823" s="126"/>
      <c r="AY823" s="127"/>
      <c r="AZ823" s="127"/>
      <c r="BA823" s="122"/>
      <c r="BB823" s="122"/>
      <c r="BC823" s="125"/>
      <c r="BD823" s="125"/>
      <c r="BE823" s="125"/>
      <c r="BF823" s="123"/>
      <c r="BG823" s="125"/>
      <c r="BH823" s="125"/>
      <c r="BI823" s="125"/>
      <c r="BJ823" s="125"/>
      <c r="BK823" s="125"/>
      <c r="BL823" s="125"/>
      <c r="BM823" s="123"/>
      <c r="BN823" s="114"/>
      <c r="BO823" s="114"/>
      <c r="BP823" s="114"/>
      <c r="BQ823" s="114"/>
      <c r="BR823" s="114"/>
      <c r="BS823" s="114"/>
      <c r="BT823" s="114"/>
      <c r="BU823" s="114"/>
      <c r="BV823" s="114"/>
      <c r="BW823" s="114"/>
      <c r="BX823" s="114"/>
      <c r="BY823" s="114"/>
      <c r="BZ823" s="114"/>
      <c r="CA823" s="114"/>
      <c r="CB823" s="114"/>
      <c r="CC823" s="114"/>
      <c r="CD823" s="114"/>
      <c r="CE823" s="114"/>
      <c r="CF823" s="114"/>
      <c r="CG823" s="114"/>
      <c r="CH823" s="114"/>
      <c r="CI823" s="114"/>
      <c r="CJ823" s="114"/>
      <c r="CK823" s="114"/>
      <c r="CL823" s="114"/>
      <c r="CM823" s="114"/>
      <c r="CN823" s="128"/>
      <c r="CO823" s="128"/>
      <c r="CP823" s="128"/>
      <c r="CQ823" s="128"/>
      <c r="CR823" s="128"/>
      <c r="CS823" s="128"/>
      <c r="CT823" s="128"/>
      <c r="CU823" s="128"/>
      <c r="CV823" s="128"/>
      <c r="CW823" s="128"/>
      <c r="CX823" s="128"/>
      <c r="CY823" s="128"/>
    </row>
    <row r="824" spans="1:103" ht="11.25" customHeight="1" x14ac:dyDescent="0.3">
      <c r="A824" s="113"/>
      <c r="B824" s="113"/>
      <c r="C824" s="113"/>
      <c r="D824" s="114"/>
      <c r="E824" s="114"/>
      <c r="F824" s="115"/>
      <c r="G824" s="116"/>
      <c r="H824" s="117"/>
      <c r="I824" s="117"/>
      <c r="J824" s="114"/>
      <c r="K824" s="118"/>
      <c r="L824" s="119"/>
      <c r="M824" s="120"/>
      <c r="N824" s="117"/>
      <c r="O824" s="116"/>
      <c r="P824" s="116"/>
      <c r="Q824" s="116"/>
      <c r="R824" s="113"/>
      <c r="S824" s="121"/>
      <c r="T824" s="115"/>
      <c r="U824" s="117"/>
      <c r="V824" s="122"/>
      <c r="W824" s="122"/>
      <c r="X824" s="122"/>
      <c r="Y824" s="122"/>
      <c r="Z824" s="122"/>
      <c r="AA824" s="122"/>
      <c r="AB824" s="122"/>
      <c r="AC824" s="122"/>
      <c r="AD824" s="122"/>
      <c r="AE824" s="122"/>
      <c r="AF824" s="122"/>
      <c r="AG824" s="122"/>
      <c r="AH824" s="122"/>
      <c r="AI824" s="123"/>
      <c r="AJ824" s="122"/>
      <c r="AK824" s="122"/>
      <c r="AL824" s="122"/>
      <c r="AM824" s="122"/>
      <c r="AN824" s="122"/>
      <c r="AO824" s="122"/>
      <c r="AP824" s="124"/>
      <c r="AQ824" s="122"/>
      <c r="AR824" s="122"/>
      <c r="AS824" s="122"/>
      <c r="AT824" s="122"/>
      <c r="AU824" s="122"/>
      <c r="AV824" s="124"/>
      <c r="AW824" s="125"/>
      <c r="AX824" s="126"/>
      <c r="AY824" s="127"/>
      <c r="AZ824" s="127"/>
      <c r="BA824" s="122"/>
      <c r="BB824" s="122"/>
      <c r="BC824" s="125"/>
      <c r="BD824" s="125"/>
      <c r="BE824" s="125"/>
      <c r="BF824" s="123"/>
      <c r="BG824" s="125"/>
      <c r="BH824" s="125"/>
      <c r="BI824" s="125"/>
      <c r="BJ824" s="125"/>
      <c r="BK824" s="125"/>
      <c r="BL824" s="125"/>
      <c r="BM824" s="123"/>
      <c r="BN824" s="114"/>
      <c r="BO824" s="114"/>
      <c r="BP824" s="114"/>
      <c r="BQ824" s="114"/>
      <c r="BR824" s="114"/>
      <c r="BS824" s="114"/>
      <c r="BT824" s="114"/>
      <c r="BU824" s="114"/>
      <c r="BV824" s="114"/>
      <c r="BW824" s="114"/>
      <c r="BX824" s="114"/>
      <c r="BY824" s="114"/>
      <c r="BZ824" s="114"/>
      <c r="CA824" s="114"/>
      <c r="CB824" s="114"/>
      <c r="CC824" s="114"/>
      <c r="CD824" s="114"/>
      <c r="CE824" s="114"/>
      <c r="CF824" s="114"/>
      <c r="CG824" s="114"/>
      <c r="CH824" s="114"/>
      <c r="CI824" s="114"/>
      <c r="CJ824" s="114"/>
      <c r="CK824" s="114"/>
      <c r="CL824" s="114"/>
      <c r="CM824" s="114"/>
      <c r="CN824" s="128"/>
      <c r="CO824" s="128"/>
      <c r="CP824" s="128"/>
      <c r="CQ824" s="128"/>
      <c r="CR824" s="128"/>
      <c r="CS824" s="128"/>
      <c r="CT824" s="128"/>
      <c r="CU824" s="128"/>
      <c r="CV824" s="128"/>
      <c r="CW824" s="128"/>
      <c r="CX824" s="128"/>
      <c r="CY824" s="128"/>
    </row>
    <row r="825" spans="1:103" ht="11.25" customHeight="1" x14ac:dyDescent="0.3">
      <c r="A825" s="113"/>
      <c r="B825" s="113"/>
      <c r="C825" s="113"/>
      <c r="D825" s="114"/>
      <c r="E825" s="114"/>
      <c r="F825" s="115"/>
      <c r="G825" s="116"/>
      <c r="H825" s="117"/>
      <c r="I825" s="117"/>
      <c r="J825" s="114"/>
      <c r="K825" s="118"/>
      <c r="L825" s="119"/>
      <c r="M825" s="120"/>
      <c r="N825" s="117"/>
      <c r="O825" s="116"/>
      <c r="P825" s="116"/>
      <c r="Q825" s="116"/>
      <c r="R825" s="113"/>
      <c r="S825" s="121"/>
      <c r="T825" s="115"/>
      <c r="U825" s="117"/>
      <c r="V825" s="122"/>
      <c r="W825" s="122"/>
      <c r="X825" s="122"/>
      <c r="Y825" s="122"/>
      <c r="Z825" s="122"/>
      <c r="AA825" s="122"/>
      <c r="AB825" s="122"/>
      <c r="AC825" s="122"/>
      <c r="AD825" s="122"/>
      <c r="AE825" s="122"/>
      <c r="AF825" s="122"/>
      <c r="AG825" s="122"/>
      <c r="AH825" s="122"/>
      <c r="AI825" s="123"/>
      <c r="AJ825" s="122"/>
      <c r="AK825" s="122"/>
      <c r="AL825" s="122"/>
      <c r="AM825" s="122"/>
      <c r="AN825" s="122"/>
      <c r="AO825" s="122"/>
      <c r="AP825" s="124"/>
      <c r="AQ825" s="122"/>
      <c r="AR825" s="122"/>
      <c r="AS825" s="122"/>
      <c r="AT825" s="122"/>
      <c r="AU825" s="122"/>
      <c r="AV825" s="124"/>
      <c r="AW825" s="125"/>
      <c r="AX825" s="126"/>
      <c r="AY825" s="127"/>
      <c r="AZ825" s="127"/>
      <c r="BA825" s="122"/>
      <c r="BB825" s="122"/>
      <c r="BC825" s="125"/>
      <c r="BD825" s="125"/>
      <c r="BE825" s="125"/>
      <c r="BF825" s="123"/>
      <c r="BG825" s="125"/>
      <c r="BH825" s="125"/>
      <c r="BI825" s="125"/>
      <c r="BJ825" s="125"/>
      <c r="BK825" s="125"/>
      <c r="BL825" s="125"/>
      <c r="BM825" s="123"/>
      <c r="BN825" s="114"/>
      <c r="BO825" s="114"/>
      <c r="BP825" s="114"/>
      <c r="BQ825" s="114"/>
      <c r="BR825" s="114"/>
      <c r="BS825" s="114"/>
      <c r="BT825" s="114"/>
      <c r="BU825" s="114"/>
      <c r="BV825" s="114"/>
      <c r="BW825" s="114"/>
      <c r="BX825" s="114"/>
      <c r="BY825" s="114"/>
      <c r="BZ825" s="114"/>
      <c r="CA825" s="114"/>
      <c r="CB825" s="114"/>
      <c r="CC825" s="114"/>
      <c r="CD825" s="114"/>
      <c r="CE825" s="114"/>
      <c r="CF825" s="114"/>
      <c r="CG825" s="114"/>
      <c r="CH825" s="114"/>
      <c r="CI825" s="114"/>
      <c r="CJ825" s="114"/>
      <c r="CK825" s="114"/>
      <c r="CL825" s="114"/>
      <c r="CM825" s="114"/>
      <c r="CN825" s="128"/>
      <c r="CO825" s="128"/>
      <c r="CP825" s="128"/>
      <c r="CQ825" s="128"/>
      <c r="CR825" s="128"/>
      <c r="CS825" s="128"/>
      <c r="CT825" s="128"/>
      <c r="CU825" s="128"/>
      <c r="CV825" s="128"/>
      <c r="CW825" s="128"/>
      <c r="CX825" s="128"/>
      <c r="CY825" s="128"/>
    </row>
    <row r="826" spans="1:103" ht="11.25" customHeight="1" x14ac:dyDescent="0.3">
      <c r="A826" s="113"/>
      <c r="B826" s="113"/>
      <c r="C826" s="113"/>
      <c r="D826" s="114"/>
      <c r="E826" s="114"/>
      <c r="F826" s="115"/>
      <c r="G826" s="116"/>
      <c r="H826" s="117"/>
      <c r="I826" s="117"/>
      <c r="J826" s="114"/>
      <c r="K826" s="118"/>
      <c r="L826" s="119"/>
      <c r="M826" s="120"/>
      <c r="N826" s="117"/>
      <c r="O826" s="116"/>
      <c r="P826" s="116"/>
      <c r="Q826" s="116"/>
      <c r="R826" s="113"/>
      <c r="S826" s="121"/>
      <c r="T826" s="115"/>
      <c r="U826" s="117"/>
      <c r="V826" s="122"/>
      <c r="W826" s="122"/>
      <c r="X826" s="122"/>
      <c r="Y826" s="122"/>
      <c r="Z826" s="122"/>
      <c r="AA826" s="122"/>
      <c r="AB826" s="122"/>
      <c r="AC826" s="122"/>
      <c r="AD826" s="122"/>
      <c r="AE826" s="122"/>
      <c r="AF826" s="122"/>
      <c r="AG826" s="122"/>
      <c r="AH826" s="122"/>
      <c r="AI826" s="123"/>
      <c r="AJ826" s="122"/>
      <c r="AK826" s="122"/>
      <c r="AL826" s="122"/>
      <c r="AM826" s="122"/>
      <c r="AN826" s="122"/>
      <c r="AO826" s="122"/>
      <c r="AP826" s="124"/>
      <c r="AQ826" s="122"/>
      <c r="AR826" s="122"/>
      <c r="AS826" s="122"/>
      <c r="AT826" s="122"/>
      <c r="AU826" s="122"/>
      <c r="AV826" s="124"/>
      <c r="AW826" s="125"/>
      <c r="AX826" s="126"/>
      <c r="AY826" s="127"/>
      <c r="AZ826" s="127"/>
      <c r="BA826" s="122"/>
      <c r="BB826" s="122"/>
      <c r="BC826" s="125"/>
      <c r="BD826" s="125"/>
      <c r="BE826" s="125"/>
      <c r="BF826" s="123"/>
      <c r="BG826" s="125"/>
      <c r="BH826" s="125"/>
      <c r="BI826" s="125"/>
      <c r="BJ826" s="125"/>
      <c r="BK826" s="125"/>
      <c r="BL826" s="125"/>
      <c r="BM826" s="123"/>
      <c r="BN826" s="114"/>
      <c r="BO826" s="114"/>
      <c r="BP826" s="114"/>
      <c r="BQ826" s="114"/>
      <c r="BR826" s="114"/>
      <c r="BS826" s="114"/>
      <c r="BT826" s="114"/>
      <c r="BU826" s="114"/>
      <c r="BV826" s="114"/>
      <c r="BW826" s="114"/>
      <c r="BX826" s="114"/>
      <c r="BY826" s="114"/>
      <c r="BZ826" s="114"/>
      <c r="CA826" s="114"/>
      <c r="CB826" s="114"/>
      <c r="CC826" s="114"/>
      <c r="CD826" s="114"/>
      <c r="CE826" s="114"/>
      <c r="CF826" s="114"/>
      <c r="CG826" s="114"/>
      <c r="CH826" s="114"/>
      <c r="CI826" s="114"/>
      <c r="CJ826" s="114"/>
      <c r="CK826" s="114"/>
      <c r="CL826" s="114"/>
      <c r="CM826" s="114"/>
      <c r="CN826" s="128"/>
      <c r="CO826" s="128"/>
      <c r="CP826" s="128"/>
      <c r="CQ826" s="128"/>
      <c r="CR826" s="128"/>
      <c r="CS826" s="128"/>
      <c r="CT826" s="128"/>
      <c r="CU826" s="128"/>
      <c r="CV826" s="128"/>
      <c r="CW826" s="128"/>
      <c r="CX826" s="128"/>
      <c r="CY826" s="128"/>
    </row>
    <row r="827" spans="1:103" ht="11.25" customHeight="1" x14ac:dyDescent="0.3">
      <c r="A827" s="113"/>
      <c r="B827" s="113"/>
      <c r="C827" s="113"/>
      <c r="D827" s="114"/>
      <c r="E827" s="114"/>
      <c r="F827" s="115"/>
      <c r="G827" s="116"/>
      <c r="H827" s="117"/>
      <c r="I827" s="117"/>
      <c r="J827" s="114"/>
      <c r="K827" s="118"/>
      <c r="L827" s="119"/>
      <c r="M827" s="120"/>
      <c r="N827" s="117"/>
      <c r="O827" s="116"/>
      <c r="P827" s="116"/>
      <c r="Q827" s="116"/>
      <c r="R827" s="113"/>
      <c r="S827" s="121"/>
      <c r="T827" s="115"/>
      <c r="U827" s="117"/>
      <c r="V827" s="122"/>
      <c r="W827" s="122"/>
      <c r="X827" s="122"/>
      <c r="Y827" s="122"/>
      <c r="Z827" s="122"/>
      <c r="AA827" s="122"/>
      <c r="AB827" s="122"/>
      <c r="AC827" s="122"/>
      <c r="AD827" s="122"/>
      <c r="AE827" s="122"/>
      <c r="AF827" s="122"/>
      <c r="AG827" s="122"/>
      <c r="AH827" s="122"/>
      <c r="AI827" s="123"/>
      <c r="AJ827" s="122"/>
      <c r="AK827" s="122"/>
      <c r="AL827" s="122"/>
      <c r="AM827" s="122"/>
      <c r="AN827" s="122"/>
      <c r="AO827" s="122"/>
      <c r="AP827" s="124"/>
      <c r="AQ827" s="122"/>
      <c r="AR827" s="122"/>
      <c r="AS827" s="122"/>
      <c r="AT827" s="122"/>
      <c r="AU827" s="122"/>
      <c r="AV827" s="124"/>
      <c r="AW827" s="125"/>
      <c r="AX827" s="126"/>
      <c r="AY827" s="127"/>
      <c r="AZ827" s="127"/>
      <c r="BA827" s="122"/>
      <c r="BB827" s="122"/>
      <c r="BC827" s="125"/>
      <c r="BD827" s="125"/>
      <c r="BE827" s="125"/>
      <c r="BF827" s="123"/>
      <c r="BG827" s="125"/>
      <c r="BH827" s="125"/>
      <c r="BI827" s="125"/>
      <c r="BJ827" s="125"/>
      <c r="BK827" s="125"/>
      <c r="BL827" s="125"/>
      <c r="BM827" s="123"/>
      <c r="BN827" s="114"/>
      <c r="BO827" s="114"/>
      <c r="BP827" s="114"/>
      <c r="BQ827" s="114"/>
      <c r="BR827" s="114"/>
      <c r="BS827" s="114"/>
      <c r="BT827" s="114"/>
      <c r="BU827" s="114"/>
      <c r="BV827" s="114"/>
      <c r="BW827" s="114"/>
      <c r="BX827" s="114"/>
      <c r="BY827" s="114"/>
      <c r="BZ827" s="114"/>
      <c r="CA827" s="114"/>
      <c r="CB827" s="114"/>
      <c r="CC827" s="114"/>
      <c r="CD827" s="114"/>
      <c r="CE827" s="114"/>
      <c r="CF827" s="114"/>
      <c r="CG827" s="114"/>
      <c r="CH827" s="114"/>
      <c r="CI827" s="114"/>
      <c r="CJ827" s="114"/>
      <c r="CK827" s="114"/>
      <c r="CL827" s="114"/>
      <c r="CM827" s="114"/>
      <c r="CN827" s="128"/>
      <c r="CO827" s="128"/>
      <c r="CP827" s="128"/>
      <c r="CQ827" s="128"/>
      <c r="CR827" s="128"/>
      <c r="CS827" s="128"/>
      <c r="CT827" s="128"/>
      <c r="CU827" s="128"/>
      <c r="CV827" s="128"/>
      <c r="CW827" s="128"/>
      <c r="CX827" s="128"/>
      <c r="CY827" s="128"/>
    </row>
    <row r="828" spans="1:103" ht="11.25" customHeight="1" x14ac:dyDescent="0.3">
      <c r="A828" s="113"/>
      <c r="B828" s="113"/>
      <c r="C828" s="113"/>
      <c r="D828" s="114"/>
      <c r="E828" s="114"/>
      <c r="F828" s="115"/>
      <c r="G828" s="116"/>
      <c r="H828" s="117"/>
      <c r="I828" s="117"/>
      <c r="J828" s="114"/>
      <c r="K828" s="118"/>
      <c r="L828" s="119"/>
      <c r="M828" s="120"/>
      <c r="N828" s="117"/>
      <c r="O828" s="116"/>
      <c r="P828" s="116"/>
      <c r="Q828" s="116"/>
      <c r="R828" s="113"/>
      <c r="S828" s="121"/>
      <c r="T828" s="115"/>
      <c r="U828" s="117"/>
      <c r="V828" s="122"/>
      <c r="W828" s="122"/>
      <c r="X828" s="122"/>
      <c r="Y828" s="122"/>
      <c r="Z828" s="122"/>
      <c r="AA828" s="122"/>
      <c r="AB828" s="122"/>
      <c r="AC828" s="122"/>
      <c r="AD828" s="122"/>
      <c r="AE828" s="122"/>
      <c r="AF828" s="122"/>
      <c r="AG828" s="122"/>
      <c r="AH828" s="122"/>
      <c r="AI828" s="123"/>
      <c r="AJ828" s="122"/>
      <c r="AK828" s="122"/>
      <c r="AL828" s="122"/>
      <c r="AM828" s="122"/>
      <c r="AN828" s="122"/>
      <c r="AO828" s="122"/>
      <c r="AP828" s="124"/>
      <c r="AQ828" s="122"/>
      <c r="AR828" s="122"/>
      <c r="AS828" s="122"/>
      <c r="AT828" s="122"/>
      <c r="AU828" s="122"/>
      <c r="AV828" s="124"/>
      <c r="AW828" s="125"/>
      <c r="AX828" s="126"/>
      <c r="AY828" s="127"/>
      <c r="AZ828" s="127"/>
      <c r="BA828" s="122"/>
      <c r="BB828" s="122"/>
      <c r="BC828" s="125"/>
      <c r="BD828" s="125"/>
      <c r="BE828" s="125"/>
      <c r="BF828" s="123"/>
      <c r="BG828" s="125"/>
      <c r="BH828" s="125"/>
      <c r="BI828" s="125"/>
      <c r="BJ828" s="125"/>
      <c r="BK828" s="125"/>
      <c r="BL828" s="125"/>
      <c r="BM828" s="123"/>
      <c r="BN828" s="114"/>
      <c r="BO828" s="114"/>
      <c r="BP828" s="114"/>
      <c r="BQ828" s="114"/>
      <c r="BR828" s="114"/>
      <c r="BS828" s="114"/>
      <c r="BT828" s="114"/>
      <c r="BU828" s="114"/>
      <c r="BV828" s="114"/>
      <c r="BW828" s="114"/>
      <c r="BX828" s="114"/>
      <c r="BY828" s="114"/>
      <c r="BZ828" s="114"/>
      <c r="CA828" s="114"/>
      <c r="CB828" s="114"/>
      <c r="CC828" s="114"/>
      <c r="CD828" s="114"/>
      <c r="CE828" s="114"/>
      <c r="CF828" s="114"/>
      <c r="CG828" s="114"/>
      <c r="CH828" s="114"/>
      <c r="CI828" s="114"/>
      <c r="CJ828" s="114"/>
      <c r="CK828" s="114"/>
      <c r="CL828" s="114"/>
      <c r="CM828" s="114"/>
      <c r="CN828" s="128"/>
      <c r="CO828" s="128"/>
      <c r="CP828" s="128"/>
      <c r="CQ828" s="128"/>
      <c r="CR828" s="128"/>
      <c r="CS828" s="128"/>
      <c r="CT828" s="128"/>
      <c r="CU828" s="128"/>
      <c r="CV828" s="128"/>
      <c r="CW828" s="128"/>
      <c r="CX828" s="128"/>
      <c r="CY828" s="128"/>
    </row>
    <row r="829" spans="1:103" ht="11.25" customHeight="1" x14ac:dyDescent="0.3">
      <c r="A829" s="113"/>
      <c r="B829" s="113"/>
      <c r="C829" s="113"/>
      <c r="D829" s="114"/>
      <c r="E829" s="114"/>
      <c r="F829" s="115"/>
      <c r="G829" s="116"/>
      <c r="H829" s="117"/>
      <c r="I829" s="117"/>
      <c r="J829" s="114"/>
      <c r="K829" s="118"/>
      <c r="L829" s="119"/>
      <c r="M829" s="120"/>
      <c r="N829" s="117"/>
      <c r="O829" s="116"/>
      <c r="P829" s="116"/>
      <c r="Q829" s="116"/>
      <c r="R829" s="113"/>
      <c r="S829" s="121"/>
      <c r="T829" s="115"/>
      <c r="U829" s="117"/>
      <c r="V829" s="122"/>
      <c r="W829" s="122"/>
      <c r="X829" s="122"/>
      <c r="Y829" s="122"/>
      <c r="Z829" s="122"/>
      <c r="AA829" s="122"/>
      <c r="AB829" s="122"/>
      <c r="AC829" s="122"/>
      <c r="AD829" s="122"/>
      <c r="AE829" s="122"/>
      <c r="AF829" s="122"/>
      <c r="AG829" s="122"/>
      <c r="AH829" s="122"/>
      <c r="AI829" s="123"/>
      <c r="AJ829" s="122"/>
      <c r="AK829" s="122"/>
      <c r="AL829" s="122"/>
      <c r="AM829" s="122"/>
      <c r="AN829" s="122"/>
      <c r="AO829" s="122"/>
      <c r="AP829" s="124"/>
      <c r="AQ829" s="122"/>
      <c r="AR829" s="122"/>
      <c r="AS829" s="122"/>
      <c r="AT829" s="122"/>
      <c r="AU829" s="122"/>
      <c r="AV829" s="124"/>
      <c r="AW829" s="125"/>
      <c r="AX829" s="126"/>
      <c r="AY829" s="127"/>
      <c r="AZ829" s="127"/>
      <c r="BA829" s="122"/>
      <c r="BB829" s="122"/>
      <c r="BC829" s="125"/>
      <c r="BD829" s="125"/>
      <c r="BE829" s="125"/>
      <c r="BF829" s="123"/>
      <c r="BG829" s="125"/>
      <c r="BH829" s="125"/>
      <c r="BI829" s="125"/>
      <c r="BJ829" s="125"/>
      <c r="BK829" s="125"/>
      <c r="BL829" s="125"/>
      <c r="BM829" s="123"/>
      <c r="BN829" s="114"/>
      <c r="BO829" s="114"/>
      <c r="BP829" s="114"/>
      <c r="BQ829" s="114"/>
      <c r="BR829" s="114"/>
      <c r="BS829" s="114"/>
      <c r="BT829" s="114"/>
      <c r="BU829" s="114"/>
      <c r="BV829" s="114"/>
      <c r="BW829" s="114"/>
      <c r="BX829" s="114"/>
      <c r="BY829" s="114"/>
      <c r="BZ829" s="114"/>
      <c r="CA829" s="114"/>
      <c r="CB829" s="114"/>
      <c r="CC829" s="114"/>
      <c r="CD829" s="114"/>
      <c r="CE829" s="114"/>
      <c r="CF829" s="114"/>
      <c r="CG829" s="114"/>
      <c r="CH829" s="114"/>
      <c r="CI829" s="114"/>
      <c r="CJ829" s="114"/>
      <c r="CK829" s="114"/>
      <c r="CL829" s="114"/>
      <c r="CM829" s="114"/>
      <c r="CN829" s="128"/>
      <c r="CO829" s="128"/>
      <c r="CP829" s="128"/>
      <c r="CQ829" s="128"/>
      <c r="CR829" s="128"/>
      <c r="CS829" s="128"/>
      <c r="CT829" s="128"/>
      <c r="CU829" s="128"/>
      <c r="CV829" s="128"/>
      <c r="CW829" s="128"/>
      <c r="CX829" s="128"/>
      <c r="CY829" s="128"/>
    </row>
    <row r="830" spans="1:103" ht="11.25" customHeight="1" x14ac:dyDescent="0.3">
      <c r="A830" s="113"/>
      <c r="B830" s="113"/>
      <c r="C830" s="113"/>
      <c r="D830" s="114"/>
      <c r="E830" s="114"/>
      <c r="F830" s="115"/>
      <c r="G830" s="116"/>
      <c r="H830" s="117"/>
      <c r="I830" s="117"/>
      <c r="J830" s="114"/>
      <c r="K830" s="118"/>
      <c r="L830" s="119"/>
      <c r="M830" s="120"/>
      <c r="N830" s="117"/>
      <c r="O830" s="116"/>
      <c r="P830" s="116"/>
      <c r="Q830" s="116"/>
      <c r="R830" s="113"/>
      <c r="S830" s="121"/>
      <c r="T830" s="115"/>
      <c r="U830" s="117"/>
      <c r="V830" s="122"/>
      <c r="W830" s="122"/>
      <c r="X830" s="122"/>
      <c r="Y830" s="122"/>
      <c r="Z830" s="122"/>
      <c r="AA830" s="122"/>
      <c r="AB830" s="122"/>
      <c r="AC830" s="122"/>
      <c r="AD830" s="122"/>
      <c r="AE830" s="122"/>
      <c r="AF830" s="122"/>
      <c r="AG830" s="122"/>
      <c r="AH830" s="122"/>
      <c r="AI830" s="123"/>
      <c r="AJ830" s="122"/>
      <c r="AK830" s="122"/>
      <c r="AL830" s="122"/>
      <c r="AM830" s="122"/>
      <c r="AN830" s="122"/>
      <c r="AO830" s="122"/>
      <c r="AP830" s="124"/>
      <c r="AQ830" s="122"/>
      <c r="AR830" s="122"/>
      <c r="AS830" s="122"/>
      <c r="AT830" s="122"/>
      <c r="AU830" s="122"/>
      <c r="AV830" s="124"/>
      <c r="AW830" s="125"/>
      <c r="AX830" s="126"/>
      <c r="AY830" s="127"/>
      <c r="AZ830" s="127"/>
      <c r="BA830" s="122"/>
      <c r="BB830" s="122"/>
      <c r="BC830" s="125"/>
      <c r="BD830" s="125"/>
      <c r="BE830" s="125"/>
      <c r="BF830" s="123"/>
      <c r="BG830" s="125"/>
      <c r="BH830" s="125"/>
      <c r="BI830" s="125"/>
      <c r="BJ830" s="125"/>
      <c r="BK830" s="125"/>
      <c r="BL830" s="125"/>
      <c r="BM830" s="123"/>
      <c r="BN830" s="114"/>
      <c r="BO830" s="114"/>
      <c r="BP830" s="114"/>
      <c r="BQ830" s="114"/>
      <c r="BR830" s="114"/>
      <c r="BS830" s="114"/>
      <c r="BT830" s="114"/>
      <c r="BU830" s="114"/>
      <c r="BV830" s="114"/>
      <c r="BW830" s="114"/>
      <c r="BX830" s="114"/>
      <c r="BY830" s="114"/>
      <c r="BZ830" s="114"/>
      <c r="CA830" s="114"/>
      <c r="CB830" s="114"/>
      <c r="CC830" s="114"/>
      <c r="CD830" s="114"/>
      <c r="CE830" s="114"/>
      <c r="CF830" s="114"/>
      <c r="CG830" s="114"/>
      <c r="CH830" s="114"/>
      <c r="CI830" s="114"/>
      <c r="CJ830" s="114"/>
      <c r="CK830" s="114"/>
      <c r="CL830" s="114"/>
      <c r="CM830" s="114"/>
      <c r="CN830" s="128"/>
      <c r="CO830" s="128"/>
      <c r="CP830" s="128"/>
      <c r="CQ830" s="128"/>
      <c r="CR830" s="128"/>
      <c r="CS830" s="128"/>
      <c r="CT830" s="128"/>
      <c r="CU830" s="128"/>
      <c r="CV830" s="128"/>
      <c r="CW830" s="128"/>
      <c r="CX830" s="128"/>
      <c r="CY830" s="128"/>
    </row>
    <row r="831" spans="1:103" ht="11.25" customHeight="1" x14ac:dyDescent="0.3">
      <c r="A831" s="113"/>
      <c r="B831" s="113"/>
      <c r="C831" s="113"/>
      <c r="D831" s="114"/>
      <c r="E831" s="114"/>
      <c r="F831" s="115"/>
      <c r="G831" s="116"/>
      <c r="H831" s="117"/>
      <c r="I831" s="117"/>
      <c r="J831" s="114"/>
      <c r="K831" s="118"/>
      <c r="L831" s="119"/>
      <c r="M831" s="120"/>
      <c r="N831" s="117"/>
      <c r="O831" s="116"/>
      <c r="P831" s="116"/>
      <c r="Q831" s="116"/>
      <c r="R831" s="113"/>
      <c r="S831" s="121"/>
      <c r="T831" s="115"/>
      <c r="U831" s="117"/>
      <c r="V831" s="122"/>
      <c r="W831" s="122"/>
      <c r="X831" s="122"/>
      <c r="Y831" s="122"/>
      <c r="Z831" s="122"/>
      <c r="AA831" s="122"/>
      <c r="AB831" s="122"/>
      <c r="AC831" s="122"/>
      <c r="AD831" s="122"/>
      <c r="AE831" s="122"/>
      <c r="AF831" s="122"/>
      <c r="AG831" s="122"/>
      <c r="AH831" s="122"/>
      <c r="AI831" s="123"/>
      <c r="AJ831" s="122"/>
      <c r="AK831" s="122"/>
      <c r="AL831" s="122"/>
      <c r="AM831" s="122"/>
      <c r="AN831" s="122"/>
      <c r="AO831" s="122"/>
      <c r="AP831" s="124"/>
      <c r="AQ831" s="122"/>
      <c r="AR831" s="122"/>
      <c r="AS831" s="122"/>
      <c r="AT831" s="122"/>
      <c r="AU831" s="122"/>
      <c r="AV831" s="124"/>
      <c r="AW831" s="125"/>
      <c r="AX831" s="126"/>
      <c r="AY831" s="127"/>
      <c r="AZ831" s="127"/>
      <c r="BA831" s="122"/>
      <c r="BB831" s="122"/>
      <c r="BC831" s="125"/>
      <c r="BD831" s="125"/>
      <c r="BE831" s="125"/>
      <c r="BF831" s="123"/>
      <c r="BG831" s="125"/>
      <c r="BH831" s="125"/>
      <c r="BI831" s="125"/>
      <c r="BJ831" s="125"/>
      <c r="BK831" s="125"/>
      <c r="BL831" s="125"/>
      <c r="BM831" s="123"/>
      <c r="BN831" s="114"/>
      <c r="BO831" s="114"/>
      <c r="BP831" s="114"/>
      <c r="BQ831" s="114"/>
      <c r="BR831" s="114"/>
      <c r="BS831" s="114"/>
      <c r="BT831" s="114"/>
      <c r="BU831" s="114"/>
      <c r="BV831" s="114"/>
      <c r="BW831" s="114"/>
      <c r="BX831" s="114"/>
      <c r="BY831" s="114"/>
      <c r="BZ831" s="114"/>
      <c r="CA831" s="114"/>
      <c r="CB831" s="114"/>
      <c r="CC831" s="114"/>
      <c r="CD831" s="114"/>
      <c r="CE831" s="114"/>
      <c r="CF831" s="114"/>
      <c r="CG831" s="114"/>
      <c r="CH831" s="114"/>
      <c r="CI831" s="114"/>
      <c r="CJ831" s="114"/>
      <c r="CK831" s="114"/>
      <c r="CL831" s="114"/>
      <c r="CM831" s="114"/>
      <c r="CN831" s="128"/>
      <c r="CO831" s="128"/>
      <c r="CP831" s="128"/>
      <c r="CQ831" s="128"/>
      <c r="CR831" s="128"/>
      <c r="CS831" s="128"/>
      <c r="CT831" s="128"/>
      <c r="CU831" s="128"/>
      <c r="CV831" s="128"/>
      <c r="CW831" s="128"/>
      <c r="CX831" s="128"/>
      <c r="CY831" s="128"/>
    </row>
    <row r="832" spans="1:103" ht="11.25" customHeight="1" x14ac:dyDescent="0.3">
      <c r="A832" s="113"/>
      <c r="B832" s="113"/>
      <c r="C832" s="113"/>
      <c r="D832" s="114"/>
      <c r="E832" s="114"/>
      <c r="F832" s="115"/>
      <c r="G832" s="116"/>
      <c r="H832" s="117"/>
      <c r="I832" s="117"/>
      <c r="J832" s="114"/>
      <c r="K832" s="118"/>
      <c r="L832" s="119"/>
      <c r="M832" s="120"/>
      <c r="N832" s="117"/>
      <c r="O832" s="116"/>
      <c r="P832" s="116"/>
      <c r="Q832" s="116"/>
      <c r="R832" s="113"/>
      <c r="S832" s="121"/>
      <c r="T832" s="115"/>
      <c r="U832" s="117"/>
      <c r="V832" s="122"/>
      <c r="W832" s="122"/>
      <c r="X832" s="122"/>
      <c r="Y832" s="122"/>
      <c r="Z832" s="122"/>
      <c r="AA832" s="122"/>
      <c r="AB832" s="122"/>
      <c r="AC832" s="122"/>
      <c r="AD832" s="122"/>
      <c r="AE832" s="122"/>
      <c r="AF832" s="122"/>
      <c r="AG832" s="122"/>
      <c r="AH832" s="122"/>
      <c r="AI832" s="123"/>
      <c r="AJ832" s="122"/>
      <c r="AK832" s="122"/>
      <c r="AL832" s="122"/>
      <c r="AM832" s="122"/>
      <c r="AN832" s="122"/>
      <c r="AO832" s="122"/>
      <c r="AP832" s="124"/>
      <c r="AQ832" s="122"/>
      <c r="AR832" s="122"/>
      <c r="AS832" s="122"/>
      <c r="AT832" s="122"/>
      <c r="AU832" s="122"/>
      <c r="AV832" s="124"/>
      <c r="AW832" s="125"/>
      <c r="AX832" s="126"/>
      <c r="AY832" s="127"/>
      <c r="AZ832" s="127"/>
      <c r="BA832" s="122"/>
      <c r="BB832" s="122"/>
      <c r="BC832" s="125"/>
      <c r="BD832" s="125"/>
      <c r="BE832" s="125"/>
      <c r="BF832" s="123"/>
      <c r="BG832" s="125"/>
      <c r="BH832" s="125"/>
      <c r="BI832" s="125"/>
      <c r="BJ832" s="125"/>
      <c r="BK832" s="125"/>
      <c r="BL832" s="125"/>
      <c r="BM832" s="123"/>
      <c r="BN832" s="114"/>
      <c r="BO832" s="114"/>
      <c r="BP832" s="114"/>
      <c r="BQ832" s="114"/>
      <c r="BR832" s="114"/>
      <c r="BS832" s="114"/>
      <c r="BT832" s="114"/>
      <c r="BU832" s="114"/>
      <c r="BV832" s="114"/>
      <c r="BW832" s="114"/>
      <c r="BX832" s="114"/>
      <c r="BY832" s="114"/>
      <c r="BZ832" s="114"/>
      <c r="CA832" s="114"/>
      <c r="CB832" s="114"/>
      <c r="CC832" s="114"/>
      <c r="CD832" s="114"/>
      <c r="CE832" s="114"/>
      <c r="CF832" s="114"/>
      <c r="CG832" s="114"/>
      <c r="CH832" s="114"/>
      <c r="CI832" s="114"/>
      <c r="CJ832" s="114"/>
      <c r="CK832" s="114"/>
      <c r="CL832" s="114"/>
      <c r="CM832" s="114"/>
      <c r="CN832" s="128"/>
      <c r="CO832" s="128"/>
      <c r="CP832" s="128"/>
      <c r="CQ832" s="128"/>
      <c r="CR832" s="128"/>
      <c r="CS832" s="128"/>
      <c r="CT832" s="128"/>
      <c r="CU832" s="128"/>
      <c r="CV832" s="128"/>
      <c r="CW832" s="128"/>
      <c r="CX832" s="128"/>
      <c r="CY832" s="128"/>
    </row>
    <row r="833" spans="1:103" ht="11.25" customHeight="1" x14ac:dyDescent="0.3">
      <c r="A833" s="113"/>
      <c r="B833" s="113"/>
      <c r="C833" s="113"/>
      <c r="D833" s="114"/>
      <c r="E833" s="114"/>
      <c r="F833" s="115"/>
      <c r="G833" s="116"/>
      <c r="H833" s="117"/>
      <c r="I833" s="117"/>
      <c r="J833" s="114"/>
      <c r="K833" s="118"/>
      <c r="L833" s="119"/>
      <c r="M833" s="120"/>
      <c r="N833" s="117"/>
      <c r="O833" s="116"/>
      <c r="P833" s="116"/>
      <c r="Q833" s="116"/>
      <c r="R833" s="113"/>
      <c r="S833" s="121"/>
      <c r="T833" s="115"/>
      <c r="U833" s="117"/>
      <c r="V833" s="122"/>
      <c r="W833" s="122"/>
      <c r="X833" s="122"/>
      <c r="Y833" s="122"/>
      <c r="Z833" s="122"/>
      <c r="AA833" s="122"/>
      <c r="AB833" s="122"/>
      <c r="AC833" s="122"/>
      <c r="AD833" s="122"/>
      <c r="AE833" s="122"/>
      <c r="AF833" s="122"/>
      <c r="AG833" s="122"/>
      <c r="AH833" s="122"/>
      <c r="AI833" s="123"/>
      <c r="AJ833" s="122"/>
      <c r="AK833" s="122"/>
      <c r="AL833" s="122"/>
      <c r="AM833" s="122"/>
      <c r="AN833" s="122"/>
      <c r="AO833" s="122"/>
      <c r="AP833" s="124"/>
      <c r="AQ833" s="122"/>
      <c r="AR833" s="122"/>
      <c r="AS833" s="122"/>
      <c r="AT833" s="122"/>
      <c r="AU833" s="122"/>
      <c r="AV833" s="124"/>
      <c r="AW833" s="125"/>
      <c r="AX833" s="126"/>
      <c r="AY833" s="127"/>
      <c r="AZ833" s="127"/>
      <c r="BA833" s="122"/>
      <c r="BB833" s="122"/>
      <c r="BC833" s="125"/>
      <c r="BD833" s="125"/>
      <c r="BE833" s="125"/>
      <c r="BF833" s="123"/>
      <c r="BG833" s="125"/>
      <c r="BH833" s="125"/>
      <c r="BI833" s="125"/>
      <c r="BJ833" s="125"/>
      <c r="BK833" s="125"/>
      <c r="BL833" s="125"/>
      <c r="BM833" s="123"/>
      <c r="BN833" s="114"/>
      <c r="BO833" s="114"/>
      <c r="BP833" s="114"/>
      <c r="BQ833" s="114"/>
      <c r="BR833" s="114"/>
      <c r="BS833" s="114"/>
      <c r="BT833" s="114"/>
      <c r="BU833" s="114"/>
      <c r="BV833" s="114"/>
      <c r="BW833" s="114"/>
      <c r="BX833" s="114"/>
      <c r="BY833" s="114"/>
      <c r="BZ833" s="114"/>
      <c r="CA833" s="114"/>
      <c r="CB833" s="114"/>
      <c r="CC833" s="114"/>
      <c r="CD833" s="114"/>
      <c r="CE833" s="114"/>
      <c r="CF833" s="114"/>
      <c r="CG833" s="114"/>
      <c r="CH833" s="114"/>
      <c r="CI833" s="114"/>
      <c r="CJ833" s="114"/>
      <c r="CK833" s="114"/>
      <c r="CL833" s="114"/>
      <c r="CM833" s="114"/>
      <c r="CN833" s="128"/>
      <c r="CO833" s="128"/>
      <c r="CP833" s="128"/>
      <c r="CQ833" s="128"/>
      <c r="CR833" s="128"/>
      <c r="CS833" s="128"/>
      <c r="CT833" s="128"/>
      <c r="CU833" s="128"/>
      <c r="CV833" s="128"/>
      <c r="CW833" s="128"/>
      <c r="CX833" s="128"/>
      <c r="CY833" s="128"/>
    </row>
    <row r="834" spans="1:103" ht="11.25" customHeight="1" x14ac:dyDescent="0.3">
      <c r="A834" s="113"/>
      <c r="B834" s="113"/>
      <c r="C834" s="113"/>
      <c r="D834" s="114"/>
      <c r="E834" s="114"/>
      <c r="F834" s="115"/>
      <c r="G834" s="116"/>
      <c r="H834" s="117"/>
      <c r="I834" s="117"/>
      <c r="J834" s="114"/>
      <c r="K834" s="118"/>
      <c r="L834" s="119"/>
      <c r="M834" s="120"/>
      <c r="N834" s="117"/>
      <c r="O834" s="116"/>
      <c r="P834" s="116"/>
      <c r="Q834" s="116"/>
      <c r="R834" s="113"/>
      <c r="S834" s="121"/>
      <c r="T834" s="115"/>
      <c r="U834" s="117"/>
      <c r="V834" s="122"/>
      <c r="W834" s="122"/>
      <c r="X834" s="122"/>
      <c r="Y834" s="122"/>
      <c r="Z834" s="122"/>
      <c r="AA834" s="122"/>
      <c r="AB834" s="122"/>
      <c r="AC834" s="122"/>
      <c r="AD834" s="122"/>
      <c r="AE834" s="122"/>
      <c r="AF834" s="122"/>
      <c r="AG834" s="122"/>
      <c r="AH834" s="122"/>
      <c r="AI834" s="123"/>
      <c r="AJ834" s="122"/>
      <c r="AK834" s="122"/>
      <c r="AL834" s="122"/>
      <c r="AM834" s="122"/>
      <c r="AN834" s="122"/>
      <c r="AO834" s="122"/>
      <c r="AP834" s="124"/>
      <c r="AQ834" s="122"/>
      <c r="AR834" s="122"/>
      <c r="AS834" s="122"/>
      <c r="AT834" s="122"/>
      <c r="AU834" s="122"/>
      <c r="AV834" s="124"/>
      <c r="AW834" s="125"/>
      <c r="AX834" s="126"/>
      <c r="AY834" s="127"/>
      <c r="AZ834" s="127"/>
      <c r="BA834" s="122"/>
      <c r="BB834" s="122"/>
      <c r="BC834" s="125"/>
      <c r="BD834" s="125"/>
      <c r="BE834" s="125"/>
      <c r="BF834" s="123"/>
      <c r="BG834" s="125"/>
      <c r="BH834" s="125"/>
      <c r="BI834" s="125"/>
      <c r="BJ834" s="125"/>
      <c r="BK834" s="125"/>
      <c r="BL834" s="125"/>
      <c r="BM834" s="123"/>
      <c r="BN834" s="114"/>
      <c r="BO834" s="114"/>
      <c r="BP834" s="114"/>
      <c r="BQ834" s="114"/>
      <c r="BR834" s="114"/>
      <c r="BS834" s="114"/>
      <c r="BT834" s="114"/>
      <c r="BU834" s="114"/>
      <c r="BV834" s="114"/>
      <c r="BW834" s="114"/>
      <c r="BX834" s="114"/>
      <c r="BY834" s="114"/>
      <c r="BZ834" s="114"/>
      <c r="CA834" s="114"/>
      <c r="CB834" s="114"/>
      <c r="CC834" s="114"/>
      <c r="CD834" s="114"/>
      <c r="CE834" s="114"/>
      <c r="CF834" s="114"/>
      <c r="CG834" s="114"/>
      <c r="CH834" s="114"/>
      <c r="CI834" s="114"/>
      <c r="CJ834" s="114"/>
      <c r="CK834" s="114"/>
      <c r="CL834" s="114"/>
      <c r="CM834" s="114"/>
      <c r="CN834" s="128"/>
      <c r="CO834" s="128"/>
      <c r="CP834" s="128"/>
      <c r="CQ834" s="128"/>
      <c r="CR834" s="128"/>
      <c r="CS834" s="128"/>
      <c r="CT834" s="128"/>
      <c r="CU834" s="128"/>
      <c r="CV834" s="128"/>
      <c r="CW834" s="128"/>
      <c r="CX834" s="128"/>
      <c r="CY834" s="128"/>
    </row>
    <row r="835" spans="1:103" ht="11.25" customHeight="1" x14ac:dyDescent="0.3">
      <c r="A835" s="113"/>
      <c r="B835" s="113"/>
      <c r="C835" s="113"/>
      <c r="D835" s="114"/>
      <c r="E835" s="114"/>
      <c r="F835" s="115"/>
      <c r="G835" s="116"/>
      <c r="H835" s="117"/>
      <c r="I835" s="117"/>
      <c r="J835" s="114"/>
      <c r="K835" s="118"/>
      <c r="L835" s="119"/>
      <c r="M835" s="120"/>
      <c r="N835" s="117"/>
      <c r="O835" s="116"/>
      <c r="P835" s="116"/>
      <c r="Q835" s="116"/>
      <c r="R835" s="113"/>
      <c r="S835" s="121"/>
      <c r="T835" s="115"/>
      <c r="U835" s="117"/>
      <c r="V835" s="122"/>
      <c r="W835" s="122"/>
      <c r="X835" s="122"/>
      <c r="Y835" s="122"/>
      <c r="Z835" s="122"/>
      <c r="AA835" s="122"/>
      <c r="AB835" s="122"/>
      <c r="AC835" s="122"/>
      <c r="AD835" s="122"/>
      <c r="AE835" s="122"/>
      <c r="AF835" s="122"/>
      <c r="AG835" s="122"/>
      <c r="AH835" s="122"/>
      <c r="AI835" s="123"/>
      <c r="AJ835" s="122"/>
      <c r="AK835" s="122"/>
      <c r="AL835" s="122"/>
      <c r="AM835" s="122"/>
      <c r="AN835" s="122"/>
      <c r="AO835" s="122"/>
      <c r="AP835" s="124"/>
      <c r="AQ835" s="122"/>
      <c r="AR835" s="122"/>
      <c r="AS835" s="122"/>
      <c r="AT835" s="122"/>
      <c r="AU835" s="122"/>
      <c r="AV835" s="124"/>
      <c r="AW835" s="125"/>
      <c r="AX835" s="126"/>
      <c r="AY835" s="127"/>
      <c r="AZ835" s="127"/>
      <c r="BA835" s="122"/>
      <c r="BB835" s="122"/>
      <c r="BC835" s="125"/>
      <c r="BD835" s="125"/>
      <c r="BE835" s="125"/>
      <c r="BF835" s="123"/>
      <c r="BG835" s="125"/>
      <c r="BH835" s="125"/>
      <c r="BI835" s="125"/>
      <c r="BJ835" s="125"/>
      <c r="BK835" s="125"/>
      <c r="BL835" s="125"/>
      <c r="BM835" s="123"/>
      <c r="BN835" s="114"/>
      <c r="BO835" s="114"/>
      <c r="BP835" s="114"/>
      <c r="BQ835" s="114"/>
      <c r="BR835" s="114"/>
      <c r="BS835" s="114"/>
      <c r="BT835" s="114"/>
      <c r="BU835" s="114"/>
      <c r="BV835" s="114"/>
      <c r="BW835" s="114"/>
      <c r="BX835" s="114"/>
      <c r="BY835" s="114"/>
      <c r="BZ835" s="114"/>
      <c r="CA835" s="114"/>
      <c r="CB835" s="114"/>
      <c r="CC835" s="114"/>
      <c r="CD835" s="114"/>
      <c r="CE835" s="114"/>
      <c r="CF835" s="114"/>
      <c r="CG835" s="114"/>
      <c r="CH835" s="114"/>
      <c r="CI835" s="114"/>
      <c r="CJ835" s="114"/>
      <c r="CK835" s="114"/>
      <c r="CL835" s="114"/>
      <c r="CM835" s="114"/>
      <c r="CN835" s="128"/>
      <c r="CO835" s="128"/>
      <c r="CP835" s="128"/>
      <c r="CQ835" s="128"/>
      <c r="CR835" s="128"/>
      <c r="CS835" s="128"/>
      <c r="CT835" s="128"/>
      <c r="CU835" s="128"/>
      <c r="CV835" s="128"/>
      <c r="CW835" s="128"/>
      <c r="CX835" s="128"/>
      <c r="CY835" s="128"/>
    </row>
    <row r="836" spans="1:103" ht="11.25" customHeight="1" x14ac:dyDescent="0.3">
      <c r="A836" s="113"/>
      <c r="B836" s="113"/>
      <c r="C836" s="113"/>
      <c r="D836" s="114"/>
      <c r="E836" s="114"/>
      <c r="F836" s="115"/>
      <c r="G836" s="116"/>
      <c r="H836" s="117"/>
      <c r="I836" s="117"/>
      <c r="J836" s="114"/>
      <c r="K836" s="118"/>
      <c r="L836" s="119"/>
      <c r="M836" s="120"/>
      <c r="N836" s="117"/>
      <c r="O836" s="116"/>
      <c r="P836" s="116"/>
      <c r="Q836" s="116"/>
      <c r="R836" s="113"/>
      <c r="S836" s="121"/>
      <c r="T836" s="115"/>
      <c r="U836" s="117"/>
      <c r="V836" s="122"/>
      <c r="W836" s="122"/>
      <c r="X836" s="122"/>
      <c r="Y836" s="122"/>
      <c r="Z836" s="122"/>
      <c r="AA836" s="122"/>
      <c r="AB836" s="122"/>
      <c r="AC836" s="122"/>
      <c r="AD836" s="122"/>
      <c r="AE836" s="122"/>
      <c r="AF836" s="122"/>
      <c r="AG836" s="122"/>
      <c r="AH836" s="122"/>
      <c r="AI836" s="123"/>
      <c r="AJ836" s="122"/>
      <c r="AK836" s="122"/>
      <c r="AL836" s="122"/>
      <c r="AM836" s="122"/>
      <c r="AN836" s="122"/>
      <c r="AO836" s="122"/>
      <c r="AP836" s="124"/>
      <c r="AQ836" s="122"/>
      <c r="AR836" s="122"/>
      <c r="AS836" s="122"/>
      <c r="AT836" s="122"/>
      <c r="AU836" s="122"/>
      <c r="AV836" s="124"/>
      <c r="AW836" s="125"/>
      <c r="AX836" s="126"/>
      <c r="AY836" s="127"/>
      <c r="AZ836" s="127"/>
      <c r="BA836" s="122"/>
      <c r="BB836" s="122"/>
      <c r="BC836" s="125"/>
      <c r="BD836" s="125"/>
      <c r="BE836" s="125"/>
      <c r="BF836" s="123"/>
      <c r="BG836" s="125"/>
      <c r="BH836" s="125"/>
      <c r="BI836" s="125"/>
      <c r="BJ836" s="125"/>
      <c r="BK836" s="125"/>
      <c r="BL836" s="125"/>
      <c r="BM836" s="123"/>
      <c r="BN836" s="114"/>
      <c r="BO836" s="114"/>
      <c r="BP836" s="114"/>
      <c r="BQ836" s="114"/>
      <c r="BR836" s="114"/>
      <c r="BS836" s="114"/>
      <c r="BT836" s="114"/>
      <c r="BU836" s="114"/>
      <c r="BV836" s="114"/>
      <c r="BW836" s="114"/>
      <c r="BX836" s="114"/>
      <c r="BY836" s="114"/>
      <c r="BZ836" s="114"/>
      <c r="CA836" s="114"/>
      <c r="CB836" s="114"/>
      <c r="CC836" s="114"/>
      <c r="CD836" s="114"/>
      <c r="CE836" s="114"/>
      <c r="CF836" s="114"/>
      <c r="CG836" s="114"/>
      <c r="CH836" s="114"/>
      <c r="CI836" s="114"/>
      <c r="CJ836" s="114"/>
      <c r="CK836" s="114"/>
      <c r="CL836" s="114"/>
      <c r="CM836" s="114"/>
      <c r="CN836" s="128"/>
      <c r="CO836" s="128"/>
      <c r="CP836" s="128"/>
      <c r="CQ836" s="128"/>
      <c r="CR836" s="128"/>
      <c r="CS836" s="128"/>
      <c r="CT836" s="128"/>
      <c r="CU836" s="128"/>
      <c r="CV836" s="128"/>
      <c r="CW836" s="128"/>
      <c r="CX836" s="128"/>
      <c r="CY836" s="128"/>
    </row>
    <row r="837" spans="1:103" ht="11.25" customHeight="1" x14ac:dyDescent="0.3">
      <c r="A837" s="113"/>
      <c r="B837" s="113"/>
      <c r="C837" s="113"/>
      <c r="D837" s="114"/>
      <c r="E837" s="114"/>
      <c r="F837" s="115"/>
      <c r="G837" s="116"/>
      <c r="H837" s="117"/>
      <c r="I837" s="117"/>
      <c r="J837" s="114"/>
      <c r="K837" s="118"/>
      <c r="L837" s="119"/>
      <c r="M837" s="120"/>
      <c r="N837" s="117"/>
      <c r="O837" s="116"/>
      <c r="P837" s="116"/>
      <c r="Q837" s="116"/>
      <c r="R837" s="113"/>
      <c r="S837" s="121"/>
      <c r="T837" s="115"/>
      <c r="U837" s="117"/>
      <c r="V837" s="122"/>
      <c r="W837" s="122"/>
      <c r="X837" s="122"/>
      <c r="Y837" s="122"/>
      <c r="Z837" s="122"/>
      <c r="AA837" s="122"/>
      <c r="AB837" s="122"/>
      <c r="AC837" s="122"/>
      <c r="AD837" s="122"/>
      <c r="AE837" s="122"/>
      <c r="AF837" s="122"/>
      <c r="AG837" s="122"/>
      <c r="AH837" s="122"/>
      <c r="AI837" s="123"/>
      <c r="AJ837" s="122"/>
      <c r="AK837" s="122"/>
      <c r="AL837" s="122"/>
      <c r="AM837" s="122"/>
      <c r="AN837" s="122"/>
      <c r="AO837" s="122"/>
      <c r="AP837" s="124"/>
      <c r="AQ837" s="122"/>
      <c r="AR837" s="122"/>
      <c r="AS837" s="122"/>
      <c r="AT837" s="122"/>
      <c r="AU837" s="122"/>
      <c r="AV837" s="124"/>
      <c r="AW837" s="125"/>
      <c r="AX837" s="126"/>
      <c r="AY837" s="127"/>
      <c r="AZ837" s="127"/>
      <c r="BA837" s="122"/>
      <c r="BB837" s="122"/>
      <c r="BC837" s="125"/>
      <c r="BD837" s="125"/>
      <c r="BE837" s="125"/>
      <c r="BF837" s="123"/>
      <c r="BG837" s="125"/>
      <c r="BH837" s="125"/>
      <c r="BI837" s="125"/>
      <c r="BJ837" s="125"/>
      <c r="BK837" s="125"/>
      <c r="BL837" s="125"/>
      <c r="BM837" s="123"/>
      <c r="BN837" s="114"/>
      <c r="BO837" s="114"/>
      <c r="BP837" s="114"/>
      <c r="BQ837" s="114"/>
      <c r="BR837" s="114"/>
      <c r="BS837" s="114"/>
      <c r="BT837" s="114"/>
      <c r="BU837" s="114"/>
      <c r="BV837" s="114"/>
      <c r="BW837" s="114"/>
      <c r="BX837" s="114"/>
      <c r="BY837" s="114"/>
      <c r="BZ837" s="114"/>
      <c r="CA837" s="114"/>
      <c r="CB837" s="114"/>
      <c r="CC837" s="114"/>
      <c r="CD837" s="114"/>
      <c r="CE837" s="114"/>
      <c r="CF837" s="114"/>
      <c r="CG837" s="114"/>
      <c r="CH837" s="114"/>
      <c r="CI837" s="114"/>
      <c r="CJ837" s="114"/>
      <c r="CK837" s="114"/>
      <c r="CL837" s="114"/>
      <c r="CM837" s="114"/>
      <c r="CN837" s="128"/>
      <c r="CO837" s="128"/>
      <c r="CP837" s="128"/>
      <c r="CQ837" s="128"/>
      <c r="CR837" s="128"/>
      <c r="CS837" s="128"/>
      <c r="CT837" s="128"/>
      <c r="CU837" s="128"/>
      <c r="CV837" s="128"/>
      <c r="CW837" s="128"/>
      <c r="CX837" s="128"/>
      <c r="CY837" s="128"/>
    </row>
    <row r="838" spans="1:103" ht="11.25" customHeight="1" x14ac:dyDescent="0.3">
      <c r="A838" s="113"/>
      <c r="B838" s="113"/>
      <c r="C838" s="113"/>
      <c r="D838" s="114"/>
      <c r="E838" s="114"/>
      <c r="F838" s="115"/>
      <c r="G838" s="116"/>
      <c r="H838" s="117"/>
      <c r="I838" s="117"/>
      <c r="J838" s="114"/>
      <c r="K838" s="118"/>
      <c r="L838" s="119"/>
      <c r="M838" s="120"/>
      <c r="N838" s="117"/>
      <c r="O838" s="116"/>
      <c r="P838" s="116"/>
      <c r="Q838" s="116"/>
      <c r="R838" s="113"/>
      <c r="S838" s="121"/>
      <c r="T838" s="115"/>
      <c r="U838" s="117"/>
      <c r="V838" s="122"/>
      <c r="W838" s="122"/>
      <c r="X838" s="122"/>
      <c r="Y838" s="122"/>
      <c r="Z838" s="122"/>
      <c r="AA838" s="122"/>
      <c r="AB838" s="122"/>
      <c r="AC838" s="122"/>
      <c r="AD838" s="122"/>
      <c r="AE838" s="122"/>
      <c r="AF838" s="122"/>
      <c r="AG838" s="122"/>
      <c r="AH838" s="122"/>
      <c r="AI838" s="123"/>
      <c r="AJ838" s="122"/>
      <c r="AK838" s="122"/>
      <c r="AL838" s="122"/>
      <c r="AM838" s="122"/>
      <c r="AN838" s="122"/>
      <c r="AO838" s="122"/>
      <c r="AP838" s="124"/>
      <c r="AQ838" s="122"/>
      <c r="AR838" s="122"/>
      <c r="AS838" s="122"/>
      <c r="AT838" s="122"/>
      <c r="AU838" s="122"/>
      <c r="AV838" s="124"/>
      <c r="AW838" s="125"/>
      <c r="AX838" s="126"/>
      <c r="AY838" s="127"/>
      <c r="AZ838" s="127"/>
      <c r="BA838" s="122"/>
      <c r="BB838" s="122"/>
      <c r="BC838" s="125"/>
      <c r="BD838" s="125"/>
      <c r="BE838" s="125"/>
      <c r="BF838" s="123"/>
      <c r="BG838" s="125"/>
      <c r="BH838" s="125"/>
      <c r="BI838" s="125"/>
      <c r="BJ838" s="125"/>
      <c r="BK838" s="125"/>
      <c r="BL838" s="125"/>
      <c r="BM838" s="123"/>
      <c r="BN838" s="114"/>
      <c r="BO838" s="114"/>
      <c r="BP838" s="114"/>
      <c r="BQ838" s="114"/>
      <c r="BR838" s="114"/>
      <c r="BS838" s="114"/>
      <c r="BT838" s="114"/>
      <c r="BU838" s="114"/>
      <c r="BV838" s="114"/>
      <c r="BW838" s="114"/>
      <c r="BX838" s="114"/>
      <c r="BY838" s="114"/>
      <c r="BZ838" s="114"/>
      <c r="CA838" s="114"/>
      <c r="CB838" s="114"/>
      <c r="CC838" s="114"/>
      <c r="CD838" s="114"/>
      <c r="CE838" s="114"/>
      <c r="CF838" s="114"/>
      <c r="CG838" s="114"/>
      <c r="CH838" s="114"/>
      <c r="CI838" s="114"/>
      <c r="CJ838" s="114"/>
      <c r="CK838" s="114"/>
      <c r="CL838" s="114"/>
      <c r="CM838" s="114"/>
      <c r="CN838" s="128"/>
      <c r="CO838" s="128"/>
      <c r="CP838" s="128"/>
      <c r="CQ838" s="128"/>
      <c r="CR838" s="128"/>
      <c r="CS838" s="128"/>
      <c r="CT838" s="128"/>
      <c r="CU838" s="128"/>
      <c r="CV838" s="128"/>
      <c r="CW838" s="128"/>
      <c r="CX838" s="128"/>
      <c r="CY838" s="128"/>
    </row>
    <row r="839" spans="1:103" ht="11.25" customHeight="1" x14ac:dyDescent="0.3">
      <c r="A839" s="113"/>
      <c r="B839" s="113"/>
      <c r="C839" s="113"/>
      <c r="D839" s="114"/>
      <c r="E839" s="114"/>
      <c r="F839" s="115"/>
      <c r="G839" s="116"/>
      <c r="H839" s="117"/>
      <c r="I839" s="117"/>
      <c r="J839" s="114"/>
      <c r="K839" s="118"/>
      <c r="L839" s="119"/>
      <c r="M839" s="120"/>
      <c r="N839" s="117"/>
      <c r="O839" s="116"/>
      <c r="P839" s="116"/>
      <c r="Q839" s="116"/>
      <c r="R839" s="113"/>
      <c r="S839" s="121"/>
      <c r="T839" s="115"/>
      <c r="U839" s="117"/>
      <c r="V839" s="122"/>
      <c r="W839" s="122"/>
      <c r="X839" s="122"/>
      <c r="Y839" s="122"/>
      <c r="Z839" s="122"/>
      <c r="AA839" s="122"/>
      <c r="AB839" s="122"/>
      <c r="AC839" s="122"/>
      <c r="AD839" s="122"/>
      <c r="AE839" s="122"/>
      <c r="AF839" s="122"/>
      <c r="AG839" s="122"/>
      <c r="AH839" s="122"/>
      <c r="AI839" s="123"/>
      <c r="AJ839" s="122"/>
      <c r="AK839" s="122"/>
      <c r="AL839" s="122"/>
      <c r="AM839" s="122"/>
      <c r="AN839" s="122"/>
      <c r="AO839" s="122"/>
      <c r="AP839" s="124"/>
      <c r="AQ839" s="122"/>
      <c r="AR839" s="122"/>
      <c r="AS839" s="122"/>
      <c r="AT839" s="122"/>
      <c r="AU839" s="122"/>
      <c r="AV839" s="124"/>
      <c r="AW839" s="125"/>
      <c r="AX839" s="126"/>
      <c r="AY839" s="127"/>
      <c r="AZ839" s="127"/>
      <c r="BA839" s="122"/>
      <c r="BB839" s="122"/>
      <c r="BC839" s="125"/>
      <c r="BD839" s="125"/>
      <c r="BE839" s="125"/>
      <c r="BF839" s="123"/>
      <c r="BG839" s="125"/>
      <c r="BH839" s="125"/>
      <c r="BI839" s="125"/>
      <c r="BJ839" s="125"/>
      <c r="BK839" s="125"/>
      <c r="BL839" s="125"/>
      <c r="BM839" s="123"/>
      <c r="BN839" s="114"/>
      <c r="BO839" s="114"/>
      <c r="BP839" s="114"/>
      <c r="BQ839" s="114"/>
      <c r="BR839" s="114"/>
      <c r="BS839" s="114"/>
      <c r="BT839" s="114"/>
      <c r="BU839" s="114"/>
      <c r="BV839" s="114"/>
      <c r="BW839" s="114"/>
      <c r="BX839" s="114"/>
      <c r="BY839" s="114"/>
      <c r="BZ839" s="114"/>
      <c r="CA839" s="114"/>
      <c r="CB839" s="114"/>
      <c r="CC839" s="114"/>
      <c r="CD839" s="114"/>
      <c r="CE839" s="114"/>
      <c r="CF839" s="114"/>
      <c r="CG839" s="114"/>
      <c r="CH839" s="114"/>
      <c r="CI839" s="114"/>
      <c r="CJ839" s="114"/>
      <c r="CK839" s="114"/>
      <c r="CL839" s="114"/>
      <c r="CM839" s="114"/>
      <c r="CN839" s="128"/>
      <c r="CO839" s="128"/>
      <c r="CP839" s="128"/>
      <c r="CQ839" s="128"/>
      <c r="CR839" s="128"/>
      <c r="CS839" s="128"/>
      <c r="CT839" s="128"/>
      <c r="CU839" s="128"/>
      <c r="CV839" s="128"/>
      <c r="CW839" s="128"/>
      <c r="CX839" s="128"/>
      <c r="CY839" s="128"/>
    </row>
    <row r="840" spans="1:103" ht="11.25" customHeight="1" x14ac:dyDescent="0.3">
      <c r="A840" s="113"/>
      <c r="B840" s="113"/>
      <c r="C840" s="113"/>
      <c r="D840" s="114"/>
      <c r="E840" s="114"/>
      <c r="F840" s="115"/>
      <c r="G840" s="116"/>
      <c r="H840" s="117"/>
      <c r="I840" s="117"/>
      <c r="J840" s="114"/>
      <c r="K840" s="118"/>
      <c r="L840" s="119"/>
      <c r="M840" s="120"/>
      <c r="N840" s="117"/>
      <c r="O840" s="116"/>
      <c r="P840" s="116"/>
      <c r="Q840" s="116"/>
      <c r="R840" s="113"/>
      <c r="S840" s="121"/>
      <c r="T840" s="115"/>
      <c r="U840" s="117"/>
      <c r="V840" s="122"/>
      <c r="W840" s="122"/>
      <c r="X840" s="122"/>
      <c r="Y840" s="122"/>
      <c r="Z840" s="122"/>
      <c r="AA840" s="122"/>
      <c r="AB840" s="122"/>
      <c r="AC840" s="122"/>
      <c r="AD840" s="122"/>
      <c r="AE840" s="122"/>
      <c r="AF840" s="122"/>
      <c r="AG840" s="122"/>
      <c r="AH840" s="122"/>
      <c r="AI840" s="123"/>
      <c r="AJ840" s="122"/>
      <c r="AK840" s="122"/>
      <c r="AL840" s="122"/>
      <c r="AM840" s="122"/>
      <c r="AN840" s="122"/>
      <c r="AO840" s="122"/>
      <c r="AP840" s="124"/>
      <c r="AQ840" s="122"/>
      <c r="AR840" s="122"/>
      <c r="AS840" s="122"/>
      <c r="AT840" s="122"/>
      <c r="AU840" s="122"/>
      <c r="AV840" s="124"/>
      <c r="AW840" s="125"/>
      <c r="AX840" s="126"/>
      <c r="AY840" s="127"/>
      <c r="AZ840" s="127"/>
      <c r="BA840" s="122"/>
      <c r="BB840" s="122"/>
      <c r="BC840" s="125"/>
      <c r="BD840" s="125"/>
      <c r="BE840" s="125"/>
      <c r="BF840" s="123"/>
      <c r="BG840" s="125"/>
      <c r="BH840" s="125"/>
      <c r="BI840" s="125"/>
      <c r="BJ840" s="125"/>
      <c r="BK840" s="125"/>
      <c r="BL840" s="125"/>
      <c r="BM840" s="123"/>
      <c r="BN840" s="114"/>
      <c r="BO840" s="114"/>
      <c r="BP840" s="114"/>
      <c r="BQ840" s="114"/>
      <c r="BR840" s="114"/>
      <c r="BS840" s="114"/>
      <c r="BT840" s="114"/>
      <c r="BU840" s="114"/>
      <c r="BV840" s="114"/>
      <c r="BW840" s="114"/>
      <c r="BX840" s="114"/>
      <c r="BY840" s="114"/>
      <c r="BZ840" s="114"/>
      <c r="CA840" s="114"/>
      <c r="CB840" s="114"/>
      <c r="CC840" s="114"/>
      <c r="CD840" s="114"/>
      <c r="CE840" s="114"/>
      <c r="CF840" s="114"/>
      <c r="CG840" s="114"/>
      <c r="CH840" s="114"/>
      <c r="CI840" s="114"/>
      <c r="CJ840" s="114"/>
      <c r="CK840" s="114"/>
      <c r="CL840" s="114"/>
      <c r="CM840" s="114"/>
      <c r="CN840" s="128"/>
      <c r="CO840" s="128"/>
      <c r="CP840" s="128"/>
      <c r="CQ840" s="128"/>
      <c r="CR840" s="128"/>
      <c r="CS840" s="128"/>
      <c r="CT840" s="128"/>
      <c r="CU840" s="128"/>
      <c r="CV840" s="128"/>
      <c r="CW840" s="128"/>
      <c r="CX840" s="128"/>
      <c r="CY840" s="128"/>
    </row>
    <row r="841" spans="1:103" ht="11.25" customHeight="1" x14ac:dyDescent="0.3">
      <c r="A841" s="113"/>
      <c r="B841" s="113"/>
      <c r="C841" s="113"/>
      <c r="D841" s="114"/>
      <c r="E841" s="114"/>
      <c r="F841" s="115"/>
      <c r="G841" s="116"/>
      <c r="H841" s="117"/>
      <c r="I841" s="117"/>
      <c r="J841" s="114"/>
      <c r="K841" s="118"/>
      <c r="L841" s="119"/>
      <c r="M841" s="120"/>
      <c r="N841" s="117"/>
      <c r="O841" s="116"/>
      <c r="P841" s="116"/>
      <c r="Q841" s="116"/>
      <c r="R841" s="113"/>
      <c r="S841" s="121"/>
      <c r="T841" s="115"/>
      <c r="U841" s="117"/>
      <c r="V841" s="122"/>
      <c r="W841" s="122"/>
      <c r="X841" s="122"/>
      <c r="Y841" s="122"/>
      <c r="Z841" s="122"/>
      <c r="AA841" s="122"/>
      <c r="AB841" s="122"/>
      <c r="AC841" s="122"/>
      <c r="AD841" s="122"/>
      <c r="AE841" s="122"/>
      <c r="AF841" s="122"/>
      <c r="AG841" s="122"/>
      <c r="AH841" s="122"/>
      <c r="AI841" s="123"/>
      <c r="AJ841" s="122"/>
      <c r="AK841" s="122"/>
      <c r="AL841" s="122"/>
      <c r="AM841" s="122"/>
      <c r="AN841" s="122"/>
      <c r="AO841" s="122"/>
      <c r="AP841" s="124"/>
      <c r="AQ841" s="122"/>
      <c r="AR841" s="122"/>
      <c r="AS841" s="122"/>
      <c r="AT841" s="122"/>
      <c r="AU841" s="122"/>
      <c r="AV841" s="124"/>
      <c r="AW841" s="125"/>
      <c r="AX841" s="126"/>
      <c r="AY841" s="127"/>
      <c r="AZ841" s="127"/>
      <c r="BA841" s="122"/>
      <c r="BB841" s="122"/>
      <c r="BC841" s="125"/>
      <c r="BD841" s="125"/>
      <c r="BE841" s="125"/>
      <c r="BF841" s="123"/>
      <c r="BG841" s="125"/>
      <c r="BH841" s="125"/>
      <c r="BI841" s="125"/>
      <c r="BJ841" s="125"/>
      <c r="BK841" s="125"/>
      <c r="BL841" s="125"/>
      <c r="BM841" s="123"/>
      <c r="BN841" s="114"/>
      <c r="BO841" s="114"/>
      <c r="BP841" s="114"/>
      <c r="BQ841" s="114"/>
      <c r="BR841" s="114"/>
      <c r="BS841" s="114"/>
      <c r="BT841" s="114"/>
      <c r="BU841" s="114"/>
      <c r="BV841" s="114"/>
      <c r="BW841" s="114"/>
      <c r="BX841" s="114"/>
      <c r="BY841" s="114"/>
      <c r="BZ841" s="114"/>
      <c r="CA841" s="114"/>
      <c r="CB841" s="114"/>
      <c r="CC841" s="114"/>
      <c r="CD841" s="114"/>
      <c r="CE841" s="114"/>
      <c r="CF841" s="114"/>
      <c r="CG841" s="114"/>
      <c r="CH841" s="114"/>
      <c r="CI841" s="114"/>
      <c r="CJ841" s="114"/>
      <c r="CK841" s="114"/>
      <c r="CL841" s="114"/>
      <c r="CM841" s="114"/>
      <c r="CN841" s="128"/>
      <c r="CO841" s="128"/>
      <c r="CP841" s="128"/>
      <c r="CQ841" s="128"/>
      <c r="CR841" s="128"/>
      <c r="CS841" s="128"/>
      <c r="CT841" s="128"/>
      <c r="CU841" s="128"/>
      <c r="CV841" s="128"/>
      <c r="CW841" s="128"/>
      <c r="CX841" s="128"/>
      <c r="CY841" s="128"/>
    </row>
    <row r="842" spans="1:103" ht="11.25" customHeight="1" x14ac:dyDescent="0.3">
      <c r="A842" s="113"/>
      <c r="B842" s="113"/>
      <c r="C842" s="113"/>
      <c r="D842" s="114"/>
      <c r="E842" s="114"/>
      <c r="F842" s="115"/>
      <c r="G842" s="116"/>
      <c r="H842" s="117"/>
      <c r="I842" s="117"/>
      <c r="J842" s="114"/>
      <c r="K842" s="118"/>
      <c r="L842" s="119"/>
      <c r="M842" s="120"/>
      <c r="N842" s="117"/>
      <c r="O842" s="116"/>
      <c r="P842" s="116"/>
      <c r="Q842" s="116"/>
      <c r="R842" s="113"/>
      <c r="S842" s="121"/>
      <c r="T842" s="115"/>
      <c r="U842" s="117"/>
      <c r="V842" s="122"/>
      <c r="W842" s="122"/>
      <c r="X842" s="122"/>
      <c r="Y842" s="122"/>
      <c r="Z842" s="122"/>
      <c r="AA842" s="122"/>
      <c r="AB842" s="122"/>
      <c r="AC842" s="122"/>
      <c r="AD842" s="122"/>
      <c r="AE842" s="122"/>
      <c r="AF842" s="122"/>
      <c r="AG842" s="122"/>
      <c r="AH842" s="122"/>
      <c r="AI842" s="123"/>
      <c r="AJ842" s="122"/>
      <c r="AK842" s="122"/>
      <c r="AL842" s="122"/>
      <c r="AM842" s="122"/>
      <c r="AN842" s="122"/>
      <c r="AO842" s="122"/>
      <c r="AP842" s="124"/>
      <c r="AQ842" s="122"/>
      <c r="AR842" s="122"/>
      <c r="AS842" s="122"/>
      <c r="AT842" s="122"/>
      <c r="AU842" s="122"/>
      <c r="AV842" s="124"/>
      <c r="AW842" s="125"/>
      <c r="AX842" s="126"/>
      <c r="AY842" s="127"/>
      <c r="AZ842" s="127"/>
      <c r="BA842" s="122"/>
      <c r="BB842" s="122"/>
      <c r="BC842" s="125"/>
      <c r="BD842" s="125"/>
      <c r="BE842" s="125"/>
      <c r="BF842" s="123"/>
      <c r="BG842" s="125"/>
      <c r="BH842" s="125"/>
      <c r="BI842" s="125"/>
      <c r="BJ842" s="125"/>
      <c r="BK842" s="125"/>
      <c r="BL842" s="125"/>
      <c r="BM842" s="123"/>
      <c r="BN842" s="114"/>
      <c r="BO842" s="114"/>
      <c r="BP842" s="114"/>
      <c r="BQ842" s="114"/>
      <c r="BR842" s="114"/>
      <c r="BS842" s="114"/>
      <c r="BT842" s="114"/>
      <c r="BU842" s="114"/>
      <c r="BV842" s="114"/>
      <c r="BW842" s="114"/>
      <c r="BX842" s="114"/>
      <c r="BY842" s="114"/>
      <c r="BZ842" s="114"/>
      <c r="CA842" s="114"/>
      <c r="CB842" s="114"/>
      <c r="CC842" s="114"/>
      <c r="CD842" s="114"/>
      <c r="CE842" s="114"/>
      <c r="CF842" s="114"/>
      <c r="CG842" s="114"/>
      <c r="CH842" s="114"/>
      <c r="CI842" s="114"/>
      <c r="CJ842" s="114"/>
      <c r="CK842" s="114"/>
      <c r="CL842" s="114"/>
      <c r="CM842" s="114"/>
      <c r="CN842" s="128"/>
      <c r="CO842" s="128"/>
      <c r="CP842" s="128"/>
      <c r="CQ842" s="128"/>
      <c r="CR842" s="128"/>
      <c r="CS842" s="128"/>
      <c r="CT842" s="128"/>
      <c r="CU842" s="128"/>
      <c r="CV842" s="128"/>
      <c r="CW842" s="128"/>
      <c r="CX842" s="128"/>
      <c r="CY842" s="128"/>
    </row>
    <row r="843" spans="1:103" ht="11.25" customHeight="1" x14ac:dyDescent="0.3">
      <c r="A843" s="113"/>
      <c r="B843" s="113"/>
      <c r="C843" s="113"/>
      <c r="D843" s="114"/>
      <c r="E843" s="114"/>
      <c r="F843" s="115"/>
      <c r="G843" s="116"/>
      <c r="H843" s="117"/>
      <c r="I843" s="117"/>
      <c r="J843" s="114"/>
      <c r="K843" s="118"/>
      <c r="L843" s="119"/>
      <c r="M843" s="120"/>
      <c r="N843" s="117"/>
      <c r="O843" s="116"/>
      <c r="P843" s="116"/>
      <c r="Q843" s="116"/>
      <c r="R843" s="113"/>
      <c r="S843" s="121"/>
      <c r="T843" s="115"/>
      <c r="U843" s="117"/>
      <c r="V843" s="122"/>
      <c r="W843" s="122"/>
      <c r="X843" s="122"/>
      <c r="Y843" s="122"/>
      <c r="Z843" s="122"/>
      <c r="AA843" s="122"/>
      <c r="AB843" s="122"/>
      <c r="AC843" s="122"/>
      <c r="AD843" s="122"/>
      <c r="AE843" s="122"/>
      <c r="AF843" s="122"/>
      <c r="AG843" s="122"/>
      <c r="AH843" s="122"/>
      <c r="AI843" s="123"/>
      <c r="AJ843" s="122"/>
      <c r="AK843" s="122"/>
      <c r="AL843" s="122"/>
      <c r="AM843" s="122"/>
      <c r="AN843" s="122"/>
      <c r="AO843" s="122"/>
      <c r="AP843" s="124"/>
      <c r="AQ843" s="122"/>
      <c r="AR843" s="122"/>
      <c r="AS843" s="122"/>
      <c r="AT843" s="122"/>
      <c r="AU843" s="122"/>
      <c r="AV843" s="124"/>
      <c r="AW843" s="125"/>
      <c r="AX843" s="126"/>
      <c r="AY843" s="127"/>
      <c r="AZ843" s="127"/>
      <c r="BA843" s="122"/>
      <c r="BB843" s="122"/>
      <c r="BC843" s="125"/>
      <c r="BD843" s="125"/>
      <c r="BE843" s="125"/>
      <c r="BF843" s="123"/>
      <c r="BG843" s="125"/>
      <c r="BH843" s="125"/>
      <c r="BI843" s="125"/>
      <c r="BJ843" s="125"/>
      <c r="BK843" s="125"/>
      <c r="BL843" s="125"/>
      <c r="BM843" s="123"/>
      <c r="BN843" s="114"/>
      <c r="BO843" s="114"/>
      <c r="BP843" s="114"/>
      <c r="BQ843" s="114"/>
      <c r="BR843" s="114"/>
      <c r="BS843" s="114"/>
      <c r="BT843" s="114"/>
      <c r="BU843" s="114"/>
      <c r="BV843" s="114"/>
      <c r="BW843" s="114"/>
      <c r="BX843" s="114"/>
      <c r="BY843" s="114"/>
      <c r="BZ843" s="114"/>
      <c r="CA843" s="114"/>
      <c r="CB843" s="114"/>
      <c r="CC843" s="114"/>
      <c r="CD843" s="114"/>
      <c r="CE843" s="114"/>
      <c r="CF843" s="114"/>
      <c r="CG843" s="114"/>
      <c r="CH843" s="114"/>
      <c r="CI843" s="114"/>
      <c r="CJ843" s="114"/>
      <c r="CK843" s="114"/>
      <c r="CL843" s="114"/>
      <c r="CM843" s="114"/>
      <c r="CN843" s="128"/>
      <c r="CO843" s="128"/>
      <c r="CP843" s="128"/>
      <c r="CQ843" s="128"/>
      <c r="CR843" s="128"/>
      <c r="CS843" s="128"/>
      <c r="CT843" s="128"/>
      <c r="CU843" s="128"/>
      <c r="CV843" s="128"/>
      <c r="CW843" s="128"/>
      <c r="CX843" s="128"/>
      <c r="CY843" s="128"/>
    </row>
    <row r="844" spans="1:103" ht="11.25" customHeight="1" x14ac:dyDescent="0.3">
      <c r="A844" s="113"/>
      <c r="B844" s="113"/>
      <c r="C844" s="113"/>
      <c r="D844" s="114"/>
      <c r="E844" s="114"/>
      <c r="F844" s="115"/>
      <c r="G844" s="116"/>
      <c r="H844" s="117"/>
      <c r="I844" s="117"/>
      <c r="J844" s="114"/>
      <c r="K844" s="118"/>
      <c r="L844" s="119"/>
      <c r="M844" s="120"/>
      <c r="N844" s="117"/>
      <c r="O844" s="116"/>
      <c r="P844" s="116"/>
      <c r="Q844" s="116"/>
      <c r="R844" s="113"/>
      <c r="S844" s="121"/>
      <c r="T844" s="115"/>
      <c r="U844" s="117"/>
      <c r="V844" s="122"/>
      <c r="W844" s="122"/>
      <c r="X844" s="122"/>
      <c r="Y844" s="122"/>
      <c r="Z844" s="122"/>
      <c r="AA844" s="122"/>
      <c r="AB844" s="122"/>
      <c r="AC844" s="122"/>
      <c r="AD844" s="122"/>
      <c r="AE844" s="122"/>
      <c r="AF844" s="122"/>
      <c r="AG844" s="122"/>
      <c r="AH844" s="122"/>
      <c r="AI844" s="123"/>
      <c r="AJ844" s="122"/>
      <c r="AK844" s="122"/>
      <c r="AL844" s="122"/>
      <c r="AM844" s="122"/>
      <c r="AN844" s="122"/>
      <c r="AO844" s="122"/>
      <c r="AP844" s="124"/>
      <c r="AQ844" s="122"/>
      <c r="AR844" s="122"/>
      <c r="AS844" s="122"/>
      <c r="AT844" s="122"/>
      <c r="AU844" s="122"/>
      <c r="AV844" s="124"/>
      <c r="AW844" s="125"/>
      <c r="AX844" s="126"/>
      <c r="AY844" s="127"/>
      <c r="AZ844" s="127"/>
      <c r="BA844" s="122"/>
      <c r="BB844" s="122"/>
      <c r="BC844" s="125"/>
      <c r="BD844" s="125"/>
      <c r="BE844" s="125"/>
      <c r="BF844" s="123"/>
      <c r="BG844" s="125"/>
      <c r="BH844" s="125"/>
      <c r="BI844" s="125"/>
      <c r="BJ844" s="125"/>
      <c r="BK844" s="125"/>
      <c r="BL844" s="125"/>
      <c r="BM844" s="123"/>
      <c r="BN844" s="114"/>
      <c r="BO844" s="114"/>
      <c r="BP844" s="114"/>
      <c r="BQ844" s="114"/>
      <c r="BR844" s="114"/>
      <c r="BS844" s="114"/>
      <c r="BT844" s="114"/>
      <c r="BU844" s="114"/>
      <c r="BV844" s="114"/>
      <c r="BW844" s="114"/>
      <c r="BX844" s="114"/>
      <c r="BY844" s="114"/>
      <c r="BZ844" s="114"/>
      <c r="CA844" s="114"/>
      <c r="CB844" s="114"/>
      <c r="CC844" s="114"/>
      <c r="CD844" s="114"/>
      <c r="CE844" s="114"/>
      <c r="CF844" s="114"/>
      <c r="CG844" s="114"/>
      <c r="CH844" s="114"/>
      <c r="CI844" s="114"/>
      <c r="CJ844" s="114"/>
      <c r="CK844" s="114"/>
      <c r="CL844" s="114"/>
      <c r="CM844" s="114"/>
      <c r="CN844" s="128"/>
      <c r="CO844" s="128"/>
      <c r="CP844" s="128"/>
      <c r="CQ844" s="128"/>
      <c r="CR844" s="128"/>
      <c r="CS844" s="128"/>
      <c r="CT844" s="128"/>
      <c r="CU844" s="128"/>
      <c r="CV844" s="128"/>
      <c r="CW844" s="128"/>
      <c r="CX844" s="128"/>
      <c r="CY844" s="128"/>
    </row>
    <row r="845" spans="1:103" ht="11.25" customHeight="1" x14ac:dyDescent="0.3">
      <c r="A845" s="113"/>
      <c r="B845" s="113"/>
      <c r="C845" s="113"/>
      <c r="D845" s="114"/>
      <c r="E845" s="114"/>
      <c r="F845" s="115"/>
      <c r="G845" s="116"/>
      <c r="H845" s="117"/>
      <c r="I845" s="117"/>
      <c r="J845" s="114"/>
      <c r="K845" s="118"/>
      <c r="L845" s="119"/>
      <c r="M845" s="120"/>
      <c r="N845" s="117"/>
      <c r="O845" s="116"/>
      <c r="P845" s="116"/>
      <c r="Q845" s="116"/>
      <c r="R845" s="113"/>
      <c r="S845" s="121"/>
      <c r="T845" s="115"/>
      <c r="U845" s="117"/>
      <c r="V845" s="122"/>
      <c r="W845" s="122"/>
      <c r="X845" s="122"/>
      <c r="Y845" s="122"/>
      <c r="Z845" s="122"/>
      <c r="AA845" s="122"/>
      <c r="AB845" s="122"/>
      <c r="AC845" s="122"/>
      <c r="AD845" s="122"/>
      <c r="AE845" s="122"/>
      <c r="AF845" s="122"/>
      <c r="AG845" s="122"/>
      <c r="AH845" s="122"/>
      <c r="AI845" s="123"/>
      <c r="AJ845" s="122"/>
      <c r="AK845" s="122"/>
      <c r="AL845" s="122"/>
      <c r="AM845" s="122"/>
      <c r="AN845" s="122"/>
      <c r="AO845" s="122"/>
      <c r="AP845" s="124"/>
      <c r="AQ845" s="122"/>
      <c r="AR845" s="122"/>
      <c r="AS845" s="122"/>
      <c r="AT845" s="122"/>
      <c r="AU845" s="122"/>
      <c r="AV845" s="124"/>
      <c r="AW845" s="125"/>
      <c r="AX845" s="126"/>
      <c r="AY845" s="127"/>
      <c r="AZ845" s="127"/>
      <c r="BA845" s="122"/>
      <c r="BB845" s="122"/>
      <c r="BC845" s="125"/>
      <c r="BD845" s="125"/>
      <c r="BE845" s="125"/>
      <c r="BF845" s="123"/>
      <c r="BG845" s="125"/>
      <c r="BH845" s="125"/>
      <c r="BI845" s="125"/>
      <c r="BJ845" s="125"/>
      <c r="BK845" s="125"/>
      <c r="BL845" s="125"/>
      <c r="BM845" s="123"/>
      <c r="BN845" s="114"/>
      <c r="BO845" s="114"/>
      <c r="BP845" s="114"/>
      <c r="BQ845" s="114"/>
      <c r="BR845" s="114"/>
      <c r="BS845" s="114"/>
      <c r="BT845" s="114"/>
      <c r="BU845" s="114"/>
      <c r="BV845" s="114"/>
      <c r="BW845" s="114"/>
      <c r="BX845" s="114"/>
      <c r="BY845" s="114"/>
      <c r="BZ845" s="114"/>
      <c r="CA845" s="114"/>
      <c r="CB845" s="114"/>
      <c r="CC845" s="114"/>
      <c r="CD845" s="114"/>
      <c r="CE845" s="114"/>
      <c r="CF845" s="114"/>
      <c r="CG845" s="114"/>
      <c r="CH845" s="114"/>
      <c r="CI845" s="114"/>
      <c r="CJ845" s="114"/>
      <c r="CK845" s="114"/>
      <c r="CL845" s="114"/>
      <c r="CM845" s="114"/>
      <c r="CN845" s="128"/>
      <c r="CO845" s="128"/>
      <c r="CP845" s="128"/>
      <c r="CQ845" s="128"/>
      <c r="CR845" s="128"/>
      <c r="CS845" s="128"/>
      <c r="CT845" s="128"/>
      <c r="CU845" s="128"/>
      <c r="CV845" s="128"/>
      <c r="CW845" s="128"/>
      <c r="CX845" s="128"/>
      <c r="CY845" s="128"/>
    </row>
    <row r="846" spans="1:103" ht="11.25" customHeight="1" x14ac:dyDescent="0.3">
      <c r="A846" s="113"/>
      <c r="B846" s="113"/>
      <c r="C846" s="113"/>
      <c r="D846" s="114"/>
      <c r="E846" s="114"/>
      <c r="F846" s="115"/>
      <c r="G846" s="116"/>
      <c r="H846" s="117"/>
      <c r="I846" s="117"/>
      <c r="J846" s="114"/>
      <c r="K846" s="118"/>
      <c r="L846" s="119"/>
      <c r="M846" s="120"/>
      <c r="N846" s="117"/>
      <c r="O846" s="116"/>
      <c r="P846" s="116"/>
      <c r="Q846" s="116"/>
      <c r="R846" s="113"/>
      <c r="S846" s="121"/>
      <c r="T846" s="115"/>
      <c r="U846" s="117"/>
      <c r="V846" s="122"/>
      <c r="W846" s="122"/>
      <c r="X846" s="122"/>
      <c r="Y846" s="122"/>
      <c r="Z846" s="122"/>
      <c r="AA846" s="122"/>
      <c r="AB846" s="122"/>
      <c r="AC846" s="122"/>
      <c r="AD846" s="122"/>
      <c r="AE846" s="122"/>
      <c r="AF846" s="122"/>
      <c r="AG846" s="122"/>
      <c r="AH846" s="122"/>
      <c r="AI846" s="123"/>
      <c r="AJ846" s="122"/>
      <c r="AK846" s="122"/>
      <c r="AL846" s="122"/>
      <c r="AM846" s="122"/>
      <c r="AN846" s="122"/>
      <c r="AO846" s="122"/>
      <c r="AP846" s="124"/>
      <c r="AQ846" s="122"/>
      <c r="AR846" s="122"/>
      <c r="AS846" s="122"/>
      <c r="AT846" s="122"/>
      <c r="AU846" s="122"/>
      <c r="AV846" s="124"/>
      <c r="AW846" s="125"/>
      <c r="AX846" s="126"/>
      <c r="AY846" s="127"/>
      <c r="AZ846" s="127"/>
      <c r="BA846" s="122"/>
      <c r="BB846" s="122"/>
      <c r="BC846" s="125"/>
      <c r="BD846" s="125"/>
      <c r="BE846" s="125"/>
      <c r="BF846" s="123"/>
      <c r="BG846" s="125"/>
      <c r="BH846" s="125"/>
      <c r="BI846" s="125"/>
      <c r="BJ846" s="125"/>
      <c r="BK846" s="125"/>
      <c r="BL846" s="125"/>
      <c r="BM846" s="123"/>
      <c r="BN846" s="114"/>
      <c r="BO846" s="114"/>
      <c r="BP846" s="114"/>
      <c r="BQ846" s="114"/>
      <c r="BR846" s="114"/>
      <c r="BS846" s="114"/>
      <c r="BT846" s="114"/>
      <c r="BU846" s="114"/>
      <c r="BV846" s="114"/>
      <c r="BW846" s="114"/>
      <c r="BX846" s="114"/>
      <c r="BY846" s="114"/>
      <c r="BZ846" s="114"/>
      <c r="CA846" s="114"/>
      <c r="CB846" s="114"/>
      <c r="CC846" s="114"/>
      <c r="CD846" s="114"/>
      <c r="CE846" s="114"/>
      <c r="CF846" s="114"/>
      <c r="CG846" s="114"/>
      <c r="CH846" s="114"/>
      <c r="CI846" s="114"/>
      <c r="CJ846" s="114"/>
      <c r="CK846" s="114"/>
      <c r="CL846" s="114"/>
      <c r="CM846" s="114"/>
      <c r="CN846" s="128"/>
      <c r="CO846" s="128"/>
      <c r="CP846" s="128"/>
      <c r="CQ846" s="128"/>
      <c r="CR846" s="128"/>
      <c r="CS846" s="128"/>
      <c r="CT846" s="128"/>
      <c r="CU846" s="128"/>
      <c r="CV846" s="128"/>
      <c r="CW846" s="128"/>
      <c r="CX846" s="128"/>
      <c r="CY846" s="128"/>
    </row>
    <row r="847" spans="1:103" ht="11.25" customHeight="1" x14ac:dyDescent="0.3">
      <c r="A847" s="113"/>
      <c r="B847" s="113"/>
      <c r="C847" s="113"/>
      <c r="D847" s="114"/>
      <c r="E847" s="114"/>
      <c r="F847" s="115"/>
      <c r="G847" s="116"/>
      <c r="H847" s="117"/>
      <c r="I847" s="117"/>
      <c r="J847" s="114"/>
      <c r="K847" s="118"/>
      <c r="L847" s="119"/>
      <c r="M847" s="120"/>
      <c r="N847" s="117"/>
      <c r="O847" s="116"/>
      <c r="P847" s="116"/>
      <c r="Q847" s="116"/>
      <c r="R847" s="113"/>
      <c r="S847" s="121"/>
      <c r="T847" s="115"/>
      <c r="U847" s="117"/>
      <c r="V847" s="122"/>
      <c r="W847" s="122"/>
      <c r="X847" s="122"/>
      <c r="Y847" s="122"/>
      <c r="Z847" s="122"/>
      <c r="AA847" s="122"/>
      <c r="AB847" s="122"/>
      <c r="AC847" s="122"/>
      <c r="AD847" s="122"/>
      <c r="AE847" s="122"/>
      <c r="AF847" s="122"/>
      <c r="AG847" s="122"/>
      <c r="AH847" s="122"/>
      <c r="AI847" s="123"/>
      <c r="AJ847" s="122"/>
      <c r="AK847" s="122"/>
      <c r="AL847" s="122"/>
      <c r="AM847" s="122"/>
      <c r="AN847" s="122"/>
      <c r="AO847" s="122"/>
      <c r="AP847" s="124"/>
      <c r="AQ847" s="122"/>
      <c r="AR847" s="122"/>
      <c r="AS847" s="122"/>
      <c r="AT847" s="122"/>
      <c r="AU847" s="122"/>
      <c r="AV847" s="124"/>
      <c r="AW847" s="125"/>
      <c r="AX847" s="126"/>
      <c r="AY847" s="127"/>
      <c r="AZ847" s="127"/>
      <c r="BA847" s="122"/>
      <c r="BB847" s="122"/>
      <c r="BC847" s="125"/>
      <c r="BD847" s="125"/>
      <c r="BE847" s="125"/>
      <c r="BF847" s="123"/>
      <c r="BG847" s="125"/>
      <c r="BH847" s="125"/>
      <c r="BI847" s="125"/>
      <c r="BJ847" s="125"/>
      <c r="BK847" s="125"/>
      <c r="BL847" s="125"/>
      <c r="BM847" s="123"/>
      <c r="BN847" s="114"/>
      <c r="BO847" s="114"/>
      <c r="BP847" s="114"/>
      <c r="BQ847" s="114"/>
      <c r="BR847" s="114"/>
      <c r="BS847" s="114"/>
      <c r="BT847" s="114"/>
      <c r="BU847" s="114"/>
      <c r="BV847" s="114"/>
      <c r="BW847" s="114"/>
      <c r="BX847" s="114"/>
      <c r="BY847" s="114"/>
      <c r="BZ847" s="114"/>
      <c r="CA847" s="114"/>
      <c r="CB847" s="114"/>
      <c r="CC847" s="114"/>
      <c r="CD847" s="114"/>
      <c r="CE847" s="114"/>
      <c r="CF847" s="114"/>
      <c r="CG847" s="114"/>
      <c r="CH847" s="114"/>
      <c r="CI847" s="114"/>
      <c r="CJ847" s="114"/>
      <c r="CK847" s="114"/>
      <c r="CL847" s="114"/>
      <c r="CM847" s="114"/>
      <c r="CN847" s="128"/>
      <c r="CO847" s="128"/>
      <c r="CP847" s="128"/>
      <c r="CQ847" s="128"/>
      <c r="CR847" s="128"/>
      <c r="CS847" s="128"/>
      <c r="CT847" s="128"/>
      <c r="CU847" s="128"/>
      <c r="CV847" s="128"/>
      <c r="CW847" s="128"/>
      <c r="CX847" s="128"/>
      <c r="CY847" s="128"/>
    </row>
    <row r="848" spans="1:103" ht="11.25" customHeight="1" x14ac:dyDescent="0.3">
      <c r="A848" s="113"/>
      <c r="B848" s="113"/>
      <c r="C848" s="113"/>
      <c r="D848" s="114"/>
      <c r="E848" s="114"/>
      <c r="F848" s="115"/>
      <c r="G848" s="116"/>
      <c r="H848" s="117"/>
      <c r="I848" s="117"/>
      <c r="J848" s="114"/>
      <c r="K848" s="118"/>
      <c r="L848" s="119"/>
      <c r="M848" s="120"/>
      <c r="N848" s="117"/>
      <c r="O848" s="116"/>
      <c r="P848" s="116"/>
      <c r="Q848" s="116"/>
      <c r="R848" s="113"/>
      <c r="S848" s="121"/>
      <c r="T848" s="115"/>
      <c r="U848" s="117"/>
      <c r="V848" s="122"/>
      <c r="W848" s="122"/>
      <c r="X848" s="122"/>
      <c r="Y848" s="122"/>
      <c r="Z848" s="122"/>
      <c r="AA848" s="122"/>
      <c r="AB848" s="122"/>
      <c r="AC848" s="122"/>
      <c r="AD848" s="122"/>
      <c r="AE848" s="122"/>
      <c r="AF848" s="122"/>
      <c r="AG848" s="122"/>
      <c r="AH848" s="122"/>
      <c r="AI848" s="123"/>
      <c r="AJ848" s="122"/>
      <c r="AK848" s="122"/>
      <c r="AL848" s="122"/>
      <c r="AM848" s="122"/>
      <c r="AN848" s="122"/>
      <c r="AO848" s="122"/>
      <c r="AP848" s="124"/>
      <c r="AQ848" s="122"/>
      <c r="AR848" s="122"/>
      <c r="AS848" s="122"/>
      <c r="AT848" s="122"/>
      <c r="AU848" s="122"/>
      <c r="AV848" s="124"/>
      <c r="AW848" s="125"/>
      <c r="AX848" s="126"/>
      <c r="AY848" s="127"/>
      <c r="AZ848" s="127"/>
      <c r="BA848" s="122"/>
      <c r="BB848" s="122"/>
      <c r="BC848" s="125"/>
      <c r="BD848" s="125"/>
      <c r="BE848" s="125"/>
      <c r="BF848" s="123"/>
      <c r="BG848" s="125"/>
      <c r="BH848" s="125"/>
      <c r="BI848" s="125"/>
      <c r="BJ848" s="125"/>
      <c r="BK848" s="125"/>
      <c r="BL848" s="125"/>
      <c r="BM848" s="123"/>
      <c r="BN848" s="114"/>
      <c r="BO848" s="114"/>
      <c r="BP848" s="114"/>
      <c r="BQ848" s="114"/>
      <c r="BR848" s="114"/>
      <c r="BS848" s="114"/>
      <c r="BT848" s="114"/>
      <c r="BU848" s="114"/>
      <c r="BV848" s="114"/>
      <c r="BW848" s="114"/>
      <c r="BX848" s="114"/>
      <c r="BY848" s="114"/>
      <c r="BZ848" s="114"/>
      <c r="CA848" s="114"/>
      <c r="CB848" s="114"/>
      <c r="CC848" s="114"/>
      <c r="CD848" s="114"/>
      <c r="CE848" s="114"/>
      <c r="CF848" s="114"/>
      <c r="CG848" s="114"/>
      <c r="CH848" s="114"/>
      <c r="CI848" s="114"/>
      <c r="CJ848" s="114"/>
      <c r="CK848" s="114"/>
      <c r="CL848" s="114"/>
      <c r="CM848" s="114"/>
      <c r="CN848" s="128"/>
      <c r="CO848" s="128"/>
      <c r="CP848" s="128"/>
      <c r="CQ848" s="128"/>
      <c r="CR848" s="128"/>
      <c r="CS848" s="128"/>
      <c r="CT848" s="128"/>
      <c r="CU848" s="128"/>
      <c r="CV848" s="128"/>
      <c r="CW848" s="128"/>
      <c r="CX848" s="128"/>
      <c r="CY848" s="128"/>
    </row>
    <row r="849" spans="1:103" ht="11.25" customHeight="1" x14ac:dyDescent="0.3">
      <c r="A849" s="113"/>
      <c r="B849" s="113"/>
      <c r="C849" s="113"/>
      <c r="D849" s="114"/>
      <c r="E849" s="114"/>
      <c r="F849" s="115"/>
      <c r="G849" s="116"/>
      <c r="H849" s="117"/>
      <c r="I849" s="117"/>
      <c r="J849" s="114"/>
      <c r="K849" s="118"/>
      <c r="L849" s="119"/>
      <c r="M849" s="120"/>
      <c r="N849" s="117"/>
      <c r="O849" s="116"/>
      <c r="P849" s="116"/>
      <c r="Q849" s="116"/>
      <c r="R849" s="113"/>
      <c r="S849" s="121"/>
      <c r="T849" s="115"/>
      <c r="U849" s="117"/>
      <c r="V849" s="122"/>
      <c r="W849" s="122"/>
      <c r="X849" s="122"/>
      <c r="Y849" s="122"/>
      <c r="Z849" s="122"/>
      <c r="AA849" s="122"/>
      <c r="AB849" s="122"/>
      <c r="AC849" s="122"/>
      <c r="AD849" s="122"/>
      <c r="AE849" s="122"/>
      <c r="AF849" s="122"/>
      <c r="AG849" s="122"/>
      <c r="AH849" s="122"/>
      <c r="AI849" s="123"/>
      <c r="AJ849" s="122"/>
      <c r="AK849" s="122"/>
      <c r="AL849" s="122"/>
      <c r="AM849" s="122"/>
      <c r="AN849" s="122"/>
      <c r="AO849" s="122"/>
      <c r="AP849" s="124"/>
      <c r="AQ849" s="122"/>
      <c r="AR849" s="122"/>
      <c r="AS849" s="122"/>
      <c r="AT849" s="122"/>
      <c r="AU849" s="122"/>
      <c r="AV849" s="124"/>
      <c r="AW849" s="125"/>
      <c r="AX849" s="126"/>
      <c r="AY849" s="127"/>
      <c r="AZ849" s="127"/>
      <c r="BA849" s="122"/>
      <c r="BB849" s="122"/>
      <c r="BC849" s="125"/>
      <c r="BD849" s="125"/>
      <c r="BE849" s="125"/>
      <c r="BF849" s="123"/>
      <c r="BG849" s="125"/>
      <c r="BH849" s="125"/>
      <c r="BI849" s="125"/>
      <c r="BJ849" s="125"/>
      <c r="BK849" s="125"/>
      <c r="BL849" s="125"/>
      <c r="BM849" s="123"/>
      <c r="BN849" s="114"/>
      <c r="BO849" s="114"/>
      <c r="BP849" s="114"/>
      <c r="BQ849" s="114"/>
      <c r="BR849" s="114"/>
      <c r="BS849" s="114"/>
      <c r="BT849" s="114"/>
      <c r="BU849" s="114"/>
      <c r="BV849" s="114"/>
      <c r="BW849" s="114"/>
      <c r="BX849" s="114"/>
      <c r="BY849" s="114"/>
      <c r="BZ849" s="114"/>
      <c r="CA849" s="114"/>
      <c r="CB849" s="114"/>
      <c r="CC849" s="114"/>
      <c r="CD849" s="114"/>
      <c r="CE849" s="114"/>
      <c r="CF849" s="114"/>
      <c r="CG849" s="114"/>
      <c r="CH849" s="114"/>
      <c r="CI849" s="114"/>
      <c r="CJ849" s="114"/>
      <c r="CK849" s="114"/>
      <c r="CL849" s="114"/>
      <c r="CM849" s="114"/>
      <c r="CN849" s="128"/>
      <c r="CO849" s="128"/>
      <c r="CP849" s="128"/>
      <c r="CQ849" s="128"/>
      <c r="CR849" s="128"/>
      <c r="CS849" s="128"/>
      <c r="CT849" s="128"/>
      <c r="CU849" s="128"/>
      <c r="CV849" s="128"/>
      <c r="CW849" s="128"/>
      <c r="CX849" s="128"/>
      <c r="CY849" s="128"/>
    </row>
    <row r="850" spans="1:103" ht="11.25" customHeight="1" x14ac:dyDescent="0.3">
      <c r="A850" s="113"/>
      <c r="B850" s="113"/>
      <c r="C850" s="113"/>
      <c r="D850" s="114"/>
      <c r="E850" s="114"/>
      <c r="F850" s="115"/>
      <c r="G850" s="116"/>
      <c r="H850" s="117"/>
      <c r="I850" s="117"/>
      <c r="J850" s="114"/>
      <c r="K850" s="118"/>
      <c r="L850" s="119"/>
      <c r="M850" s="120"/>
      <c r="N850" s="117"/>
      <c r="O850" s="116"/>
      <c r="P850" s="116"/>
      <c r="Q850" s="116"/>
      <c r="R850" s="113"/>
      <c r="S850" s="121"/>
      <c r="T850" s="115"/>
      <c r="U850" s="117"/>
      <c r="V850" s="122"/>
      <c r="W850" s="122"/>
      <c r="X850" s="122"/>
      <c r="Y850" s="122"/>
      <c r="Z850" s="122"/>
      <c r="AA850" s="122"/>
      <c r="AB850" s="122"/>
      <c r="AC850" s="122"/>
      <c r="AD850" s="122"/>
      <c r="AE850" s="122"/>
      <c r="AF850" s="122"/>
      <c r="AG850" s="122"/>
      <c r="AH850" s="122"/>
      <c r="AI850" s="123"/>
      <c r="AJ850" s="122"/>
      <c r="AK850" s="122"/>
      <c r="AL850" s="122"/>
      <c r="AM850" s="122"/>
      <c r="AN850" s="122"/>
      <c r="AO850" s="122"/>
      <c r="AP850" s="124"/>
      <c r="AQ850" s="122"/>
      <c r="AR850" s="122"/>
      <c r="AS850" s="122"/>
      <c r="AT850" s="122"/>
      <c r="AU850" s="122"/>
      <c r="AV850" s="124"/>
      <c r="AW850" s="125"/>
      <c r="AX850" s="126"/>
      <c r="AY850" s="127"/>
      <c r="AZ850" s="127"/>
      <c r="BA850" s="122"/>
      <c r="BB850" s="122"/>
      <c r="BC850" s="125"/>
      <c r="BD850" s="125"/>
      <c r="BE850" s="125"/>
      <c r="BF850" s="123"/>
      <c r="BG850" s="125"/>
      <c r="BH850" s="125"/>
      <c r="BI850" s="125"/>
      <c r="BJ850" s="125"/>
      <c r="BK850" s="125"/>
      <c r="BL850" s="125"/>
      <c r="BM850" s="123"/>
      <c r="BN850" s="114"/>
      <c r="BO850" s="114"/>
      <c r="BP850" s="114"/>
      <c r="BQ850" s="114"/>
      <c r="BR850" s="114"/>
      <c r="BS850" s="114"/>
      <c r="BT850" s="114"/>
      <c r="BU850" s="114"/>
      <c r="BV850" s="114"/>
      <c r="BW850" s="114"/>
      <c r="BX850" s="114"/>
      <c r="BY850" s="114"/>
      <c r="BZ850" s="114"/>
      <c r="CA850" s="114"/>
      <c r="CB850" s="114"/>
      <c r="CC850" s="114"/>
      <c r="CD850" s="114"/>
      <c r="CE850" s="114"/>
      <c r="CF850" s="114"/>
      <c r="CG850" s="114"/>
      <c r="CH850" s="114"/>
      <c r="CI850" s="114"/>
      <c r="CJ850" s="114"/>
      <c r="CK850" s="114"/>
      <c r="CL850" s="114"/>
      <c r="CM850" s="114"/>
      <c r="CN850" s="128"/>
      <c r="CO850" s="128"/>
      <c r="CP850" s="128"/>
      <c r="CQ850" s="128"/>
      <c r="CR850" s="128"/>
      <c r="CS850" s="128"/>
      <c r="CT850" s="128"/>
      <c r="CU850" s="128"/>
      <c r="CV850" s="128"/>
      <c r="CW850" s="128"/>
      <c r="CX850" s="128"/>
      <c r="CY850" s="128"/>
    </row>
    <row r="851" spans="1:103" ht="11.25" customHeight="1" x14ac:dyDescent="0.3">
      <c r="A851" s="113"/>
      <c r="B851" s="113"/>
      <c r="C851" s="113"/>
      <c r="D851" s="114"/>
      <c r="E851" s="114"/>
      <c r="F851" s="115"/>
      <c r="G851" s="116"/>
      <c r="H851" s="117"/>
      <c r="I851" s="117"/>
      <c r="J851" s="114"/>
      <c r="K851" s="118"/>
      <c r="L851" s="119"/>
      <c r="M851" s="120"/>
      <c r="N851" s="117"/>
      <c r="O851" s="116"/>
      <c r="P851" s="116"/>
      <c r="Q851" s="116"/>
      <c r="R851" s="113"/>
      <c r="S851" s="121"/>
      <c r="T851" s="115"/>
      <c r="U851" s="117"/>
      <c r="V851" s="122"/>
      <c r="W851" s="122"/>
      <c r="X851" s="122"/>
      <c r="Y851" s="122"/>
      <c r="Z851" s="122"/>
      <c r="AA851" s="122"/>
      <c r="AB851" s="122"/>
      <c r="AC851" s="122"/>
      <c r="AD851" s="122"/>
      <c r="AE851" s="122"/>
      <c r="AF851" s="122"/>
      <c r="AG851" s="122"/>
      <c r="AH851" s="122"/>
      <c r="AI851" s="123"/>
      <c r="AJ851" s="122"/>
      <c r="AK851" s="122"/>
      <c r="AL851" s="122"/>
      <c r="AM851" s="122"/>
      <c r="AN851" s="122"/>
      <c r="AO851" s="122"/>
      <c r="AP851" s="124"/>
      <c r="AQ851" s="122"/>
      <c r="AR851" s="122"/>
      <c r="AS851" s="122"/>
      <c r="AT851" s="122"/>
      <c r="AU851" s="122"/>
      <c r="AV851" s="124"/>
      <c r="AW851" s="125"/>
      <c r="AX851" s="126"/>
      <c r="AY851" s="127"/>
      <c r="AZ851" s="127"/>
      <c r="BA851" s="122"/>
      <c r="BB851" s="122"/>
      <c r="BC851" s="125"/>
      <c r="BD851" s="125"/>
      <c r="BE851" s="125"/>
      <c r="BF851" s="123"/>
      <c r="BG851" s="125"/>
      <c r="BH851" s="125"/>
      <c r="BI851" s="125"/>
      <c r="BJ851" s="125"/>
      <c r="BK851" s="125"/>
      <c r="BL851" s="125"/>
      <c r="BM851" s="123"/>
      <c r="BN851" s="114"/>
      <c r="BO851" s="114"/>
      <c r="BP851" s="114"/>
      <c r="BQ851" s="114"/>
      <c r="BR851" s="114"/>
      <c r="BS851" s="114"/>
      <c r="BT851" s="114"/>
      <c r="BU851" s="114"/>
      <c r="BV851" s="114"/>
      <c r="BW851" s="114"/>
      <c r="BX851" s="114"/>
      <c r="BY851" s="114"/>
      <c r="BZ851" s="114"/>
      <c r="CA851" s="114"/>
      <c r="CB851" s="114"/>
      <c r="CC851" s="114"/>
      <c r="CD851" s="114"/>
      <c r="CE851" s="114"/>
      <c r="CF851" s="114"/>
      <c r="CG851" s="114"/>
      <c r="CH851" s="114"/>
      <c r="CI851" s="114"/>
      <c r="CJ851" s="114"/>
      <c r="CK851" s="114"/>
      <c r="CL851" s="114"/>
      <c r="CM851" s="114"/>
      <c r="CN851" s="128"/>
      <c r="CO851" s="128"/>
      <c r="CP851" s="128"/>
      <c r="CQ851" s="128"/>
      <c r="CR851" s="128"/>
      <c r="CS851" s="128"/>
      <c r="CT851" s="128"/>
      <c r="CU851" s="128"/>
      <c r="CV851" s="128"/>
      <c r="CW851" s="128"/>
      <c r="CX851" s="128"/>
      <c r="CY851" s="128"/>
    </row>
    <row r="852" spans="1:103" ht="11.25" customHeight="1" x14ac:dyDescent="0.3">
      <c r="A852" s="113"/>
      <c r="B852" s="113"/>
      <c r="C852" s="113"/>
      <c r="D852" s="114"/>
      <c r="E852" s="114"/>
      <c r="F852" s="115"/>
      <c r="G852" s="116"/>
      <c r="H852" s="117"/>
      <c r="I852" s="117"/>
      <c r="J852" s="114"/>
      <c r="K852" s="118"/>
      <c r="L852" s="119"/>
      <c r="M852" s="120"/>
      <c r="N852" s="117"/>
      <c r="O852" s="116"/>
      <c r="P852" s="116"/>
      <c r="Q852" s="116"/>
      <c r="R852" s="113"/>
      <c r="S852" s="121"/>
      <c r="T852" s="115"/>
      <c r="U852" s="117"/>
      <c r="V852" s="122"/>
      <c r="W852" s="122"/>
      <c r="X852" s="122"/>
      <c r="Y852" s="122"/>
      <c r="Z852" s="122"/>
      <c r="AA852" s="122"/>
      <c r="AB852" s="122"/>
      <c r="AC852" s="122"/>
      <c r="AD852" s="122"/>
      <c r="AE852" s="122"/>
      <c r="AF852" s="122"/>
      <c r="AG852" s="122"/>
      <c r="AH852" s="122"/>
      <c r="AI852" s="123"/>
      <c r="AJ852" s="122"/>
      <c r="AK852" s="122"/>
      <c r="AL852" s="122"/>
      <c r="AM852" s="122"/>
      <c r="AN852" s="122"/>
      <c r="AO852" s="122"/>
      <c r="AP852" s="124"/>
      <c r="AQ852" s="122"/>
      <c r="AR852" s="122"/>
      <c r="AS852" s="122"/>
      <c r="AT852" s="122"/>
      <c r="AU852" s="122"/>
      <c r="AV852" s="124"/>
      <c r="AW852" s="125"/>
      <c r="AX852" s="126"/>
      <c r="AY852" s="127"/>
      <c r="AZ852" s="127"/>
      <c r="BA852" s="122"/>
      <c r="BB852" s="122"/>
      <c r="BC852" s="125"/>
      <c r="BD852" s="125"/>
      <c r="BE852" s="125"/>
      <c r="BF852" s="123"/>
      <c r="BG852" s="125"/>
      <c r="BH852" s="125"/>
      <c r="BI852" s="125"/>
      <c r="BJ852" s="125"/>
      <c r="BK852" s="125"/>
      <c r="BL852" s="125"/>
      <c r="BM852" s="123"/>
      <c r="BN852" s="114"/>
      <c r="BO852" s="114"/>
      <c r="BP852" s="114"/>
      <c r="BQ852" s="114"/>
      <c r="BR852" s="114"/>
      <c r="BS852" s="114"/>
      <c r="BT852" s="114"/>
      <c r="BU852" s="114"/>
      <c r="BV852" s="114"/>
      <c r="BW852" s="114"/>
      <c r="BX852" s="114"/>
      <c r="BY852" s="114"/>
      <c r="BZ852" s="114"/>
      <c r="CA852" s="114"/>
      <c r="CB852" s="114"/>
      <c r="CC852" s="114"/>
      <c r="CD852" s="114"/>
      <c r="CE852" s="114"/>
      <c r="CF852" s="114"/>
      <c r="CG852" s="114"/>
      <c r="CH852" s="114"/>
      <c r="CI852" s="114"/>
      <c r="CJ852" s="114"/>
      <c r="CK852" s="114"/>
      <c r="CL852" s="114"/>
      <c r="CM852" s="114"/>
      <c r="CN852" s="128"/>
      <c r="CO852" s="128"/>
      <c r="CP852" s="128"/>
      <c r="CQ852" s="128"/>
      <c r="CR852" s="128"/>
      <c r="CS852" s="128"/>
      <c r="CT852" s="128"/>
      <c r="CU852" s="128"/>
      <c r="CV852" s="128"/>
      <c r="CW852" s="128"/>
      <c r="CX852" s="128"/>
      <c r="CY852" s="128"/>
    </row>
    <row r="853" spans="1:103" ht="11.25" customHeight="1" x14ac:dyDescent="0.3">
      <c r="A853" s="113"/>
      <c r="B853" s="113"/>
      <c r="C853" s="113"/>
      <c r="D853" s="114"/>
      <c r="E853" s="114"/>
      <c r="F853" s="115"/>
      <c r="G853" s="116"/>
      <c r="H853" s="117"/>
      <c r="I853" s="117"/>
      <c r="J853" s="114"/>
      <c r="K853" s="118"/>
      <c r="L853" s="119"/>
      <c r="M853" s="120"/>
      <c r="N853" s="117"/>
      <c r="O853" s="116"/>
      <c r="P853" s="116"/>
      <c r="Q853" s="116"/>
      <c r="R853" s="113"/>
      <c r="S853" s="121"/>
      <c r="T853" s="115"/>
      <c r="U853" s="117"/>
      <c r="V853" s="122"/>
      <c r="W853" s="122"/>
      <c r="X853" s="122"/>
      <c r="Y853" s="122"/>
      <c r="Z853" s="122"/>
      <c r="AA853" s="122"/>
      <c r="AB853" s="122"/>
      <c r="AC853" s="122"/>
      <c r="AD853" s="122"/>
      <c r="AE853" s="122"/>
      <c r="AF853" s="122"/>
      <c r="AG853" s="122"/>
      <c r="AH853" s="122"/>
      <c r="AI853" s="123"/>
      <c r="AJ853" s="122"/>
      <c r="AK853" s="122"/>
      <c r="AL853" s="122"/>
      <c r="AM853" s="122"/>
      <c r="AN853" s="122"/>
      <c r="AO853" s="122"/>
      <c r="AP853" s="124"/>
      <c r="AQ853" s="122"/>
      <c r="AR853" s="122"/>
      <c r="AS853" s="122"/>
      <c r="AT853" s="122"/>
      <c r="AU853" s="122"/>
      <c r="AV853" s="124"/>
      <c r="AW853" s="125"/>
      <c r="AX853" s="126"/>
      <c r="AY853" s="127"/>
      <c r="AZ853" s="127"/>
      <c r="BA853" s="122"/>
      <c r="BB853" s="122"/>
      <c r="BC853" s="125"/>
      <c r="BD853" s="125"/>
      <c r="BE853" s="125"/>
      <c r="BF853" s="123"/>
      <c r="BG853" s="125"/>
      <c r="BH853" s="125"/>
      <c r="BI853" s="125"/>
      <c r="BJ853" s="125"/>
      <c r="BK853" s="125"/>
      <c r="BL853" s="125"/>
      <c r="BM853" s="123"/>
      <c r="BN853" s="114"/>
      <c r="BO853" s="114"/>
      <c r="BP853" s="114"/>
      <c r="BQ853" s="114"/>
      <c r="BR853" s="114"/>
      <c r="BS853" s="114"/>
      <c r="BT853" s="114"/>
      <c r="BU853" s="114"/>
      <c r="BV853" s="114"/>
      <c r="BW853" s="114"/>
      <c r="BX853" s="114"/>
      <c r="BY853" s="114"/>
      <c r="BZ853" s="114"/>
      <c r="CA853" s="114"/>
      <c r="CB853" s="114"/>
      <c r="CC853" s="114"/>
      <c r="CD853" s="114"/>
      <c r="CE853" s="114"/>
      <c r="CF853" s="114"/>
      <c r="CG853" s="114"/>
      <c r="CH853" s="114"/>
      <c r="CI853" s="114"/>
      <c r="CJ853" s="114"/>
      <c r="CK853" s="114"/>
      <c r="CL853" s="114"/>
      <c r="CM853" s="114"/>
      <c r="CN853" s="128"/>
      <c r="CO853" s="128"/>
      <c r="CP853" s="128"/>
      <c r="CQ853" s="128"/>
      <c r="CR853" s="128"/>
      <c r="CS853" s="128"/>
      <c r="CT853" s="128"/>
      <c r="CU853" s="128"/>
      <c r="CV853" s="128"/>
      <c r="CW853" s="128"/>
      <c r="CX853" s="128"/>
      <c r="CY853" s="128"/>
    </row>
    <row r="854" spans="1:103" ht="11.25" customHeight="1" x14ac:dyDescent="0.3">
      <c r="A854" s="113"/>
      <c r="B854" s="113"/>
      <c r="C854" s="113"/>
      <c r="D854" s="114"/>
      <c r="E854" s="114"/>
      <c r="F854" s="115"/>
      <c r="G854" s="116"/>
      <c r="H854" s="117"/>
      <c r="I854" s="117"/>
      <c r="J854" s="114"/>
      <c r="K854" s="118"/>
      <c r="L854" s="119"/>
      <c r="M854" s="120"/>
      <c r="N854" s="117"/>
      <c r="O854" s="116"/>
      <c r="P854" s="116"/>
      <c r="Q854" s="116"/>
      <c r="R854" s="113"/>
      <c r="S854" s="121"/>
      <c r="T854" s="115"/>
      <c r="U854" s="117"/>
      <c r="V854" s="122"/>
      <c r="W854" s="122"/>
      <c r="X854" s="122"/>
      <c r="Y854" s="122"/>
      <c r="Z854" s="122"/>
      <c r="AA854" s="122"/>
      <c r="AB854" s="122"/>
      <c r="AC854" s="122"/>
      <c r="AD854" s="122"/>
      <c r="AE854" s="122"/>
      <c r="AF854" s="122"/>
      <c r="AG854" s="122"/>
      <c r="AH854" s="122"/>
      <c r="AI854" s="123"/>
      <c r="AJ854" s="122"/>
      <c r="AK854" s="122"/>
      <c r="AL854" s="122"/>
      <c r="AM854" s="122"/>
      <c r="AN854" s="122"/>
      <c r="AO854" s="122"/>
      <c r="AP854" s="124"/>
      <c r="AQ854" s="122"/>
      <c r="AR854" s="122"/>
      <c r="AS854" s="122"/>
      <c r="AT854" s="122"/>
      <c r="AU854" s="122"/>
      <c r="AV854" s="124"/>
      <c r="AW854" s="125"/>
      <c r="AX854" s="126"/>
      <c r="AY854" s="127"/>
      <c r="AZ854" s="127"/>
      <c r="BA854" s="122"/>
      <c r="BB854" s="122"/>
      <c r="BC854" s="125"/>
      <c r="BD854" s="125"/>
      <c r="BE854" s="125"/>
      <c r="BF854" s="123"/>
      <c r="BG854" s="125"/>
      <c r="BH854" s="125"/>
      <c r="BI854" s="125"/>
      <c r="BJ854" s="125"/>
      <c r="BK854" s="125"/>
      <c r="BL854" s="125"/>
      <c r="BM854" s="123"/>
      <c r="BN854" s="114"/>
      <c r="BO854" s="114"/>
      <c r="BP854" s="114"/>
      <c r="BQ854" s="114"/>
      <c r="BR854" s="114"/>
      <c r="BS854" s="114"/>
      <c r="BT854" s="114"/>
      <c r="BU854" s="114"/>
      <c r="BV854" s="114"/>
      <c r="BW854" s="114"/>
      <c r="BX854" s="114"/>
      <c r="BY854" s="114"/>
      <c r="BZ854" s="114"/>
      <c r="CA854" s="114"/>
      <c r="CB854" s="114"/>
      <c r="CC854" s="114"/>
      <c r="CD854" s="114"/>
      <c r="CE854" s="114"/>
      <c r="CF854" s="114"/>
      <c r="CG854" s="114"/>
      <c r="CH854" s="114"/>
      <c r="CI854" s="114"/>
      <c r="CJ854" s="114"/>
      <c r="CK854" s="114"/>
      <c r="CL854" s="114"/>
      <c r="CM854" s="114"/>
      <c r="CN854" s="128"/>
      <c r="CO854" s="128"/>
      <c r="CP854" s="128"/>
      <c r="CQ854" s="128"/>
      <c r="CR854" s="128"/>
      <c r="CS854" s="128"/>
      <c r="CT854" s="128"/>
      <c r="CU854" s="128"/>
      <c r="CV854" s="128"/>
      <c r="CW854" s="128"/>
      <c r="CX854" s="128"/>
      <c r="CY854" s="128"/>
    </row>
    <row r="855" spans="1:103" ht="11.25" customHeight="1" x14ac:dyDescent="0.3">
      <c r="A855" s="113"/>
      <c r="B855" s="113"/>
      <c r="C855" s="113"/>
      <c r="D855" s="114"/>
      <c r="E855" s="114"/>
      <c r="F855" s="115"/>
      <c r="G855" s="116"/>
      <c r="H855" s="117"/>
      <c r="I855" s="117"/>
      <c r="J855" s="114"/>
      <c r="K855" s="118"/>
      <c r="L855" s="119"/>
      <c r="M855" s="120"/>
      <c r="N855" s="117"/>
      <c r="O855" s="116"/>
      <c r="P855" s="116"/>
      <c r="Q855" s="116"/>
      <c r="R855" s="113"/>
      <c r="S855" s="121"/>
      <c r="T855" s="115"/>
      <c r="U855" s="117"/>
      <c r="V855" s="122"/>
      <c r="W855" s="122"/>
      <c r="X855" s="122"/>
      <c r="Y855" s="122"/>
      <c r="Z855" s="122"/>
      <c r="AA855" s="122"/>
      <c r="AB855" s="122"/>
      <c r="AC855" s="122"/>
      <c r="AD855" s="122"/>
      <c r="AE855" s="122"/>
      <c r="AF855" s="122"/>
      <c r="AG855" s="122"/>
      <c r="AH855" s="122"/>
      <c r="AI855" s="123"/>
      <c r="AJ855" s="122"/>
      <c r="AK855" s="122"/>
      <c r="AL855" s="122"/>
      <c r="AM855" s="122"/>
      <c r="AN855" s="122"/>
      <c r="AO855" s="122"/>
      <c r="AP855" s="124"/>
      <c r="AQ855" s="122"/>
      <c r="AR855" s="122"/>
      <c r="AS855" s="122"/>
      <c r="AT855" s="122"/>
      <c r="AU855" s="122"/>
      <c r="AV855" s="124"/>
      <c r="AW855" s="125"/>
      <c r="AX855" s="126"/>
      <c r="AY855" s="127"/>
      <c r="AZ855" s="127"/>
      <c r="BA855" s="122"/>
      <c r="BB855" s="122"/>
      <c r="BC855" s="125"/>
      <c r="BD855" s="125"/>
      <c r="BE855" s="125"/>
      <c r="BF855" s="123"/>
      <c r="BG855" s="125"/>
      <c r="BH855" s="125"/>
      <c r="BI855" s="125"/>
      <c r="BJ855" s="125"/>
      <c r="BK855" s="125"/>
      <c r="BL855" s="125"/>
      <c r="BM855" s="123"/>
      <c r="BN855" s="114"/>
      <c r="BO855" s="114"/>
      <c r="BP855" s="114"/>
      <c r="BQ855" s="114"/>
      <c r="BR855" s="114"/>
      <c r="BS855" s="114"/>
      <c r="BT855" s="114"/>
      <c r="BU855" s="114"/>
      <c r="BV855" s="114"/>
      <c r="BW855" s="114"/>
      <c r="BX855" s="114"/>
      <c r="BY855" s="114"/>
      <c r="BZ855" s="114"/>
      <c r="CA855" s="114"/>
      <c r="CB855" s="114"/>
      <c r="CC855" s="114"/>
      <c r="CD855" s="114"/>
      <c r="CE855" s="114"/>
      <c r="CF855" s="114"/>
      <c r="CG855" s="114"/>
      <c r="CH855" s="114"/>
      <c r="CI855" s="114"/>
      <c r="CJ855" s="114"/>
      <c r="CK855" s="114"/>
      <c r="CL855" s="114"/>
      <c r="CM855" s="114"/>
      <c r="CN855" s="128"/>
      <c r="CO855" s="128"/>
      <c r="CP855" s="128"/>
      <c r="CQ855" s="128"/>
      <c r="CR855" s="128"/>
      <c r="CS855" s="128"/>
      <c r="CT855" s="128"/>
      <c r="CU855" s="128"/>
      <c r="CV855" s="128"/>
      <c r="CW855" s="128"/>
      <c r="CX855" s="128"/>
      <c r="CY855" s="128"/>
    </row>
    <row r="856" spans="1:103" ht="11.25" customHeight="1" x14ac:dyDescent="0.3">
      <c r="A856" s="113"/>
      <c r="B856" s="113"/>
      <c r="C856" s="113"/>
      <c r="D856" s="114"/>
      <c r="E856" s="114"/>
      <c r="F856" s="115"/>
      <c r="G856" s="116"/>
      <c r="H856" s="117"/>
      <c r="I856" s="117"/>
      <c r="J856" s="114"/>
      <c r="K856" s="118"/>
      <c r="L856" s="119"/>
      <c r="M856" s="120"/>
      <c r="N856" s="117"/>
      <c r="O856" s="116"/>
      <c r="P856" s="116"/>
      <c r="Q856" s="116"/>
      <c r="R856" s="113"/>
      <c r="S856" s="121"/>
      <c r="T856" s="115"/>
      <c r="U856" s="117"/>
      <c r="V856" s="122"/>
      <c r="W856" s="122"/>
      <c r="X856" s="122"/>
      <c r="Y856" s="122"/>
      <c r="Z856" s="122"/>
      <c r="AA856" s="122"/>
      <c r="AB856" s="122"/>
      <c r="AC856" s="122"/>
      <c r="AD856" s="122"/>
      <c r="AE856" s="122"/>
      <c r="AF856" s="122"/>
      <c r="AG856" s="122"/>
      <c r="AH856" s="122"/>
      <c r="AI856" s="123"/>
      <c r="AJ856" s="122"/>
      <c r="AK856" s="122"/>
      <c r="AL856" s="122"/>
      <c r="AM856" s="122"/>
      <c r="AN856" s="122"/>
      <c r="AO856" s="122"/>
      <c r="AP856" s="124"/>
      <c r="AQ856" s="122"/>
      <c r="AR856" s="122"/>
      <c r="AS856" s="122"/>
      <c r="AT856" s="122"/>
      <c r="AU856" s="122"/>
      <c r="AV856" s="124"/>
      <c r="AW856" s="125"/>
      <c r="AX856" s="126"/>
      <c r="AY856" s="127"/>
      <c r="AZ856" s="127"/>
      <c r="BA856" s="122"/>
      <c r="BB856" s="122"/>
      <c r="BC856" s="125"/>
      <c r="BD856" s="125"/>
      <c r="BE856" s="125"/>
      <c r="BF856" s="123"/>
      <c r="BG856" s="125"/>
      <c r="BH856" s="125"/>
      <c r="BI856" s="125"/>
      <c r="BJ856" s="125"/>
      <c r="BK856" s="125"/>
      <c r="BL856" s="125"/>
      <c r="BM856" s="123"/>
      <c r="BN856" s="114"/>
      <c r="BO856" s="114"/>
      <c r="BP856" s="114"/>
      <c r="BQ856" s="114"/>
      <c r="BR856" s="114"/>
      <c r="BS856" s="114"/>
      <c r="BT856" s="114"/>
      <c r="BU856" s="114"/>
      <c r="BV856" s="114"/>
      <c r="BW856" s="114"/>
      <c r="BX856" s="114"/>
      <c r="BY856" s="114"/>
      <c r="BZ856" s="114"/>
      <c r="CA856" s="114"/>
      <c r="CB856" s="114"/>
      <c r="CC856" s="114"/>
      <c r="CD856" s="114"/>
      <c r="CE856" s="114"/>
      <c r="CF856" s="114"/>
      <c r="CG856" s="114"/>
      <c r="CH856" s="114"/>
      <c r="CI856" s="114"/>
      <c r="CJ856" s="114"/>
      <c r="CK856" s="114"/>
      <c r="CL856" s="114"/>
      <c r="CM856" s="114"/>
      <c r="CN856" s="128"/>
      <c r="CO856" s="128"/>
      <c r="CP856" s="128"/>
      <c r="CQ856" s="128"/>
      <c r="CR856" s="128"/>
      <c r="CS856" s="128"/>
      <c r="CT856" s="128"/>
      <c r="CU856" s="128"/>
      <c r="CV856" s="128"/>
      <c r="CW856" s="128"/>
      <c r="CX856" s="128"/>
      <c r="CY856" s="128"/>
    </row>
    <row r="857" spans="1:103" ht="11.25" customHeight="1" x14ac:dyDescent="0.3">
      <c r="A857" s="113"/>
      <c r="B857" s="113"/>
      <c r="C857" s="113"/>
      <c r="D857" s="114"/>
      <c r="E857" s="114"/>
      <c r="F857" s="115"/>
      <c r="G857" s="116"/>
      <c r="H857" s="117"/>
      <c r="I857" s="117"/>
      <c r="J857" s="114"/>
      <c r="K857" s="118"/>
      <c r="L857" s="119"/>
      <c r="M857" s="120"/>
      <c r="N857" s="117"/>
      <c r="O857" s="116"/>
      <c r="P857" s="116"/>
      <c r="Q857" s="116"/>
      <c r="R857" s="113"/>
      <c r="S857" s="121"/>
      <c r="T857" s="115"/>
      <c r="U857" s="117"/>
      <c r="V857" s="122"/>
      <c r="W857" s="122"/>
      <c r="X857" s="122"/>
      <c r="Y857" s="122"/>
      <c r="Z857" s="122"/>
      <c r="AA857" s="122"/>
      <c r="AB857" s="122"/>
      <c r="AC857" s="122"/>
      <c r="AD857" s="122"/>
      <c r="AE857" s="122"/>
      <c r="AF857" s="122"/>
      <c r="AG857" s="122"/>
      <c r="AH857" s="122"/>
      <c r="AI857" s="123"/>
      <c r="AJ857" s="122"/>
      <c r="AK857" s="122"/>
      <c r="AL857" s="122"/>
      <c r="AM857" s="122"/>
      <c r="AN857" s="122"/>
      <c r="AO857" s="122"/>
      <c r="AP857" s="124"/>
      <c r="AQ857" s="122"/>
      <c r="AR857" s="122"/>
      <c r="AS857" s="122"/>
      <c r="AT857" s="122"/>
      <c r="AU857" s="122"/>
      <c r="AV857" s="124"/>
      <c r="AW857" s="125"/>
      <c r="AX857" s="126"/>
      <c r="AY857" s="127"/>
      <c r="AZ857" s="127"/>
      <c r="BA857" s="122"/>
      <c r="BB857" s="122"/>
      <c r="BC857" s="125"/>
      <c r="BD857" s="125"/>
      <c r="BE857" s="125"/>
      <c r="BF857" s="123"/>
      <c r="BG857" s="125"/>
      <c r="BH857" s="125"/>
      <c r="BI857" s="125"/>
      <c r="BJ857" s="125"/>
      <c r="BK857" s="125"/>
      <c r="BL857" s="125"/>
      <c r="BM857" s="123"/>
      <c r="BN857" s="114"/>
      <c r="BO857" s="114"/>
      <c r="BP857" s="114"/>
      <c r="BQ857" s="114"/>
      <c r="BR857" s="114"/>
      <c r="BS857" s="114"/>
      <c r="BT857" s="114"/>
      <c r="BU857" s="114"/>
      <c r="BV857" s="114"/>
      <c r="BW857" s="114"/>
      <c r="BX857" s="114"/>
      <c r="BY857" s="114"/>
      <c r="BZ857" s="114"/>
      <c r="CA857" s="114"/>
      <c r="CB857" s="114"/>
      <c r="CC857" s="114"/>
      <c r="CD857" s="114"/>
      <c r="CE857" s="114"/>
      <c r="CF857" s="114"/>
      <c r="CG857" s="114"/>
      <c r="CH857" s="114"/>
      <c r="CI857" s="114"/>
      <c r="CJ857" s="114"/>
      <c r="CK857" s="114"/>
      <c r="CL857" s="114"/>
      <c r="CM857" s="114"/>
      <c r="CN857" s="128"/>
      <c r="CO857" s="128"/>
      <c r="CP857" s="128"/>
      <c r="CQ857" s="128"/>
      <c r="CR857" s="128"/>
      <c r="CS857" s="128"/>
      <c r="CT857" s="128"/>
      <c r="CU857" s="128"/>
      <c r="CV857" s="128"/>
      <c r="CW857" s="128"/>
      <c r="CX857" s="128"/>
      <c r="CY857" s="128"/>
    </row>
    <row r="858" spans="1:103" ht="11.25" customHeight="1" x14ac:dyDescent="0.3">
      <c r="A858" s="113"/>
      <c r="B858" s="113"/>
      <c r="C858" s="113"/>
      <c r="D858" s="114"/>
      <c r="E858" s="114"/>
      <c r="F858" s="115"/>
      <c r="G858" s="116"/>
      <c r="H858" s="117"/>
      <c r="I858" s="117"/>
      <c r="J858" s="114"/>
      <c r="K858" s="118"/>
      <c r="L858" s="119"/>
      <c r="M858" s="120"/>
      <c r="N858" s="117"/>
      <c r="O858" s="116"/>
      <c r="P858" s="116"/>
      <c r="Q858" s="116"/>
      <c r="R858" s="113"/>
      <c r="S858" s="121"/>
      <c r="T858" s="115"/>
      <c r="U858" s="117"/>
      <c r="V858" s="122"/>
      <c r="W858" s="122"/>
      <c r="X858" s="122"/>
      <c r="Y858" s="122"/>
      <c r="Z858" s="122"/>
      <c r="AA858" s="122"/>
      <c r="AB858" s="122"/>
      <c r="AC858" s="122"/>
      <c r="AD858" s="122"/>
      <c r="AE858" s="122"/>
      <c r="AF858" s="122"/>
      <c r="AG858" s="122"/>
      <c r="AH858" s="122"/>
      <c r="AI858" s="123"/>
      <c r="AJ858" s="122"/>
      <c r="AK858" s="122"/>
      <c r="AL858" s="122"/>
      <c r="AM858" s="122"/>
      <c r="AN858" s="122"/>
      <c r="AO858" s="122"/>
      <c r="AP858" s="124"/>
      <c r="AQ858" s="122"/>
      <c r="AR858" s="122"/>
      <c r="AS858" s="122"/>
      <c r="AT858" s="122"/>
      <c r="AU858" s="122"/>
      <c r="AV858" s="124"/>
      <c r="AW858" s="125"/>
      <c r="AX858" s="126"/>
      <c r="AY858" s="127"/>
      <c r="AZ858" s="127"/>
      <c r="BA858" s="122"/>
      <c r="BB858" s="122"/>
      <c r="BC858" s="125"/>
      <c r="BD858" s="125"/>
      <c r="BE858" s="125"/>
      <c r="BF858" s="123"/>
      <c r="BG858" s="125"/>
      <c r="BH858" s="125"/>
      <c r="BI858" s="125"/>
      <c r="BJ858" s="125"/>
      <c r="BK858" s="125"/>
      <c r="BL858" s="125"/>
      <c r="BM858" s="123"/>
      <c r="BN858" s="114"/>
      <c r="BO858" s="114"/>
      <c r="BP858" s="114"/>
      <c r="BQ858" s="114"/>
      <c r="BR858" s="114"/>
      <c r="BS858" s="114"/>
      <c r="BT858" s="114"/>
      <c r="BU858" s="114"/>
      <c r="BV858" s="114"/>
      <c r="BW858" s="114"/>
      <c r="BX858" s="114"/>
      <c r="BY858" s="114"/>
      <c r="BZ858" s="114"/>
      <c r="CA858" s="114"/>
      <c r="CB858" s="114"/>
      <c r="CC858" s="114"/>
      <c r="CD858" s="114"/>
      <c r="CE858" s="114"/>
      <c r="CF858" s="114"/>
      <c r="CG858" s="114"/>
      <c r="CH858" s="114"/>
      <c r="CI858" s="114"/>
      <c r="CJ858" s="114"/>
      <c r="CK858" s="114"/>
      <c r="CL858" s="114"/>
      <c r="CM858" s="114"/>
      <c r="CN858" s="128"/>
      <c r="CO858" s="128"/>
      <c r="CP858" s="128"/>
      <c r="CQ858" s="128"/>
      <c r="CR858" s="128"/>
      <c r="CS858" s="128"/>
      <c r="CT858" s="128"/>
      <c r="CU858" s="128"/>
      <c r="CV858" s="128"/>
      <c r="CW858" s="128"/>
      <c r="CX858" s="128"/>
      <c r="CY858" s="128"/>
    </row>
    <row r="859" spans="1:103" ht="11.25" customHeight="1" x14ac:dyDescent="0.3">
      <c r="A859" s="113"/>
      <c r="B859" s="113"/>
      <c r="C859" s="113"/>
      <c r="D859" s="114"/>
      <c r="E859" s="114"/>
      <c r="F859" s="115"/>
      <c r="G859" s="116"/>
      <c r="H859" s="117"/>
      <c r="I859" s="117"/>
      <c r="J859" s="114"/>
      <c r="K859" s="118"/>
      <c r="L859" s="119"/>
      <c r="M859" s="120"/>
      <c r="N859" s="117"/>
      <c r="O859" s="116"/>
      <c r="P859" s="116"/>
      <c r="Q859" s="116"/>
      <c r="R859" s="113"/>
      <c r="S859" s="121"/>
      <c r="T859" s="115"/>
      <c r="U859" s="117"/>
      <c r="V859" s="122"/>
      <c r="W859" s="122"/>
      <c r="X859" s="122"/>
      <c r="Y859" s="122"/>
      <c r="Z859" s="122"/>
      <c r="AA859" s="122"/>
      <c r="AB859" s="122"/>
      <c r="AC859" s="122"/>
      <c r="AD859" s="122"/>
      <c r="AE859" s="122"/>
      <c r="AF859" s="122"/>
      <c r="AG859" s="122"/>
      <c r="AH859" s="122"/>
      <c r="AI859" s="123"/>
      <c r="AJ859" s="122"/>
      <c r="AK859" s="122"/>
      <c r="AL859" s="122"/>
      <c r="AM859" s="122"/>
      <c r="AN859" s="122"/>
      <c r="AO859" s="122"/>
      <c r="AP859" s="124"/>
      <c r="AQ859" s="122"/>
      <c r="AR859" s="122"/>
      <c r="AS859" s="122"/>
      <c r="AT859" s="122"/>
      <c r="AU859" s="122"/>
      <c r="AV859" s="124"/>
      <c r="AW859" s="125"/>
      <c r="AX859" s="126"/>
      <c r="AY859" s="127"/>
      <c r="AZ859" s="127"/>
      <c r="BA859" s="122"/>
      <c r="BB859" s="122"/>
      <c r="BC859" s="125"/>
      <c r="BD859" s="125"/>
      <c r="BE859" s="125"/>
      <c r="BF859" s="123"/>
      <c r="BG859" s="125"/>
      <c r="BH859" s="125"/>
      <c r="BI859" s="125"/>
      <c r="BJ859" s="125"/>
      <c r="BK859" s="125"/>
      <c r="BL859" s="125"/>
      <c r="BM859" s="123"/>
      <c r="BN859" s="114"/>
      <c r="BO859" s="114"/>
      <c r="BP859" s="114"/>
      <c r="BQ859" s="114"/>
      <c r="BR859" s="114"/>
      <c r="BS859" s="114"/>
      <c r="BT859" s="114"/>
      <c r="BU859" s="114"/>
      <c r="BV859" s="114"/>
      <c r="BW859" s="114"/>
      <c r="BX859" s="114"/>
      <c r="BY859" s="114"/>
      <c r="BZ859" s="114"/>
      <c r="CA859" s="114"/>
      <c r="CB859" s="114"/>
      <c r="CC859" s="114"/>
      <c r="CD859" s="114"/>
      <c r="CE859" s="114"/>
      <c r="CF859" s="114"/>
      <c r="CG859" s="114"/>
      <c r="CH859" s="114"/>
      <c r="CI859" s="114"/>
      <c r="CJ859" s="114"/>
      <c r="CK859" s="114"/>
      <c r="CL859" s="114"/>
      <c r="CM859" s="114"/>
      <c r="CN859" s="128"/>
      <c r="CO859" s="128"/>
      <c r="CP859" s="128"/>
      <c r="CQ859" s="128"/>
      <c r="CR859" s="128"/>
      <c r="CS859" s="128"/>
      <c r="CT859" s="128"/>
      <c r="CU859" s="128"/>
      <c r="CV859" s="128"/>
      <c r="CW859" s="128"/>
      <c r="CX859" s="128"/>
      <c r="CY859" s="128"/>
    </row>
    <row r="860" spans="1:103" ht="11.25" customHeight="1" x14ac:dyDescent="0.3">
      <c r="A860" s="113"/>
      <c r="B860" s="113"/>
      <c r="C860" s="113"/>
      <c r="D860" s="114"/>
      <c r="E860" s="114"/>
      <c r="F860" s="115"/>
      <c r="G860" s="116"/>
      <c r="H860" s="117"/>
      <c r="I860" s="117"/>
      <c r="J860" s="114"/>
      <c r="K860" s="118"/>
      <c r="L860" s="119"/>
      <c r="M860" s="120"/>
      <c r="N860" s="117"/>
      <c r="O860" s="116"/>
      <c r="P860" s="116"/>
      <c r="Q860" s="116"/>
      <c r="R860" s="113"/>
      <c r="S860" s="121"/>
      <c r="T860" s="115"/>
      <c r="U860" s="117"/>
      <c r="V860" s="122"/>
      <c r="W860" s="122"/>
      <c r="X860" s="122"/>
      <c r="Y860" s="122"/>
      <c r="Z860" s="122"/>
      <c r="AA860" s="122"/>
      <c r="AB860" s="122"/>
      <c r="AC860" s="122"/>
      <c r="AD860" s="122"/>
      <c r="AE860" s="122"/>
      <c r="AF860" s="122"/>
      <c r="AG860" s="122"/>
      <c r="AH860" s="122"/>
      <c r="AI860" s="123"/>
      <c r="AJ860" s="122"/>
      <c r="AK860" s="122"/>
      <c r="AL860" s="122"/>
      <c r="AM860" s="122"/>
      <c r="AN860" s="122"/>
      <c r="AO860" s="122"/>
      <c r="AP860" s="124"/>
      <c r="AQ860" s="122"/>
      <c r="AR860" s="122"/>
      <c r="AS860" s="122"/>
      <c r="AT860" s="122"/>
      <c r="AU860" s="122"/>
      <c r="AV860" s="124"/>
      <c r="AW860" s="125"/>
      <c r="AX860" s="126"/>
      <c r="AY860" s="127"/>
      <c r="AZ860" s="127"/>
      <c r="BA860" s="122"/>
      <c r="BB860" s="122"/>
      <c r="BC860" s="125"/>
      <c r="BD860" s="125"/>
      <c r="BE860" s="125"/>
      <c r="BF860" s="123"/>
      <c r="BG860" s="125"/>
      <c r="BH860" s="125"/>
      <c r="BI860" s="125"/>
      <c r="BJ860" s="125"/>
      <c r="BK860" s="125"/>
      <c r="BL860" s="125"/>
      <c r="BM860" s="123"/>
      <c r="BN860" s="114"/>
      <c r="BO860" s="114"/>
      <c r="BP860" s="114"/>
      <c r="BQ860" s="114"/>
      <c r="BR860" s="114"/>
      <c r="BS860" s="114"/>
      <c r="BT860" s="114"/>
      <c r="BU860" s="114"/>
      <c r="BV860" s="114"/>
      <c r="BW860" s="114"/>
      <c r="BX860" s="114"/>
      <c r="BY860" s="114"/>
      <c r="BZ860" s="114"/>
      <c r="CA860" s="114"/>
      <c r="CB860" s="114"/>
      <c r="CC860" s="114"/>
      <c r="CD860" s="114"/>
      <c r="CE860" s="114"/>
      <c r="CF860" s="114"/>
      <c r="CG860" s="114"/>
      <c r="CH860" s="114"/>
      <c r="CI860" s="114"/>
      <c r="CJ860" s="114"/>
      <c r="CK860" s="114"/>
      <c r="CL860" s="114"/>
      <c r="CM860" s="114"/>
      <c r="CN860" s="128"/>
      <c r="CO860" s="128"/>
      <c r="CP860" s="128"/>
      <c r="CQ860" s="128"/>
      <c r="CR860" s="128"/>
      <c r="CS860" s="128"/>
      <c r="CT860" s="128"/>
      <c r="CU860" s="128"/>
      <c r="CV860" s="128"/>
      <c r="CW860" s="128"/>
      <c r="CX860" s="128"/>
      <c r="CY860" s="128"/>
    </row>
    <row r="861" spans="1:103" ht="11.25" customHeight="1" x14ac:dyDescent="0.3">
      <c r="A861" s="113"/>
      <c r="B861" s="113"/>
      <c r="C861" s="113"/>
      <c r="D861" s="114"/>
      <c r="E861" s="114"/>
      <c r="F861" s="115"/>
      <c r="G861" s="116"/>
      <c r="H861" s="117"/>
      <c r="I861" s="117"/>
      <c r="J861" s="114"/>
      <c r="K861" s="118"/>
      <c r="L861" s="119"/>
      <c r="M861" s="120"/>
      <c r="N861" s="117"/>
      <c r="O861" s="116"/>
      <c r="P861" s="116"/>
      <c r="Q861" s="116"/>
      <c r="R861" s="113"/>
      <c r="S861" s="121"/>
      <c r="T861" s="115"/>
      <c r="U861" s="117"/>
      <c r="V861" s="122"/>
      <c r="W861" s="122"/>
      <c r="X861" s="122"/>
      <c r="Y861" s="122"/>
      <c r="Z861" s="122"/>
      <c r="AA861" s="122"/>
      <c r="AB861" s="122"/>
      <c r="AC861" s="122"/>
      <c r="AD861" s="122"/>
      <c r="AE861" s="122"/>
      <c r="AF861" s="122"/>
      <c r="AG861" s="122"/>
      <c r="AH861" s="122"/>
      <c r="AI861" s="123"/>
      <c r="AJ861" s="122"/>
      <c r="AK861" s="122"/>
      <c r="AL861" s="122"/>
      <c r="AM861" s="122"/>
      <c r="AN861" s="122"/>
      <c r="AO861" s="122"/>
      <c r="AP861" s="124"/>
      <c r="AQ861" s="122"/>
      <c r="AR861" s="122"/>
      <c r="AS861" s="122"/>
      <c r="AT861" s="122"/>
      <c r="AU861" s="122"/>
      <c r="AV861" s="124"/>
      <c r="AW861" s="125"/>
      <c r="AX861" s="126"/>
      <c r="AY861" s="127"/>
      <c r="AZ861" s="127"/>
      <c r="BA861" s="122"/>
      <c r="BB861" s="122"/>
      <c r="BC861" s="125"/>
      <c r="BD861" s="125"/>
      <c r="BE861" s="125"/>
      <c r="BF861" s="123"/>
      <c r="BG861" s="125"/>
      <c r="BH861" s="125"/>
      <c r="BI861" s="125"/>
      <c r="BJ861" s="125"/>
      <c r="BK861" s="125"/>
      <c r="BL861" s="125"/>
      <c r="BM861" s="123"/>
      <c r="BN861" s="114"/>
      <c r="BO861" s="114"/>
      <c r="BP861" s="114"/>
      <c r="BQ861" s="114"/>
      <c r="BR861" s="114"/>
      <c r="BS861" s="114"/>
      <c r="BT861" s="114"/>
      <c r="BU861" s="114"/>
      <c r="BV861" s="114"/>
      <c r="BW861" s="114"/>
      <c r="BX861" s="114"/>
      <c r="BY861" s="114"/>
      <c r="BZ861" s="114"/>
      <c r="CA861" s="114"/>
      <c r="CB861" s="114"/>
      <c r="CC861" s="114"/>
      <c r="CD861" s="114"/>
      <c r="CE861" s="114"/>
      <c r="CF861" s="114"/>
      <c r="CG861" s="114"/>
      <c r="CH861" s="114"/>
      <c r="CI861" s="114"/>
      <c r="CJ861" s="114"/>
      <c r="CK861" s="114"/>
      <c r="CL861" s="114"/>
      <c r="CM861" s="114"/>
      <c r="CN861" s="128"/>
      <c r="CO861" s="128"/>
      <c r="CP861" s="128"/>
      <c r="CQ861" s="128"/>
      <c r="CR861" s="128"/>
      <c r="CS861" s="128"/>
      <c r="CT861" s="128"/>
      <c r="CU861" s="128"/>
      <c r="CV861" s="128"/>
      <c r="CW861" s="128"/>
      <c r="CX861" s="128"/>
      <c r="CY861" s="128"/>
    </row>
    <row r="862" spans="1:103" ht="11.25" customHeight="1" x14ac:dyDescent="0.3">
      <c r="A862" s="113"/>
      <c r="B862" s="113"/>
      <c r="C862" s="113"/>
      <c r="D862" s="114"/>
      <c r="E862" s="114"/>
      <c r="F862" s="115"/>
      <c r="G862" s="116"/>
      <c r="H862" s="117"/>
      <c r="I862" s="117"/>
      <c r="J862" s="114"/>
      <c r="K862" s="118"/>
      <c r="L862" s="119"/>
      <c r="M862" s="120"/>
      <c r="N862" s="117"/>
      <c r="O862" s="116"/>
      <c r="P862" s="116"/>
      <c r="Q862" s="116"/>
      <c r="R862" s="113"/>
      <c r="S862" s="121"/>
      <c r="T862" s="115"/>
      <c r="U862" s="117"/>
      <c r="V862" s="122"/>
      <c r="W862" s="122"/>
      <c r="X862" s="122"/>
      <c r="Y862" s="122"/>
      <c r="Z862" s="122"/>
      <c r="AA862" s="122"/>
      <c r="AB862" s="122"/>
      <c r="AC862" s="122"/>
      <c r="AD862" s="122"/>
      <c r="AE862" s="122"/>
      <c r="AF862" s="122"/>
      <c r="AG862" s="122"/>
      <c r="AH862" s="122"/>
      <c r="AI862" s="123"/>
      <c r="AJ862" s="122"/>
      <c r="AK862" s="122"/>
      <c r="AL862" s="122"/>
      <c r="AM862" s="122"/>
      <c r="AN862" s="122"/>
      <c r="AO862" s="122"/>
      <c r="AP862" s="124"/>
      <c r="AQ862" s="122"/>
      <c r="AR862" s="122"/>
      <c r="AS862" s="122"/>
      <c r="AT862" s="122"/>
      <c r="AU862" s="122"/>
      <c r="AV862" s="124"/>
      <c r="AW862" s="125"/>
      <c r="AX862" s="126"/>
      <c r="AY862" s="127"/>
      <c r="AZ862" s="127"/>
      <c r="BA862" s="122"/>
      <c r="BB862" s="122"/>
      <c r="BC862" s="125"/>
      <c r="BD862" s="125"/>
      <c r="BE862" s="125"/>
      <c r="BF862" s="123"/>
      <c r="BG862" s="125"/>
      <c r="BH862" s="125"/>
      <c r="BI862" s="125"/>
      <c r="BJ862" s="125"/>
      <c r="BK862" s="125"/>
      <c r="BL862" s="125"/>
      <c r="BM862" s="123"/>
      <c r="BN862" s="114"/>
      <c r="BO862" s="114"/>
      <c r="BP862" s="114"/>
      <c r="BQ862" s="114"/>
      <c r="BR862" s="114"/>
      <c r="BS862" s="114"/>
      <c r="BT862" s="114"/>
      <c r="BU862" s="114"/>
      <c r="BV862" s="114"/>
      <c r="BW862" s="114"/>
      <c r="BX862" s="114"/>
      <c r="BY862" s="114"/>
      <c r="BZ862" s="114"/>
      <c r="CA862" s="114"/>
      <c r="CB862" s="114"/>
      <c r="CC862" s="114"/>
      <c r="CD862" s="114"/>
      <c r="CE862" s="114"/>
      <c r="CF862" s="114"/>
      <c r="CG862" s="114"/>
      <c r="CH862" s="114"/>
      <c r="CI862" s="114"/>
      <c r="CJ862" s="114"/>
      <c r="CK862" s="114"/>
      <c r="CL862" s="114"/>
      <c r="CM862" s="114"/>
      <c r="CN862" s="128"/>
      <c r="CO862" s="128"/>
      <c r="CP862" s="128"/>
      <c r="CQ862" s="128"/>
      <c r="CR862" s="128"/>
      <c r="CS862" s="128"/>
      <c r="CT862" s="128"/>
      <c r="CU862" s="128"/>
      <c r="CV862" s="128"/>
      <c r="CW862" s="128"/>
      <c r="CX862" s="128"/>
      <c r="CY862" s="128"/>
    </row>
    <row r="863" spans="1:103" ht="11.25" customHeight="1" x14ac:dyDescent="0.3">
      <c r="A863" s="113"/>
      <c r="B863" s="113"/>
      <c r="C863" s="113"/>
      <c r="D863" s="114"/>
      <c r="E863" s="114"/>
      <c r="F863" s="115"/>
      <c r="G863" s="116"/>
      <c r="H863" s="117"/>
      <c r="I863" s="117"/>
      <c r="J863" s="114"/>
      <c r="K863" s="118"/>
      <c r="L863" s="119"/>
      <c r="M863" s="120"/>
      <c r="N863" s="117"/>
      <c r="O863" s="116"/>
      <c r="P863" s="116"/>
      <c r="Q863" s="116"/>
      <c r="R863" s="113"/>
      <c r="S863" s="121"/>
      <c r="T863" s="115"/>
      <c r="U863" s="117"/>
      <c r="V863" s="122"/>
      <c r="W863" s="122"/>
      <c r="X863" s="122"/>
      <c r="Y863" s="122"/>
      <c r="Z863" s="122"/>
      <c r="AA863" s="122"/>
      <c r="AB863" s="122"/>
      <c r="AC863" s="122"/>
      <c r="AD863" s="122"/>
      <c r="AE863" s="122"/>
      <c r="AF863" s="122"/>
      <c r="AG863" s="122"/>
      <c r="AH863" s="122"/>
      <c r="AI863" s="123"/>
      <c r="AJ863" s="122"/>
      <c r="AK863" s="122"/>
      <c r="AL863" s="122"/>
      <c r="AM863" s="122"/>
      <c r="AN863" s="122"/>
      <c r="AO863" s="122"/>
      <c r="AP863" s="124"/>
      <c r="AQ863" s="122"/>
      <c r="AR863" s="122"/>
      <c r="AS863" s="122"/>
      <c r="AT863" s="122"/>
      <c r="AU863" s="122"/>
      <c r="AV863" s="124"/>
      <c r="AW863" s="125"/>
      <c r="AX863" s="126"/>
      <c r="AY863" s="127"/>
      <c r="AZ863" s="127"/>
      <c r="BA863" s="122"/>
      <c r="BB863" s="122"/>
      <c r="BC863" s="125"/>
      <c r="BD863" s="125"/>
      <c r="BE863" s="125"/>
      <c r="BF863" s="123"/>
      <c r="BG863" s="125"/>
      <c r="BH863" s="125"/>
      <c r="BI863" s="125"/>
      <c r="BJ863" s="125"/>
      <c r="BK863" s="125"/>
      <c r="BL863" s="125"/>
      <c r="BM863" s="123"/>
      <c r="BN863" s="114"/>
      <c r="BO863" s="114"/>
      <c r="BP863" s="114"/>
      <c r="BQ863" s="114"/>
      <c r="BR863" s="114"/>
      <c r="BS863" s="114"/>
      <c r="BT863" s="114"/>
      <c r="BU863" s="114"/>
      <c r="BV863" s="114"/>
      <c r="BW863" s="114"/>
      <c r="BX863" s="114"/>
      <c r="BY863" s="114"/>
      <c r="BZ863" s="114"/>
      <c r="CA863" s="114"/>
      <c r="CB863" s="114"/>
      <c r="CC863" s="114"/>
      <c r="CD863" s="114"/>
      <c r="CE863" s="114"/>
      <c r="CF863" s="114"/>
      <c r="CG863" s="114"/>
      <c r="CH863" s="114"/>
      <c r="CI863" s="114"/>
      <c r="CJ863" s="114"/>
      <c r="CK863" s="114"/>
      <c r="CL863" s="114"/>
      <c r="CM863" s="114"/>
      <c r="CN863" s="128"/>
      <c r="CO863" s="128"/>
      <c r="CP863" s="128"/>
      <c r="CQ863" s="128"/>
      <c r="CR863" s="128"/>
      <c r="CS863" s="128"/>
      <c r="CT863" s="128"/>
      <c r="CU863" s="128"/>
      <c r="CV863" s="128"/>
      <c r="CW863" s="128"/>
      <c r="CX863" s="128"/>
      <c r="CY863" s="128"/>
    </row>
    <row r="864" spans="1:103" ht="11.25" customHeight="1" x14ac:dyDescent="0.3">
      <c r="A864" s="113"/>
      <c r="B864" s="113"/>
      <c r="C864" s="113"/>
      <c r="D864" s="114"/>
      <c r="E864" s="114"/>
      <c r="F864" s="115"/>
      <c r="G864" s="116"/>
      <c r="H864" s="117"/>
      <c r="I864" s="117"/>
      <c r="J864" s="114"/>
      <c r="K864" s="118"/>
      <c r="L864" s="119"/>
      <c r="M864" s="120"/>
      <c r="N864" s="117"/>
      <c r="O864" s="116"/>
      <c r="P864" s="116"/>
      <c r="Q864" s="116"/>
      <c r="R864" s="113"/>
      <c r="S864" s="121"/>
      <c r="T864" s="115"/>
      <c r="U864" s="117"/>
      <c r="V864" s="122"/>
      <c r="W864" s="122"/>
      <c r="X864" s="122"/>
      <c r="Y864" s="122"/>
      <c r="Z864" s="122"/>
      <c r="AA864" s="122"/>
      <c r="AB864" s="122"/>
      <c r="AC864" s="122"/>
      <c r="AD864" s="122"/>
      <c r="AE864" s="122"/>
      <c r="AF864" s="122"/>
      <c r="AG864" s="122"/>
      <c r="AH864" s="122"/>
      <c r="AI864" s="123"/>
      <c r="AJ864" s="122"/>
      <c r="AK864" s="122"/>
      <c r="AL864" s="122"/>
      <c r="AM864" s="122"/>
      <c r="AN864" s="122"/>
      <c r="AO864" s="122"/>
      <c r="AP864" s="124"/>
      <c r="AQ864" s="122"/>
      <c r="AR864" s="122"/>
      <c r="AS864" s="122"/>
      <c r="AT864" s="122"/>
      <c r="AU864" s="122"/>
      <c r="AV864" s="124"/>
      <c r="AW864" s="125"/>
      <c r="AX864" s="126"/>
      <c r="AY864" s="127"/>
      <c r="AZ864" s="127"/>
      <c r="BA864" s="122"/>
      <c r="BB864" s="122"/>
      <c r="BC864" s="125"/>
      <c r="BD864" s="125"/>
      <c r="BE864" s="125"/>
      <c r="BF864" s="123"/>
      <c r="BG864" s="125"/>
      <c r="BH864" s="125"/>
      <c r="BI864" s="125"/>
      <c r="BJ864" s="125"/>
      <c r="BK864" s="125"/>
      <c r="BL864" s="125"/>
      <c r="BM864" s="123"/>
      <c r="BN864" s="114"/>
      <c r="BO864" s="114"/>
      <c r="BP864" s="114"/>
      <c r="BQ864" s="114"/>
      <c r="BR864" s="114"/>
      <c r="BS864" s="114"/>
      <c r="BT864" s="114"/>
      <c r="BU864" s="114"/>
      <c r="BV864" s="114"/>
      <c r="BW864" s="114"/>
      <c r="BX864" s="114"/>
      <c r="BY864" s="114"/>
      <c r="BZ864" s="114"/>
      <c r="CA864" s="114"/>
      <c r="CB864" s="114"/>
      <c r="CC864" s="114"/>
      <c r="CD864" s="114"/>
      <c r="CE864" s="114"/>
      <c r="CF864" s="114"/>
      <c r="CG864" s="114"/>
      <c r="CH864" s="114"/>
      <c r="CI864" s="114"/>
      <c r="CJ864" s="114"/>
      <c r="CK864" s="114"/>
      <c r="CL864" s="114"/>
      <c r="CM864" s="114"/>
      <c r="CN864" s="128"/>
      <c r="CO864" s="128"/>
      <c r="CP864" s="128"/>
      <c r="CQ864" s="128"/>
      <c r="CR864" s="128"/>
      <c r="CS864" s="128"/>
      <c r="CT864" s="128"/>
      <c r="CU864" s="128"/>
      <c r="CV864" s="128"/>
      <c r="CW864" s="128"/>
      <c r="CX864" s="128"/>
      <c r="CY864" s="128"/>
    </row>
    <row r="865" spans="1:103" ht="11.25" customHeight="1" x14ac:dyDescent="0.3">
      <c r="A865" s="113"/>
      <c r="B865" s="113"/>
      <c r="C865" s="113"/>
      <c r="D865" s="114"/>
      <c r="E865" s="114"/>
      <c r="F865" s="115"/>
      <c r="G865" s="116"/>
      <c r="H865" s="117"/>
      <c r="I865" s="117"/>
      <c r="J865" s="114"/>
      <c r="K865" s="118"/>
      <c r="L865" s="119"/>
      <c r="M865" s="120"/>
      <c r="N865" s="117"/>
      <c r="O865" s="116"/>
      <c r="P865" s="116"/>
      <c r="Q865" s="116"/>
      <c r="R865" s="113"/>
      <c r="S865" s="121"/>
      <c r="T865" s="115"/>
      <c r="U865" s="117"/>
      <c r="V865" s="122"/>
      <c r="W865" s="122"/>
      <c r="X865" s="122"/>
      <c r="Y865" s="122"/>
      <c r="Z865" s="122"/>
      <c r="AA865" s="122"/>
      <c r="AB865" s="122"/>
      <c r="AC865" s="122"/>
      <c r="AD865" s="122"/>
      <c r="AE865" s="122"/>
      <c r="AF865" s="122"/>
      <c r="AG865" s="122"/>
      <c r="AH865" s="122"/>
      <c r="AI865" s="123"/>
      <c r="AJ865" s="122"/>
      <c r="AK865" s="122"/>
      <c r="AL865" s="122"/>
      <c r="AM865" s="122"/>
      <c r="AN865" s="122"/>
      <c r="AO865" s="122"/>
      <c r="AP865" s="124"/>
      <c r="AQ865" s="122"/>
      <c r="AR865" s="122"/>
      <c r="AS865" s="122"/>
      <c r="AT865" s="122"/>
      <c r="AU865" s="122"/>
      <c r="AV865" s="124"/>
      <c r="AW865" s="125"/>
      <c r="AX865" s="126"/>
      <c r="AY865" s="127"/>
      <c r="AZ865" s="127"/>
      <c r="BA865" s="122"/>
      <c r="BB865" s="122"/>
      <c r="BC865" s="125"/>
      <c r="BD865" s="125"/>
      <c r="BE865" s="125"/>
      <c r="BF865" s="123"/>
      <c r="BG865" s="125"/>
      <c r="BH865" s="125"/>
      <c r="BI865" s="125"/>
      <c r="BJ865" s="125"/>
      <c r="BK865" s="125"/>
      <c r="BL865" s="125"/>
      <c r="BM865" s="123"/>
      <c r="BN865" s="114"/>
      <c r="BO865" s="114"/>
      <c r="BP865" s="114"/>
      <c r="BQ865" s="114"/>
      <c r="BR865" s="114"/>
      <c r="BS865" s="114"/>
      <c r="BT865" s="114"/>
      <c r="BU865" s="114"/>
      <c r="BV865" s="114"/>
      <c r="BW865" s="114"/>
      <c r="BX865" s="114"/>
      <c r="BY865" s="114"/>
      <c r="BZ865" s="114"/>
      <c r="CA865" s="114"/>
      <c r="CB865" s="114"/>
      <c r="CC865" s="114"/>
      <c r="CD865" s="114"/>
      <c r="CE865" s="114"/>
      <c r="CF865" s="114"/>
      <c r="CG865" s="114"/>
      <c r="CH865" s="114"/>
      <c r="CI865" s="114"/>
      <c r="CJ865" s="114"/>
      <c r="CK865" s="114"/>
      <c r="CL865" s="114"/>
      <c r="CM865" s="114"/>
      <c r="CN865" s="128"/>
      <c r="CO865" s="128"/>
      <c r="CP865" s="128"/>
      <c r="CQ865" s="128"/>
      <c r="CR865" s="128"/>
      <c r="CS865" s="128"/>
      <c r="CT865" s="128"/>
      <c r="CU865" s="128"/>
      <c r="CV865" s="128"/>
      <c r="CW865" s="128"/>
      <c r="CX865" s="128"/>
      <c r="CY865" s="128"/>
    </row>
    <row r="866" spans="1:103" ht="11.25" customHeight="1" x14ac:dyDescent="0.3">
      <c r="A866" s="113"/>
      <c r="B866" s="113"/>
      <c r="C866" s="113"/>
      <c r="D866" s="114"/>
      <c r="E866" s="114"/>
      <c r="F866" s="115"/>
      <c r="G866" s="116"/>
      <c r="H866" s="117"/>
      <c r="I866" s="117"/>
      <c r="J866" s="114"/>
      <c r="K866" s="118"/>
      <c r="L866" s="119"/>
      <c r="M866" s="120"/>
      <c r="N866" s="117"/>
      <c r="O866" s="116"/>
      <c r="P866" s="116"/>
      <c r="Q866" s="116"/>
      <c r="R866" s="113"/>
      <c r="S866" s="121"/>
      <c r="T866" s="115"/>
      <c r="U866" s="117"/>
      <c r="V866" s="122"/>
      <c r="W866" s="122"/>
      <c r="X866" s="122"/>
      <c r="Y866" s="122"/>
      <c r="Z866" s="122"/>
      <c r="AA866" s="122"/>
      <c r="AB866" s="122"/>
      <c r="AC866" s="122"/>
      <c r="AD866" s="122"/>
      <c r="AE866" s="122"/>
      <c r="AF866" s="122"/>
      <c r="AG866" s="122"/>
      <c r="AH866" s="122"/>
      <c r="AI866" s="123"/>
      <c r="AJ866" s="122"/>
      <c r="AK866" s="122"/>
      <c r="AL866" s="122"/>
      <c r="AM866" s="122"/>
      <c r="AN866" s="122"/>
      <c r="AO866" s="122"/>
      <c r="AP866" s="124"/>
      <c r="AQ866" s="122"/>
      <c r="AR866" s="122"/>
      <c r="AS866" s="122"/>
      <c r="AT866" s="122"/>
      <c r="AU866" s="122"/>
      <c r="AV866" s="124"/>
      <c r="AW866" s="125"/>
      <c r="AX866" s="126"/>
      <c r="AY866" s="127"/>
      <c r="AZ866" s="127"/>
      <c r="BA866" s="122"/>
      <c r="BB866" s="122"/>
      <c r="BC866" s="125"/>
      <c r="BD866" s="125"/>
      <c r="BE866" s="125"/>
      <c r="BF866" s="123"/>
      <c r="BG866" s="125"/>
      <c r="BH866" s="125"/>
      <c r="BI866" s="125"/>
      <c r="BJ866" s="125"/>
      <c r="BK866" s="125"/>
      <c r="BL866" s="125"/>
      <c r="BM866" s="123"/>
      <c r="BN866" s="114"/>
      <c r="BO866" s="114"/>
      <c r="BP866" s="114"/>
      <c r="BQ866" s="114"/>
      <c r="BR866" s="114"/>
      <c r="BS866" s="114"/>
      <c r="BT866" s="114"/>
      <c r="BU866" s="114"/>
      <c r="BV866" s="114"/>
      <c r="BW866" s="114"/>
      <c r="BX866" s="114"/>
      <c r="BY866" s="114"/>
      <c r="BZ866" s="114"/>
      <c r="CA866" s="114"/>
      <c r="CB866" s="114"/>
      <c r="CC866" s="114"/>
      <c r="CD866" s="114"/>
      <c r="CE866" s="114"/>
      <c r="CF866" s="114"/>
      <c r="CG866" s="114"/>
      <c r="CH866" s="114"/>
      <c r="CI866" s="114"/>
      <c r="CJ866" s="114"/>
      <c r="CK866" s="114"/>
      <c r="CL866" s="114"/>
      <c r="CM866" s="114"/>
      <c r="CN866" s="128"/>
      <c r="CO866" s="128"/>
      <c r="CP866" s="128"/>
      <c r="CQ866" s="128"/>
      <c r="CR866" s="128"/>
      <c r="CS866" s="128"/>
      <c r="CT866" s="128"/>
      <c r="CU866" s="128"/>
      <c r="CV866" s="128"/>
      <c r="CW866" s="128"/>
      <c r="CX866" s="128"/>
      <c r="CY866" s="128"/>
    </row>
    <row r="867" spans="1:103" ht="11.25" customHeight="1" x14ac:dyDescent="0.3">
      <c r="A867" s="113"/>
      <c r="B867" s="113"/>
      <c r="C867" s="113"/>
      <c r="D867" s="114"/>
      <c r="E867" s="114"/>
      <c r="F867" s="115"/>
      <c r="G867" s="116"/>
      <c r="H867" s="117"/>
      <c r="I867" s="117"/>
      <c r="J867" s="114"/>
      <c r="K867" s="118"/>
      <c r="L867" s="119"/>
      <c r="M867" s="120"/>
      <c r="N867" s="117"/>
      <c r="O867" s="116"/>
      <c r="P867" s="116"/>
      <c r="Q867" s="116"/>
      <c r="R867" s="113"/>
      <c r="S867" s="121"/>
      <c r="T867" s="115"/>
      <c r="U867" s="117"/>
      <c r="V867" s="122"/>
      <c r="W867" s="122"/>
      <c r="X867" s="122"/>
      <c r="Y867" s="122"/>
      <c r="Z867" s="122"/>
      <c r="AA867" s="122"/>
      <c r="AB867" s="122"/>
      <c r="AC867" s="122"/>
      <c r="AD867" s="122"/>
      <c r="AE867" s="122"/>
      <c r="AF867" s="122"/>
      <c r="AG867" s="122"/>
      <c r="AH867" s="122"/>
      <c r="AI867" s="123"/>
      <c r="AJ867" s="122"/>
      <c r="AK867" s="122"/>
      <c r="AL867" s="122"/>
      <c r="AM867" s="122"/>
      <c r="AN867" s="122"/>
      <c r="AO867" s="122"/>
      <c r="AP867" s="124"/>
      <c r="AQ867" s="122"/>
      <c r="AR867" s="122"/>
      <c r="AS867" s="122"/>
      <c r="AT867" s="122"/>
      <c r="AU867" s="122"/>
      <c r="AV867" s="124"/>
      <c r="AW867" s="125"/>
      <c r="AX867" s="126"/>
      <c r="AY867" s="127"/>
      <c r="AZ867" s="127"/>
      <c r="BA867" s="122"/>
      <c r="BB867" s="122"/>
      <c r="BC867" s="125"/>
      <c r="BD867" s="125"/>
      <c r="BE867" s="125"/>
      <c r="BF867" s="123"/>
      <c r="BG867" s="125"/>
      <c r="BH867" s="125"/>
      <c r="BI867" s="125"/>
      <c r="BJ867" s="125"/>
      <c r="BK867" s="125"/>
      <c r="BL867" s="125"/>
      <c r="BM867" s="123"/>
      <c r="BN867" s="114"/>
      <c r="BO867" s="114"/>
      <c r="BP867" s="114"/>
      <c r="BQ867" s="114"/>
      <c r="BR867" s="114"/>
      <c r="BS867" s="114"/>
      <c r="BT867" s="114"/>
      <c r="BU867" s="114"/>
      <c r="BV867" s="114"/>
      <c r="BW867" s="114"/>
      <c r="BX867" s="114"/>
      <c r="BY867" s="114"/>
      <c r="BZ867" s="114"/>
      <c r="CA867" s="114"/>
      <c r="CB867" s="114"/>
      <c r="CC867" s="114"/>
      <c r="CD867" s="114"/>
      <c r="CE867" s="114"/>
      <c r="CF867" s="114"/>
      <c r="CG867" s="114"/>
      <c r="CH867" s="114"/>
      <c r="CI867" s="114"/>
      <c r="CJ867" s="114"/>
      <c r="CK867" s="114"/>
      <c r="CL867" s="114"/>
      <c r="CM867" s="114"/>
      <c r="CN867" s="128"/>
      <c r="CO867" s="128"/>
      <c r="CP867" s="128"/>
      <c r="CQ867" s="128"/>
      <c r="CR867" s="128"/>
      <c r="CS867" s="128"/>
      <c r="CT867" s="128"/>
      <c r="CU867" s="128"/>
      <c r="CV867" s="128"/>
      <c r="CW867" s="128"/>
      <c r="CX867" s="128"/>
      <c r="CY867" s="128"/>
    </row>
    <row r="868" spans="1:103" ht="11.25" customHeight="1" x14ac:dyDescent="0.3">
      <c r="A868" s="113"/>
      <c r="B868" s="113"/>
      <c r="C868" s="113"/>
      <c r="D868" s="114"/>
      <c r="E868" s="114"/>
      <c r="F868" s="115"/>
      <c r="G868" s="116"/>
      <c r="H868" s="117"/>
      <c r="I868" s="117"/>
      <c r="J868" s="114"/>
      <c r="K868" s="118"/>
      <c r="L868" s="119"/>
      <c r="M868" s="120"/>
      <c r="N868" s="117"/>
      <c r="O868" s="116"/>
      <c r="P868" s="116"/>
      <c r="Q868" s="116"/>
      <c r="R868" s="113"/>
      <c r="S868" s="121"/>
      <c r="T868" s="115"/>
      <c r="U868" s="117"/>
      <c r="V868" s="122"/>
      <c r="W868" s="122"/>
      <c r="X868" s="122"/>
      <c r="Y868" s="122"/>
      <c r="Z868" s="122"/>
      <c r="AA868" s="122"/>
      <c r="AB868" s="122"/>
      <c r="AC868" s="122"/>
      <c r="AD868" s="122"/>
      <c r="AE868" s="122"/>
      <c r="AF868" s="122"/>
      <c r="AG868" s="122"/>
      <c r="AH868" s="122"/>
      <c r="AI868" s="123"/>
      <c r="AJ868" s="122"/>
      <c r="AK868" s="122"/>
      <c r="AL868" s="122"/>
      <c r="AM868" s="122"/>
      <c r="AN868" s="122"/>
      <c r="AO868" s="122"/>
      <c r="AP868" s="124"/>
      <c r="AQ868" s="122"/>
      <c r="AR868" s="122"/>
      <c r="AS868" s="122"/>
      <c r="AT868" s="122"/>
      <c r="AU868" s="122"/>
      <c r="AV868" s="124"/>
      <c r="AW868" s="125"/>
      <c r="AX868" s="126"/>
      <c r="AY868" s="127"/>
      <c r="AZ868" s="127"/>
      <c r="BA868" s="122"/>
      <c r="BB868" s="122"/>
      <c r="BC868" s="125"/>
      <c r="BD868" s="125"/>
      <c r="BE868" s="125"/>
      <c r="BF868" s="123"/>
      <c r="BG868" s="125"/>
      <c r="BH868" s="125"/>
      <c r="BI868" s="125"/>
      <c r="BJ868" s="125"/>
      <c r="BK868" s="125"/>
      <c r="BL868" s="125"/>
      <c r="BM868" s="123"/>
      <c r="BN868" s="114"/>
      <c r="BO868" s="114"/>
      <c r="BP868" s="114"/>
      <c r="BQ868" s="114"/>
      <c r="BR868" s="114"/>
      <c r="BS868" s="114"/>
      <c r="BT868" s="114"/>
      <c r="BU868" s="114"/>
      <c r="BV868" s="114"/>
      <c r="BW868" s="114"/>
      <c r="BX868" s="114"/>
      <c r="BY868" s="114"/>
      <c r="BZ868" s="114"/>
      <c r="CA868" s="114"/>
      <c r="CB868" s="114"/>
      <c r="CC868" s="114"/>
      <c r="CD868" s="114"/>
      <c r="CE868" s="114"/>
      <c r="CF868" s="114"/>
      <c r="CG868" s="114"/>
      <c r="CH868" s="114"/>
      <c r="CI868" s="114"/>
      <c r="CJ868" s="114"/>
      <c r="CK868" s="114"/>
      <c r="CL868" s="114"/>
      <c r="CM868" s="114"/>
      <c r="CN868" s="128"/>
      <c r="CO868" s="128"/>
      <c r="CP868" s="128"/>
      <c r="CQ868" s="128"/>
      <c r="CR868" s="128"/>
      <c r="CS868" s="128"/>
      <c r="CT868" s="128"/>
      <c r="CU868" s="128"/>
      <c r="CV868" s="128"/>
      <c r="CW868" s="128"/>
      <c r="CX868" s="128"/>
      <c r="CY868" s="128"/>
    </row>
    <row r="869" spans="1:103" ht="11.25" customHeight="1" x14ac:dyDescent="0.3">
      <c r="A869" s="113"/>
      <c r="B869" s="113"/>
      <c r="C869" s="113"/>
      <c r="D869" s="114"/>
      <c r="E869" s="114"/>
      <c r="F869" s="115"/>
      <c r="G869" s="116"/>
      <c r="H869" s="117"/>
      <c r="I869" s="117"/>
      <c r="J869" s="114"/>
      <c r="K869" s="118"/>
      <c r="L869" s="119"/>
      <c r="M869" s="120"/>
      <c r="N869" s="117"/>
      <c r="O869" s="116"/>
      <c r="P869" s="116"/>
      <c r="Q869" s="116"/>
      <c r="R869" s="113"/>
      <c r="S869" s="121"/>
      <c r="T869" s="115"/>
      <c r="U869" s="117"/>
      <c r="V869" s="122"/>
      <c r="W869" s="122"/>
      <c r="X869" s="122"/>
      <c r="Y869" s="122"/>
      <c r="Z869" s="122"/>
      <c r="AA869" s="122"/>
      <c r="AB869" s="122"/>
      <c r="AC869" s="122"/>
      <c r="AD869" s="122"/>
      <c r="AE869" s="122"/>
      <c r="AF869" s="122"/>
      <c r="AG869" s="122"/>
      <c r="AH869" s="122"/>
      <c r="AI869" s="123"/>
      <c r="AJ869" s="122"/>
      <c r="AK869" s="122"/>
      <c r="AL869" s="122"/>
      <c r="AM869" s="122"/>
      <c r="AN869" s="122"/>
      <c r="AO869" s="122"/>
      <c r="AP869" s="124"/>
      <c r="AQ869" s="122"/>
      <c r="AR869" s="122"/>
      <c r="AS869" s="122"/>
      <c r="AT869" s="122"/>
      <c r="AU869" s="122"/>
      <c r="AV869" s="124"/>
      <c r="AW869" s="125"/>
      <c r="AX869" s="126"/>
      <c r="AY869" s="127"/>
      <c r="AZ869" s="127"/>
      <c r="BA869" s="122"/>
      <c r="BB869" s="122"/>
      <c r="BC869" s="125"/>
      <c r="BD869" s="125"/>
      <c r="BE869" s="125"/>
      <c r="BF869" s="123"/>
      <c r="BG869" s="125"/>
      <c r="BH869" s="125"/>
      <c r="BI869" s="125"/>
      <c r="BJ869" s="125"/>
      <c r="BK869" s="125"/>
      <c r="BL869" s="125"/>
      <c r="BM869" s="123"/>
      <c r="BN869" s="114"/>
      <c r="BO869" s="114"/>
      <c r="BP869" s="114"/>
      <c r="BQ869" s="114"/>
      <c r="BR869" s="114"/>
      <c r="BS869" s="114"/>
      <c r="BT869" s="114"/>
      <c r="BU869" s="114"/>
      <c r="BV869" s="114"/>
      <c r="BW869" s="114"/>
      <c r="BX869" s="114"/>
      <c r="BY869" s="114"/>
      <c r="BZ869" s="114"/>
      <c r="CA869" s="114"/>
      <c r="CB869" s="114"/>
      <c r="CC869" s="114"/>
      <c r="CD869" s="114"/>
      <c r="CE869" s="114"/>
      <c r="CF869" s="114"/>
      <c r="CG869" s="114"/>
      <c r="CH869" s="114"/>
      <c r="CI869" s="114"/>
      <c r="CJ869" s="114"/>
      <c r="CK869" s="114"/>
      <c r="CL869" s="114"/>
      <c r="CM869" s="114"/>
      <c r="CN869" s="128"/>
      <c r="CO869" s="128"/>
      <c r="CP869" s="128"/>
      <c r="CQ869" s="128"/>
      <c r="CR869" s="128"/>
      <c r="CS869" s="128"/>
      <c r="CT869" s="128"/>
      <c r="CU869" s="128"/>
      <c r="CV869" s="128"/>
      <c r="CW869" s="128"/>
      <c r="CX869" s="128"/>
      <c r="CY869" s="128"/>
    </row>
    <row r="870" spans="1:103" ht="11.25" customHeight="1" x14ac:dyDescent="0.3">
      <c r="A870" s="113"/>
      <c r="B870" s="113"/>
      <c r="C870" s="113"/>
      <c r="D870" s="114"/>
      <c r="E870" s="114"/>
      <c r="F870" s="115"/>
      <c r="G870" s="116"/>
      <c r="H870" s="117"/>
      <c r="I870" s="117"/>
      <c r="J870" s="114"/>
      <c r="K870" s="118"/>
      <c r="L870" s="119"/>
      <c r="M870" s="120"/>
      <c r="N870" s="117"/>
      <c r="O870" s="116"/>
      <c r="P870" s="116"/>
      <c r="Q870" s="116"/>
      <c r="R870" s="113"/>
      <c r="S870" s="121"/>
      <c r="T870" s="115"/>
      <c r="U870" s="117"/>
      <c r="V870" s="122"/>
      <c r="W870" s="122"/>
      <c r="X870" s="122"/>
      <c r="Y870" s="122"/>
      <c r="Z870" s="122"/>
      <c r="AA870" s="122"/>
      <c r="AB870" s="122"/>
      <c r="AC870" s="122"/>
      <c r="AD870" s="122"/>
      <c r="AE870" s="122"/>
      <c r="AF870" s="122"/>
      <c r="AG870" s="122"/>
      <c r="AH870" s="122"/>
      <c r="AI870" s="123"/>
      <c r="AJ870" s="122"/>
      <c r="AK870" s="122"/>
      <c r="AL870" s="122"/>
      <c r="AM870" s="122"/>
      <c r="AN870" s="122"/>
      <c r="AO870" s="122"/>
      <c r="AP870" s="124"/>
      <c r="AQ870" s="122"/>
      <c r="AR870" s="122"/>
      <c r="AS870" s="122"/>
      <c r="AT870" s="122"/>
      <c r="AU870" s="122"/>
      <c r="AV870" s="124"/>
      <c r="AW870" s="125"/>
      <c r="AX870" s="126"/>
      <c r="AY870" s="127"/>
      <c r="AZ870" s="127"/>
      <c r="BA870" s="122"/>
      <c r="BB870" s="122"/>
      <c r="BC870" s="125"/>
      <c r="BD870" s="125"/>
      <c r="BE870" s="125"/>
      <c r="BF870" s="123"/>
      <c r="BG870" s="125"/>
      <c r="BH870" s="125"/>
      <c r="BI870" s="125"/>
      <c r="BJ870" s="125"/>
      <c r="BK870" s="125"/>
      <c r="BL870" s="125"/>
      <c r="BM870" s="123"/>
      <c r="BN870" s="114"/>
      <c r="BO870" s="114"/>
      <c r="BP870" s="114"/>
      <c r="BQ870" s="114"/>
      <c r="BR870" s="114"/>
      <c r="BS870" s="114"/>
      <c r="BT870" s="114"/>
      <c r="BU870" s="114"/>
      <c r="BV870" s="114"/>
      <c r="BW870" s="114"/>
      <c r="BX870" s="114"/>
      <c r="BY870" s="114"/>
      <c r="BZ870" s="114"/>
      <c r="CA870" s="114"/>
      <c r="CB870" s="114"/>
      <c r="CC870" s="114"/>
      <c r="CD870" s="114"/>
      <c r="CE870" s="114"/>
      <c r="CF870" s="114"/>
      <c r="CG870" s="114"/>
      <c r="CH870" s="114"/>
      <c r="CI870" s="114"/>
      <c r="CJ870" s="114"/>
      <c r="CK870" s="114"/>
      <c r="CL870" s="114"/>
      <c r="CM870" s="114"/>
      <c r="CN870" s="128"/>
      <c r="CO870" s="128"/>
      <c r="CP870" s="128"/>
      <c r="CQ870" s="128"/>
      <c r="CR870" s="128"/>
      <c r="CS870" s="128"/>
      <c r="CT870" s="128"/>
      <c r="CU870" s="128"/>
      <c r="CV870" s="128"/>
      <c r="CW870" s="128"/>
      <c r="CX870" s="128"/>
      <c r="CY870" s="128"/>
    </row>
    <row r="871" spans="1:103" ht="11.25" customHeight="1" x14ac:dyDescent="0.3">
      <c r="A871" s="113"/>
      <c r="B871" s="113"/>
      <c r="C871" s="113"/>
      <c r="D871" s="114"/>
      <c r="E871" s="114"/>
      <c r="F871" s="115"/>
      <c r="G871" s="116"/>
      <c r="H871" s="117"/>
      <c r="I871" s="117"/>
      <c r="J871" s="114"/>
      <c r="K871" s="118"/>
      <c r="L871" s="119"/>
      <c r="M871" s="120"/>
      <c r="N871" s="117"/>
      <c r="O871" s="116"/>
      <c r="P871" s="116"/>
      <c r="Q871" s="116"/>
      <c r="R871" s="113"/>
      <c r="S871" s="121"/>
      <c r="T871" s="115"/>
      <c r="U871" s="117"/>
      <c r="V871" s="122"/>
      <c r="W871" s="122"/>
      <c r="X871" s="122"/>
      <c r="Y871" s="122"/>
      <c r="Z871" s="122"/>
      <c r="AA871" s="122"/>
      <c r="AB871" s="122"/>
      <c r="AC871" s="122"/>
      <c r="AD871" s="122"/>
      <c r="AE871" s="122"/>
      <c r="AF871" s="122"/>
      <c r="AG871" s="122"/>
      <c r="AH871" s="122"/>
      <c r="AI871" s="123"/>
      <c r="AJ871" s="122"/>
      <c r="AK871" s="122"/>
      <c r="AL871" s="122"/>
      <c r="AM871" s="122"/>
      <c r="AN871" s="122"/>
      <c r="AO871" s="122"/>
      <c r="AP871" s="124"/>
      <c r="AQ871" s="122"/>
      <c r="AR871" s="122"/>
      <c r="AS871" s="122"/>
      <c r="AT871" s="122"/>
      <c r="AU871" s="122"/>
      <c r="AV871" s="124"/>
      <c r="AW871" s="125"/>
      <c r="AX871" s="126"/>
      <c r="AY871" s="127"/>
      <c r="AZ871" s="127"/>
      <c r="BA871" s="122"/>
      <c r="BB871" s="122"/>
      <c r="BC871" s="125"/>
      <c r="BD871" s="125"/>
      <c r="BE871" s="125"/>
      <c r="BF871" s="123"/>
      <c r="BG871" s="125"/>
      <c r="BH871" s="125"/>
      <c r="BI871" s="125"/>
      <c r="BJ871" s="125"/>
      <c r="BK871" s="125"/>
      <c r="BL871" s="125"/>
      <c r="BM871" s="123"/>
      <c r="BN871" s="114"/>
      <c r="BO871" s="114"/>
      <c r="BP871" s="114"/>
      <c r="BQ871" s="114"/>
      <c r="BR871" s="114"/>
      <c r="BS871" s="114"/>
      <c r="BT871" s="114"/>
      <c r="BU871" s="114"/>
      <c r="BV871" s="114"/>
      <c r="BW871" s="114"/>
      <c r="BX871" s="114"/>
      <c r="BY871" s="114"/>
      <c r="BZ871" s="114"/>
      <c r="CA871" s="114"/>
      <c r="CB871" s="114"/>
      <c r="CC871" s="114"/>
      <c r="CD871" s="114"/>
      <c r="CE871" s="114"/>
      <c r="CF871" s="114"/>
      <c r="CG871" s="114"/>
      <c r="CH871" s="114"/>
      <c r="CI871" s="114"/>
      <c r="CJ871" s="114"/>
      <c r="CK871" s="114"/>
      <c r="CL871" s="114"/>
      <c r="CM871" s="114"/>
      <c r="CN871" s="128"/>
      <c r="CO871" s="128"/>
      <c r="CP871" s="128"/>
      <c r="CQ871" s="128"/>
      <c r="CR871" s="128"/>
      <c r="CS871" s="128"/>
      <c r="CT871" s="128"/>
      <c r="CU871" s="128"/>
      <c r="CV871" s="128"/>
      <c r="CW871" s="128"/>
      <c r="CX871" s="128"/>
      <c r="CY871" s="128"/>
    </row>
    <row r="872" spans="1:103" ht="11.25" customHeight="1" x14ac:dyDescent="0.3">
      <c r="A872" s="113"/>
      <c r="B872" s="113"/>
      <c r="C872" s="113"/>
      <c r="D872" s="114"/>
      <c r="E872" s="114"/>
      <c r="F872" s="115"/>
      <c r="G872" s="116"/>
      <c r="H872" s="117"/>
      <c r="I872" s="117"/>
      <c r="J872" s="114"/>
      <c r="K872" s="118"/>
      <c r="L872" s="119"/>
      <c r="M872" s="120"/>
      <c r="N872" s="117"/>
      <c r="O872" s="116"/>
      <c r="P872" s="116"/>
      <c r="Q872" s="116"/>
      <c r="R872" s="113"/>
      <c r="S872" s="121"/>
      <c r="T872" s="115"/>
      <c r="U872" s="117"/>
      <c r="V872" s="122"/>
      <c r="W872" s="122"/>
      <c r="X872" s="122"/>
      <c r="Y872" s="122"/>
      <c r="Z872" s="122"/>
      <c r="AA872" s="122"/>
      <c r="AB872" s="122"/>
      <c r="AC872" s="122"/>
      <c r="AD872" s="122"/>
      <c r="AE872" s="122"/>
      <c r="AF872" s="122"/>
      <c r="AG872" s="122"/>
      <c r="AH872" s="122"/>
      <c r="AI872" s="123"/>
      <c r="AJ872" s="122"/>
      <c r="AK872" s="122"/>
      <c r="AL872" s="122"/>
      <c r="AM872" s="122"/>
      <c r="AN872" s="122"/>
      <c r="AO872" s="122"/>
      <c r="AP872" s="124"/>
      <c r="AQ872" s="122"/>
      <c r="AR872" s="122"/>
      <c r="AS872" s="122"/>
      <c r="AT872" s="122"/>
      <c r="AU872" s="122"/>
      <c r="AV872" s="124"/>
      <c r="AW872" s="125"/>
      <c r="AX872" s="126"/>
      <c r="AY872" s="127"/>
      <c r="AZ872" s="127"/>
      <c r="BA872" s="122"/>
      <c r="BB872" s="122"/>
      <c r="BC872" s="125"/>
      <c r="BD872" s="125"/>
      <c r="BE872" s="125"/>
      <c r="BF872" s="123"/>
      <c r="BG872" s="125"/>
      <c r="BH872" s="125"/>
      <c r="BI872" s="125"/>
      <c r="BJ872" s="125"/>
      <c r="BK872" s="125"/>
      <c r="BL872" s="125"/>
      <c r="BM872" s="123"/>
      <c r="BN872" s="114"/>
      <c r="BO872" s="114"/>
      <c r="BP872" s="114"/>
      <c r="BQ872" s="114"/>
      <c r="BR872" s="114"/>
      <c r="BS872" s="114"/>
      <c r="BT872" s="114"/>
      <c r="BU872" s="114"/>
      <c r="BV872" s="114"/>
      <c r="BW872" s="114"/>
      <c r="BX872" s="114"/>
      <c r="BY872" s="114"/>
      <c r="BZ872" s="114"/>
      <c r="CA872" s="114"/>
      <c r="CB872" s="114"/>
      <c r="CC872" s="114"/>
      <c r="CD872" s="114"/>
      <c r="CE872" s="114"/>
      <c r="CF872" s="114"/>
      <c r="CG872" s="114"/>
      <c r="CH872" s="114"/>
      <c r="CI872" s="114"/>
      <c r="CJ872" s="114"/>
      <c r="CK872" s="114"/>
      <c r="CL872" s="114"/>
      <c r="CM872" s="114"/>
      <c r="CN872" s="128"/>
      <c r="CO872" s="128"/>
      <c r="CP872" s="128"/>
      <c r="CQ872" s="128"/>
      <c r="CR872" s="128"/>
      <c r="CS872" s="128"/>
      <c r="CT872" s="128"/>
      <c r="CU872" s="128"/>
      <c r="CV872" s="128"/>
      <c r="CW872" s="128"/>
      <c r="CX872" s="128"/>
      <c r="CY872" s="128"/>
    </row>
    <row r="873" spans="1:103" ht="11.25" customHeight="1" x14ac:dyDescent="0.3">
      <c r="A873" s="113"/>
      <c r="B873" s="113"/>
      <c r="C873" s="113"/>
      <c r="D873" s="114"/>
      <c r="E873" s="114"/>
      <c r="F873" s="115"/>
      <c r="G873" s="116"/>
      <c r="H873" s="117"/>
      <c r="I873" s="117"/>
      <c r="J873" s="114"/>
      <c r="K873" s="118"/>
      <c r="L873" s="119"/>
      <c r="M873" s="120"/>
      <c r="N873" s="117"/>
      <c r="O873" s="116"/>
      <c r="P873" s="116"/>
      <c r="Q873" s="116"/>
      <c r="R873" s="113"/>
      <c r="S873" s="121"/>
      <c r="T873" s="115"/>
      <c r="U873" s="117"/>
      <c r="V873" s="122"/>
      <c r="W873" s="122"/>
      <c r="X873" s="122"/>
      <c r="Y873" s="122"/>
      <c r="Z873" s="122"/>
      <c r="AA873" s="122"/>
      <c r="AB873" s="122"/>
      <c r="AC873" s="122"/>
      <c r="AD873" s="122"/>
      <c r="AE873" s="122"/>
      <c r="AF873" s="122"/>
      <c r="AG873" s="122"/>
      <c r="AH873" s="122"/>
      <c r="AI873" s="123"/>
      <c r="AJ873" s="122"/>
      <c r="AK873" s="122"/>
      <c r="AL873" s="122"/>
      <c r="AM873" s="122"/>
      <c r="AN873" s="122"/>
      <c r="AO873" s="122"/>
      <c r="AP873" s="124"/>
      <c r="AQ873" s="122"/>
      <c r="AR873" s="122"/>
      <c r="AS873" s="122"/>
      <c r="AT873" s="122"/>
      <c r="AU873" s="122"/>
      <c r="AV873" s="124"/>
      <c r="AW873" s="125"/>
      <c r="AX873" s="126"/>
      <c r="AY873" s="127"/>
      <c r="AZ873" s="127"/>
      <c r="BA873" s="122"/>
      <c r="BB873" s="122"/>
      <c r="BC873" s="125"/>
      <c r="BD873" s="125"/>
      <c r="BE873" s="125"/>
      <c r="BF873" s="123"/>
      <c r="BG873" s="125"/>
      <c r="BH873" s="125"/>
      <c r="BI873" s="125"/>
      <c r="BJ873" s="125"/>
      <c r="BK873" s="125"/>
      <c r="BL873" s="125"/>
      <c r="BM873" s="123"/>
      <c r="BN873" s="114"/>
      <c r="BO873" s="114"/>
      <c r="BP873" s="114"/>
      <c r="BQ873" s="114"/>
      <c r="BR873" s="114"/>
      <c r="BS873" s="114"/>
      <c r="BT873" s="114"/>
      <c r="BU873" s="114"/>
      <c r="BV873" s="114"/>
      <c r="BW873" s="114"/>
      <c r="BX873" s="114"/>
      <c r="BY873" s="114"/>
      <c r="BZ873" s="114"/>
      <c r="CA873" s="114"/>
      <c r="CB873" s="114"/>
      <c r="CC873" s="114"/>
      <c r="CD873" s="114"/>
      <c r="CE873" s="114"/>
      <c r="CF873" s="114"/>
      <c r="CG873" s="114"/>
      <c r="CH873" s="114"/>
      <c r="CI873" s="114"/>
      <c r="CJ873" s="114"/>
      <c r="CK873" s="114"/>
      <c r="CL873" s="114"/>
      <c r="CM873" s="114"/>
      <c r="CN873" s="128"/>
      <c r="CO873" s="128"/>
      <c r="CP873" s="128"/>
      <c r="CQ873" s="128"/>
      <c r="CR873" s="128"/>
      <c r="CS873" s="128"/>
      <c r="CT873" s="128"/>
      <c r="CU873" s="128"/>
      <c r="CV873" s="128"/>
      <c r="CW873" s="128"/>
      <c r="CX873" s="128"/>
      <c r="CY873" s="128"/>
    </row>
    <row r="874" spans="1:103" ht="11.25" customHeight="1" x14ac:dyDescent="0.3">
      <c r="A874" s="113"/>
      <c r="B874" s="113"/>
      <c r="C874" s="113"/>
      <c r="D874" s="114"/>
      <c r="E874" s="114"/>
      <c r="F874" s="115"/>
      <c r="G874" s="116"/>
      <c r="H874" s="117"/>
      <c r="I874" s="117"/>
      <c r="J874" s="114"/>
      <c r="K874" s="118"/>
      <c r="L874" s="119"/>
      <c r="M874" s="120"/>
      <c r="N874" s="117"/>
      <c r="O874" s="116"/>
      <c r="P874" s="116"/>
      <c r="Q874" s="116"/>
      <c r="R874" s="113"/>
      <c r="S874" s="121"/>
      <c r="T874" s="115"/>
      <c r="U874" s="117"/>
      <c r="V874" s="122"/>
      <c r="W874" s="122"/>
      <c r="X874" s="122"/>
      <c r="Y874" s="122"/>
      <c r="Z874" s="122"/>
      <c r="AA874" s="122"/>
      <c r="AB874" s="122"/>
      <c r="AC874" s="122"/>
      <c r="AD874" s="122"/>
      <c r="AE874" s="122"/>
      <c r="AF874" s="122"/>
      <c r="AG874" s="122"/>
      <c r="AH874" s="122"/>
      <c r="AI874" s="123"/>
      <c r="AJ874" s="122"/>
      <c r="AK874" s="122"/>
      <c r="AL874" s="122"/>
      <c r="AM874" s="122"/>
      <c r="AN874" s="122"/>
      <c r="AO874" s="122"/>
      <c r="AP874" s="124"/>
      <c r="AQ874" s="122"/>
      <c r="AR874" s="122"/>
      <c r="AS874" s="122"/>
      <c r="AT874" s="122"/>
      <c r="AU874" s="122"/>
      <c r="AV874" s="124"/>
      <c r="AW874" s="125"/>
      <c r="AX874" s="126"/>
      <c r="AY874" s="127"/>
      <c r="AZ874" s="127"/>
      <c r="BA874" s="122"/>
      <c r="BB874" s="122"/>
      <c r="BC874" s="125"/>
      <c r="BD874" s="125"/>
      <c r="BE874" s="125"/>
      <c r="BF874" s="123"/>
      <c r="BG874" s="125"/>
      <c r="BH874" s="125"/>
      <c r="BI874" s="125"/>
      <c r="BJ874" s="125"/>
      <c r="BK874" s="125"/>
      <c r="BL874" s="125"/>
      <c r="BM874" s="123"/>
      <c r="BN874" s="114"/>
      <c r="BO874" s="114"/>
      <c r="BP874" s="114"/>
      <c r="BQ874" s="114"/>
      <c r="BR874" s="114"/>
      <c r="BS874" s="114"/>
      <c r="BT874" s="114"/>
      <c r="BU874" s="114"/>
      <c r="BV874" s="114"/>
      <c r="BW874" s="114"/>
      <c r="BX874" s="114"/>
      <c r="BY874" s="114"/>
      <c r="BZ874" s="114"/>
      <c r="CA874" s="114"/>
      <c r="CB874" s="114"/>
      <c r="CC874" s="114"/>
      <c r="CD874" s="114"/>
      <c r="CE874" s="114"/>
      <c r="CF874" s="114"/>
      <c r="CG874" s="114"/>
      <c r="CH874" s="114"/>
      <c r="CI874" s="114"/>
      <c r="CJ874" s="114"/>
      <c r="CK874" s="114"/>
      <c r="CL874" s="114"/>
      <c r="CM874" s="114"/>
      <c r="CN874" s="128"/>
      <c r="CO874" s="128"/>
      <c r="CP874" s="128"/>
      <c r="CQ874" s="128"/>
      <c r="CR874" s="128"/>
      <c r="CS874" s="128"/>
      <c r="CT874" s="128"/>
      <c r="CU874" s="128"/>
      <c r="CV874" s="128"/>
      <c r="CW874" s="128"/>
      <c r="CX874" s="128"/>
      <c r="CY874" s="128"/>
    </row>
    <row r="875" spans="1:103" ht="11.25" customHeight="1" x14ac:dyDescent="0.3">
      <c r="A875" s="113"/>
      <c r="B875" s="113"/>
      <c r="C875" s="113"/>
      <c r="D875" s="114"/>
      <c r="E875" s="114"/>
      <c r="F875" s="115"/>
      <c r="G875" s="116"/>
      <c r="H875" s="117"/>
      <c r="I875" s="117"/>
      <c r="J875" s="114"/>
      <c r="K875" s="118"/>
      <c r="L875" s="119"/>
      <c r="M875" s="120"/>
      <c r="N875" s="117"/>
      <c r="O875" s="116"/>
      <c r="P875" s="116"/>
      <c r="Q875" s="116"/>
      <c r="R875" s="113"/>
      <c r="S875" s="121"/>
      <c r="T875" s="115"/>
      <c r="U875" s="117"/>
      <c r="V875" s="122"/>
      <c r="W875" s="122"/>
      <c r="X875" s="122"/>
      <c r="Y875" s="122"/>
      <c r="Z875" s="122"/>
      <c r="AA875" s="122"/>
      <c r="AB875" s="122"/>
      <c r="AC875" s="122"/>
      <c r="AD875" s="122"/>
      <c r="AE875" s="122"/>
      <c r="AF875" s="122"/>
      <c r="AG875" s="122"/>
      <c r="AH875" s="122"/>
      <c r="AI875" s="123"/>
      <c r="AJ875" s="122"/>
      <c r="AK875" s="122"/>
      <c r="AL875" s="122"/>
      <c r="AM875" s="122"/>
      <c r="AN875" s="122"/>
      <c r="AO875" s="122"/>
      <c r="AP875" s="124"/>
      <c r="AQ875" s="122"/>
      <c r="AR875" s="122"/>
      <c r="AS875" s="122"/>
      <c r="AT875" s="122"/>
      <c r="AU875" s="122"/>
      <c r="AV875" s="124"/>
      <c r="AW875" s="125"/>
      <c r="AX875" s="126"/>
      <c r="AY875" s="127"/>
      <c r="AZ875" s="127"/>
      <c r="BA875" s="122"/>
      <c r="BB875" s="122"/>
      <c r="BC875" s="125"/>
      <c r="BD875" s="125"/>
      <c r="BE875" s="125"/>
      <c r="BF875" s="123"/>
      <c r="BG875" s="125"/>
      <c r="BH875" s="125"/>
      <c r="BI875" s="125"/>
      <c r="BJ875" s="125"/>
      <c r="BK875" s="125"/>
      <c r="BL875" s="125"/>
      <c r="BM875" s="123"/>
      <c r="BN875" s="114"/>
      <c r="BO875" s="114"/>
      <c r="BP875" s="114"/>
      <c r="BQ875" s="114"/>
      <c r="BR875" s="114"/>
      <c r="BS875" s="114"/>
      <c r="BT875" s="114"/>
      <c r="BU875" s="114"/>
      <c r="BV875" s="114"/>
      <c r="BW875" s="114"/>
      <c r="BX875" s="114"/>
      <c r="BY875" s="114"/>
      <c r="BZ875" s="114"/>
      <c r="CA875" s="114"/>
      <c r="CB875" s="114"/>
      <c r="CC875" s="114"/>
      <c r="CD875" s="114"/>
      <c r="CE875" s="114"/>
      <c r="CF875" s="114"/>
      <c r="CG875" s="114"/>
      <c r="CH875" s="114"/>
      <c r="CI875" s="114"/>
      <c r="CJ875" s="114"/>
      <c r="CK875" s="114"/>
      <c r="CL875" s="114"/>
      <c r="CM875" s="114"/>
      <c r="CN875" s="128"/>
      <c r="CO875" s="128"/>
      <c r="CP875" s="128"/>
      <c r="CQ875" s="128"/>
      <c r="CR875" s="128"/>
      <c r="CS875" s="128"/>
      <c r="CT875" s="128"/>
      <c r="CU875" s="128"/>
      <c r="CV875" s="128"/>
      <c r="CW875" s="128"/>
      <c r="CX875" s="128"/>
      <c r="CY875" s="128"/>
    </row>
    <row r="876" spans="1:103" ht="11.25" customHeight="1" x14ac:dyDescent="0.3">
      <c r="A876" s="113"/>
      <c r="B876" s="113"/>
      <c r="C876" s="113"/>
      <c r="D876" s="114"/>
      <c r="E876" s="114"/>
      <c r="F876" s="115"/>
      <c r="G876" s="116"/>
      <c r="H876" s="117"/>
      <c r="I876" s="117"/>
      <c r="J876" s="114"/>
      <c r="K876" s="118"/>
      <c r="L876" s="119"/>
      <c r="M876" s="120"/>
      <c r="N876" s="117"/>
      <c r="O876" s="116"/>
      <c r="P876" s="116"/>
      <c r="Q876" s="116"/>
      <c r="R876" s="113"/>
      <c r="S876" s="121"/>
      <c r="T876" s="115"/>
      <c r="U876" s="117"/>
      <c r="V876" s="122"/>
      <c r="W876" s="122"/>
      <c r="X876" s="122"/>
      <c r="Y876" s="122"/>
      <c r="Z876" s="122"/>
      <c r="AA876" s="122"/>
      <c r="AB876" s="122"/>
      <c r="AC876" s="122"/>
      <c r="AD876" s="122"/>
      <c r="AE876" s="122"/>
      <c r="AF876" s="122"/>
      <c r="AG876" s="122"/>
      <c r="AH876" s="122"/>
      <c r="AI876" s="123"/>
      <c r="AJ876" s="122"/>
      <c r="AK876" s="122"/>
      <c r="AL876" s="122"/>
      <c r="AM876" s="122"/>
      <c r="AN876" s="122"/>
      <c r="AO876" s="122"/>
      <c r="AP876" s="124"/>
      <c r="AQ876" s="122"/>
      <c r="AR876" s="122"/>
      <c r="AS876" s="122"/>
      <c r="AT876" s="122"/>
      <c r="AU876" s="122"/>
      <c r="AV876" s="124"/>
      <c r="AW876" s="125"/>
      <c r="AX876" s="126"/>
      <c r="AY876" s="127"/>
      <c r="AZ876" s="127"/>
      <c r="BA876" s="122"/>
      <c r="BB876" s="122"/>
      <c r="BC876" s="125"/>
      <c r="BD876" s="125"/>
      <c r="BE876" s="125"/>
      <c r="BF876" s="123"/>
      <c r="BG876" s="125"/>
      <c r="BH876" s="125"/>
      <c r="BI876" s="125"/>
      <c r="BJ876" s="125"/>
      <c r="BK876" s="125"/>
      <c r="BL876" s="125"/>
      <c r="BM876" s="123"/>
      <c r="BN876" s="114"/>
      <c r="BO876" s="114"/>
      <c r="BP876" s="114"/>
      <c r="BQ876" s="114"/>
      <c r="BR876" s="114"/>
      <c r="BS876" s="114"/>
      <c r="BT876" s="114"/>
      <c r="BU876" s="114"/>
      <c r="BV876" s="114"/>
      <c r="BW876" s="114"/>
      <c r="BX876" s="114"/>
      <c r="BY876" s="114"/>
      <c r="BZ876" s="114"/>
      <c r="CA876" s="114"/>
      <c r="CB876" s="114"/>
      <c r="CC876" s="114"/>
      <c r="CD876" s="114"/>
      <c r="CE876" s="114"/>
      <c r="CF876" s="114"/>
      <c r="CG876" s="114"/>
      <c r="CH876" s="114"/>
      <c r="CI876" s="114"/>
      <c r="CJ876" s="114"/>
      <c r="CK876" s="114"/>
      <c r="CL876" s="114"/>
      <c r="CM876" s="114"/>
      <c r="CN876" s="128"/>
      <c r="CO876" s="128"/>
      <c r="CP876" s="128"/>
      <c r="CQ876" s="128"/>
      <c r="CR876" s="128"/>
      <c r="CS876" s="128"/>
      <c r="CT876" s="128"/>
      <c r="CU876" s="128"/>
      <c r="CV876" s="128"/>
      <c r="CW876" s="128"/>
      <c r="CX876" s="128"/>
      <c r="CY876" s="128"/>
    </row>
    <row r="877" spans="1:103" ht="11.25" customHeight="1" x14ac:dyDescent="0.3">
      <c r="A877" s="113"/>
      <c r="B877" s="113"/>
      <c r="C877" s="113"/>
      <c r="D877" s="114"/>
      <c r="E877" s="114"/>
      <c r="F877" s="115"/>
      <c r="G877" s="116"/>
      <c r="H877" s="117"/>
      <c r="I877" s="117"/>
      <c r="J877" s="114"/>
      <c r="K877" s="118"/>
      <c r="L877" s="119"/>
      <c r="M877" s="120"/>
      <c r="N877" s="117"/>
      <c r="O877" s="116"/>
      <c r="P877" s="116"/>
      <c r="Q877" s="116"/>
      <c r="R877" s="113"/>
      <c r="S877" s="121"/>
      <c r="T877" s="115"/>
      <c r="U877" s="117"/>
      <c r="V877" s="122"/>
      <c r="W877" s="122"/>
      <c r="X877" s="122"/>
      <c r="Y877" s="122"/>
      <c r="Z877" s="122"/>
      <c r="AA877" s="122"/>
      <c r="AB877" s="122"/>
      <c r="AC877" s="122"/>
      <c r="AD877" s="122"/>
      <c r="AE877" s="122"/>
      <c r="AF877" s="122"/>
      <c r="AG877" s="122"/>
      <c r="AH877" s="122"/>
      <c r="AI877" s="123"/>
      <c r="AJ877" s="122"/>
      <c r="AK877" s="122"/>
      <c r="AL877" s="122"/>
      <c r="AM877" s="122"/>
      <c r="AN877" s="122"/>
      <c r="AO877" s="122"/>
      <c r="AP877" s="124"/>
      <c r="AQ877" s="122"/>
      <c r="AR877" s="122"/>
      <c r="AS877" s="122"/>
      <c r="AT877" s="122"/>
      <c r="AU877" s="122"/>
      <c r="AV877" s="124"/>
      <c r="AW877" s="125"/>
      <c r="AX877" s="126"/>
      <c r="AY877" s="127"/>
      <c r="AZ877" s="127"/>
      <c r="BA877" s="122"/>
      <c r="BB877" s="122"/>
      <c r="BC877" s="125"/>
      <c r="BD877" s="125"/>
      <c r="BE877" s="125"/>
      <c r="BF877" s="123"/>
      <c r="BG877" s="125"/>
      <c r="BH877" s="125"/>
      <c r="BI877" s="125"/>
      <c r="BJ877" s="125"/>
      <c r="BK877" s="125"/>
      <c r="BL877" s="125"/>
      <c r="BM877" s="123"/>
      <c r="BN877" s="114"/>
      <c r="BO877" s="114"/>
      <c r="BP877" s="114"/>
      <c r="BQ877" s="114"/>
      <c r="BR877" s="114"/>
      <c r="BS877" s="114"/>
      <c r="BT877" s="114"/>
      <c r="BU877" s="114"/>
      <c r="BV877" s="114"/>
      <c r="BW877" s="114"/>
      <c r="BX877" s="114"/>
      <c r="BY877" s="114"/>
      <c r="BZ877" s="114"/>
      <c r="CA877" s="114"/>
      <c r="CB877" s="114"/>
      <c r="CC877" s="114"/>
      <c r="CD877" s="114"/>
      <c r="CE877" s="114"/>
      <c r="CF877" s="114"/>
      <c r="CG877" s="114"/>
      <c r="CH877" s="114"/>
      <c r="CI877" s="114"/>
      <c r="CJ877" s="114"/>
      <c r="CK877" s="114"/>
      <c r="CL877" s="114"/>
      <c r="CM877" s="114"/>
      <c r="CN877" s="128"/>
      <c r="CO877" s="128"/>
      <c r="CP877" s="128"/>
      <c r="CQ877" s="128"/>
      <c r="CR877" s="128"/>
      <c r="CS877" s="128"/>
      <c r="CT877" s="128"/>
      <c r="CU877" s="128"/>
      <c r="CV877" s="128"/>
      <c r="CW877" s="128"/>
      <c r="CX877" s="128"/>
      <c r="CY877" s="128"/>
    </row>
    <row r="878" spans="1:103" ht="11.25" customHeight="1" x14ac:dyDescent="0.3">
      <c r="A878" s="113"/>
      <c r="B878" s="113"/>
      <c r="C878" s="113"/>
      <c r="D878" s="114"/>
      <c r="E878" s="114"/>
      <c r="F878" s="115"/>
      <c r="G878" s="116"/>
      <c r="H878" s="117"/>
      <c r="I878" s="117"/>
      <c r="J878" s="114"/>
      <c r="K878" s="118"/>
      <c r="L878" s="119"/>
      <c r="M878" s="120"/>
      <c r="N878" s="117"/>
      <c r="O878" s="116"/>
      <c r="P878" s="116"/>
      <c r="Q878" s="116"/>
      <c r="R878" s="113"/>
      <c r="S878" s="121"/>
      <c r="T878" s="115"/>
      <c r="U878" s="117"/>
      <c r="V878" s="122"/>
      <c r="W878" s="122"/>
      <c r="X878" s="122"/>
      <c r="Y878" s="122"/>
      <c r="Z878" s="122"/>
      <c r="AA878" s="122"/>
      <c r="AB878" s="122"/>
      <c r="AC878" s="122"/>
      <c r="AD878" s="122"/>
      <c r="AE878" s="122"/>
      <c r="AF878" s="122"/>
      <c r="AG878" s="122"/>
      <c r="AH878" s="122"/>
      <c r="AI878" s="123"/>
      <c r="AJ878" s="122"/>
      <c r="AK878" s="122"/>
      <c r="AL878" s="122"/>
      <c r="AM878" s="122"/>
      <c r="AN878" s="122"/>
      <c r="AO878" s="122"/>
      <c r="AP878" s="124"/>
      <c r="AQ878" s="122"/>
      <c r="AR878" s="122"/>
      <c r="AS878" s="122"/>
      <c r="AT878" s="122"/>
      <c r="AU878" s="122"/>
      <c r="AV878" s="124"/>
      <c r="AW878" s="125"/>
      <c r="AX878" s="126"/>
      <c r="AY878" s="127"/>
      <c r="AZ878" s="127"/>
      <c r="BA878" s="122"/>
      <c r="BB878" s="122"/>
      <c r="BC878" s="125"/>
      <c r="BD878" s="125"/>
      <c r="BE878" s="125"/>
      <c r="BF878" s="123"/>
      <c r="BG878" s="125"/>
      <c r="BH878" s="125"/>
      <c r="BI878" s="125"/>
      <c r="BJ878" s="125"/>
      <c r="BK878" s="125"/>
      <c r="BL878" s="125"/>
      <c r="BM878" s="123"/>
      <c r="BN878" s="114"/>
      <c r="BO878" s="114"/>
      <c r="BP878" s="114"/>
      <c r="BQ878" s="114"/>
      <c r="BR878" s="114"/>
      <c r="BS878" s="114"/>
      <c r="BT878" s="114"/>
      <c r="BU878" s="114"/>
      <c r="BV878" s="114"/>
      <c r="BW878" s="114"/>
      <c r="BX878" s="114"/>
      <c r="BY878" s="114"/>
      <c r="BZ878" s="114"/>
      <c r="CA878" s="114"/>
      <c r="CB878" s="114"/>
      <c r="CC878" s="114"/>
      <c r="CD878" s="114"/>
      <c r="CE878" s="114"/>
      <c r="CF878" s="114"/>
      <c r="CG878" s="114"/>
      <c r="CH878" s="114"/>
      <c r="CI878" s="114"/>
      <c r="CJ878" s="114"/>
      <c r="CK878" s="114"/>
      <c r="CL878" s="114"/>
      <c r="CM878" s="114"/>
      <c r="CN878" s="128"/>
      <c r="CO878" s="128"/>
      <c r="CP878" s="128"/>
      <c r="CQ878" s="128"/>
      <c r="CR878" s="128"/>
      <c r="CS878" s="128"/>
      <c r="CT878" s="128"/>
      <c r="CU878" s="128"/>
      <c r="CV878" s="128"/>
      <c r="CW878" s="128"/>
      <c r="CX878" s="128"/>
      <c r="CY878" s="128"/>
    </row>
    <row r="879" spans="1:103" ht="11.25" customHeight="1" x14ac:dyDescent="0.3">
      <c r="A879" s="113"/>
      <c r="B879" s="113"/>
      <c r="C879" s="113"/>
      <c r="D879" s="114"/>
      <c r="E879" s="114"/>
      <c r="F879" s="115"/>
      <c r="G879" s="116"/>
      <c r="H879" s="117"/>
      <c r="I879" s="117"/>
      <c r="J879" s="114"/>
      <c r="K879" s="118"/>
      <c r="L879" s="119"/>
      <c r="M879" s="120"/>
      <c r="N879" s="117"/>
      <c r="O879" s="116"/>
      <c r="P879" s="116"/>
      <c r="Q879" s="116"/>
      <c r="R879" s="113"/>
      <c r="S879" s="121"/>
      <c r="T879" s="115"/>
      <c r="U879" s="117"/>
      <c r="V879" s="122"/>
      <c r="W879" s="122"/>
      <c r="X879" s="122"/>
      <c r="Y879" s="122"/>
      <c r="Z879" s="122"/>
      <c r="AA879" s="122"/>
      <c r="AB879" s="122"/>
      <c r="AC879" s="122"/>
      <c r="AD879" s="122"/>
      <c r="AE879" s="122"/>
      <c r="AF879" s="122"/>
      <c r="AG879" s="122"/>
      <c r="AH879" s="122"/>
      <c r="AI879" s="123"/>
      <c r="AJ879" s="122"/>
      <c r="AK879" s="122"/>
      <c r="AL879" s="122"/>
      <c r="AM879" s="122"/>
      <c r="AN879" s="122"/>
      <c r="AO879" s="122"/>
      <c r="AP879" s="124"/>
      <c r="AQ879" s="122"/>
      <c r="AR879" s="122"/>
      <c r="AS879" s="122"/>
      <c r="AT879" s="122"/>
      <c r="AU879" s="122"/>
      <c r="AV879" s="124"/>
      <c r="AW879" s="125"/>
      <c r="AX879" s="126"/>
      <c r="AY879" s="127"/>
      <c r="AZ879" s="127"/>
      <c r="BA879" s="122"/>
      <c r="BB879" s="122"/>
      <c r="BC879" s="125"/>
      <c r="BD879" s="125"/>
      <c r="BE879" s="125"/>
      <c r="BF879" s="123"/>
      <c r="BG879" s="125"/>
      <c r="BH879" s="125"/>
      <c r="BI879" s="125"/>
      <c r="BJ879" s="125"/>
      <c r="BK879" s="125"/>
      <c r="BL879" s="125"/>
      <c r="BM879" s="123"/>
      <c r="BN879" s="114"/>
      <c r="BO879" s="114"/>
      <c r="BP879" s="114"/>
      <c r="BQ879" s="114"/>
      <c r="BR879" s="114"/>
      <c r="BS879" s="114"/>
      <c r="BT879" s="114"/>
      <c r="BU879" s="114"/>
      <c r="BV879" s="114"/>
      <c r="BW879" s="114"/>
      <c r="BX879" s="114"/>
      <c r="BY879" s="114"/>
      <c r="BZ879" s="114"/>
      <c r="CA879" s="114"/>
      <c r="CB879" s="114"/>
      <c r="CC879" s="114"/>
      <c r="CD879" s="114"/>
      <c r="CE879" s="114"/>
      <c r="CF879" s="114"/>
      <c r="CG879" s="114"/>
      <c r="CH879" s="114"/>
      <c r="CI879" s="114"/>
      <c r="CJ879" s="114"/>
      <c r="CK879" s="114"/>
      <c r="CL879" s="114"/>
      <c r="CM879" s="114"/>
      <c r="CN879" s="128"/>
      <c r="CO879" s="128"/>
      <c r="CP879" s="128"/>
      <c r="CQ879" s="128"/>
      <c r="CR879" s="128"/>
      <c r="CS879" s="128"/>
      <c r="CT879" s="128"/>
      <c r="CU879" s="128"/>
      <c r="CV879" s="128"/>
      <c r="CW879" s="128"/>
      <c r="CX879" s="128"/>
      <c r="CY879" s="128"/>
    </row>
    <row r="880" spans="1:103" ht="11.25" customHeight="1" x14ac:dyDescent="0.3">
      <c r="A880" s="113"/>
      <c r="B880" s="113"/>
      <c r="C880" s="113"/>
      <c r="D880" s="114"/>
      <c r="E880" s="114"/>
      <c r="F880" s="115"/>
      <c r="G880" s="116"/>
      <c r="H880" s="117"/>
      <c r="I880" s="117"/>
      <c r="J880" s="114"/>
      <c r="K880" s="118"/>
      <c r="L880" s="119"/>
      <c r="M880" s="120"/>
      <c r="N880" s="117"/>
      <c r="O880" s="116"/>
      <c r="P880" s="116"/>
      <c r="Q880" s="116"/>
      <c r="R880" s="113"/>
      <c r="S880" s="121"/>
      <c r="T880" s="115"/>
      <c r="U880" s="117"/>
      <c r="V880" s="122"/>
      <c r="W880" s="122"/>
      <c r="X880" s="122"/>
      <c r="Y880" s="122"/>
      <c r="Z880" s="122"/>
      <c r="AA880" s="122"/>
      <c r="AB880" s="122"/>
      <c r="AC880" s="122"/>
      <c r="AD880" s="122"/>
      <c r="AE880" s="122"/>
      <c r="AF880" s="122"/>
      <c r="AG880" s="122"/>
      <c r="AH880" s="122"/>
      <c r="AI880" s="123"/>
      <c r="AJ880" s="122"/>
      <c r="AK880" s="122"/>
      <c r="AL880" s="122"/>
      <c r="AM880" s="122"/>
      <c r="AN880" s="122"/>
      <c r="AO880" s="122"/>
      <c r="AP880" s="124"/>
      <c r="AQ880" s="122"/>
      <c r="AR880" s="122"/>
      <c r="AS880" s="122"/>
      <c r="AT880" s="122"/>
      <c r="AU880" s="122"/>
      <c r="AV880" s="124"/>
      <c r="AW880" s="125"/>
      <c r="AX880" s="126"/>
      <c r="AY880" s="127"/>
      <c r="AZ880" s="127"/>
      <c r="BA880" s="122"/>
      <c r="BB880" s="122"/>
      <c r="BC880" s="125"/>
      <c r="BD880" s="125"/>
      <c r="BE880" s="125"/>
      <c r="BF880" s="123"/>
      <c r="BG880" s="125"/>
      <c r="BH880" s="125"/>
      <c r="BI880" s="125"/>
      <c r="BJ880" s="125"/>
      <c r="BK880" s="125"/>
      <c r="BL880" s="125"/>
      <c r="BM880" s="123"/>
      <c r="BN880" s="114"/>
      <c r="BO880" s="114"/>
      <c r="BP880" s="114"/>
      <c r="BQ880" s="114"/>
      <c r="BR880" s="114"/>
      <c r="BS880" s="114"/>
      <c r="BT880" s="114"/>
      <c r="BU880" s="114"/>
      <c r="BV880" s="114"/>
      <c r="BW880" s="114"/>
      <c r="BX880" s="114"/>
      <c r="BY880" s="114"/>
      <c r="BZ880" s="114"/>
      <c r="CA880" s="114"/>
      <c r="CB880" s="114"/>
      <c r="CC880" s="114"/>
      <c r="CD880" s="114"/>
      <c r="CE880" s="114"/>
      <c r="CF880" s="114"/>
      <c r="CG880" s="114"/>
      <c r="CH880" s="114"/>
      <c r="CI880" s="114"/>
      <c r="CJ880" s="114"/>
      <c r="CK880" s="114"/>
      <c r="CL880" s="114"/>
      <c r="CM880" s="114"/>
      <c r="CN880" s="128"/>
      <c r="CO880" s="128"/>
      <c r="CP880" s="128"/>
      <c r="CQ880" s="128"/>
      <c r="CR880" s="128"/>
      <c r="CS880" s="128"/>
      <c r="CT880" s="128"/>
      <c r="CU880" s="128"/>
      <c r="CV880" s="128"/>
      <c r="CW880" s="128"/>
      <c r="CX880" s="128"/>
      <c r="CY880" s="128"/>
    </row>
    <row r="881" spans="1:103" ht="11.25" customHeight="1" x14ac:dyDescent="0.3">
      <c r="A881" s="113"/>
      <c r="B881" s="113"/>
      <c r="C881" s="113"/>
      <c r="D881" s="114"/>
      <c r="E881" s="114"/>
      <c r="F881" s="115"/>
      <c r="G881" s="116"/>
      <c r="H881" s="117"/>
      <c r="I881" s="117"/>
      <c r="J881" s="114"/>
      <c r="K881" s="118"/>
      <c r="L881" s="119"/>
      <c r="M881" s="120"/>
      <c r="N881" s="117"/>
      <c r="O881" s="116"/>
      <c r="P881" s="116"/>
      <c r="Q881" s="116"/>
      <c r="R881" s="113"/>
      <c r="S881" s="121"/>
      <c r="T881" s="115"/>
      <c r="U881" s="117"/>
      <c r="V881" s="122"/>
      <c r="W881" s="122"/>
      <c r="X881" s="122"/>
      <c r="Y881" s="122"/>
      <c r="Z881" s="122"/>
      <c r="AA881" s="122"/>
      <c r="AB881" s="122"/>
      <c r="AC881" s="122"/>
      <c r="AD881" s="122"/>
      <c r="AE881" s="122"/>
      <c r="AF881" s="122"/>
      <c r="AG881" s="122"/>
      <c r="AH881" s="122"/>
      <c r="AI881" s="123"/>
      <c r="AJ881" s="122"/>
      <c r="AK881" s="122"/>
      <c r="AL881" s="122"/>
      <c r="AM881" s="122"/>
      <c r="AN881" s="122"/>
      <c r="AO881" s="122"/>
      <c r="AP881" s="124"/>
      <c r="AQ881" s="122"/>
      <c r="AR881" s="122"/>
      <c r="AS881" s="122"/>
      <c r="AT881" s="122"/>
      <c r="AU881" s="122"/>
      <c r="AV881" s="124"/>
      <c r="AW881" s="125"/>
      <c r="AX881" s="126"/>
      <c r="AY881" s="127"/>
      <c r="AZ881" s="127"/>
      <c r="BA881" s="122"/>
      <c r="BB881" s="122"/>
      <c r="BC881" s="125"/>
      <c r="BD881" s="125"/>
      <c r="BE881" s="125"/>
      <c r="BF881" s="123"/>
      <c r="BG881" s="125"/>
      <c r="BH881" s="125"/>
      <c r="BI881" s="125"/>
      <c r="BJ881" s="125"/>
      <c r="BK881" s="125"/>
      <c r="BL881" s="125"/>
      <c r="BM881" s="123"/>
      <c r="BN881" s="114"/>
      <c r="BO881" s="114"/>
      <c r="BP881" s="114"/>
      <c r="BQ881" s="114"/>
      <c r="BR881" s="114"/>
      <c r="BS881" s="114"/>
      <c r="BT881" s="114"/>
      <c r="BU881" s="114"/>
      <c r="BV881" s="114"/>
      <c r="BW881" s="114"/>
      <c r="BX881" s="114"/>
      <c r="BY881" s="114"/>
      <c r="BZ881" s="114"/>
      <c r="CA881" s="114"/>
      <c r="CB881" s="114"/>
      <c r="CC881" s="114"/>
      <c r="CD881" s="114"/>
      <c r="CE881" s="114"/>
      <c r="CF881" s="114"/>
      <c r="CG881" s="114"/>
      <c r="CH881" s="114"/>
      <c r="CI881" s="114"/>
      <c r="CJ881" s="114"/>
      <c r="CK881" s="114"/>
      <c r="CL881" s="114"/>
      <c r="CM881" s="114"/>
      <c r="CN881" s="128"/>
      <c r="CO881" s="128"/>
      <c r="CP881" s="128"/>
      <c r="CQ881" s="128"/>
      <c r="CR881" s="128"/>
      <c r="CS881" s="128"/>
      <c r="CT881" s="128"/>
      <c r="CU881" s="128"/>
      <c r="CV881" s="128"/>
      <c r="CW881" s="128"/>
      <c r="CX881" s="128"/>
      <c r="CY881" s="128"/>
    </row>
    <row r="882" spans="1:103" ht="11.25" customHeight="1" x14ac:dyDescent="0.3">
      <c r="A882" s="113"/>
      <c r="B882" s="113"/>
      <c r="C882" s="113"/>
      <c r="D882" s="114"/>
      <c r="E882" s="114"/>
      <c r="F882" s="115"/>
      <c r="G882" s="116"/>
      <c r="H882" s="117"/>
      <c r="I882" s="117"/>
      <c r="J882" s="114"/>
      <c r="K882" s="118"/>
      <c r="L882" s="119"/>
      <c r="M882" s="120"/>
      <c r="N882" s="117"/>
      <c r="O882" s="116"/>
      <c r="P882" s="116"/>
      <c r="Q882" s="116"/>
      <c r="R882" s="113"/>
      <c r="S882" s="121"/>
      <c r="T882" s="115"/>
      <c r="U882" s="117"/>
      <c r="V882" s="122"/>
      <c r="W882" s="122"/>
      <c r="X882" s="122"/>
      <c r="Y882" s="122"/>
      <c r="Z882" s="122"/>
      <c r="AA882" s="122"/>
      <c r="AB882" s="122"/>
      <c r="AC882" s="122"/>
      <c r="AD882" s="122"/>
      <c r="AE882" s="122"/>
      <c r="AF882" s="122"/>
      <c r="AG882" s="122"/>
      <c r="AH882" s="122"/>
      <c r="AI882" s="123"/>
      <c r="AJ882" s="122"/>
      <c r="AK882" s="122"/>
      <c r="AL882" s="122"/>
      <c r="AM882" s="122"/>
      <c r="AN882" s="122"/>
      <c r="AO882" s="122"/>
      <c r="AP882" s="124"/>
      <c r="AQ882" s="122"/>
      <c r="AR882" s="122"/>
      <c r="AS882" s="122"/>
      <c r="AT882" s="122"/>
      <c r="AU882" s="122"/>
      <c r="AV882" s="124"/>
      <c r="AW882" s="125"/>
      <c r="AX882" s="126"/>
      <c r="AY882" s="127"/>
      <c r="AZ882" s="127"/>
      <c r="BA882" s="122"/>
      <c r="BB882" s="122"/>
      <c r="BC882" s="125"/>
      <c r="BD882" s="125"/>
      <c r="BE882" s="125"/>
      <c r="BF882" s="123"/>
      <c r="BG882" s="125"/>
      <c r="BH882" s="125"/>
      <c r="BI882" s="125"/>
      <c r="BJ882" s="125"/>
      <c r="BK882" s="125"/>
      <c r="BL882" s="125"/>
      <c r="BM882" s="123"/>
      <c r="BN882" s="114"/>
      <c r="BO882" s="114"/>
      <c r="BP882" s="114"/>
      <c r="BQ882" s="114"/>
      <c r="BR882" s="114"/>
      <c r="BS882" s="114"/>
      <c r="BT882" s="114"/>
      <c r="BU882" s="114"/>
      <c r="BV882" s="114"/>
      <c r="BW882" s="114"/>
      <c r="BX882" s="114"/>
      <c r="BY882" s="114"/>
      <c r="BZ882" s="114"/>
      <c r="CA882" s="114"/>
      <c r="CB882" s="114"/>
      <c r="CC882" s="114"/>
      <c r="CD882" s="114"/>
      <c r="CE882" s="114"/>
      <c r="CF882" s="114"/>
      <c r="CG882" s="114"/>
      <c r="CH882" s="114"/>
      <c r="CI882" s="114"/>
      <c r="CJ882" s="114"/>
      <c r="CK882" s="114"/>
      <c r="CL882" s="114"/>
      <c r="CM882" s="114"/>
      <c r="CN882" s="128"/>
      <c r="CO882" s="128"/>
      <c r="CP882" s="128"/>
      <c r="CQ882" s="128"/>
      <c r="CR882" s="128"/>
      <c r="CS882" s="128"/>
      <c r="CT882" s="128"/>
      <c r="CU882" s="128"/>
      <c r="CV882" s="128"/>
      <c r="CW882" s="128"/>
      <c r="CX882" s="128"/>
      <c r="CY882" s="128"/>
    </row>
    <row r="883" spans="1:103" ht="11.25" customHeight="1" x14ac:dyDescent="0.3">
      <c r="A883" s="113"/>
      <c r="B883" s="113"/>
      <c r="C883" s="113"/>
      <c r="D883" s="114"/>
      <c r="E883" s="114"/>
      <c r="F883" s="115"/>
      <c r="G883" s="116"/>
      <c r="H883" s="117"/>
      <c r="I883" s="117"/>
      <c r="J883" s="114"/>
      <c r="K883" s="118"/>
      <c r="L883" s="119"/>
      <c r="M883" s="120"/>
      <c r="N883" s="117"/>
      <c r="O883" s="116"/>
      <c r="P883" s="116"/>
      <c r="Q883" s="116"/>
      <c r="R883" s="113"/>
      <c r="S883" s="121"/>
      <c r="T883" s="115"/>
      <c r="U883" s="117"/>
      <c r="V883" s="122"/>
      <c r="W883" s="122"/>
      <c r="X883" s="122"/>
      <c r="Y883" s="122"/>
      <c r="Z883" s="122"/>
      <c r="AA883" s="122"/>
      <c r="AB883" s="122"/>
      <c r="AC883" s="122"/>
      <c r="AD883" s="122"/>
      <c r="AE883" s="122"/>
      <c r="AF883" s="122"/>
      <c r="AG883" s="122"/>
      <c r="AH883" s="122"/>
      <c r="AI883" s="123"/>
      <c r="AJ883" s="122"/>
      <c r="AK883" s="122"/>
      <c r="AL883" s="122"/>
      <c r="AM883" s="122"/>
      <c r="AN883" s="122"/>
      <c r="AO883" s="122"/>
      <c r="AP883" s="124"/>
      <c r="AQ883" s="122"/>
      <c r="AR883" s="122"/>
      <c r="AS883" s="122"/>
      <c r="AT883" s="122"/>
      <c r="AU883" s="122"/>
      <c r="AV883" s="124"/>
      <c r="AW883" s="125"/>
      <c r="AX883" s="126"/>
      <c r="AY883" s="127"/>
      <c r="AZ883" s="127"/>
      <c r="BA883" s="122"/>
      <c r="BB883" s="122"/>
      <c r="BC883" s="125"/>
      <c r="BD883" s="125"/>
      <c r="BE883" s="125"/>
      <c r="BF883" s="123"/>
      <c r="BG883" s="125"/>
      <c r="BH883" s="125"/>
      <c r="BI883" s="125"/>
      <c r="BJ883" s="125"/>
      <c r="BK883" s="125"/>
      <c r="BL883" s="125"/>
      <c r="BM883" s="123"/>
      <c r="BN883" s="114"/>
      <c r="BO883" s="114"/>
      <c r="BP883" s="114"/>
      <c r="BQ883" s="114"/>
      <c r="BR883" s="114"/>
      <c r="BS883" s="114"/>
      <c r="BT883" s="114"/>
      <c r="BU883" s="114"/>
      <c r="BV883" s="114"/>
      <c r="BW883" s="114"/>
      <c r="BX883" s="114"/>
      <c r="BY883" s="114"/>
      <c r="BZ883" s="114"/>
      <c r="CA883" s="114"/>
      <c r="CB883" s="114"/>
      <c r="CC883" s="114"/>
      <c r="CD883" s="114"/>
      <c r="CE883" s="114"/>
      <c r="CF883" s="114"/>
      <c r="CG883" s="114"/>
      <c r="CH883" s="114"/>
      <c r="CI883" s="114"/>
      <c r="CJ883" s="114"/>
      <c r="CK883" s="114"/>
      <c r="CL883" s="114"/>
      <c r="CM883" s="114"/>
      <c r="CN883" s="128"/>
      <c r="CO883" s="128"/>
      <c r="CP883" s="128"/>
      <c r="CQ883" s="128"/>
      <c r="CR883" s="128"/>
      <c r="CS883" s="128"/>
      <c r="CT883" s="128"/>
      <c r="CU883" s="128"/>
      <c r="CV883" s="128"/>
      <c r="CW883" s="128"/>
      <c r="CX883" s="128"/>
      <c r="CY883" s="128"/>
    </row>
    <row r="884" spans="1:103" ht="11.25" customHeight="1" x14ac:dyDescent="0.3">
      <c r="A884" s="113"/>
      <c r="B884" s="113"/>
      <c r="C884" s="113"/>
      <c r="D884" s="114"/>
      <c r="E884" s="114"/>
      <c r="F884" s="115"/>
      <c r="G884" s="116"/>
      <c r="H884" s="117"/>
      <c r="I884" s="117"/>
      <c r="J884" s="114"/>
      <c r="K884" s="118"/>
      <c r="L884" s="119"/>
      <c r="M884" s="120"/>
      <c r="N884" s="117"/>
      <c r="O884" s="116"/>
      <c r="P884" s="116"/>
      <c r="Q884" s="116"/>
      <c r="R884" s="113"/>
      <c r="S884" s="121"/>
      <c r="T884" s="115"/>
      <c r="U884" s="117"/>
      <c r="V884" s="122"/>
      <c r="W884" s="122"/>
      <c r="X884" s="122"/>
      <c r="Y884" s="122"/>
      <c r="Z884" s="122"/>
      <c r="AA884" s="122"/>
      <c r="AB884" s="122"/>
      <c r="AC884" s="122"/>
      <c r="AD884" s="122"/>
      <c r="AE884" s="122"/>
      <c r="AF884" s="122"/>
      <c r="AG884" s="122"/>
      <c r="AH884" s="122"/>
      <c r="AI884" s="123"/>
      <c r="AJ884" s="122"/>
      <c r="AK884" s="122"/>
      <c r="AL884" s="122"/>
      <c r="AM884" s="122"/>
      <c r="AN884" s="122"/>
      <c r="AO884" s="122"/>
      <c r="AP884" s="124"/>
      <c r="AQ884" s="122"/>
      <c r="AR884" s="122"/>
      <c r="AS884" s="122"/>
      <c r="AT884" s="122"/>
      <c r="AU884" s="122"/>
      <c r="AV884" s="124"/>
      <c r="AW884" s="125"/>
      <c r="AX884" s="126"/>
      <c r="AY884" s="127"/>
      <c r="AZ884" s="127"/>
      <c r="BA884" s="122"/>
      <c r="BB884" s="122"/>
      <c r="BC884" s="125"/>
      <c r="BD884" s="125"/>
      <c r="BE884" s="125"/>
      <c r="BF884" s="123"/>
      <c r="BG884" s="125"/>
      <c r="BH884" s="125"/>
      <c r="BI884" s="125"/>
      <c r="BJ884" s="125"/>
      <c r="BK884" s="125"/>
      <c r="BL884" s="125"/>
      <c r="BM884" s="123"/>
      <c r="BN884" s="114"/>
      <c r="BO884" s="114"/>
      <c r="BP884" s="114"/>
      <c r="BQ884" s="114"/>
      <c r="BR884" s="114"/>
      <c r="BS884" s="114"/>
      <c r="BT884" s="114"/>
      <c r="BU884" s="114"/>
      <c r="BV884" s="114"/>
      <c r="BW884" s="114"/>
      <c r="BX884" s="114"/>
      <c r="BY884" s="114"/>
      <c r="BZ884" s="114"/>
      <c r="CA884" s="114"/>
      <c r="CB884" s="114"/>
      <c r="CC884" s="114"/>
      <c r="CD884" s="114"/>
      <c r="CE884" s="114"/>
      <c r="CF884" s="114"/>
      <c r="CG884" s="114"/>
      <c r="CH884" s="114"/>
      <c r="CI884" s="114"/>
      <c r="CJ884" s="114"/>
      <c r="CK884" s="114"/>
      <c r="CL884" s="114"/>
      <c r="CM884" s="114"/>
      <c r="CN884" s="128"/>
      <c r="CO884" s="128"/>
      <c r="CP884" s="128"/>
      <c r="CQ884" s="128"/>
      <c r="CR884" s="128"/>
      <c r="CS884" s="128"/>
      <c r="CT884" s="128"/>
      <c r="CU884" s="128"/>
      <c r="CV884" s="128"/>
      <c r="CW884" s="128"/>
      <c r="CX884" s="128"/>
      <c r="CY884" s="128"/>
    </row>
    <row r="885" spans="1:103" ht="11.25" customHeight="1" x14ac:dyDescent="0.3">
      <c r="A885" s="113"/>
      <c r="B885" s="113"/>
      <c r="C885" s="113"/>
      <c r="D885" s="114"/>
      <c r="E885" s="114"/>
      <c r="F885" s="115"/>
      <c r="G885" s="116"/>
      <c r="H885" s="117"/>
      <c r="I885" s="117"/>
      <c r="J885" s="114"/>
      <c r="K885" s="118"/>
      <c r="L885" s="119"/>
      <c r="M885" s="120"/>
      <c r="N885" s="117"/>
      <c r="O885" s="116"/>
      <c r="P885" s="116"/>
      <c r="Q885" s="116"/>
      <c r="R885" s="113"/>
      <c r="S885" s="121"/>
      <c r="T885" s="115"/>
      <c r="U885" s="117"/>
      <c r="V885" s="122"/>
      <c r="W885" s="122"/>
      <c r="X885" s="122"/>
      <c r="Y885" s="122"/>
      <c r="Z885" s="122"/>
      <c r="AA885" s="122"/>
      <c r="AB885" s="122"/>
      <c r="AC885" s="122"/>
      <c r="AD885" s="122"/>
      <c r="AE885" s="122"/>
      <c r="AF885" s="122"/>
      <c r="AG885" s="122"/>
      <c r="AH885" s="122"/>
      <c r="AI885" s="123"/>
      <c r="AJ885" s="122"/>
      <c r="AK885" s="122"/>
      <c r="AL885" s="122"/>
      <c r="AM885" s="122"/>
      <c r="AN885" s="122"/>
      <c r="AO885" s="122"/>
      <c r="AP885" s="124"/>
      <c r="AQ885" s="122"/>
      <c r="AR885" s="122"/>
      <c r="AS885" s="122"/>
      <c r="AT885" s="122"/>
      <c r="AU885" s="122"/>
      <c r="AV885" s="124"/>
      <c r="AW885" s="125"/>
      <c r="AX885" s="126"/>
      <c r="AY885" s="127"/>
      <c r="AZ885" s="127"/>
      <c r="BA885" s="122"/>
      <c r="BB885" s="122"/>
      <c r="BC885" s="125"/>
      <c r="BD885" s="125"/>
      <c r="BE885" s="125"/>
      <c r="BF885" s="123"/>
      <c r="BG885" s="125"/>
      <c r="BH885" s="125"/>
      <c r="BI885" s="125"/>
      <c r="BJ885" s="125"/>
      <c r="BK885" s="125"/>
      <c r="BL885" s="125"/>
      <c r="BM885" s="123"/>
      <c r="BN885" s="114"/>
      <c r="BO885" s="114"/>
      <c r="BP885" s="114"/>
      <c r="BQ885" s="114"/>
      <c r="BR885" s="114"/>
      <c r="BS885" s="114"/>
      <c r="BT885" s="114"/>
      <c r="BU885" s="114"/>
      <c r="BV885" s="114"/>
      <c r="BW885" s="114"/>
      <c r="BX885" s="114"/>
      <c r="BY885" s="114"/>
      <c r="BZ885" s="114"/>
      <c r="CA885" s="114"/>
      <c r="CB885" s="114"/>
      <c r="CC885" s="114"/>
      <c r="CD885" s="114"/>
      <c r="CE885" s="114"/>
      <c r="CF885" s="114"/>
      <c r="CG885" s="114"/>
      <c r="CH885" s="114"/>
      <c r="CI885" s="114"/>
      <c r="CJ885" s="114"/>
      <c r="CK885" s="114"/>
      <c r="CL885" s="114"/>
      <c r="CM885" s="114"/>
      <c r="CN885" s="128"/>
      <c r="CO885" s="128"/>
      <c r="CP885" s="128"/>
      <c r="CQ885" s="128"/>
      <c r="CR885" s="128"/>
      <c r="CS885" s="128"/>
      <c r="CT885" s="128"/>
      <c r="CU885" s="128"/>
      <c r="CV885" s="128"/>
      <c r="CW885" s="128"/>
      <c r="CX885" s="128"/>
      <c r="CY885" s="128"/>
    </row>
    <row r="886" spans="1:103" ht="11.25" customHeight="1" x14ac:dyDescent="0.3">
      <c r="A886" s="113"/>
      <c r="B886" s="113"/>
      <c r="C886" s="113"/>
      <c r="D886" s="114"/>
      <c r="E886" s="114"/>
      <c r="F886" s="115"/>
      <c r="G886" s="116"/>
      <c r="H886" s="117"/>
      <c r="I886" s="117"/>
      <c r="J886" s="114"/>
      <c r="K886" s="118"/>
      <c r="L886" s="119"/>
      <c r="M886" s="120"/>
      <c r="N886" s="117"/>
      <c r="O886" s="116"/>
      <c r="P886" s="116"/>
      <c r="Q886" s="116"/>
      <c r="R886" s="113"/>
      <c r="S886" s="121"/>
      <c r="T886" s="115"/>
      <c r="U886" s="117"/>
      <c r="V886" s="122"/>
      <c r="W886" s="122"/>
      <c r="X886" s="122"/>
      <c r="Y886" s="122"/>
      <c r="Z886" s="122"/>
      <c r="AA886" s="122"/>
      <c r="AB886" s="122"/>
      <c r="AC886" s="122"/>
      <c r="AD886" s="122"/>
      <c r="AE886" s="122"/>
      <c r="AF886" s="122"/>
      <c r="AG886" s="122"/>
      <c r="AH886" s="122"/>
      <c r="AI886" s="123"/>
      <c r="AJ886" s="122"/>
      <c r="AK886" s="122"/>
      <c r="AL886" s="122"/>
      <c r="AM886" s="122"/>
      <c r="AN886" s="122"/>
      <c r="AO886" s="122"/>
      <c r="AP886" s="124"/>
      <c r="AQ886" s="122"/>
      <c r="AR886" s="122"/>
      <c r="AS886" s="122"/>
      <c r="AT886" s="122"/>
      <c r="AU886" s="122"/>
      <c r="AV886" s="124"/>
      <c r="AW886" s="125"/>
      <c r="AX886" s="126"/>
      <c r="AY886" s="127"/>
      <c r="AZ886" s="127"/>
      <c r="BA886" s="122"/>
      <c r="BB886" s="122"/>
      <c r="BC886" s="125"/>
      <c r="BD886" s="125"/>
      <c r="BE886" s="125"/>
      <c r="BF886" s="123"/>
      <c r="BG886" s="125"/>
      <c r="BH886" s="125"/>
      <c r="BI886" s="125"/>
      <c r="BJ886" s="125"/>
      <c r="BK886" s="125"/>
      <c r="BL886" s="125"/>
      <c r="BM886" s="123"/>
      <c r="BN886" s="114"/>
      <c r="BO886" s="114"/>
      <c r="BP886" s="114"/>
      <c r="BQ886" s="114"/>
      <c r="BR886" s="114"/>
      <c r="BS886" s="114"/>
      <c r="BT886" s="114"/>
      <c r="BU886" s="114"/>
      <c r="BV886" s="114"/>
      <c r="BW886" s="114"/>
      <c r="BX886" s="114"/>
      <c r="BY886" s="114"/>
      <c r="BZ886" s="114"/>
      <c r="CA886" s="114"/>
      <c r="CB886" s="114"/>
      <c r="CC886" s="114"/>
      <c r="CD886" s="114"/>
      <c r="CE886" s="114"/>
      <c r="CF886" s="114"/>
      <c r="CG886" s="114"/>
      <c r="CH886" s="114"/>
      <c r="CI886" s="114"/>
      <c r="CJ886" s="114"/>
      <c r="CK886" s="114"/>
      <c r="CL886" s="114"/>
      <c r="CM886" s="114"/>
      <c r="CN886" s="128"/>
      <c r="CO886" s="128"/>
      <c r="CP886" s="128"/>
      <c r="CQ886" s="128"/>
      <c r="CR886" s="128"/>
      <c r="CS886" s="128"/>
      <c r="CT886" s="128"/>
      <c r="CU886" s="128"/>
      <c r="CV886" s="128"/>
      <c r="CW886" s="128"/>
      <c r="CX886" s="128"/>
      <c r="CY886" s="128"/>
    </row>
    <row r="887" spans="1:103" ht="11.25" customHeight="1" x14ac:dyDescent="0.3">
      <c r="A887" s="113"/>
      <c r="B887" s="113"/>
      <c r="C887" s="113"/>
      <c r="D887" s="114"/>
      <c r="E887" s="114"/>
      <c r="F887" s="115"/>
      <c r="G887" s="116"/>
      <c r="H887" s="117"/>
      <c r="I887" s="117"/>
      <c r="J887" s="114"/>
      <c r="K887" s="118"/>
      <c r="L887" s="119"/>
      <c r="M887" s="120"/>
      <c r="N887" s="117"/>
      <c r="O887" s="116"/>
      <c r="P887" s="116"/>
      <c r="Q887" s="116"/>
      <c r="R887" s="113"/>
      <c r="S887" s="121"/>
      <c r="T887" s="115"/>
      <c r="U887" s="117"/>
      <c r="V887" s="122"/>
      <c r="W887" s="122"/>
      <c r="X887" s="122"/>
      <c r="Y887" s="122"/>
      <c r="Z887" s="122"/>
      <c r="AA887" s="122"/>
      <c r="AB887" s="122"/>
      <c r="AC887" s="122"/>
      <c r="AD887" s="122"/>
      <c r="AE887" s="122"/>
      <c r="AF887" s="122"/>
      <c r="AG887" s="122"/>
      <c r="AH887" s="122"/>
      <c r="AI887" s="123"/>
      <c r="AJ887" s="122"/>
      <c r="AK887" s="122"/>
      <c r="AL887" s="122"/>
      <c r="AM887" s="122"/>
      <c r="AN887" s="122"/>
      <c r="AO887" s="122"/>
      <c r="AP887" s="124"/>
      <c r="AQ887" s="122"/>
      <c r="AR887" s="122"/>
      <c r="AS887" s="122"/>
      <c r="AT887" s="122"/>
      <c r="AU887" s="122"/>
      <c r="AV887" s="124"/>
      <c r="AW887" s="125"/>
      <c r="AX887" s="126"/>
      <c r="AY887" s="127"/>
      <c r="AZ887" s="127"/>
      <c r="BA887" s="122"/>
      <c r="BB887" s="122"/>
      <c r="BC887" s="125"/>
      <c r="BD887" s="125"/>
      <c r="BE887" s="125"/>
      <c r="BF887" s="123"/>
      <c r="BG887" s="125"/>
      <c r="BH887" s="125"/>
      <c r="BI887" s="125"/>
      <c r="BJ887" s="125"/>
      <c r="BK887" s="125"/>
      <c r="BL887" s="125"/>
      <c r="BM887" s="123"/>
      <c r="BN887" s="114"/>
      <c r="BO887" s="114"/>
      <c r="BP887" s="114"/>
      <c r="BQ887" s="114"/>
      <c r="BR887" s="114"/>
      <c r="BS887" s="114"/>
      <c r="BT887" s="114"/>
      <c r="BU887" s="114"/>
      <c r="BV887" s="114"/>
      <c r="BW887" s="114"/>
      <c r="BX887" s="114"/>
      <c r="BY887" s="114"/>
      <c r="BZ887" s="114"/>
      <c r="CA887" s="114"/>
      <c r="CB887" s="114"/>
      <c r="CC887" s="114"/>
      <c r="CD887" s="114"/>
      <c r="CE887" s="114"/>
      <c r="CF887" s="114"/>
      <c r="CG887" s="114"/>
      <c r="CH887" s="114"/>
      <c r="CI887" s="114"/>
      <c r="CJ887" s="114"/>
      <c r="CK887" s="114"/>
      <c r="CL887" s="114"/>
      <c r="CM887" s="114"/>
      <c r="CN887" s="128"/>
      <c r="CO887" s="128"/>
      <c r="CP887" s="128"/>
      <c r="CQ887" s="128"/>
      <c r="CR887" s="128"/>
      <c r="CS887" s="128"/>
      <c r="CT887" s="128"/>
      <c r="CU887" s="128"/>
      <c r="CV887" s="128"/>
      <c r="CW887" s="128"/>
      <c r="CX887" s="128"/>
      <c r="CY887" s="128"/>
    </row>
    <row r="888" spans="1:103" ht="11.25" customHeight="1" x14ac:dyDescent="0.3">
      <c r="A888" s="113"/>
      <c r="B888" s="113"/>
      <c r="C888" s="113"/>
      <c r="D888" s="114"/>
      <c r="E888" s="114"/>
      <c r="F888" s="115"/>
      <c r="G888" s="116"/>
      <c r="H888" s="117"/>
      <c r="I888" s="117"/>
      <c r="J888" s="114"/>
      <c r="K888" s="118"/>
      <c r="L888" s="119"/>
      <c r="M888" s="120"/>
      <c r="N888" s="117"/>
      <c r="O888" s="116"/>
      <c r="P888" s="116"/>
      <c r="Q888" s="116"/>
      <c r="R888" s="113"/>
      <c r="S888" s="121"/>
      <c r="T888" s="115"/>
      <c r="U888" s="117"/>
      <c r="V888" s="122"/>
      <c r="W888" s="122"/>
      <c r="X888" s="122"/>
      <c r="Y888" s="122"/>
      <c r="Z888" s="122"/>
      <c r="AA888" s="122"/>
      <c r="AB888" s="122"/>
      <c r="AC888" s="122"/>
      <c r="AD888" s="122"/>
      <c r="AE888" s="122"/>
      <c r="AF888" s="122"/>
      <c r="AG888" s="122"/>
      <c r="AH888" s="122"/>
      <c r="AI888" s="123"/>
      <c r="AJ888" s="122"/>
      <c r="AK888" s="122"/>
      <c r="AL888" s="122"/>
      <c r="AM888" s="122"/>
      <c r="AN888" s="122"/>
      <c r="AO888" s="122"/>
      <c r="AP888" s="124"/>
      <c r="AQ888" s="122"/>
      <c r="AR888" s="122"/>
      <c r="AS888" s="122"/>
      <c r="AT888" s="122"/>
      <c r="AU888" s="122"/>
      <c r="AV888" s="124"/>
      <c r="AW888" s="125"/>
      <c r="AX888" s="126"/>
      <c r="AY888" s="127"/>
      <c r="AZ888" s="127"/>
      <c r="BA888" s="122"/>
      <c r="BB888" s="122"/>
      <c r="BC888" s="125"/>
      <c r="BD888" s="125"/>
      <c r="BE888" s="125"/>
      <c r="BF888" s="123"/>
      <c r="BG888" s="125"/>
      <c r="BH888" s="125"/>
      <c r="BI888" s="125"/>
      <c r="BJ888" s="125"/>
      <c r="BK888" s="125"/>
      <c r="BL888" s="125"/>
      <c r="BM888" s="123"/>
      <c r="BN888" s="114"/>
      <c r="BO888" s="114"/>
      <c r="BP888" s="114"/>
      <c r="BQ888" s="114"/>
      <c r="BR888" s="114"/>
      <c r="BS888" s="114"/>
      <c r="BT888" s="114"/>
      <c r="BU888" s="114"/>
      <c r="BV888" s="114"/>
      <c r="BW888" s="114"/>
      <c r="BX888" s="114"/>
      <c r="BY888" s="114"/>
      <c r="BZ888" s="114"/>
      <c r="CA888" s="114"/>
      <c r="CB888" s="114"/>
      <c r="CC888" s="114"/>
      <c r="CD888" s="114"/>
      <c r="CE888" s="114"/>
      <c r="CF888" s="114"/>
      <c r="CG888" s="114"/>
      <c r="CH888" s="114"/>
      <c r="CI888" s="114"/>
      <c r="CJ888" s="114"/>
      <c r="CK888" s="114"/>
      <c r="CL888" s="114"/>
      <c r="CM888" s="114"/>
      <c r="CN888" s="128"/>
      <c r="CO888" s="128"/>
      <c r="CP888" s="128"/>
      <c r="CQ888" s="128"/>
      <c r="CR888" s="128"/>
      <c r="CS888" s="128"/>
      <c r="CT888" s="128"/>
      <c r="CU888" s="128"/>
      <c r="CV888" s="128"/>
      <c r="CW888" s="128"/>
      <c r="CX888" s="128"/>
      <c r="CY888" s="128"/>
    </row>
    <row r="889" spans="1:103" ht="11.25" customHeight="1" x14ac:dyDescent="0.3">
      <c r="A889" s="113"/>
      <c r="B889" s="113"/>
      <c r="C889" s="113"/>
      <c r="D889" s="114"/>
      <c r="E889" s="114"/>
      <c r="F889" s="115"/>
      <c r="G889" s="116"/>
      <c r="H889" s="117"/>
      <c r="I889" s="117"/>
      <c r="J889" s="114"/>
      <c r="K889" s="118"/>
      <c r="L889" s="119"/>
      <c r="M889" s="120"/>
      <c r="N889" s="117"/>
      <c r="O889" s="116"/>
      <c r="P889" s="116"/>
      <c r="Q889" s="116"/>
      <c r="R889" s="113"/>
      <c r="S889" s="121"/>
      <c r="T889" s="115"/>
      <c r="U889" s="117"/>
      <c r="V889" s="122"/>
      <c r="W889" s="122"/>
      <c r="X889" s="122"/>
      <c r="Y889" s="122"/>
      <c r="Z889" s="122"/>
      <c r="AA889" s="122"/>
      <c r="AB889" s="122"/>
      <c r="AC889" s="122"/>
      <c r="AD889" s="122"/>
      <c r="AE889" s="122"/>
      <c r="AF889" s="122"/>
      <c r="AG889" s="122"/>
      <c r="AH889" s="122"/>
      <c r="AI889" s="123"/>
      <c r="AJ889" s="122"/>
      <c r="AK889" s="122"/>
      <c r="AL889" s="122"/>
      <c r="AM889" s="122"/>
      <c r="AN889" s="122"/>
      <c r="AO889" s="122"/>
      <c r="AP889" s="124"/>
      <c r="AQ889" s="122"/>
      <c r="AR889" s="122"/>
      <c r="AS889" s="122"/>
      <c r="AT889" s="122"/>
      <c r="AU889" s="122"/>
      <c r="AV889" s="124"/>
      <c r="AW889" s="125"/>
      <c r="AX889" s="126"/>
      <c r="AY889" s="127"/>
      <c r="AZ889" s="127"/>
      <c r="BA889" s="122"/>
      <c r="BB889" s="122"/>
      <c r="BC889" s="125"/>
      <c r="BD889" s="125"/>
      <c r="BE889" s="125"/>
      <c r="BF889" s="123"/>
      <c r="BG889" s="125"/>
      <c r="BH889" s="125"/>
      <c r="BI889" s="125"/>
      <c r="BJ889" s="125"/>
      <c r="BK889" s="125"/>
      <c r="BL889" s="125"/>
      <c r="BM889" s="123"/>
      <c r="BN889" s="114"/>
      <c r="BO889" s="114"/>
      <c r="BP889" s="114"/>
      <c r="BQ889" s="114"/>
      <c r="BR889" s="114"/>
      <c r="BS889" s="114"/>
      <c r="BT889" s="114"/>
      <c r="BU889" s="114"/>
      <c r="BV889" s="114"/>
      <c r="BW889" s="114"/>
      <c r="BX889" s="114"/>
      <c r="BY889" s="114"/>
      <c r="BZ889" s="114"/>
      <c r="CA889" s="114"/>
      <c r="CB889" s="114"/>
      <c r="CC889" s="114"/>
      <c r="CD889" s="114"/>
      <c r="CE889" s="114"/>
      <c r="CF889" s="114"/>
      <c r="CG889" s="114"/>
      <c r="CH889" s="114"/>
      <c r="CI889" s="114"/>
      <c r="CJ889" s="114"/>
      <c r="CK889" s="114"/>
      <c r="CL889" s="114"/>
      <c r="CM889" s="114"/>
      <c r="CN889" s="128"/>
      <c r="CO889" s="128"/>
      <c r="CP889" s="128"/>
      <c r="CQ889" s="128"/>
      <c r="CR889" s="128"/>
      <c r="CS889" s="128"/>
      <c r="CT889" s="128"/>
      <c r="CU889" s="128"/>
      <c r="CV889" s="128"/>
      <c r="CW889" s="128"/>
      <c r="CX889" s="128"/>
      <c r="CY889" s="128"/>
    </row>
    <row r="890" spans="1:103" ht="11.25" customHeight="1" x14ac:dyDescent="0.3">
      <c r="A890" s="113"/>
      <c r="B890" s="113"/>
      <c r="C890" s="113"/>
      <c r="D890" s="114"/>
      <c r="E890" s="114"/>
      <c r="F890" s="115"/>
      <c r="G890" s="116"/>
      <c r="H890" s="117"/>
      <c r="I890" s="117"/>
      <c r="J890" s="114"/>
      <c r="K890" s="118"/>
      <c r="L890" s="119"/>
      <c r="M890" s="120"/>
      <c r="N890" s="117"/>
      <c r="O890" s="116"/>
      <c r="P890" s="116"/>
      <c r="Q890" s="116"/>
      <c r="R890" s="113"/>
      <c r="S890" s="121"/>
      <c r="T890" s="115"/>
      <c r="U890" s="117"/>
      <c r="V890" s="122"/>
      <c r="W890" s="122"/>
      <c r="X890" s="122"/>
      <c r="Y890" s="122"/>
      <c r="Z890" s="122"/>
      <c r="AA890" s="122"/>
      <c r="AB890" s="122"/>
      <c r="AC890" s="122"/>
      <c r="AD890" s="122"/>
      <c r="AE890" s="122"/>
      <c r="AF890" s="122"/>
      <c r="AG890" s="122"/>
      <c r="AH890" s="122"/>
      <c r="AI890" s="123"/>
      <c r="AJ890" s="122"/>
      <c r="AK890" s="122"/>
      <c r="AL890" s="122"/>
      <c r="AM890" s="122"/>
      <c r="AN890" s="122"/>
      <c r="AO890" s="122"/>
      <c r="AP890" s="124"/>
      <c r="AQ890" s="122"/>
      <c r="AR890" s="122"/>
      <c r="AS890" s="122"/>
      <c r="AT890" s="122"/>
      <c r="AU890" s="122"/>
      <c r="AV890" s="124"/>
      <c r="AW890" s="125"/>
      <c r="AX890" s="126"/>
      <c r="AY890" s="127"/>
      <c r="AZ890" s="127"/>
      <c r="BA890" s="122"/>
      <c r="BB890" s="122"/>
      <c r="BC890" s="125"/>
      <c r="BD890" s="125"/>
      <c r="BE890" s="125"/>
      <c r="BF890" s="123"/>
      <c r="BG890" s="125"/>
      <c r="BH890" s="125"/>
      <c r="BI890" s="125"/>
      <c r="BJ890" s="125"/>
      <c r="BK890" s="125"/>
      <c r="BL890" s="125"/>
      <c r="BM890" s="123"/>
      <c r="BN890" s="114"/>
      <c r="BO890" s="114"/>
      <c r="BP890" s="114"/>
      <c r="BQ890" s="114"/>
      <c r="BR890" s="114"/>
      <c r="BS890" s="114"/>
      <c r="BT890" s="114"/>
      <c r="BU890" s="114"/>
      <c r="BV890" s="114"/>
      <c r="BW890" s="114"/>
      <c r="BX890" s="114"/>
      <c r="BY890" s="114"/>
      <c r="BZ890" s="114"/>
      <c r="CA890" s="114"/>
      <c r="CB890" s="114"/>
      <c r="CC890" s="114"/>
      <c r="CD890" s="114"/>
      <c r="CE890" s="114"/>
      <c r="CF890" s="114"/>
      <c r="CG890" s="114"/>
      <c r="CH890" s="114"/>
      <c r="CI890" s="114"/>
      <c r="CJ890" s="114"/>
      <c r="CK890" s="114"/>
      <c r="CL890" s="114"/>
      <c r="CM890" s="114"/>
      <c r="CN890" s="128"/>
      <c r="CO890" s="128"/>
      <c r="CP890" s="128"/>
      <c r="CQ890" s="128"/>
      <c r="CR890" s="128"/>
      <c r="CS890" s="128"/>
      <c r="CT890" s="128"/>
      <c r="CU890" s="128"/>
      <c r="CV890" s="128"/>
      <c r="CW890" s="128"/>
      <c r="CX890" s="128"/>
      <c r="CY890" s="128"/>
    </row>
  </sheetData>
  <conditionalFormatting sqref="A1:J890 K2:M890 N1:CY890">
    <cfRule type="cellIs" dxfId="7" priority="1" operator="equal">
      <formula>-2</formula>
    </cfRule>
    <cfRule type="cellIs" dxfId="6" priority="2" operator="equal">
      <formula>-1</formula>
    </cfRule>
    <cfRule type="cellIs" dxfId="5" priority="3" operator="equal">
      <formula>0</formula>
    </cfRule>
    <cfRule type="cellIs" dxfId="4" priority="4" operator="equal">
      <formula>1</formula>
    </cfRule>
    <cfRule type="cellIs" dxfId="3" priority="5" operator="equal">
      <formula>2</formula>
    </cfRule>
    <cfRule type="cellIs" dxfId="2" priority="6" operator="equal">
      <formula>"Active"</formula>
    </cfRule>
    <cfRule type="cellIs" dxfId="1" priority="7" operator="equal">
      <formula>"Break"</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266"/>
  <sheetViews>
    <sheetView workbookViewId="0">
      <pane ySplit="1" topLeftCell="A2" activePane="bottomLeft" state="frozen"/>
      <selection pane="bottomLeft" activeCell="A2" sqref="A2"/>
    </sheetView>
  </sheetViews>
  <sheetFormatPr defaultColWidth="14.44140625" defaultRowHeight="15" customHeight="1" x14ac:dyDescent="0.3"/>
  <cols>
    <col min="1" max="1" width="14.109375" customWidth="1"/>
    <col min="2" max="2" width="21" customWidth="1"/>
    <col min="3" max="3" width="13.33203125" customWidth="1"/>
    <col min="4" max="4" width="12.109375" customWidth="1"/>
    <col min="5" max="5" width="16.44140625" customWidth="1"/>
    <col min="6" max="6" width="21.33203125" customWidth="1"/>
    <col min="7" max="7" width="20.33203125" customWidth="1"/>
    <col min="8" max="8" width="34.88671875" customWidth="1"/>
    <col min="9" max="9" width="22" customWidth="1"/>
    <col min="10" max="11" width="38.6640625" customWidth="1"/>
    <col min="12" max="12" width="13.5546875" customWidth="1"/>
    <col min="13" max="13" width="16.6640625" customWidth="1"/>
    <col min="14" max="15" width="19.33203125" customWidth="1"/>
    <col min="16" max="16" width="16.109375" customWidth="1"/>
    <col min="17" max="17" width="40.88671875" customWidth="1"/>
    <col min="18" max="18" width="36.88671875" customWidth="1"/>
    <col min="19" max="20" width="58.109375" customWidth="1"/>
    <col min="21" max="22" width="95.6640625" customWidth="1"/>
    <col min="23" max="23" width="47.6640625" customWidth="1"/>
    <col min="24" max="24" width="58.33203125" customWidth="1"/>
    <col min="25" max="25" width="125.6640625" customWidth="1"/>
    <col min="26" max="26" width="79.6640625" customWidth="1"/>
    <col min="27" max="27" width="109.88671875" customWidth="1"/>
    <col min="28" max="28" width="88.6640625" customWidth="1"/>
    <col min="29" max="29" width="255.6640625" customWidth="1"/>
    <col min="30" max="30" width="120.6640625" customWidth="1"/>
    <col min="31" max="31" width="30.6640625" customWidth="1"/>
    <col min="32" max="32" width="8" customWidth="1"/>
    <col min="33" max="33" width="8.88671875" customWidth="1"/>
    <col min="34" max="34" width="13.44140625" customWidth="1"/>
    <col min="35" max="35" width="12.44140625" customWidth="1"/>
    <col min="36" max="36" width="255.6640625" customWidth="1"/>
  </cols>
  <sheetData>
    <row r="1" spans="1:36" ht="28.8" x14ac:dyDescent="0.3">
      <c r="A1" s="2" t="s">
        <v>1</v>
      </c>
      <c r="B1" s="4" t="s">
        <v>7</v>
      </c>
      <c r="C1" s="2" t="s">
        <v>9</v>
      </c>
      <c r="D1" s="2" t="s">
        <v>11</v>
      </c>
      <c r="E1" s="2" t="s">
        <v>13</v>
      </c>
      <c r="F1" s="2" t="s">
        <v>15</v>
      </c>
      <c r="G1" s="2" t="s">
        <v>16</v>
      </c>
      <c r="H1" s="8" t="s">
        <v>18</v>
      </c>
      <c r="I1" s="8" t="s">
        <v>20</v>
      </c>
      <c r="J1" s="2" t="s">
        <v>21</v>
      </c>
      <c r="K1" s="2" t="s">
        <v>23</v>
      </c>
      <c r="L1" s="11" t="s">
        <v>25</v>
      </c>
      <c r="M1" s="12" t="s">
        <v>28</v>
      </c>
      <c r="N1" s="2" t="s">
        <v>34</v>
      </c>
      <c r="O1" s="14" t="s">
        <v>36</v>
      </c>
      <c r="P1" s="16" t="s">
        <v>38</v>
      </c>
      <c r="Q1" s="16" t="s">
        <v>42</v>
      </c>
      <c r="R1" s="2" t="s">
        <v>45</v>
      </c>
      <c r="S1" s="8" t="s">
        <v>47</v>
      </c>
      <c r="T1" s="8" t="s">
        <v>49</v>
      </c>
      <c r="U1" s="8" t="s">
        <v>51</v>
      </c>
      <c r="V1" s="8" t="s">
        <v>53</v>
      </c>
      <c r="W1" s="8" t="s">
        <v>55</v>
      </c>
      <c r="X1" s="8" t="s">
        <v>57</v>
      </c>
      <c r="Y1" s="8" t="s">
        <v>59</v>
      </c>
      <c r="Z1" s="8" t="s">
        <v>60</v>
      </c>
      <c r="AA1" s="8" t="s">
        <v>62</v>
      </c>
      <c r="AB1" s="12" t="s">
        <v>63</v>
      </c>
      <c r="AC1" s="12" t="s">
        <v>65</v>
      </c>
      <c r="AD1" s="12" t="s">
        <v>67</v>
      </c>
      <c r="AE1" s="12" t="s">
        <v>69</v>
      </c>
      <c r="AF1" s="12" t="s">
        <v>71</v>
      </c>
      <c r="AG1" s="12" t="s">
        <v>74</v>
      </c>
      <c r="AH1" s="12" t="s">
        <v>77</v>
      </c>
      <c r="AI1" s="12" t="s">
        <v>80</v>
      </c>
      <c r="AJ1" s="12" t="s">
        <v>82</v>
      </c>
    </row>
    <row r="2" spans="1:36" ht="15.75" customHeight="1" x14ac:dyDescent="0.3">
      <c r="A2" s="21">
        <v>2024</v>
      </c>
      <c r="B2" s="22">
        <v>45372.928398356482</v>
      </c>
      <c r="C2" s="21" t="s">
        <v>88</v>
      </c>
      <c r="D2" s="21" t="s">
        <v>90</v>
      </c>
      <c r="E2" s="21" t="s">
        <v>90</v>
      </c>
      <c r="F2" s="21" t="s">
        <v>90</v>
      </c>
      <c r="G2" s="21" t="s">
        <v>93</v>
      </c>
      <c r="H2" s="21" t="s">
        <v>95</v>
      </c>
      <c r="I2" s="21" t="s">
        <v>97</v>
      </c>
      <c r="J2" s="21" t="s">
        <v>98</v>
      </c>
      <c r="K2" s="21" t="e">
        <f t="shared" ref="K2:K256" ca="1" si="0">_xludf.TEXTJOIN(" ",TRUE,I2:J2)</f>
        <v>#NAME?</v>
      </c>
      <c r="L2" s="24">
        <v>1985</v>
      </c>
      <c r="N2" s="21" t="s">
        <v>111</v>
      </c>
      <c r="O2" s="21" t="s">
        <v>112</v>
      </c>
      <c r="P2" s="26">
        <v>6303372946</v>
      </c>
      <c r="Q2" s="26" t="str">
        <f>P2&amp;"/"&amp;L2</f>
        <v>6303372946/1985</v>
      </c>
      <c r="R2" s="21" t="s">
        <v>118</v>
      </c>
      <c r="S2" s="21" t="s">
        <v>119</v>
      </c>
      <c r="T2" s="21" t="s">
        <v>119</v>
      </c>
      <c r="U2" s="21" t="s">
        <v>121</v>
      </c>
      <c r="V2" s="21" t="s">
        <v>121</v>
      </c>
      <c r="W2" s="21" t="s">
        <v>123</v>
      </c>
      <c r="X2" s="21" t="s">
        <v>124</v>
      </c>
      <c r="Y2" s="21" t="s">
        <v>126</v>
      </c>
      <c r="Z2" s="21" t="s">
        <v>127</v>
      </c>
      <c r="AA2" s="21" t="s">
        <v>88</v>
      </c>
      <c r="AB2" s="21" t="s">
        <v>129</v>
      </c>
      <c r="AC2" s="21" t="s">
        <v>131</v>
      </c>
      <c r="AD2" s="21" t="s">
        <v>132</v>
      </c>
      <c r="AE2" s="21" t="s">
        <v>133</v>
      </c>
      <c r="AF2" s="21" t="s">
        <v>135</v>
      </c>
      <c r="AG2" s="21" t="s">
        <v>135</v>
      </c>
      <c r="AH2" s="21" t="s">
        <v>135</v>
      </c>
      <c r="AI2" s="21" t="s">
        <v>135</v>
      </c>
      <c r="AJ2" s="21" t="s">
        <v>138</v>
      </c>
    </row>
    <row r="3" spans="1:36" ht="15.75" customHeight="1" x14ac:dyDescent="0.3">
      <c r="A3" s="21">
        <v>2024</v>
      </c>
      <c r="B3" s="22">
        <v>45384.322444351856</v>
      </c>
      <c r="C3" s="21" t="s">
        <v>88</v>
      </c>
      <c r="D3" s="21" t="s">
        <v>90</v>
      </c>
      <c r="E3" s="21" t="s">
        <v>90</v>
      </c>
      <c r="F3" s="21" t="s">
        <v>90</v>
      </c>
      <c r="G3" s="21" t="s">
        <v>93</v>
      </c>
      <c r="H3" s="21" t="s">
        <v>142</v>
      </c>
      <c r="I3" s="21" t="s">
        <v>143</v>
      </c>
      <c r="J3" s="21" t="s">
        <v>145</v>
      </c>
      <c r="K3" s="21" t="e">
        <f t="shared" ca="1" si="0"/>
        <v>#NAME?</v>
      </c>
      <c r="L3" s="24">
        <v>1988</v>
      </c>
      <c r="N3" s="21" t="s">
        <v>111</v>
      </c>
      <c r="O3" s="21" t="s">
        <v>112</v>
      </c>
      <c r="P3" s="26">
        <v>9963023525</v>
      </c>
      <c r="Q3" s="26" t="e">
        <f t="shared" ref="Q3:Q257" ca="1" si="1">P3&amp;"/"&amp;L3&amp;"/"&amp;K3</f>
        <v>#NAME?</v>
      </c>
      <c r="R3" s="21" t="s">
        <v>156</v>
      </c>
      <c r="S3" s="21" t="s">
        <v>158</v>
      </c>
      <c r="T3" s="21" t="s">
        <v>158</v>
      </c>
      <c r="U3" s="21" t="s">
        <v>160</v>
      </c>
      <c r="V3" s="21" t="s">
        <v>160</v>
      </c>
      <c r="W3" s="21" t="s">
        <v>162</v>
      </c>
      <c r="X3" s="21" t="s">
        <v>163</v>
      </c>
      <c r="Y3" s="21" t="s">
        <v>165</v>
      </c>
      <c r="Z3" s="21" t="s">
        <v>127</v>
      </c>
      <c r="AA3" s="21" t="s">
        <v>88</v>
      </c>
      <c r="AB3" s="21" t="s">
        <v>129</v>
      </c>
      <c r="AC3" s="21" t="s">
        <v>168</v>
      </c>
      <c r="AD3" s="21" t="s">
        <v>169</v>
      </c>
      <c r="AE3" s="21" t="s">
        <v>133</v>
      </c>
      <c r="AF3" s="21" t="s">
        <v>135</v>
      </c>
      <c r="AG3" s="21" t="s">
        <v>135</v>
      </c>
      <c r="AH3" s="21" t="s">
        <v>135</v>
      </c>
      <c r="AI3" s="21" t="s">
        <v>135</v>
      </c>
    </row>
    <row r="4" spans="1:36" ht="15.75" customHeight="1" x14ac:dyDescent="0.3">
      <c r="A4" s="21">
        <v>2025</v>
      </c>
      <c r="B4" s="22">
        <v>45711.181101944443</v>
      </c>
      <c r="C4" s="21" t="s">
        <v>88</v>
      </c>
      <c r="D4" s="21" t="s">
        <v>90</v>
      </c>
      <c r="E4" s="21" t="s">
        <v>90</v>
      </c>
      <c r="F4" s="21" t="s">
        <v>90</v>
      </c>
      <c r="G4" s="21" t="s">
        <v>93</v>
      </c>
      <c r="H4" s="21" t="s">
        <v>171</v>
      </c>
      <c r="I4" s="21" t="s">
        <v>172</v>
      </c>
      <c r="J4" s="21" t="s">
        <v>173</v>
      </c>
      <c r="K4" s="21" t="e">
        <f t="shared" ca="1" si="0"/>
        <v>#NAME?</v>
      </c>
      <c r="L4" s="24">
        <v>1981</v>
      </c>
      <c r="N4" s="21" t="s">
        <v>111</v>
      </c>
      <c r="O4" s="21" t="s">
        <v>112</v>
      </c>
      <c r="P4" s="26">
        <v>9182062337</v>
      </c>
      <c r="Q4" s="26" t="e">
        <f t="shared" ca="1" si="1"/>
        <v>#NAME?</v>
      </c>
      <c r="R4" s="21" t="s">
        <v>174</v>
      </c>
      <c r="S4" s="21" t="s">
        <v>175</v>
      </c>
      <c r="T4" s="21" t="s">
        <v>175</v>
      </c>
      <c r="U4" s="21" t="s">
        <v>176</v>
      </c>
      <c r="V4" s="21" t="s">
        <v>176</v>
      </c>
      <c r="W4" s="21" t="s">
        <v>177</v>
      </c>
      <c r="X4" s="21" t="s">
        <v>178</v>
      </c>
      <c r="Y4" s="21" t="s">
        <v>179</v>
      </c>
      <c r="Z4" s="21" t="s">
        <v>180</v>
      </c>
      <c r="AA4" s="21" t="s">
        <v>88</v>
      </c>
      <c r="AB4" s="21" t="s">
        <v>129</v>
      </c>
      <c r="AC4" s="21" t="s">
        <v>181</v>
      </c>
      <c r="AD4" s="21" t="s">
        <v>169</v>
      </c>
      <c r="AE4" s="21" t="s">
        <v>133</v>
      </c>
      <c r="AF4" s="21" t="s">
        <v>135</v>
      </c>
      <c r="AG4" s="21" t="s">
        <v>135</v>
      </c>
      <c r="AH4" s="21" t="s">
        <v>135</v>
      </c>
      <c r="AI4" s="21" t="s">
        <v>135</v>
      </c>
    </row>
    <row r="5" spans="1:36" ht="15.75" customHeight="1" x14ac:dyDescent="0.3">
      <c r="A5" s="21">
        <v>2025</v>
      </c>
      <c r="B5" s="22">
        <v>45856.150011608799</v>
      </c>
      <c r="C5" s="21" t="s">
        <v>88</v>
      </c>
      <c r="D5" s="21" t="s">
        <v>183</v>
      </c>
      <c r="E5" s="21" t="s">
        <v>183</v>
      </c>
      <c r="F5" s="21" t="s">
        <v>90</v>
      </c>
      <c r="G5" s="21" t="s">
        <v>93</v>
      </c>
      <c r="H5" s="21" t="s">
        <v>185</v>
      </c>
      <c r="I5" s="21" t="s">
        <v>186</v>
      </c>
      <c r="J5" s="21" t="s">
        <v>187</v>
      </c>
      <c r="K5" s="21" t="e">
        <f t="shared" ca="1" si="0"/>
        <v>#NAME?</v>
      </c>
      <c r="L5" s="24">
        <v>1993</v>
      </c>
      <c r="M5" s="21">
        <v>2016</v>
      </c>
      <c r="N5" s="21" t="s">
        <v>111</v>
      </c>
      <c r="O5" s="21" t="s">
        <v>112</v>
      </c>
      <c r="P5" s="26">
        <v>9515248299</v>
      </c>
      <c r="Q5" s="26" t="e">
        <f t="shared" ca="1" si="1"/>
        <v>#NAME?</v>
      </c>
      <c r="R5" s="21" t="s">
        <v>188</v>
      </c>
      <c r="S5" s="21" t="s">
        <v>189</v>
      </c>
      <c r="T5" s="21" t="s">
        <v>189</v>
      </c>
      <c r="U5" s="21" t="s">
        <v>190</v>
      </c>
      <c r="V5" s="21" t="s">
        <v>190</v>
      </c>
      <c r="W5" s="21" t="s">
        <v>191</v>
      </c>
      <c r="X5" s="21" t="s">
        <v>192</v>
      </c>
      <c r="Y5" s="21" t="s">
        <v>194</v>
      </c>
      <c r="Z5" s="21" t="s">
        <v>127</v>
      </c>
      <c r="AA5" s="21" t="s">
        <v>196</v>
      </c>
      <c r="AB5" s="21" t="s">
        <v>129</v>
      </c>
      <c r="AC5" s="21" t="s">
        <v>197</v>
      </c>
      <c r="AD5" s="21" t="s">
        <v>169</v>
      </c>
      <c r="AE5" s="21" t="s">
        <v>133</v>
      </c>
      <c r="AF5" s="21" t="s">
        <v>135</v>
      </c>
      <c r="AG5" s="21" t="s">
        <v>135</v>
      </c>
      <c r="AH5" s="21" t="s">
        <v>135</v>
      </c>
      <c r="AI5" s="21" t="s">
        <v>135</v>
      </c>
      <c r="AJ5" s="21" t="s">
        <v>199</v>
      </c>
    </row>
    <row r="6" spans="1:36" ht="15.75" customHeight="1" x14ac:dyDescent="0.3">
      <c r="A6" s="21">
        <v>2025</v>
      </c>
      <c r="B6" s="22">
        <v>45869.96693278935</v>
      </c>
      <c r="C6" s="21" t="s">
        <v>88</v>
      </c>
      <c r="D6" s="21" t="s">
        <v>90</v>
      </c>
      <c r="E6" s="21" t="s">
        <v>90</v>
      </c>
      <c r="F6" s="21" t="s">
        <v>90</v>
      </c>
      <c r="G6" s="21" t="s">
        <v>93</v>
      </c>
      <c r="H6" s="21" t="s">
        <v>202</v>
      </c>
      <c r="I6" s="21" t="s">
        <v>204</v>
      </c>
      <c r="J6" s="21" t="s">
        <v>205</v>
      </c>
      <c r="K6" s="21" t="e">
        <f t="shared" ca="1" si="0"/>
        <v>#NAME?</v>
      </c>
      <c r="L6" s="24">
        <v>1992</v>
      </c>
      <c r="M6" s="21">
        <v>2005</v>
      </c>
      <c r="N6" s="21" t="s">
        <v>111</v>
      </c>
      <c r="O6" s="21" t="s">
        <v>112</v>
      </c>
      <c r="P6" s="26">
        <v>8522870346</v>
      </c>
      <c r="Q6" s="26" t="e">
        <f t="shared" ca="1" si="1"/>
        <v>#NAME?</v>
      </c>
      <c r="R6" s="21" t="s">
        <v>206</v>
      </c>
      <c r="S6" s="21" t="s">
        <v>207</v>
      </c>
      <c r="T6" s="21" t="s">
        <v>208</v>
      </c>
      <c r="U6" s="21" t="s">
        <v>209</v>
      </c>
      <c r="V6" s="21" t="s">
        <v>209</v>
      </c>
      <c r="W6" s="21" t="s">
        <v>210</v>
      </c>
      <c r="X6" s="21" t="s">
        <v>211</v>
      </c>
      <c r="Y6" s="21" t="s">
        <v>211</v>
      </c>
      <c r="Z6" s="21" t="s">
        <v>127</v>
      </c>
      <c r="AA6" s="21" t="s">
        <v>88</v>
      </c>
      <c r="AB6" s="21" t="s">
        <v>129</v>
      </c>
      <c r="AC6" s="21" t="s">
        <v>212</v>
      </c>
      <c r="AD6" s="21" t="s">
        <v>132</v>
      </c>
      <c r="AE6" s="21" t="s">
        <v>133</v>
      </c>
      <c r="AF6" s="21" t="s">
        <v>135</v>
      </c>
      <c r="AG6" s="21" t="s">
        <v>135</v>
      </c>
      <c r="AH6" s="21" t="s">
        <v>135</v>
      </c>
      <c r="AI6" s="21" t="s">
        <v>135</v>
      </c>
      <c r="AJ6" s="21" t="s">
        <v>127</v>
      </c>
    </row>
    <row r="7" spans="1:36" ht="15.75" customHeight="1" x14ac:dyDescent="0.3">
      <c r="A7" s="21">
        <v>2025</v>
      </c>
      <c r="B7" s="22">
        <v>45912.19334780093</v>
      </c>
      <c r="C7" s="21" t="s">
        <v>88</v>
      </c>
      <c r="D7" s="21" t="s">
        <v>183</v>
      </c>
      <c r="E7" s="21" t="s">
        <v>183</v>
      </c>
      <c r="F7" s="21" t="s">
        <v>183</v>
      </c>
      <c r="G7" s="21" t="s">
        <v>93</v>
      </c>
      <c r="H7" s="21" t="s">
        <v>213</v>
      </c>
      <c r="I7" s="21" t="s">
        <v>214</v>
      </c>
      <c r="J7" s="21" t="s">
        <v>215</v>
      </c>
      <c r="K7" s="21" t="e">
        <f t="shared" ca="1" si="0"/>
        <v>#NAME?</v>
      </c>
      <c r="L7" s="24">
        <v>1983</v>
      </c>
      <c r="M7" s="21">
        <v>1999</v>
      </c>
      <c r="N7" s="21" t="s">
        <v>111</v>
      </c>
      <c r="O7" s="21" t="s">
        <v>112</v>
      </c>
      <c r="P7" s="26">
        <v>9492961359</v>
      </c>
      <c r="Q7" s="26" t="e">
        <f t="shared" ca="1" si="1"/>
        <v>#NAME?</v>
      </c>
      <c r="R7" s="21" t="s">
        <v>216</v>
      </c>
      <c r="S7" s="21" t="s">
        <v>217</v>
      </c>
      <c r="T7" s="21">
        <v>8978416077</v>
      </c>
      <c r="U7" s="21" t="s">
        <v>218</v>
      </c>
      <c r="V7" s="21" t="s">
        <v>127</v>
      </c>
      <c r="W7" s="21" t="s">
        <v>219</v>
      </c>
      <c r="X7" s="21" t="s">
        <v>220</v>
      </c>
      <c r="Y7" s="21" t="s">
        <v>221</v>
      </c>
      <c r="Z7" s="21" t="s">
        <v>127</v>
      </c>
      <c r="AA7" s="21" t="s">
        <v>88</v>
      </c>
      <c r="AB7" s="21" t="s">
        <v>129</v>
      </c>
      <c r="AC7" s="21" t="s">
        <v>222</v>
      </c>
      <c r="AD7" s="21" t="s">
        <v>132</v>
      </c>
      <c r="AE7" s="21" t="s">
        <v>133</v>
      </c>
      <c r="AF7" s="21" t="s">
        <v>135</v>
      </c>
      <c r="AG7" s="21" t="s">
        <v>135</v>
      </c>
      <c r="AH7" s="21" t="s">
        <v>135</v>
      </c>
      <c r="AI7" s="21" t="s">
        <v>135</v>
      </c>
    </row>
    <row r="8" spans="1:36" ht="15.75" customHeight="1" x14ac:dyDescent="0.3">
      <c r="A8" s="21">
        <v>2025</v>
      </c>
      <c r="B8" s="22">
        <v>45913.378348784725</v>
      </c>
      <c r="C8" s="21" t="s">
        <v>88</v>
      </c>
      <c r="D8" s="21" t="s">
        <v>183</v>
      </c>
      <c r="E8" s="21" t="s">
        <v>183</v>
      </c>
      <c r="F8" s="21" t="s">
        <v>183</v>
      </c>
      <c r="G8" s="21" t="s">
        <v>93</v>
      </c>
      <c r="H8" s="21" t="s">
        <v>223</v>
      </c>
      <c r="I8" s="21" t="s">
        <v>224</v>
      </c>
      <c r="J8" s="21" t="s">
        <v>225</v>
      </c>
      <c r="K8" s="21" t="e">
        <f t="shared" ca="1" si="0"/>
        <v>#NAME?</v>
      </c>
      <c r="L8" s="24">
        <v>1994</v>
      </c>
      <c r="M8" s="21">
        <v>2012</v>
      </c>
      <c r="N8" s="21" t="s">
        <v>111</v>
      </c>
      <c r="O8" s="21" t="s">
        <v>112</v>
      </c>
      <c r="P8" s="26">
        <v>7386749513</v>
      </c>
      <c r="Q8" s="26" t="e">
        <f t="shared" ca="1" si="1"/>
        <v>#NAME?</v>
      </c>
      <c r="R8" s="21" t="s">
        <v>188</v>
      </c>
      <c r="S8" s="21" t="s">
        <v>226</v>
      </c>
      <c r="T8" s="21" t="s">
        <v>227</v>
      </c>
      <c r="U8" s="21" t="s">
        <v>127</v>
      </c>
      <c r="V8" s="21" t="s">
        <v>228</v>
      </c>
      <c r="W8" s="21" t="s">
        <v>229</v>
      </c>
      <c r="X8" s="21" t="s">
        <v>230</v>
      </c>
      <c r="Y8" s="21" t="s">
        <v>230</v>
      </c>
      <c r="Z8" s="21" t="s">
        <v>127</v>
      </c>
      <c r="AA8" s="21" t="s">
        <v>88</v>
      </c>
      <c r="AB8" s="21" t="s">
        <v>129</v>
      </c>
      <c r="AC8" s="21" t="s">
        <v>231</v>
      </c>
      <c r="AD8" s="21" t="s">
        <v>132</v>
      </c>
      <c r="AE8" s="21" t="s">
        <v>133</v>
      </c>
      <c r="AF8" s="21" t="s">
        <v>135</v>
      </c>
      <c r="AG8" s="21" t="s">
        <v>135</v>
      </c>
      <c r="AH8" s="21" t="s">
        <v>135</v>
      </c>
      <c r="AI8" s="21" t="s">
        <v>135</v>
      </c>
      <c r="AJ8" s="21" t="s">
        <v>232</v>
      </c>
    </row>
    <row r="9" spans="1:36" ht="15.75" customHeight="1" x14ac:dyDescent="0.3">
      <c r="A9" s="21">
        <v>2025</v>
      </c>
      <c r="B9" s="22">
        <v>45913.995117118058</v>
      </c>
      <c r="C9" s="21" t="s">
        <v>88</v>
      </c>
      <c r="D9" s="21" t="s">
        <v>90</v>
      </c>
      <c r="E9" s="21" t="s">
        <v>90</v>
      </c>
      <c r="F9" s="21" t="s">
        <v>90</v>
      </c>
      <c r="G9" s="21" t="s">
        <v>93</v>
      </c>
      <c r="H9" s="21" t="s">
        <v>233</v>
      </c>
      <c r="I9" s="21" t="s">
        <v>234</v>
      </c>
      <c r="J9" s="21" t="s">
        <v>235</v>
      </c>
      <c r="K9" s="21" t="e">
        <f t="shared" ca="1" si="0"/>
        <v>#NAME?</v>
      </c>
      <c r="L9" s="24">
        <v>1969</v>
      </c>
      <c r="M9" s="21">
        <v>1991</v>
      </c>
      <c r="N9" s="21" t="s">
        <v>111</v>
      </c>
      <c r="O9" s="21" t="s">
        <v>112</v>
      </c>
      <c r="P9" s="26">
        <v>9000577424</v>
      </c>
      <c r="Q9" s="26" t="e">
        <f t="shared" ca="1" si="1"/>
        <v>#NAME?</v>
      </c>
      <c r="R9" s="21" t="s">
        <v>236</v>
      </c>
      <c r="S9" s="21" t="s">
        <v>237</v>
      </c>
      <c r="T9" s="21">
        <v>8332914596</v>
      </c>
      <c r="U9" s="21" t="s">
        <v>238</v>
      </c>
      <c r="V9" s="21" t="s">
        <v>127</v>
      </c>
      <c r="W9" s="21" t="s">
        <v>239</v>
      </c>
      <c r="X9" s="21" t="s">
        <v>179</v>
      </c>
      <c r="Y9" s="21" t="s">
        <v>240</v>
      </c>
      <c r="Z9" s="21" t="s">
        <v>127</v>
      </c>
      <c r="AA9" s="21" t="s">
        <v>241</v>
      </c>
      <c r="AB9" s="21" t="s">
        <v>129</v>
      </c>
      <c r="AC9" s="21" t="s">
        <v>242</v>
      </c>
      <c r="AD9" s="21" t="s">
        <v>169</v>
      </c>
      <c r="AE9" s="21" t="s">
        <v>133</v>
      </c>
      <c r="AF9" s="21" t="s">
        <v>135</v>
      </c>
      <c r="AG9" s="21" t="s">
        <v>135</v>
      </c>
      <c r="AH9" s="21" t="s">
        <v>135</v>
      </c>
      <c r="AI9" s="21" t="s">
        <v>135</v>
      </c>
      <c r="AJ9" s="21" t="s">
        <v>243</v>
      </c>
    </row>
    <row r="10" spans="1:36" ht="15.75" customHeight="1" x14ac:dyDescent="0.3">
      <c r="A10" s="21">
        <v>2025</v>
      </c>
      <c r="B10" s="22">
        <v>45943.423918275468</v>
      </c>
      <c r="C10" s="21" t="s">
        <v>88</v>
      </c>
      <c r="D10" s="21" t="s">
        <v>90</v>
      </c>
      <c r="E10" s="21" t="s">
        <v>90</v>
      </c>
      <c r="F10" s="21" t="s">
        <v>90</v>
      </c>
      <c r="G10" s="21" t="s">
        <v>93</v>
      </c>
      <c r="H10" s="21" t="s">
        <v>244</v>
      </c>
      <c r="I10" s="21" t="s">
        <v>245</v>
      </c>
      <c r="J10" s="21" t="s">
        <v>246</v>
      </c>
      <c r="K10" s="21" t="e">
        <f t="shared" ca="1" si="0"/>
        <v>#NAME?</v>
      </c>
      <c r="L10" s="24">
        <v>1981</v>
      </c>
      <c r="M10" s="21">
        <v>1997</v>
      </c>
      <c r="N10" s="21" t="s">
        <v>111</v>
      </c>
      <c r="O10" s="21" t="s">
        <v>112</v>
      </c>
      <c r="P10" s="26">
        <v>6281845580</v>
      </c>
      <c r="Q10" s="26" t="e">
        <f t="shared" ca="1" si="1"/>
        <v>#NAME?</v>
      </c>
      <c r="R10" s="21" t="s">
        <v>247</v>
      </c>
      <c r="S10" s="21" t="s">
        <v>248</v>
      </c>
      <c r="T10" s="21" t="s">
        <v>249</v>
      </c>
      <c r="U10" s="21" t="s">
        <v>250</v>
      </c>
      <c r="V10" s="21" t="s">
        <v>127</v>
      </c>
      <c r="W10" s="21" t="s">
        <v>251</v>
      </c>
      <c r="X10" s="21" t="s">
        <v>252</v>
      </c>
      <c r="Y10" s="21" t="s">
        <v>253</v>
      </c>
      <c r="Z10" s="21" t="s">
        <v>127</v>
      </c>
      <c r="AA10" s="21" t="s">
        <v>88</v>
      </c>
      <c r="AB10" s="21" t="s">
        <v>129</v>
      </c>
      <c r="AC10" s="21" t="s">
        <v>254</v>
      </c>
      <c r="AD10" s="21" t="s">
        <v>169</v>
      </c>
      <c r="AE10" s="21" t="s">
        <v>133</v>
      </c>
      <c r="AF10" s="21" t="s">
        <v>135</v>
      </c>
      <c r="AG10" s="21" t="s">
        <v>135</v>
      </c>
      <c r="AH10" s="21" t="s">
        <v>135</v>
      </c>
      <c r="AI10" s="21" t="s">
        <v>135</v>
      </c>
      <c r="AJ10" s="21" t="s">
        <v>255</v>
      </c>
    </row>
    <row r="11" spans="1:36" ht="15.75" customHeight="1" x14ac:dyDescent="0.3">
      <c r="A11" s="21">
        <v>2025</v>
      </c>
      <c r="B11" s="22">
        <v>45972.818006678237</v>
      </c>
      <c r="C11" s="21" t="s">
        <v>88</v>
      </c>
      <c r="D11" s="21" t="s">
        <v>90</v>
      </c>
      <c r="E11" s="21" t="s">
        <v>90</v>
      </c>
      <c r="F11" s="21" t="s">
        <v>90</v>
      </c>
      <c r="G11" s="21" t="s">
        <v>256</v>
      </c>
      <c r="H11" s="21" t="s">
        <v>257</v>
      </c>
      <c r="I11" s="21" t="s">
        <v>258</v>
      </c>
      <c r="J11" s="21" t="s">
        <v>259</v>
      </c>
      <c r="K11" s="21" t="e">
        <f t="shared" ca="1" si="0"/>
        <v>#NAME?</v>
      </c>
      <c r="L11" s="24">
        <v>2013</v>
      </c>
      <c r="M11" s="21">
        <v>2025</v>
      </c>
      <c r="N11" s="21" t="s">
        <v>260</v>
      </c>
      <c r="O11" s="21" t="s">
        <v>261</v>
      </c>
      <c r="P11" s="26">
        <v>434852893</v>
      </c>
      <c r="Q11" s="26" t="e">
        <f t="shared" ca="1" si="1"/>
        <v>#NAME?</v>
      </c>
      <c r="R11" s="21" t="s">
        <v>262</v>
      </c>
      <c r="S11" s="21" t="s">
        <v>263</v>
      </c>
      <c r="T11" s="21" t="s">
        <v>264</v>
      </c>
      <c r="U11" s="21" t="s">
        <v>127</v>
      </c>
      <c r="V11" s="21" t="s">
        <v>265</v>
      </c>
      <c r="W11" s="21" t="s">
        <v>266</v>
      </c>
      <c r="X11" s="21" t="s">
        <v>267</v>
      </c>
      <c r="Y11" s="21" t="s">
        <v>267</v>
      </c>
      <c r="Z11" s="21" t="s">
        <v>268</v>
      </c>
      <c r="AA11" s="21" t="s">
        <v>88</v>
      </c>
      <c r="AB11" s="21" t="s">
        <v>269</v>
      </c>
      <c r="AC11" s="21" t="s">
        <v>270</v>
      </c>
      <c r="AD11" s="21" t="s">
        <v>132</v>
      </c>
      <c r="AE11" s="21" t="s">
        <v>133</v>
      </c>
      <c r="AF11" s="21" t="s">
        <v>135</v>
      </c>
      <c r="AG11" s="21" t="s">
        <v>135</v>
      </c>
      <c r="AH11" s="21" t="s">
        <v>135</v>
      </c>
      <c r="AI11" s="21" t="s">
        <v>135</v>
      </c>
    </row>
    <row r="12" spans="1:36" ht="15.75" customHeight="1" x14ac:dyDescent="0.3">
      <c r="A12" s="21">
        <v>2025</v>
      </c>
      <c r="B12" s="22">
        <v>45888.902129849535</v>
      </c>
      <c r="C12" s="21" t="s">
        <v>271</v>
      </c>
      <c r="D12" s="21" t="s">
        <v>90</v>
      </c>
      <c r="E12" s="21" t="s">
        <v>90</v>
      </c>
      <c r="F12" s="21" t="s">
        <v>90</v>
      </c>
      <c r="G12" s="21" t="s">
        <v>93</v>
      </c>
      <c r="H12" s="21" t="s">
        <v>272</v>
      </c>
      <c r="I12" s="21" t="s">
        <v>273</v>
      </c>
      <c r="J12" s="21" t="s">
        <v>274</v>
      </c>
      <c r="K12" s="21" t="e">
        <f t="shared" ca="1" si="0"/>
        <v>#NAME?</v>
      </c>
      <c r="L12" s="24">
        <v>1987</v>
      </c>
      <c r="M12" s="21">
        <v>1996</v>
      </c>
      <c r="N12" s="21" t="s">
        <v>111</v>
      </c>
      <c r="O12" s="21" t="s">
        <v>112</v>
      </c>
      <c r="P12" s="26">
        <v>9392912521</v>
      </c>
      <c r="Q12" s="26" t="e">
        <f t="shared" ca="1" si="1"/>
        <v>#NAME?</v>
      </c>
      <c r="R12" s="21" t="s">
        <v>118</v>
      </c>
      <c r="S12" s="21" t="s">
        <v>275</v>
      </c>
      <c r="T12" s="21">
        <v>9392912521</v>
      </c>
      <c r="U12" s="21" t="s">
        <v>276</v>
      </c>
      <c r="V12" s="21" t="s">
        <v>127</v>
      </c>
      <c r="W12" s="21" t="s">
        <v>219</v>
      </c>
      <c r="X12" s="21" t="s">
        <v>179</v>
      </c>
      <c r="Y12" s="21" t="s">
        <v>179</v>
      </c>
      <c r="Z12" s="21" t="s">
        <v>127</v>
      </c>
      <c r="AA12" s="21" t="s">
        <v>277</v>
      </c>
      <c r="AB12" s="21" t="s">
        <v>129</v>
      </c>
      <c r="AC12" s="21" t="s">
        <v>278</v>
      </c>
      <c r="AD12" s="21" t="s">
        <v>169</v>
      </c>
      <c r="AE12" s="21" t="s">
        <v>133</v>
      </c>
      <c r="AF12" s="21" t="s">
        <v>135</v>
      </c>
      <c r="AG12" s="21" t="s">
        <v>135</v>
      </c>
      <c r="AH12" s="21" t="s">
        <v>135</v>
      </c>
      <c r="AI12" s="21" t="s">
        <v>135</v>
      </c>
    </row>
    <row r="13" spans="1:36" ht="15.75" customHeight="1" x14ac:dyDescent="0.3">
      <c r="A13" s="21">
        <v>2025</v>
      </c>
      <c r="B13" s="22">
        <v>45915.456716527777</v>
      </c>
      <c r="C13" s="21" t="s">
        <v>271</v>
      </c>
      <c r="D13" s="21" t="s">
        <v>90</v>
      </c>
      <c r="E13" s="21" t="s">
        <v>90</v>
      </c>
      <c r="F13" s="21" t="s">
        <v>90</v>
      </c>
      <c r="G13" s="21" t="s">
        <v>93</v>
      </c>
      <c r="H13" s="21" t="s">
        <v>279</v>
      </c>
      <c r="I13" s="21" t="s">
        <v>280</v>
      </c>
      <c r="J13" s="21" t="s">
        <v>281</v>
      </c>
      <c r="K13" s="21" t="e">
        <f t="shared" ca="1" si="0"/>
        <v>#NAME?</v>
      </c>
      <c r="L13" s="24">
        <v>1977</v>
      </c>
      <c r="M13" s="21">
        <v>1993</v>
      </c>
      <c r="N13" s="21" t="s">
        <v>111</v>
      </c>
      <c r="O13" s="21" t="s">
        <v>112</v>
      </c>
      <c r="P13" s="26">
        <v>9121200454</v>
      </c>
      <c r="Q13" s="26" t="e">
        <f t="shared" ca="1" si="1"/>
        <v>#NAME?</v>
      </c>
      <c r="R13" s="21" t="s">
        <v>188</v>
      </c>
      <c r="S13" s="21" t="s">
        <v>282</v>
      </c>
      <c r="T13" s="21" t="s">
        <v>283</v>
      </c>
      <c r="U13" s="21" t="s">
        <v>276</v>
      </c>
      <c r="V13" s="21" t="s">
        <v>284</v>
      </c>
      <c r="W13" s="21" t="s">
        <v>284</v>
      </c>
      <c r="X13" s="21" t="s">
        <v>211</v>
      </c>
      <c r="Y13" s="21" t="s">
        <v>211</v>
      </c>
      <c r="Z13" s="21" t="s">
        <v>284</v>
      </c>
      <c r="AA13" s="21" t="s">
        <v>285</v>
      </c>
      <c r="AB13" s="21" t="s">
        <v>129</v>
      </c>
      <c r="AC13" s="21" t="s">
        <v>286</v>
      </c>
      <c r="AD13" s="21" t="s">
        <v>287</v>
      </c>
      <c r="AE13" s="21" t="s">
        <v>133</v>
      </c>
      <c r="AF13" s="21" t="s">
        <v>135</v>
      </c>
      <c r="AG13" s="21" t="s">
        <v>135</v>
      </c>
      <c r="AH13" s="21" t="s">
        <v>135</v>
      </c>
      <c r="AI13" s="21" t="s">
        <v>135</v>
      </c>
    </row>
    <row r="14" spans="1:36" ht="15.75" customHeight="1" x14ac:dyDescent="0.3">
      <c r="A14" s="21">
        <v>2025</v>
      </c>
      <c r="B14" s="22">
        <v>45972.204863831023</v>
      </c>
      <c r="C14" s="21" t="s">
        <v>271</v>
      </c>
      <c r="D14" s="21" t="s">
        <v>90</v>
      </c>
      <c r="E14" s="21" t="s">
        <v>90</v>
      </c>
      <c r="F14" s="21" t="s">
        <v>90</v>
      </c>
      <c r="G14" s="21" t="s">
        <v>93</v>
      </c>
      <c r="H14" s="21" t="s">
        <v>288</v>
      </c>
      <c r="I14" s="21" t="s">
        <v>289</v>
      </c>
      <c r="J14" s="21" t="s">
        <v>290</v>
      </c>
      <c r="K14" s="21" t="e">
        <f t="shared" ca="1" si="0"/>
        <v>#NAME?</v>
      </c>
      <c r="L14" s="24">
        <v>1994</v>
      </c>
      <c r="M14" s="21">
        <v>2005</v>
      </c>
      <c r="N14" s="21" t="s">
        <v>111</v>
      </c>
      <c r="O14" s="21" t="s">
        <v>112</v>
      </c>
      <c r="P14" s="26">
        <v>7075211712</v>
      </c>
      <c r="Q14" s="26" t="e">
        <f t="shared" ca="1" si="1"/>
        <v>#NAME?</v>
      </c>
      <c r="R14" s="21" t="s">
        <v>188</v>
      </c>
      <c r="S14" s="21" t="s">
        <v>291</v>
      </c>
      <c r="T14" s="21" t="s">
        <v>292</v>
      </c>
      <c r="U14" s="21" t="s">
        <v>284</v>
      </c>
      <c r="V14" s="21" t="s">
        <v>293</v>
      </c>
      <c r="W14" s="21" t="s">
        <v>219</v>
      </c>
      <c r="X14" s="21" t="s">
        <v>294</v>
      </c>
      <c r="Y14" s="21" t="s">
        <v>295</v>
      </c>
      <c r="Z14" s="21" t="s">
        <v>296</v>
      </c>
      <c r="AA14" s="21" t="s">
        <v>297</v>
      </c>
      <c r="AB14" s="21" t="s">
        <v>129</v>
      </c>
      <c r="AC14" s="21" t="s">
        <v>298</v>
      </c>
      <c r="AD14" s="21" t="s">
        <v>132</v>
      </c>
      <c r="AE14" s="21" t="s">
        <v>133</v>
      </c>
      <c r="AF14" s="21" t="s">
        <v>135</v>
      </c>
      <c r="AG14" s="21" t="s">
        <v>135</v>
      </c>
      <c r="AH14" s="21" t="s">
        <v>135</v>
      </c>
      <c r="AI14" s="21" t="s">
        <v>135</v>
      </c>
    </row>
    <row r="15" spans="1:36" ht="15.75" customHeight="1" x14ac:dyDescent="0.3">
      <c r="A15" s="21">
        <v>2025</v>
      </c>
      <c r="B15" s="22">
        <v>46001.89548280093</v>
      </c>
      <c r="C15" s="21" t="s">
        <v>271</v>
      </c>
      <c r="D15" s="21" t="s">
        <v>90</v>
      </c>
      <c r="E15" s="21" t="s">
        <v>90</v>
      </c>
      <c r="F15" s="21" t="s">
        <v>90</v>
      </c>
      <c r="G15" s="21" t="s">
        <v>93</v>
      </c>
      <c r="H15" s="21" t="s">
        <v>301</v>
      </c>
      <c r="I15" s="21" t="s">
        <v>302</v>
      </c>
      <c r="J15" s="21" t="s">
        <v>303</v>
      </c>
      <c r="K15" s="21" t="e">
        <f t="shared" ca="1" si="0"/>
        <v>#NAME?</v>
      </c>
      <c r="L15" s="24">
        <v>1996</v>
      </c>
      <c r="M15" s="21">
        <v>2025</v>
      </c>
      <c r="N15" s="21" t="s">
        <v>111</v>
      </c>
      <c r="O15" s="21" t="s">
        <v>112</v>
      </c>
      <c r="P15" s="26">
        <v>7893301281</v>
      </c>
      <c r="Q15" s="26" t="e">
        <f t="shared" ca="1" si="1"/>
        <v>#NAME?</v>
      </c>
      <c r="R15" s="21" t="s">
        <v>304</v>
      </c>
      <c r="S15" s="21" t="s">
        <v>305</v>
      </c>
      <c r="T15" s="21">
        <v>9441087938</v>
      </c>
      <c r="U15" s="21" t="s">
        <v>127</v>
      </c>
      <c r="V15" s="21" t="s">
        <v>306</v>
      </c>
      <c r="W15" s="21" t="s">
        <v>307</v>
      </c>
      <c r="X15" s="21" t="s">
        <v>308</v>
      </c>
      <c r="Y15" s="21" t="s">
        <v>211</v>
      </c>
      <c r="Z15" s="21" t="s">
        <v>127</v>
      </c>
      <c r="AA15" s="21" t="s">
        <v>309</v>
      </c>
      <c r="AB15" s="21" t="s">
        <v>129</v>
      </c>
      <c r="AC15" s="21" t="s">
        <v>310</v>
      </c>
      <c r="AD15" s="21" t="s">
        <v>287</v>
      </c>
      <c r="AE15" s="21" t="s">
        <v>133</v>
      </c>
      <c r="AF15" s="21" t="s">
        <v>135</v>
      </c>
      <c r="AG15" s="21" t="s">
        <v>135</v>
      </c>
      <c r="AH15" s="21" t="s">
        <v>135</v>
      </c>
      <c r="AI15" s="21" t="s">
        <v>135</v>
      </c>
      <c r="AJ15" s="21" t="s">
        <v>311</v>
      </c>
    </row>
    <row r="16" spans="1:36" ht="15.75" customHeight="1" x14ac:dyDescent="0.3">
      <c r="A16" s="21">
        <v>2025</v>
      </c>
      <c r="B16" s="22">
        <v>46013.485164224534</v>
      </c>
      <c r="C16" s="21" t="s">
        <v>271</v>
      </c>
      <c r="D16" s="21" t="s">
        <v>90</v>
      </c>
      <c r="E16" s="21" t="s">
        <v>90</v>
      </c>
      <c r="F16" s="21" t="s">
        <v>90</v>
      </c>
      <c r="G16" s="21" t="s">
        <v>93</v>
      </c>
      <c r="H16" s="21" t="s">
        <v>312</v>
      </c>
      <c r="I16" s="21" t="s">
        <v>313</v>
      </c>
      <c r="J16" s="21" t="s">
        <v>314</v>
      </c>
      <c r="K16" s="21" t="e">
        <f t="shared" ca="1" si="0"/>
        <v>#NAME?</v>
      </c>
      <c r="L16" s="24">
        <v>1982</v>
      </c>
      <c r="M16" s="21">
        <v>2010</v>
      </c>
      <c r="N16" s="21" t="s">
        <v>315</v>
      </c>
      <c r="O16" s="21" t="s">
        <v>316</v>
      </c>
      <c r="P16" s="26">
        <v>2039092885</v>
      </c>
      <c r="Q16" s="26" t="e">
        <f t="shared" ca="1" si="1"/>
        <v>#NAME?</v>
      </c>
      <c r="R16" s="21" t="s">
        <v>317</v>
      </c>
      <c r="S16" s="21" t="s">
        <v>284</v>
      </c>
      <c r="T16" s="21" t="s">
        <v>284</v>
      </c>
      <c r="U16" s="21" t="s">
        <v>318</v>
      </c>
      <c r="V16" s="21" t="s">
        <v>284</v>
      </c>
      <c r="W16" s="21" t="s">
        <v>319</v>
      </c>
      <c r="X16" s="21" t="s">
        <v>220</v>
      </c>
      <c r="Y16" s="21" t="s">
        <v>320</v>
      </c>
      <c r="Z16" s="21" t="s">
        <v>284</v>
      </c>
      <c r="AA16" s="21" t="s">
        <v>285</v>
      </c>
      <c r="AB16" s="21" t="s">
        <v>129</v>
      </c>
      <c r="AC16" s="21" t="s">
        <v>321</v>
      </c>
      <c r="AD16" s="21" t="s">
        <v>132</v>
      </c>
      <c r="AE16" s="21" t="s">
        <v>133</v>
      </c>
      <c r="AF16" s="21" t="s">
        <v>135</v>
      </c>
      <c r="AG16" s="21" t="s">
        <v>135</v>
      </c>
      <c r="AH16" s="21" t="s">
        <v>135</v>
      </c>
      <c r="AI16" s="21" t="s">
        <v>135</v>
      </c>
      <c r="AJ16" s="21" t="s">
        <v>322</v>
      </c>
    </row>
    <row r="17" spans="1:36" ht="15.75" customHeight="1" x14ac:dyDescent="0.3">
      <c r="A17" s="21">
        <v>2025</v>
      </c>
      <c r="B17" s="22">
        <v>46014.898531956016</v>
      </c>
      <c r="C17" s="21" t="s">
        <v>271</v>
      </c>
      <c r="D17" s="21" t="s">
        <v>90</v>
      </c>
      <c r="E17" s="21" t="s">
        <v>90</v>
      </c>
      <c r="F17" s="21" t="s">
        <v>90</v>
      </c>
      <c r="G17" s="21" t="s">
        <v>93</v>
      </c>
      <c r="H17" s="21" t="s">
        <v>323</v>
      </c>
      <c r="I17" s="21" t="s">
        <v>324</v>
      </c>
      <c r="J17" s="21" t="s">
        <v>325</v>
      </c>
      <c r="K17" s="21" t="e">
        <f t="shared" ca="1" si="0"/>
        <v>#NAME?</v>
      </c>
      <c r="L17" s="24">
        <v>1963</v>
      </c>
      <c r="M17" s="21">
        <v>1992</v>
      </c>
      <c r="N17" s="21" t="s">
        <v>111</v>
      </c>
      <c r="O17" s="21" t="s">
        <v>112</v>
      </c>
      <c r="P17" s="26">
        <v>9866229986</v>
      </c>
      <c r="Q17" s="26" t="e">
        <f t="shared" ca="1" si="1"/>
        <v>#NAME?</v>
      </c>
      <c r="R17" s="21" t="s">
        <v>236</v>
      </c>
      <c r="S17" s="21" t="s">
        <v>326</v>
      </c>
      <c r="T17" s="21">
        <v>9491453386</v>
      </c>
      <c r="U17" s="21" t="s">
        <v>327</v>
      </c>
      <c r="V17" s="21" t="s">
        <v>284</v>
      </c>
      <c r="W17" s="21" t="s">
        <v>328</v>
      </c>
      <c r="X17" s="21" t="s">
        <v>211</v>
      </c>
      <c r="Y17" s="21" t="s">
        <v>329</v>
      </c>
      <c r="Z17" s="21" t="s">
        <v>284</v>
      </c>
      <c r="AA17" s="21" t="s">
        <v>330</v>
      </c>
      <c r="AB17" s="21" t="s">
        <v>129</v>
      </c>
      <c r="AC17" s="21" t="s">
        <v>331</v>
      </c>
      <c r="AD17" s="21" t="s">
        <v>132</v>
      </c>
      <c r="AE17" s="21" t="s">
        <v>332</v>
      </c>
      <c r="AF17" s="21" t="s">
        <v>135</v>
      </c>
      <c r="AG17" s="21" t="s">
        <v>135</v>
      </c>
      <c r="AH17" s="21" t="s">
        <v>135</v>
      </c>
      <c r="AI17" s="21" t="s">
        <v>135</v>
      </c>
      <c r="AJ17" s="21" t="s">
        <v>333</v>
      </c>
    </row>
    <row r="18" spans="1:36" ht="15.75" customHeight="1" x14ac:dyDescent="0.3">
      <c r="A18" s="21">
        <v>2025</v>
      </c>
      <c r="B18" s="22">
        <v>46015.120988356481</v>
      </c>
      <c r="C18" s="21" t="s">
        <v>271</v>
      </c>
      <c r="D18" s="21" t="s">
        <v>90</v>
      </c>
      <c r="E18" s="21" t="s">
        <v>90</v>
      </c>
      <c r="F18" s="21" t="s">
        <v>90</v>
      </c>
      <c r="G18" s="21" t="s">
        <v>93</v>
      </c>
      <c r="H18" s="21" t="s">
        <v>334</v>
      </c>
      <c r="I18" s="21" t="s">
        <v>335</v>
      </c>
      <c r="J18" s="21" t="s">
        <v>336</v>
      </c>
      <c r="K18" s="21" t="e">
        <f t="shared" ca="1" si="0"/>
        <v>#NAME?</v>
      </c>
      <c r="L18" s="24">
        <v>1961</v>
      </c>
      <c r="M18" s="21">
        <v>1981</v>
      </c>
      <c r="N18" s="21" t="s">
        <v>111</v>
      </c>
      <c r="O18" s="21" t="s">
        <v>112</v>
      </c>
      <c r="P18" s="26">
        <v>7095490205</v>
      </c>
      <c r="Q18" s="26" t="e">
        <f t="shared" ca="1" si="1"/>
        <v>#NAME?</v>
      </c>
      <c r="R18" s="21" t="s">
        <v>337</v>
      </c>
      <c r="S18" s="21" t="s">
        <v>338</v>
      </c>
      <c r="T18" s="21" t="s">
        <v>338</v>
      </c>
      <c r="U18" s="21" t="s">
        <v>339</v>
      </c>
      <c r="V18" s="21" t="s">
        <v>340</v>
      </c>
      <c r="W18" s="21" t="s">
        <v>341</v>
      </c>
      <c r="X18" s="21" t="s">
        <v>342</v>
      </c>
      <c r="Y18" s="21" t="s">
        <v>343</v>
      </c>
      <c r="Z18" s="21" t="s">
        <v>340</v>
      </c>
      <c r="AA18" s="21" t="s">
        <v>344</v>
      </c>
      <c r="AB18" s="21" t="s">
        <v>129</v>
      </c>
      <c r="AC18" s="21" t="s">
        <v>345</v>
      </c>
      <c r="AD18" s="21" t="s">
        <v>132</v>
      </c>
      <c r="AE18" s="21" t="s">
        <v>332</v>
      </c>
      <c r="AF18" s="21" t="s">
        <v>135</v>
      </c>
      <c r="AG18" s="21" t="s">
        <v>135</v>
      </c>
      <c r="AH18" s="21" t="s">
        <v>135</v>
      </c>
      <c r="AI18" s="21" t="s">
        <v>135</v>
      </c>
    </row>
    <row r="19" spans="1:36" ht="15.75" customHeight="1" x14ac:dyDescent="0.3">
      <c r="A19" s="21">
        <v>2025</v>
      </c>
      <c r="B19" s="22">
        <v>46016.441372673609</v>
      </c>
      <c r="C19" s="21" t="s">
        <v>271</v>
      </c>
      <c r="D19" s="21" t="s">
        <v>90</v>
      </c>
      <c r="E19" s="21" t="s">
        <v>90</v>
      </c>
      <c r="F19" s="21" t="s">
        <v>90</v>
      </c>
      <c r="G19" s="21" t="s">
        <v>93</v>
      </c>
      <c r="H19" s="21" t="s">
        <v>346</v>
      </c>
      <c r="I19" s="21" t="s">
        <v>347</v>
      </c>
      <c r="J19" s="21" t="s">
        <v>348</v>
      </c>
      <c r="K19" s="21" t="e">
        <f t="shared" ca="1" si="0"/>
        <v>#NAME?</v>
      </c>
      <c r="L19" s="24">
        <v>1992</v>
      </c>
      <c r="M19" s="21">
        <v>2007</v>
      </c>
      <c r="N19" s="21" t="s">
        <v>111</v>
      </c>
      <c r="O19" s="21" t="s">
        <v>112</v>
      </c>
      <c r="P19" s="26">
        <v>9154320012</v>
      </c>
      <c r="Q19" s="26" t="e">
        <f t="shared" ca="1" si="1"/>
        <v>#NAME?</v>
      </c>
      <c r="R19" s="21" t="s">
        <v>349</v>
      </c>
      <c r="S19" s="21" t="s">
        <v>350</v>
      </c>
      <c r="T19" s="21">
        <v>9491380172</v>
      </c>
      <c r="U19" s="21" t="s">
        <v>127</v>
      </c>
      <c r="V19" s="21" t="s">
        <v>351</v>
      </c>
      <c r="W19" s="21" t="s">
        <v>219</v>
      </c>
      <c r="X19" s="21" t="s">
        <v>352</v>
      </c>
      <c r="Y19" s="21" t="s">
        <v>352</v>
      </c>
      <c r="Z19" s="21" t="s">
        <v>127</v>
      </c>
      <c r="AA19" s="21" t="s">
        <v>297</v>
      </c>
      <c r="AB19" s="21" t="s">
        <v>129</v>
      </c>
      <c r="AC19" s="21" t="s">
        <v>353</v>
      </c>
      <c r="AD19" s="21" t="s">
        <v>287</v>
      </c>
      <c r="AE19" s="21" t="s">
        <v>133</v>
      </c>
      <c r="AF19" s="21" t="s">
        <v>135</v>
      </c>
      <c r="AG19" s="21" t="s">
        <v>135</v>
      </c>
      <c r="AH19" s="21" t="s">
        <v>135</v>
      </c>
      <c r="AI19" s="21" t="s">
        <v>135</v>
      </c>
      <c r="AJ19" s="21" t="s">
        <v>354</v>
      </c>
    </row>
    <row r="20" spans="1:36" ht="15.75" customHeight="1" x14ac:dyDescent="0.3">
      <c r="A20" s="21">
        <v>2025</v>
      </c>
      <c r="B20" s="22">
        <v>46021.30171699074</v>
      </c>
      <c r="C20" s="21" t="s">
        <v>271</v>
      </c>
      <c r="D20" s="21" t="s">
        <v>90</v>
      </c>
      <c r="E20" s="21" t="s">
        <v>90</v>
      </c>
      <c r="F20" s="21" t="s">
        <v>90</v>
      </c>
      <c r="G20" s="21" t="s">
        <v>93</v>
      </c>
      <c r="H20" s="21" t="s">
        <v>355</v>
      </c>
      <c r="I20" s="21" t="s">
        <v>356</v>
      </c>
      <c r="J20" s="21" t="s">
        <v>357</v>
      </c>
      <c r="K20" s="21" t="e">
        <f t="shared" ca="1" si="0"/>
        <v>#NAME?</v>
      </c>
      <c r="L20" s="24">
        <v>2002</v>
      </c>
      <c r="M20" s="21">
        <v>2012</v>
      </c>
      <c r="N20" s="21" t="s">
        <v>111</v>
      </c>
      <c r="O20" s="21" t="s">
        <v>112</v>
      </c>
      <c r="P20" s="26">
        <v>9121277268</v>
      </c>
      <c r="Q20" s="26" t="e">
        <f t="shared" ca="1" si="1"/>
        <v>#NAME?</v>
      </c>
      <c r="R20" s="21" t="s">
        <v>358</v>
      </c>
      <c r="S20" s="21" t="s">
        <v>359</v>
      </c>
      <c r="T20" s="21">
        <v>9849406522</v>
      </c>
      <c r="U20" s="21" t="s">
        <v>127</v>
      </c>
      <c r="V20" s="21" t="s">
        <v>360</v>
      </c>
      <c r="W20" s="21" t="s">
        <v>307</v>
      </c>
      <c r="X20" s="21" t="s">
        <v>211</v>
      </c>
      <c r="Y20" s="21" t="s">
        <v>361</v>
      </c>
      <c r="Z20" s="21" t="s">
        <v>127</v>
      </c>
      <c r="AA20" s="21" t="s">
        <v>362</v>
      </c>
      <c r="AB20" s="21" t="s">
        <v>363</v>
      </c>
      <c r="AC20" s="21" t="s">
        <v>364</v>
      </c>
      <c r="AD20" s="21" t="s">
        <v>132</v>
      </c>
      <c r="AE20" s="21" t="s">
        <v>365</v>
      </c>
      <c r="AF20" s="21" t="s">
        <v>135</v>
      </c>
      <c r="AG20" s="21" t="s">
        <v>135</v>
      </c>
      <c r="AH20" s="21" t="s">
        <v>135</v>
      </c>
      <c r="AI20" s="21" t="s">
        <v>135</v>
      </c>
    </row>
    <row r="21" spans="1:36" ht="15.75" customHeight="1" x14ac:dyDescent="0.3">
      <c r="A21" s="21">
        <v>2025</v>
      </c>
      <c r="B21" s="22">
        <v>46021.848690150466</v>
      </c>
      <c r="C21" s="21" t="s">
        <v>271</v>
      </c>
      <c r="D21" s="21" t="s">
        <v>90</v>
      </c>
      <c r="E21" s="21" t="s">
        <v>90</v>
      </c>
      <c r="F21" s="21" t="s">
        <v>90</v>
      </c>
      <c r="G21" s="21" t="s">
        <v>93</v>
      </c>
      <c r="H21" s="21" t="s">
        <v>366</v>
      </c>
      <c r="I21" s="21" t="s">
        <v>367</v>
      </c>
      <c r="J21" s="21" t="s">
        <v>368</v>
      </c>
      <c r="K21" s="21" t="e">
        <f t="shared" ca="1" si="0"/>
        <v>#NAME?</v>
      </c>
      <c r="L21" s="24">
        <v>1994</v>
      </c>
      <c r="M21" s="21">
        <v>2008</v>
      </c>
      <c r="N21" s="21" t="s">
        <v>111</v>
      </c>
      <c r="O21" s="21" t="s">
        <v>112</v>
      </c>
      <c r="P21" s="26">
        <v>7675030340</v>
      </c>
      <c r="Q21" s="26" t="e">
        <f t="shared" ca="1" si="1"/>
        <v>#NAME?</v>
      </c>
      <c r="R21" s="21" t="s">
        <v>118</v>
      </c>
      <c r="S21" s="21" t="s">
        <v>372</v>
      </c>
      <c r="T21" s="21">
        <v>9381583342</v>
      </c>
      <c r="U21" s="21" t="s">
        <v>373</v>
      </c>
      <c r="V21" s="21" t="s">
        <v>127</v>
      </c>
      <c r="W21" s="21" t="s">
        <v>374</v>
      </c>
      <c r="X21" s="21" t="s">
        <v>375</v>
      </c>
      <c r="Y21" s="21" t="s">
        <v>376</v>
      </c>
      <c r="Z21" s="21" t="s">
        <v>127</v>
      </c>
      <c r="AA21" s="21" t="s">
        <v>377</v>
      </c>
      <c r="AB21" s="21" t="s">
        <v>363</v>
      </c>
      <c r="AC21" s="21" t="s">
        <v>378</v>
      </c>
      <c r="AD21" s="21" t="s">
        <v>287</v>
      </c>
      <c r="AE21" s="21" t="s">
        <v>365</v>
      </c>
      <c r="AF21" s="21" t="s">
        <v>135</v>
      </c>
      <c r="AG21" s="21" t="s">
        <v>135</v>
      </c>
      <c r="AH21" s="21" t="s">
        <v>135</v>
      </c>
      <c r="AI21" s="21" t="s">
        <v>135</v>
      </c>
    </row>
    <row r="22" spans="1:36" ht="15.75" customHeight="1" x14ac:dyDescent="0.3">
      <c r="A22" s="21">
        <v>2025</v>
      </c>
      <c r="B22" s="22">
        <v>46023.034130358792</v>
      </c>
      <c r="C22" s="21" t="s">
        <v>271</v>
      </c>
      <c r="D22" s="21" t="s">
        <v>90</v>
      </c>
      <c r="E22" s="21" t="s">
        <v>90</v>
      </c>
      <c r="F22" s="21" t="s">
        <v>90</v>
      </c>
      <c r="G22" s="21" t="s">
        <v>93</v>
      </c>
      <c r="H22" s="21" t="s">
        <v>379</v>
      </c>
      <c r="I22" s="21" t="s">
        <v>380</v>
      </c>
      <c r="J22" s="21" t="s">
        <v>381</v>
      </c>
      <c r="K22" s="21" t="e">
        <f t="shared" ca="1" si="0"/>
        <v>#NAME?</v>
      </c>
      <c r="L22" s="24">
        <v>1963</v>
      </c>
      <c r="M22" s="21">
        <v>1992</v>
      </c>
      <c r="N22" s="21" t="s">
        <v>111</v>
      </c>
      <c r="O22" s="21" t="s">
        <v>112</v>
      </c>
      <c r="P22" s="26">
        <v>8484970065</v>
      </c>
      <c r="Q22" s="26" t="e">
        <f t="shared" ca="1" si="1"/>
        <v>#NAME?</v>
      </c>
      <c r="R22" s="21" t="s">
        <v>382</v>
      </c>
      <c r="S22" s="21" t="s">
        <v>383</v>
      </c>
      <c r="T22" s="21">
        <v>9247465125</v>
      </c>
      <c r="U22" s="21" t="s">
        <v>384</v>
      </c>
      <c r="V22" s="21" t="s">
        <v>127</v>
      </c>
      <c r="W22" s="21" t="s">
        <v>191</v>
      </c>
      <c r="X22" s="21" t="s">
        <v>179</v>
      </c>
      <c r="Y22" s="21" t="s">
        <v>385</v>
      </c>
      <c r="Z22" s="21" t="s">
        <v>127</v>
      </c>
      <c r="AA22" s="21" t="s">
        <v>386</v>
      </c>
      <c r="AB22" s="21" t="s">
        <v>363</v>
      </c>
      <c r="AC22" s="21" t="s">
        <v>387</v>
      </c>
      <c r="AD22" s="21" t="s">
        <v>132</v>
      </c>
      <c r="AE22" s="21" t="s">
        <v>365</v>
      </c>
      <c r="AF22" s="21" t="s">
        <v>135</v>
      </c>
      <c r="AG22" s="21" t="s">
        <v>135</v>
      </c>
      <c r="AH22" s="21" t="s">
        <v>135</v>
      </c>
      <c r="AI22" s="21" t="s">
        <v>135</v>
      </c>
    </row>
    <row r="23" spans="1:36" ht="15.75" customHeight="1" x14ac:dyDescent="0.3">
      <c r="A23" s="21">
        <v>2026</v>
      </c>
      <c r="B23" s="22">
        <v>46154.015733356486</v>
      </c>
      <c r="C23" s="21" t="s">
        <v>271</v>
      </c>
      <c r="D23" s="21" t="s">
        <v>388</v>
      </c>
      <c r="E23" s="21" t="s">
        <v>388</v>
      </c>
      <c r="F23" s="21" t="s">
        <v>388</v>
      </c>
      <c r="G23" s="21" t="s">
        <v>93</v>
      </c>
      <c r="H23" s="21" t="s">
        <v>389</v>
      </c>
      <c r="I23" s="21" t="s">
        <v>390</v>
      </c>
      <c r="J23" s="21" t="s">
        <v>391</v>
      </c>
      <c r="K23" s="21" t="e">
        <f t="shared" ca="1" si="0"/>
        <v>#NAME?</v>
      </c>
      <c r="L23" s="24">
        <v>2008</v>
      </c>
      <c r="M23" s="21">
        <v>2019</v>
      </c>
      <c r="N23" s="21" t="s">
        <v>111</v>
      </c>
      <c r="O23" s="21" t="s">
        <v>112</v>
      </c>
      <c r="P23" s="26">
        <v>7013164026</v>
      </c>
      <c r="Q23" s="26" t="e">
        <f t="shared" ca="1" si="1"/>
        <v>#NAME?</v>
      </c>
      <c r="R23" s="21" t="s">
        <v>188</v>
      </c>
      <c r="S23" s="21" t="s">
        <v>392</v>
      </c>
      <c r="T23" s="21">
        <v>8885578787</v>
      </c>
      <c r="U23" s="21" t="s">
        <v>127</v>
      </c>
      <c r="V23" s="21" t="s">
        <v>393</v>
      </c>
      <c r="W23" s="21" t="s">
        <v>394</v>
      </c>
      <c r="X23" s="21" t="s">
        <v>352</v>
      </c>
      <c r="Y23" s="21" t="s">
        <v>352</v>
      </c>
      <c r="Z23" s="21" t="s">
        <v>395</v>
      </c>
      <c r="AA23" s="21" t="s">
        <v>396</v>
      </c>
      <c r="AB23" s="21" t="s">
        <v>363</v>
      </c>
      <c r="AC23" s="21" t="s">
        <v>397</v>
      </c>
      <c r="AD23" s="21" t="s">
        <v>287</v>
      </c>
      <c r="AE23" s="21" t="s">
        <v>332</v>
      </c>
      <c r="AF23" s="21" t="s">
        <v>135</v>
      </c>
      <c r="AG23" s="21" t="s">
        <v>135</v>
      </c>
      <c r="AH23" s="21" t="s">
        <v>135</v>
      </c>
      <c r="AI23" s="21" t="s">
        <v>135</v>
      </c>
    </row>
    <row r="24" spans="1:36" ht="15.75" customHeight="1" x14ac:dyDescent="0.3">
      <c r="A24" s="21">
        <v>2024</v>
      </c>
      <c r="B24" s="22">
        <v>45386.868918217588</v>
      </c>
      <c r="C24" s="21" t="s">
        <v>398</v>
      </c>
      <c r="D24" s="21" t="s">
        <v>183</v>
      </c>
      <c r="E24" s="21" t="s">
        <v>90</v>
      </c>
      <c r="F24" s="21" t="s">
        <v>90</v>
      </c>
      <c r="G24" s="21" t="s">
        <v>256</v>
      </c>
      <c r="H24" s="21" t="s">
        <v>399</v>
      </c>
      <c r="I24" s="21" t="s">
        <v>400</v>
      </c>
      <c r="J24" s="21" t="s">
        <v>401</v>
      </c>
      <c r="K24" s="21" t="e">
        <f t="shared" ca="1" si="0"/>
        <v>#NAME?</v>
      </c>
      <c r="L24" s="24">
        <v>2014</v>
      </c>
      <c r="N24" s="21" t="s">
        <v>402</v>
      </c>
      <c r="O24" s="21" t="s">
        <v>316</v>
      </c>
      <c r="P24" s="26">
        <v>9492728342</v>
      </c>
      <c r="Q24" s="26" t="e">
        <f t="shared" ca="1" si="1"/>
        <v>#NAME?</v>
      </c>
      <c r="R24" s="21" t="s">
        <v>403</v>
      </c>
      <c r="S24" s="21" t="s">
        <v>404</v>
      </c>
      <c r="T24" s="21" t="s">
        <v>404</v>
      </c>
      <c r="U24" s="21" t="s">
        <v>405</v>
      </c>
      <c r="V24" s="21" t="s">
        <v>405</v>
      </c>
      <c r="W24" s="21" t="s">
        <v>219</v>
      </c>
      <c r="X24" s="21" t="s">
        <v>179</v>
      </c>
      <c r="Y24" s="21" t="s">
        <v>406</v>
      </c>
      <c r="Z24" s="21" t="s">
        <v>407</v>
      </c>
      <c r="AA24" s="21" t="s">
        <v>127</v>
      </c>
      <c r="AB24" s="21" t="s">
        <v>408</v>
      </c>
      <c r="AC24" s="21" t="s">
        <v>409</v>
      </c>
      <c r="AD24" s="21" t="s">
        <v>287</v>
      </c>
      <c r="AE24" s="21" t="s">
        <v>133</v>
      </c>
      <c r="AF24" s="21" t="s">
        <v>135</v>
      </c>
      <c r="AG24" s="21" t="s">
        <v>135</v>
      </c>
      <c r="AH24" s="21" t="s">
        <v>135</v>
      </c>
      <c r="AI24" s="21" t="s">
        <v>135</v>
      </c>
    </row>
    <row r="25" spans="1:36" ht="15.75" customHeight="1" x14ac:dyDescent="0.3">
      <c r="A25" s="21">
        <v>2024</v>
      </c>
      <c r="B25" s="22">
        <v>45273.483262928239</v>
      </c>
      <c r="C25" s="21" t="s">
        <v>183</v>
      </c>
      <c r="D25" s="21" t="s">
        <v>183</v>
      </c>
      <c r="E25" s="21" t="s">
        <v>183</v>
      </c>
      <c r="F25" s="21" t="s">
        <v>183</v>
      </c>
      <c r="G25" s="21" t="s">
        <v>93</v>
      </c>
      <c r="H25" s="21" t="s">
        <v>410</v>
      </c>
      <c r="I25" s="21" t="s">
        <v>411</v>
      </c>
      <c r="J25" s="21" t="s">
        <v>412</v>
      </c>
      <c r="K25" s="21" t="e">
        <f t="shared" ca="1" si="0"/>
        <v>#NAME?</v>
      </c>
      <c r="L25" s="24">
        <v>1960</v>
      </c>
      <c r="N25" s="21" t="s">
        <v>402</v>
      </c>
      <c r="O25" s="21" t="s">
        <v>316</v>
      </c>
      <c r="P25" s="26">
        <v>2487676387</v>
      </c>
      <c r="Q25" s="26" t="e">
        <f t="shared" ca="1" si="1"/>
        <v>#NAME?</v>
      </c>
      <c r="R25" s="21" t="s">
        <v>413</v>
      </c>
      <c r="S25" s="21" t="s">
        <v>414</v>
      </c>
      <c r="T25" s="21" t="s">
        <v>414</v>
      </c>
      <c r="U25" s="21" t="s">
        <v>415</v>
      </c>
      <c r="V25" s="21" t="s">
        <v>415</v>
      </c>
      <c r="W25" s="21" t="s">
        <v>319</v>
      </c>
      <c r="X25" s="21" t="s">
        <v>416</v>
      </c>
      <c r="Y25" s="21" t="s">
        <v>417</v>
      </c>
      <c r="Z25" s="21" t="s">
        <v>284</v>
      </c>
      <c r="AA25" s="21" t="s">
        <v>418</v>
      </c>
      <c r="AB25" s="21" t="s">
        <v>129</v>
      </c>
      <c r="AC25" s="21" t="s">
        <v>419</v>
      </c>
      <c r="AD25" s="21" t="s">
        <v>169</v>
      </c>
      <c r="AE25" s="21" t="s">
        <v>133</v>
      </c>
      <c r="AF25" s="21" t="s">
        <v>135</v>
      </c>
      <c r="AG25" s="21" t="s">
        <v>135</v>
      </c>
      <c r="AH25" s="21" t="s">
        <v>135</v>
      </c>
      <c r="AI25" s="21" t="s">
        <v>135</v>
      </c>
      <c r="AJ25" s="21" t="s">
        <v>420</v>
      </c>
    </row>
    <row r="26" spans="1:36" ht="15.75" customHeight="1" x14ac:dyDescent="0.3">
      <c r="A26" s="21">
        <v>2024</v>
      </c>
      <c r="B26" s="22">
        <v>45278.249448981485</v>
      </c>
      <c r="C26" s="21" t="s">
        <v>183</v>
      </c>
      <c r="D26" s="21" t="s">
        <v>183</v>
      </c>
      <c r="E26" s="21" t="s">
        <v>183</v>
      </c>
      <c r="F26" s="21" t="s">
        <v>183</v>
      </c>
      <c r="G26" s="21" t="s">
        <v>93</v>
      </c>
      <c r="H26" s="21" t="s">
        <v>421</v>
      </c>
      <c r="I26" s="21" t="s">
        <v>422</v>
      </c>
      <c r="J26" s="21" t="s">
        <v>423</v>
      </c>
      <c r="K26" s="21" t="e">
        <f t="shared" ca="1" si="0"/>
        <v>#NAME?</v>
      </c>
      <c r="L26" s="24">
        <v>1976</v>
      </c>
      <c r="N26" s="21" t="s">
        <v>111</v>
      </c>
      <c r="O26" s="21" t="s">
        <v>112</v>
      </c>
      <c r="P26" s="26">
        <v>9440378057</v>
      </c>
      <c r="Q26" s="26" t="e">
        <f t="shared" ca="1" si="1"/>
        <v>#NAME?</v>
      </c>
      <c r="R26" s="21" t="s">
        <v>188</v>
      </c>
      <c r="S26" s="21" t="s">
        <v>424</v>
      </c>
      <c r="T26" s="21" t="s">
        <v>424</v>
      </c>
      <c r="U26" s="21" t="s">
        <v>425</v>
      </c>
      <c r="V26" s="21" t="s">
        <v>425</v>
      </c>
      <c r="W26" s="21" t="s">
        <v>219</v>
      </c>
      <c r="X26" s="21" t="s">
        <v>426</v>
      </c>
      <c r="Y26" s="21" t="s">
        <v>427</v>
      </c>
      <c r="Z26" s="21" t="s">
        <v>127</v>
      </c>
      <c r="AA26" s="21" t="s">
        <v>428</v>
      </c>
      <c r="AB26" s="21" t="s">
        <v>129</v>
      </c>
      <c r="AC26" s="21" t="s">
        <v>429</v>
      </c>
      <c r="AD26" s="21" t="s">
        <v>132</v>
      </c>
      <c r="AE26" s="21" t="s">
        <v>133</v>
      </c>
      <c r="AF26" s="21" t="s">
        <v>135</v>
      </c>
      <c r="AG26" s="21" t="s">
        <v>135</v>
      </c>
      <c r="AH26" s="21" t="s">
        <v>135</v>
      </c>
      <c r="AI26" s="21" t="s">
        <v>135</v>
      </c>
      <c r="AJ26" s="21" t="s">
        <v>430</v>
      </c>
    </row>
    <row r="27" spans="1:36" ht="15.75" customHeight="1" x14ac:dyDescent="0.3">
      <c r="A27" s="21">
        <v>2024</v>
      </c>
      <c r="B27" s="22">
        <v>45294.750025937501</v>
      </c>
      <c r="C27" s="21" t="s">
        <v>183</v>
      </c>
      <c r="D27" s="21" t="s">
        <v>183</v>
      </c>
      <c r="E27" s="21" t="s">
        <v>183</v>
      </c>
      <c r="F27" s="21" t="s">
        <v>183</v>
      </c>
      <c r="G27" s="21" t="s">
        <v>93</v>
      </c>
      <c r="H27" s="21" t="s">
        <v>431</v>
      </c>
      <c r="I27" s="21" t="s">
        <v>432</v>
      </c>
      <c r="J27" s="21" t="s">
        <v>433</v>
      </c>
      <c r="K27" s="21" t="e">
        <f t="shared" ca="1" si="0"/>
        <v>#NAME?</v>
      </c>
      <c r="L27" s="24">
        <v>1963</v>
      </c>
      <c r="N27" s="21" t="s">
        <v>402</v>
      </c>
      <c r="O27" s="21" t="s">
        <v>316</v>
      </c>
      <c r="P27" s="26">
        <v>6474041774</v>
      </c>
      <c r="Q27" s="26" t="e">
        <f t="shared" ca="1" si="1"/>
        <v>#NAME?</v>
      </c>
      <c r="R27" s="21" t="s">
        <v>435</v>
      </c>
      <c r="S27" s="21" t="s">
        <v>436</v>
      </c>
      <c r="T27" s="21" t="s">
        <v>436</v>
      </c>
      <c r="U27" s="21" t="s">
        <v>438</v>
      </c>
      <c r="V27" s="21" t="s">
        <v>438</v>
      </c>
      <c r="W27" s="21" t="s">
        <v>307</v>
      </c>
      <c r="X27" s="21" t="s">
        <v>440</v>
      </c>
      <c r="Y27" s="21" t="s">
        <v>308</v>
      </c>
      <c r="Z27" s="21" t="s">
        <v>127</v>
      </c>
      <c r="AA27" s="21" t="s">
        <v>441</v>
      </c>
      <c r="AB27" s="21" t="s">
        <v>129</v>
      </c>
      <c r="AC27" s="21" t="s">
        <v>442</v>
      </c>
      <c r="AD27" s="21" t="s">
        <v>132</v>
      </c>
      <c r="AE27" s="21" t="s">
        <v>133</v>
      </c>
      <c r="AF27" s="21" t="s">
        <v>135</v>
      </c>
      <c r="AG27" s="21" t="s">
        <v>135</v>
      </c>
      <c r="AH27" s="21" t="s">
        <v>135</v>
      </c>
      <c r="AI27" s="21" t="s">
        <v>135</v>
      </c>
      <c r="AJ27" s="21" t="s">
        <v>443</v>
      </c>
    </row>
    <row r="28" spans="1:36" ht="15.75" customHeight="1" x14ac:dyDescent="0.3">
      <c r="A28" s="21">
        <v>2024</v>
      </c>
      <c r="B28" s="22">
        <v>45298.90927625</v>
      </c>
      <c r="C28" s="21" t="s">
        <v>183</v>
      </c>
      <c r="D28" s="21" t="s">
        <v>183</v>
      </c>
      <c r="E28" s="21" t="s">
        <v>183</v>
      </c>
      <c r="F28" s="21" t="s">
        <v>183</v>
      </c>
      <c r="G28" s="21" t="s">
        <v>93</v>
      </c>
      <c r="H28" s="21" t="s">
        <v>444</v>
      </c>
      <c r="I28" s="21" t="s">
        <v>445</v>
      </c>
      <c r="J28" s="21" t="s">
        <v>446</v>
      </c>
      <c r="K28" s="21" t="e">
        <f t="shared" ca="1" si="0"/>
        <v>#NAME?</v>
      </c>
      <c r="L28" s="24">
        <v>1995</v>
      </c>
      <c r="N28" s="21" t="s">
        <v>111</v>
      </c>
      <c r="O28" s="21" t="s">
        <v>112</v>
      </c>
      <c r="P28" s="26">
        <v>7207128428</v>
      </c>
      <c r="Q28" s="26" t="e">
        <f t="shared" ca="1" si="1"/>
        <v>#NAME?</v>
      </c>
      <c r="R28" s="21" t="s">
        <v>188</v>
      </c>
      <c r="S28" s="21" t="s">
        <v>447</v>
      </c>
      <c r="T28" s="21" t="s">
        <v>447</v>
      </c>
      <c r="U28" s="21" t="s">
        <v>448</v>
      </c>
      <c r="V28" s="21" t="s">
        <v>448</v>
      </c>
      <c r="W28" s="21" t="s">
        <v>449</v>
      </c>
      <c r="X28" s="21" t="s">
        <v>308</v>
      </c>
      <c r="Y28" s="21" t="s">
        <v>308</v>
      </c>
      <c r="Z28" s="21" t="s">
        <v>127</v>
      </c>
      <c r="AA28" s="21" t="s">
        <v>450</v>
      </c>
      <c r="AB28" s="21" t="s">
        <v>129</v>
      </c>
      <c r="AC28" s="21" t="s">
        <v>451</v>
      </c>
      <c r="AD28" s="21" t="s">
        <v>287</v>
      </c>
      <c r="AE28" s="21" t="s">
        <v>133</v>
      </c>
      <c r="AF28" s="21" t="s">
        <v>135</v>
      </c>
      <c r="AG28" s="21" t="s">
        <v>135</v>
      </c>
      <c r="AH28" s="21" t="s">
        <v>135</v>
      </c>
      <c r="AI28" s="21" t="s">
        <v>135</v>
      </c>
      <c r="AJ28" s="21" t="s">
        <v>452</v>
      </c>
    </row>
    <row r="29" spans="1:36" ht="15.75" customHeight="1" x14ac:dyDescent="0.3">
      <c r="A29" s="21">
        <v>2024</v>
      </c>
      <c r="B29" s="22">
        <v>45298.993288993057</v>
      </c>
      <c r="C29" s="21" t="s">
        <v>183</v>
      </c>
      <c r="D29" s="21" t="s">
        <v>183</v>
      </c>
      <c r="E29" s="21" t="s">
        <v>183</v>
      </c>
      <c r="F29" s="21" t="s">
        <v>183</v>
      </c>
      <c r="G29" s="21" t="s">
        <v>256</v>
      </c>
      <c r="H29" s="21" t="s">
        <v>453</v>
      </c>
      <c r="I29" s="21" t="s">
        <v>454</v>
      </c>
      <c r="J29" s="21" t="s">
        <v>455</v>
      </c>
      <c r="K29" s="21" t="e">
        <f t="shared" ca="1" si="0"/>
        <v>#NAME?</v>
      </c>
      <c r="L29" s="24">
        <v>2013</v>
      </c>
      <c r="N29" s="21" t="s">
        <v>111</v>
      </c>
      <c r="O29" s="21" t="s">
        <v>112</v>
      </c>
      <c r="P29" s="26">
        <v>9940343476</v>
      </c>
      <c r="Q29" s="26" t="e">
        <f t="shared" ca="1" si="1"/>
        <v>#NAME?</v>
      </c>
      <c r="R29" s="21" t="s">
        <v>188</v>
      </c>
      <c r="S29" s="21" t="s">
        <v>456</v>
      </c>
      <c r="T29" s="21" t="s">
        <v>456</v>
      </c>
      <c r="U29" s="21" t="s">
        <v>457</v>
      </c>
      <c r="V29" s="21" t="s">
        <v>457</v>
      </c>
      <c r="W29" s="21" t="s">
        <v>319</v>
      </c>
      <c r="X29" s="21" t="s">
        <v>179</v>
      </c>
      <c r="Y29" s="21" t="s">
        <v>220</v>
      </c>
      <c r="Z29" s="21" t="s">
        <v>458</v>
      </c>
      <c r="AA29" s="21" t="s">
        <v>459</v>
      </c>
      <c r="AB29" s="21" t="s">
        <v>408</v>
      </c>
      <c r="AC29" s="21" t="s">
        <v>460</v>
      </c>
      <c r="AD29" s="21" t="s">
        <v>132</v>
      </c>
      <c r="AE29" s="21" t="s">
        <v>133</v>
      </c>
      <c r="AF29" s="21" t="s">
        <v>135</v>
      </c>
      <c r="AG29" s="21" t="s">
        <v>135</v>
      </c>
      <c r="AH29" s="21" t="s">
        <v>135</v>
      </c>
      <c r="AI29" s="21" t="s">
        <v>135</v>
      </c>
    </row>
    <row r="30" spans="1:36" ht="15.75" customHeight="1" x14ac:dyDescent="0.3">
      <c r="A30" s="21">
        <v>2024</v>
      </c>
      <c r="B30" s="22">
        <v>45323.016868321763</v>
      </c>
      <c r="C30" s="21" t="s">
        <v>183</v>
      </c>
      <c r="D30" s="21" t="s">
        <v>183</v>
      </c>
      <c r="E30" s="21" t="s">
        <v>183</v>
      </c>
      <c r="F30" s="21" t="s">
        <v>183</v>
      </c>
      <c r="G30" s="21" t="s">
        <v>93</v>
      </c>
      <c r="H30" s="21" t="s">
        <v>461</v>
      </c>
      <c r="I30" s="21" t="s">
        <v>462</v>
      </c>
      <c r="J30" s="21" t="s">
        <v>463</v>
      </c>
      <c r="K30" s="21" t="e">
        <f t="shared" ca="1" si="0"/>
        <v>#NAME?</v>
      </c>
      <c r="L30" s="24">
        <v>1955</v>
      </c>
      <c r="N30" s="21" t="s">
        <v>111</v>
      </c>
      <c r="O30" s="21" t="s">
        <v>112</v>
      </c>
      <c r="P30" s="26">
        <v>8500945799</v>
      </c>
      <c r="Q30" s="26" t="e">
        <f t="shared" ca="1" si="1"/>
        <v>#NAME?</v>
      </c>
      <c r="R30" s="21" t="s">
        <v>118</v>
      </c>
      <c r="S30" s="21" t="s">
        <v>464</v>
      </c>
      <c r="T30" s="21" t="s">
        <v>464</v>
      </c>
      <c r="U30" s="21" t="s">
        <v>465</v>
      </c>
      <c r="V30" s="21" t="s">
        <v>465</v>
      </c>
      <c r="W30" s="21" t="s">
        <v>466</v>
      </c>
      <c r="X30" s="21" t="s">
        <v>178</v>
      </c>
      <c r="Y30" s="21" t="s">
        <v>467</v>
      </c>
      <c r="Z30" s="21" t="s">
        <v>127</v>
      </c>
      <c r="AA30" s="21" t="s">
        <v>468</v>
      </c>
      <c r="AB30" s="21" t="s">
        <v>129</v>
      </c>
      <c r="AC30" s="21" t="s">
        <v>469</v>
      </c>
      <c r="AD30" s="21" t="s">
        <v>132</v>
      </c>
      <c r="AE30" s="21" t="s">
        <v>133</v>
      </c>
      <c r="AF30" s="21" t="s">
        <v>135</v>
      </c>
      <c r="AG30" s="21" t="s">
        <v>135</v>
      </c>
      <c r="AH30" s="21" t="s">
        <v>135</v>
      </c>
      <c r="AI30" s="21" t="s">
        <v>135</v>
      </c>
      <c r="AJ30" s="21" t="s">
        <v>470</v>
      </c>
    </row>
    <row r="31" spans="1:36" ht="15.75" customHeight="1" x14ac:dyDescent="0.3">
      <c r="A31" s="21">
        <v>2024</v>
      </c>
      <c r="B31" s="22">
        <v>45323.073961932867</v>
      </c>
      <c r="C31" s="21" t="s">
        <v>183</v>
      </c>
      <c r="D31" s="21" t="s">
        <v>183</v>
      </c>
      <c r="E31" s="21" t="s">
        <v>183</v>
      </c>
      <c r="F31" s="21" t="s">
        <v>183</v>
      </c>
      <c r="G31" s="21" t="s">
        <v>93</v>
      </c>
      <c r="H31" s="21" t="s">
        <v>471</v>
      </c>
      <c r="I31" s="21" t="s">
        <v>472</v>
      </c>
      <c r="J31" s="21" t="s">
        <v>473</v>
      </c>
      <c r="K31" s="21" t="e">
        <f t="shared" ca="1" si="0"/>
        <v>#NAME?</v>
      </c>
      <c r="L31" s="24">
        <v>1992</v>
      </c>
      <c r="N31" s="21" t="s">
        <v>474</v>
      </c>
      <c r="O31" s="21" t="s">
        <v>316</v>
      </c>
      <c r="P31" s="26">
        <v>8509806681</v>
      </c>
      <c r="Q31" s="26" t="e">
        <f t="shared" ca="1" si="1"/>
        <v>#NAME?</v>
      </c>
      <c r="R31" s="21" t="s">
        <v>475</v>
      </c>
      <c r="S31" s="21" t="s">
        <v>476</v>
      </c>
      <c r="T31" s="21" t="s">
        <v>476</v>
      </c>
      <c r="U31" s="21" t="s">
        <v>477</v>
      </c>
      <c r="V31" s="21" t="s">
        <v>477</v>
      </c>
      <c r="W31" s="21" t="s">
        <v>307</v>
      </c>
      <c r="X31" s="21" t="s">
        <v>478</v>
      </c>
      <c r="Y31" s="21" t="s">
        <v>478</v>
      </c>
      <c r="Z31" s="21" t="s">
        <v>127</v>
      </c>
      <c r="AA31" s="21" t="s">
        <v>479</v>
      </c>
      <c r="AB31" s="21" t="s">
        <v>129</v>
      </c>
      <c r="AC31" s="21" t="s">
        <v>480</v>
      </c>
      <c r="AD31" s="21" t="s">
        <v>132</v>
      </c>
      <c r="AE31" s="21" t="s">
        <v>133</v>
      </c>
      <c r="AF31" s="21" t="s">
        <v>135</v>
      </c>
      <c r="AG31" s="21" t="s">
        <v>135</v>
      </c>
      <c r="AH31" s="21" t="s">
        <v>135</v>
      </c>
      <c r="AI31" s="21" t="s">
        <v>135</v>
      </c>
      <c r="AJ31" s="21" t="s">
        <v>481</v>
      </c>
    </row>
    <row r="32" spans="1:36" ht="15.75" customHeight="1" x14ac:dyDescent="0.3">
      <c r="A32" s="21">
        <v>2024</v>
      </c>
      <c r="B32" s="22">
        <v>45323.179374444444</v>
      </c>
      <c r="C32" s="21" t="s">
        <v>183</v>
      </c>
      <c r="D32" s="21" t="s">
        <v>183</v>
      </c>
      <c r="E32" s="21" t="s">
        <v>183</v>
      </c>
      <c r="F32" s="21" t="s">
        <v>183</v>
      </c>
      <c r="G32" s="21" t="s">
        <v>93</v>
      </c>
      <c r="H32" s="21" t="s">
        <v>482</v>
      </c>
      <c r="I32" s="21" t="s">
        <v>483</v>
      </c>
      <c r="J32" s="21" t="s">
        <v>484</v>
      </c>
      <c r="K32" s="21" t="e">
        <f t="shared" ca="1" si="0"/>
        <v>#NAME?</v>
      </c>
      <c r="L32" s="24">
        <v>1956</v>
      </c>
      <c r="N32" s="21" t="s">
        <v>111</v>
      </c>
      <c r="O32" s="21" t="s">
        <v>112</v>
      </c>
      <c r="P32" s="26">
        <v>9949093634</v>
      </c>
      <c r="Q32" s="26" t="e">
        <f t="shared" ca="1" si="1"/>
        <v>#NAME?</v>
      </c>
      <c r="R32" s="21" t="s">
        <v>485</v>
      </c>
      <c r="S32" s="21" t="s">
        <v>486</v>
      </c>
      <c r="T32" s="21" t="s">
        <v>486</v>
      </c>
      <c r="U32" s="21" t="s">
        <v>487</v>
      </c>
      <c r="V32" s="21" t="s">
        <v>487</v>
      </c>
      <c r="W32" s="21" t="s">
        <v>488</v>
      </c>
      <c r="X32" s="21" t="s">
        <v>489</v>
      </c>
      <c r="Y32" s="21" t="s">
        <v>489</v>
      </c>
      <c r="Z32" s="21" t="s">
        <v>127</v>
      </c>
      <c r="AA32" s="21" t="s">
        <v>490</v>
      </c>
      <c r="AB32" s="21" t="s">
        <v>129</v>
      </c>
      <c r="AC32" s="21" t="s">
        <v>491</v>
      </c>
      <c r="AD32" s="21" t="s">
        <v>287</v>
      </c>
      <c r="AE32" s="21" t="s">
        <v>133</v>
      </c>
      <c r="AF32" s="21" t="s">
        <v>135</v>
      </c>
      <c r="AG32" s="21" t="s">
        <v>135</v>
      </c>
      <c r="AH32" s="21" t="s">
        <v>135</v>
      </c>
      <c r="AI32" s="21" t="s">
        <v>135</v>
      </c>
      <c r="AJ32" s="21" t="s">
        <v>492</v>
      </c>
    </row>
    <row r="33" spans="1:36" ht="15.75" customHeight="1" x14ac:dyDescent="0.3">
      <c r="A33" s="21">
        <v>2024</v>
      </c>
      <c r="B33" s="22">
        <v>45329.44045008102</v>
      </c>
      <c r="C33" s="21" t="s">
        <v>183</v>
      </c>
      <c r="D33" s="21" t="s">
        <v>183</v>
      </c>
      <c r="E33" s="21" t="s">
        <v>183</v>
      </c>
      <c r="F33" s="21" t="s">
        <v>183</v>
      </c>
      <c r="G33" s="21" t="s">
        <v>93</v>
      </c>
      <c r="H33" s="21" t="s">
        <v>493</v>
      </c>
      <c r="I33" s="21" t="s">
        <v>494</v>
      </c>
      <c r="J33" s="21" t="s">
        <v>495</v>
      </c>
      <c r="K33" s="21" t="e">
        <f t="shared" ca="1" si="0"/>
        <v>#NAME?</v>
      </c>
      <c r="L33" s="24">
        <v>1979</v>
      </c>
      <c r="N33" s="21" t="s">
        <v>111</v>
      </c>
      <c r="O33" s="21" t="s">
        <v>112</v>
      </c>
      <c r="P33" s="26">
        <v>9885981818</v>
      </c>
      <c r="Q33" s="26" t="e">
        <f t="shared" ca="1" si="1"/>
        <v>#NAME?</v>
      </c>
      <c r="R33" s="21" t="s">
        <v>188</v>
      </c>
      <c r="S33" s="21" t="s">
        <v>496</v>
      </c>
      <c r="T33" s="21" t="s">
        <v>496</v>
      </c>
      <c r="U33" s="21" t="s">
        <v>497</v>
      </c>
      <c r="V33" s="21" t="s">
        <v>497</v>
      </c>
      <c r="W33" s="21" t="s">
        <v>498</v>
      </c>
      <c r="X33" s="21" t="s">
        <v>352</v>
      </c>
      <c r="Y33" s="21" t="s">
        <v>352</v>
      </c>
      <c r="Z33" s="21" t="s">
        <v>127</v>
      </c>
      <c r="AA33" s="21" t="s">
        <v>499</v>
      </c>
      <c r="AB33" s="21" t="s">
        <v>129</v>
      </c>
      <c r="AC33" s="21" t="s">
        <v>500</v>
      </c>
      <c r="AD33" s="21" t="s">
        <v>132</v>
      </c>
      <c r="AE33" s="21" t="s">
        <v>133</v>
      </c>
      <c r="AF33" s="21" t="s">
        <v>135</v>
      </c>
      <c r="AG33" s="21" t="s">
        <v>135</v>
      </c>
      <c r="AH33" s="21" t="s">
        <v>135</v>
      </c>
      <c r="AI33" s="21" t="s">
        <v>135</v>
      </c>
    </row>
    <row r="34" spans="1:36" ht="15.75" customHeight="1" x14ac:dyDescent="0.3">
      <c r="A34" s="21">
        <v>2024</v>
      </c>
      <c r="B34" s="22">
        <v>45337.444942222224</v>
      </c>
      <c r="C34" s="21" t="s">
        <v>183</v>
      </c>
      <c r="D34" s="21" t="s">
        <v>183</v>
      </c>
      <c r="E34" s="21" t="s">
        <v>183</v>
      </c>
      <c r="F34" s="21" t="s">
        <v>183</v>
      </c>
      <c r="G34" s="21" t="s">
        <v>93</v>
      </c>
      <c r="H34" s="21" t="s">
        <v>501</v>
      </c>
      <c r="I34" s="21" t="s">
        <v>462</v>
      </c>
      <c r="J34" s="21" t="s">
        <v>502</v>
      </c>
      <c r="K34" s="21" t="e">
        <f t="shared" ca="1" si="0"/>
        <v>#NAME?</v>
      </c>
      <c r="L34" s="24">
        <v>1997</v>
      </c>
      <c r="N34" s="21" t="s">
        <v>474</v>
      </c>
      <c r="O34" s="21" t="s">
        <v>316</v>
      </c>
      <c r="P34" s="26">
        <v>2067781986</v>
      </c>
      <c r="Q34" s="26" t="e">
        <f t="shared" ca="1" si="1"/>
        <v>#NAME?</v>
      </c>
      <c r="R34" s="21" t="s">
        <v>503</v>
      </c>
      <c r="S34" s="21" t="s">
        <v>504</v>
      </c>
      <c r="T34" s="21" t="s">
        <v>504</v>
      </c>
      <c r="U34" s="21" t="s">
        <v>505</v>
      </c>
      <c r="V34" s="21" t="s">
        <v>505</v>
      </c>
      <c r="W34" s="21" t="s">
        <v>488</v>
      </c>
      <c r="X34" s="21" t="s">
        <v>220</v>
      </c>
      <c r="Y34" s="21" t="s">
        <v>506</v>
      </c>
      <c r="Z34" s="21" t="s">
        <v>127</v>
      </c>
      <c r="AA34" s="21" t="s">
        <v>450</v>
      </c>
      <c r="AB34" s="21" t="s">
        <v>129</v>
      </c>
      <c r="AC34" s="21" t="s">
        <v>507</v>
      </c>
      <c r="AD34" s="21" t="s">
        <v>287</v>
      </c>
      <c r="AE34" s="21" t="s">
        <v>332</v>
      </c>
      <c r="AF34" s="21" t="s">
        <v>135</v>
      </c>
      <c r="AG34" s="21" t="s">
        <v>135</v>
      </c>
      <c r="AH34" s="21" t="s">
        <v>135</v>
      </c>
      <c r="AI34" s="21" t="s">
        <v>135</v>
      </c>
    </row>
    <row r="35" spans="1:36" ht="15.75" customHeight="1" x14ac:dyDescent="0.3">
      <c r="A35" s="21">
        <v>2024</v>
      </c>
      <c r="B35" s="22">
        <v>45341.015442129632</v>
      </c>
      <c r="C35" s="21" t="s">
        <v>183</v>
      </c>
      <c r="D35" s="21" t="s">
        <v>183</v>
      </c>
      <c r="E35" s="21" t="s">
        <v>183</v>
      </c>
      <c r="F35" s="21" t="s">
        <v>183</v>
      </c>
      <c r="G35" s="21" t="s">
        <v>93</v>
      </c>
      <c r="H35" s="21" t="s">
        <v>508</v>
      </c>
      <c r="I35" s="21" t="s">
        <v>509</v>
      </c>
      <c r="J35" s="21" t="s">
        <v>510</v>
      </c>
      <c r="K35" s="21" t="e">
        <f t="shared" ca="1" si="0"/>
        <v>#NAME?</v>
      </c>
      <c r="L35" s="24">
        <v>1980</v>
      </c>
      <c r="N35" s="21" t="s">
        <v>474</v>
      </c>
      <c r="O35" s="21" t="s">
        <v>316</v>
      </c>
      <c r="P35" s="26">
        <v>5412231699</v>
      </c>
      <c r="Q35" s="26" t="e">
        <f t="shared" ca="1" si="1"/>
        <v>#NAME?</v>
      </c>
      <c r="R35" s="21" t="s">
        <v>511</v>
      </c>
      <c r="S35" s="21" t="s">
        <v>512</v>
      </c>
      <c r="T35" s="21" t="s">
        <v>512</v>
      </c>
      <c r="U35" s="21" t="s">
        <v>513</v>
      </c>
      <c r="V35" s="21" t="s">
        <v>513</v>
      </c>
      <c r="W35" s="21" t="s">
        <v>307</v>
      </c>
      <c r="X35" s="21" t="s">
        <v>514</v>
      </c>
      <c r="Y35" s="21" t="s">
        <v>515</v>
      </c>
      <c r="Z35" s="21" t="s">
        <v>127</v>
      </c>
      <c r="AA35" s="21" t="s">
        <v>516</v>
      </c>
      <c r="AB35" s="21" t="s">
        <v>129</v>
      </c>
      <c r="AC35" s="21" t="s">
        <v>517</v>
      </c>
      <c r="AD35" s="21" t="s">
        <v>287</v>
      </c>
      <c r="AE35" s="21" t="s">
        <v>133</v>
      </c>
      <c r="AF35" s="21" t="s">
        <v>135</v>
      </c>
      <c r="AG35" s="21" t="s">
        <v>135</v>
      </c>
      <c r="AH35" s="21" t="s">
        <v>135</v>
      </c>
      <c r="AI35" s="21" t="s">
        <v>135</v>
      </c>
    </row>
    <row r="36" spans="1:36" ht="15.75" customHeight="1" x14ac:dyDescent="0.3">
      <c r="A36" s="21">
        <v>2024</v>
      </c>
      <c r="B36" s="22">
        <v>45350.93500085648</v>
      </c>
      <c r="C36" s="21" t="s">
        <v>183</v>
      </c>
      <c r="D36" s="21" t="s">
        <v>183</v>
      </c>
      <c r="E36" s="21" t="s">
        <v>183</v>
      </c>
      <c r="F36" s="21" t="s">
        <v>183</v>
      </c>
      <c r="G36" s="21" t="s">
        <v>93</v>
      </c>
      <c r="H36" s="21" t="s">
        <v>518</v>
      </c>
      <c r="I36" s="21" t="s">
        <v>519</v>
      </c>
      <c r="J36" s="21" t="s">
        <v>520</v>
      </c>
      <c r="K36" s="21" t="e">
        <f t="shared" ca="1" si="0"/>
        <v>#NAME?</v>
      </c>
      <c r="L36" s="24">
        <v>1981</v>
      </c>
      <c r="N36" s="21" t="s">
        <v>315</v>
      </c>
      <c r="O36" s="21" t="s">
        <v>316</v>
      </c>
      <c r="P36" s="26">
        <v>5123178882</v>
      </c>
      <c r="Q36" s="26" t="e">
        <f t="shared" ca="1" si="1"/>
        <v>#NAME?</v>
      </c>
      <c r="R36" s="21" t="s">
        <v>521</v>
      </c>
      <c r="S36" s="21" t="s">
        <v>522</v>
      </c>
      <c r="T36" s="21" t="s">
        <v>522</v>
      </c>
      <c r="U36" s="21" t="s">
        <v>523</v>
      </c>
      <c r="V36" s="21" t="s">
        <v>523</v>
      </c>
      <c r="W36" s="21" t="s">
        <v>307</v>
      </c>
      <c r="X36" s="21" t="s">
        <v>308</v>
      </c>
      <c r="Y36" s="21" t="s">
        <v>308</v>
      </c>
      <c r="Z36" s="21" t="s">
        <v>524</v>
      </c>
      <c r="AA36" s="21" t="s">
        <v>526</v>
      </c>
      <c r="AB36" s="21" t="s">
        <v>129</v>
      </c>
      <c r="AC36" s="21" t="s">
        <v>527</v>
      </c>
      <c r="AD36" s="21" t="s">
        <v>132</v>
      </c>
      <c r="AE36" s="21" t="s">
        <v>133</v>
      </c>
      <c r="AF36" s="21" t="s">
        <v>135</v>
      </c>
      <c r="AG36" s="21" t="s">
        <v>135</v>
      </c>
      <c r="AH36" s="21" t="s">
        <v>135</v>
      </c>
      <c r="AI36" s="21" t="s">
        <v>135</v>
      </c>
    </row>
    <row r="37" spans="1:36" ht="15.75" customHeight="1" x14ac:dyDescent="0.3">
      <c r="A37" s="21">
        <v>2024</v>
      </c>
      <c r="B37" s="22">
        <v>45372.904909942125</v>
      </c>
      <c r="C37" s="21" t="s">
        <v>183</v>
      </c>
      <c r="D37" s="21" t="s">
        <v>183</v>
      </c>
      <c r="E37" s="21" t="s">
        <v>183</v>
      </c>
      <c r="F37" s="21" t="s">
        <v>183</v>
      </c>
      <c r="G37" s="21" t="s">
        <v>93</v>
      </c>
      <c r="H37" s="21" t="s">
        <v>530</v>
      </c>
      <c r="I37" s="21" t="s">
        <v>531</v>
      </c>
      <c r="J37" s="21" t="s">
        <v>532</v>
      </c>
      <c r="K37" s="21" t="e">
        <f t="shared" ca="1" si="0"/>
        <v>#NAME?</v>
      </c>
      <c r="L37" s="24">
        <v>2004</v>
      </c>
      <c r="N37" s="21" t="s">
        <v>111</v>
      </c>
      <c r="O37" s="21" t="s">
        <v>112</v>
      </c>
      <c r="P37" s="26">
        <v>7995955739</v>
      </c>
      <c r="Q37" s="26" t="e">
        <f t="shared" ca="1" si="1"/>
        <v>#NAME?</v>
      </c>
      <c r="R37" s="21" t="s">
        <v>118</v>
      </c>
      <c r="S37" s="21" t="s">
        <v>533</v>
      </c>
      <c r="T37" s="21" t="s">
        <v>533</v>
      </c>
      <c r="U37" s="21" t="s">
        <v>534</v>
      </c>
      <c r="V37" s="21" t="s">
        <v>534</v>
      </c>
      <c r="W37" s="21" t="s">
        <v>535</v>
      </c>
      <c r="X37" s="21" t="s">
        <v>536</v>
      </c>
      <c r="Y37" s="21" t="s">
        <v>537</v>
      </c>
      <c r="Z37" s="21" t="s">
        <v>127</v>
      </c>
      <c r="AA37" s="21" t="s">
        <v>538</v>
      </c>
      <c r="AB37" s="21" t="s">
        <v>129</v>
      </c>
      <c r="AC37" s="21" t="s">
        <v>539</v>
      </c>
      <c r="AD37" s="21" t="s">
        <v>132</v>
      </c>
      <c r="AE37" s="21" t="s">
        <v>133</v>
      </c>
      <c r="AF37" s="21" t="s">
        <v>135</v>
      </c>
      <c r="AG37" s="21" t="s">
        <v>135</v>
      </c>
      <c r="AH37" s="21" t="s">
        <v>135</v>
      </c>
      <c r="AI37" s="21" t="s">
        <v>135</v>
      </c>
      <c r="AJ37" s="21" t="s">
        <v>284</v>
      </c>
    </row>
    <row r="38" spans="1:36" ht="15.75" customHeight="1" x14ac:dyDescent="0.3">
      <c r="A38" s="21">
        <v>2024</v>
      </c>
      <c r="B38" s="22">
        <v>45372.914850196757</v>
      </c>
      <c r="C38" s="21" t="s">
        <v>183</v>
      </c>
      <c r="D38" s="21" t="s">
        <v>183</v>
      </c>
      <c r="E38" s="21" t="s">
        <v>183</v>
      </c>
      <c r="F38" s="21" t="s">
        <v>183</v>
      </c>
      <c r="G38" s="21" t="s">
        <v>93</v>
      </c>
      <c r="H38" s="21" t="s">
        <v>540</v>
      </c>
      <c r="I38" s="21" t="s">
        <v>541</v>
      </c>
      <c r="J38" s="21" t="s">
        <v>542</v>
      </c>
      <c r="K38" s="21" t="e">
        <f t="shared" ca="1" si="0"/>
        <v>#NAME?</v>
      </c>
      <c r="L38" s="24">
        <v>1973</v>
      </c>
      <c r="N38" s="21" t="s">
        <v>111</v>
      </c>
      <c r="O38" s="21" t="s">
        <v>112</v>
      </c>
      <c r="P38" s="26">
        <v>9962557438</v>
      </c>
      <c r="Q38" s="26" t="e">
        <f t="shared" ca="1" si="1"/>
        <v>#NAME?</v>
      </c>
      <c r="R38" s="21" t="s">
        <v>188</v>
      </c>
      <c r="S38" s="21" t="s">
        <v>543</v>
      </c>
      <c r="T38" s="21" t="s">
        <v>543</v>
      </c>
      <c r="U38" s="21" t="s">
        <v>544</v>
      </c>
      <c r="V38" s="21" t="s">
        <v>544</v>
      </c>
      <c r="W38" s="21" t="s">
        <v>219</v>
      </c>
      <c r="X38" s="21" t="s">
        <v>178</v>
      </c>
      <c r="Y38" s="21" t="s">
        <v>178</v>
      </c>
      <c r="Z38" s="21" t="s">
        <v>284</v>
      </c>
      <c r="AA38" s="21" t="s">
        <v>545</v>
      </c>
      <c r="AB38" s="21" t="s">
        <v>129</v>
      </c>
      <c r="AC38" s="21" t="s">
        <v>546</v>
      </c>
      <c r="AD38" s="21" t="s">
        <v>169</v>
      </c>
      <c r="AE38" s="21" t="s">
        <v>133</v>
      </c>
      <c r="AF38" s="21" t="s">
        <v>135</v>
      </c>
      <c r="AG38" s="21" t="s">
        <v>135</v>
      </c>
      <c r="AH38" s="21" t="s">
        <v>135</v>
      </c>
      <c r="AI38" s="21" t="s">
        <v>135</v>
      </c>
      <c r="AJ38" s="21" t="s">
        <v>547</v>
      </c>
    </row>
    <row r="39" spans="1:36" ht="15.75" customHeight="1" x14ac:dyDescent="0.3">
      <c r="A39" s="21">
        <v>2024</v>
      </c>
      <c r="B39" s="22">
        <v>45372.939128680555</v>
      </c>
      <c r="C39" s="21" t="s">
        <v>183</v>
      </c>
      <c r="D39" s="21" t="s">
        <v>183</v>
      </c>
      <c r="E39" s="21" t="s">
        <v>183</v>
      </c>
      <c r="F39" s="21" t="s">
        <v>183</v>
      </c>
      <c r="G39" s="21" t="s">
        <v>93</v>
      </c>
      <c r="H39" s="21" t="s">
        <v>548</v>
      </c>
      <c r="I39" s="21" t="s">
        <v>549</v>
      </c>
      <c r="J39" s="21" t="s">
        <v>550</v>
      </c>
      <c r="K39" s="21" t="e">
        <f t="shared" ca="1" si="0"/>
        <v>#NAME?</v>
      </c>
      <c r="L39" s="24">
        <v>1995</v>
      </c>
      <c r="N39" s="21" t="s">
        <v>111</v>
      </c>
      <c r="O39" s="21" t="s">
        <v>112</v>
      </c>
      <c r="P39" s="26">
        <v>9035023670</v>
      </c>
      <c r="Q39" s="26" t="e">
        <f t="shared" ca="1" si="1"/>
        <v>#NAME?</v>
      </c>
      <c r="R39" s="21" t="s">
        <v>551</v>
      </c>
      <c r="S39" s="21" t="s">
        <v>127</v>
      </c>
      <c r="T39" s="21" t="s">
        <v>127</v>
      </c>
      <c r="U39" s="21" t="s">
        <v>552</v>
      </c>
      <c r="V39" s="21" t="s">
        <v>552</v>
      </c>
      <c r="W39" s="21" t="s">
        <v>219</v>
      </c>
      <c r="X39" s="21" t="s">
        <v>267</v>
      </c>
      <c r="Y39" s="21" t="s">
        <v>553</v>
      </c>
      <c r="Z39" s="21" t="s">
        <v>127</v>
      </c>
      <c r="AA39" s="21" t="s">
        <v>297</v>
      </c>
      <c r="AB39" s="21" t="s">
        <v>129</v>
      </c>
      <c r="AC39" s="21" t="s">
        <v>554</v>
      </c>
      <c r="AD39" s="21" t="s">
        <v>132</v>
      </c>
      <c r="AE39" s="21" t="s">
        <v>133</v>
      </c>
      <c r="AF39" s="21" t="s">
        <v>135</v>
      </c>
      <c r="AG39" s="21" t="s">
        <v>135</v>
      </c>
      <c r="AH39" s="21" t="s">
        <v>135</v>
      </c>
      <c r="AI39" s="21" t="s">
        <v>135</v>
      </c>
    </row>
    <row r="40" spans="1:36" ht="15.75" customHeight="1" x14ac:dyDescent="0.3">
      <c r="A40" s="21">
        <v>2024</v>
      </c>
      <c r="B40" s="22">
        <v>45372.951082245374</v>
      </c>
      <c r="C40" s="21" t="s">
        <v>183</v>
      </c>
      <c r="D40" s="21" t="s">
        <v>183</v>
      </c>
      <c r="E40" s="21" t="s">
        <v>183</v>
      </c>
      <c r="F40" s="21" t="s">
        <v>183</v>
      </c>
      <c r="G40" s="21" t="s">
        <v>256</v>
      </c>
      <c r="H40" s="21" t="s">
        <v>555</v>
      </c>
      <c r="I40" s="21" t="s">
        <v>556</v>
      </c>
      <c r="J40" s="21" t="s">
        <v>557</v>
      </c>
      <c r="K40" s="21" t="e">
        <f t="shared" ca="1" si="0"/>
        <v>#NAME?</v>
      </c>
      <c r="L40" s="24">
        <v>2012</v>
      </c>
      <c r="N40" s="21" t="s">
        <v>111</v>
      </c>
      <c r="O40" s="21" t="s">
        <v>112</v>
      </c>
      <c r="P40" s="26">
        <v>9701055200</v>
      </c>
      <c r="Q40" s="26" t="e">
        <f t="shared" ca="1" si="1"/>
        <v>#NAME?</v>
      </c>
      <c r="R40" s="21" t="s">
        <v>118</v>
      </c>
      <c r="S40" s="21" t="s">
        <v>558</v>
      </c>
      <c r="T40" s="21" t="s">
        <v>558</v>
      </c>
      <c r="U40" s="21" t="s">
        <v>559</v>
      </c>
      <c r="V40" s="21" t="s">
        <v>559</v>
      </c>
      <c r="W40" s="21" t="s">
        <v>191</v>
      </c>
      <c r="X40" s="21" t="s">
        <v>560</v>
      </c>
      <c r="Y40" s="21" t="s">
        <v>406</v>
      </c>
      <c r="Z40" s="21" t="s">
        <v>561</v>
      </c>
      <c r="AA40" s="21" t="s">
        <v>562</v>
      </c>
      <c r="AB40" s="21" t="s">
        <v>563</v>
      </c>
      <c r="AC40" s="21" t="s">
        <v>564</v>
      </c>
      <c r="AD40" s="21" t="s">
        <v>132</v>
      </c>
      <c r="AE40" s="21" t="s">
        <v>133</v>
      </c>
      <c r="AF40" s="21" t="s">
        <v>135</v>
      </c>
      <c r="AG40" s="21" t="s">
        <v>135</v>
      </c>
      <c r="AH40" s="21" t="s">
        <v>135</v>
      </c>
      <c r="AI40" s="21" t="s">
        <v>135</v>
      </c>
      <c r="AJ40" s="21" t="s">
        <v>565</v>
      </c>
    </row>
    <row r="41" spans="1:36" ht="15.75" customHeight="1" x14ac:dyDescent="0.3">
      <c r="A41" s="21">
        <v>2024</v>
      </c>
      <c r="B41" s="22">
        <v>45372.95492462963</v>
      </c>
      <c r="C41" s="21" t="s">
        <v>183</v>
      </c>
      <c r="D41" s="21" t="s">
        <v>183</v>
      </c>
      <c r="E41" s="21" t="s">
        <v>183</v>
      </c>
      <c r="F41" s="21" t="s">
        <v>183</v>
      </c>
      <c r="G41" s="21" t="s">
        <v>93</v>
      </c>
      <c r="H41" s="21" t="s">
        <v>566</v>
      </c>
      <c r="I41" s="21" t="s">
        <v>567</v>
      </c>
      <c r="J41" s="21" t="s">
        <v>568</v>
      </c>
      <c r="K41" s="21" t="e">
        <f t="shared" ca="1" si="0"/>
        <v>#NAME?</v>
      </c>
      <c r="L41" s="24">
        <v>1985</v>
      </c>
      <c r="N41" s="21" t="s">
        <v>111</v>
      </c>
      <c r="O41" s="21" t="s">
        <v>112</v>
      </c>
      <c r="P41" s="26">
        <v>9989244903</v>
      </c>
      <c r="Q41" s="26" t="e">
        <f t="shared" ca="1" si="1"/>
        <v>#NAME?</v>
      </c>
      <c r="R41" s="21" t="s">
        <v>188</v>
      </c>
      <c r="S41" s="21" t="s">
        <v>569</v>
      </c>
      <c r="T41" s="21" t="s">
        <v>569</v>
      </c>
      <c r="U41" s="21" t="s">
        <v>570</v>
      </c>
      <c r="V41" s="21" t="s">
        <v>570</v>
      </c>
      <c r="W41" s="21" t="s">
        <v>219</v>
      </c>
      <c r="X41" s="21" t="s">
        <v>571</v>
      </c>
      <c r="Y41" s="21" t="s">
        <v>571</v>
      </c>
      <c r="Z41" s="21" t="s">
        <v>296</v>
      </c>
      <c r="AA41" s="21" t="s">
        <v>572</v>
      </c>
      <c r="AB41" s="21" t="s">
        <v>129</v>
      </c>
      <c r="AC41" s="21" t="s">
        <v>573</v>
      </c>
      <c r="AD41" s="21" t="s">
        <v>287</v>
      </c>
      <c r="AE41" s="21" t="s">
        <v>133</v>
      </c>
      <c r="AF41" s="21" t="s">
        <v>135</v>
      </c>
      <c r="AG41" s="21" t="s">
        <v>135</v>
      </c>
      <c r="AH41" s="21" t="s">
        <v>135</v>
      </c>
      <c r="AI41" s="21" t="s">
        <v>135</v>
      </c>
      <c r="AJ41" s="21" t="s">
        <v>574</v>
      </c>
    </row>
    <row r="42" spans="1:36" ht="15.75" customHeight="1" x14ac:dyDescent="0.3">
      <c r="A42" s="21">
        <v>2024</v>
      </c>
      <c r="B42" s="22">
        <v>45372.976847754631</v>
      </c>
      <c r="C42" s="21" t="s">
        <v>183</v>
      </c>
      <c r="D42" s="21" t="s">
        <v>183</v>
      </c>
      <c r="E42" s="21" t="s">
        <v>183</v>
      </c>
      <c r="F42" s="21" t="s">
        <v>90</v>
      </c>
      <c r="G42" s="21" t="s">
        <v>93</v>
      </c>
      <c r="H42" s="21" t="s">
        <v>575</v>
      </c>
      <c r="I42" s="21" t="s">
        <v>576</v>
      </c>
      <c r="J42" s="21" t="s">
        <v>577</v>
      </c>
      <c r="K42" s="21" t="e">
        <f t="shared" ca="1" si="0"/>
        <v>#NAME?</v>
      </c>
      <c r="L42" s="24">
        <v>1988</v>
      </c>
      <c r="N42" s="21" t="s">
        <v>474</v>
      </c>
      <c r="O42" s="21" t="s">
        <v>316</v>
      </c>
      <c r="P42" s="26">
        <v>5144661621</v>
      </c>
      <c r="Q42" s="26" t="e">
        <f t="shared" ca="1" si="1"/>
        <v>#NAME?</v>
      </c>
      <c r="R42" s="21" t="s">
        <v>578</v>
      </c>
      <c r="S42" s="21" t="s">
        <v>579</v>
      </c>
      <c r="T42" s="21" t="s">
        <v>579</v>
      </c>
      <c r="U42" s="21" t="s">
        <v>580</v>
      </c>
      <c r="V42" s="21" t="s">
        <v>580</v>
      </c>
      <c r="W42" s="21" t="s">
        <v>191</v>
      </c>
      <c r="X42" s="21" t="s">
        <v>581</v>
      </c>
      <c r="Y42" s="21" t="s">
        <v>581</v>
      </c>
      <c r="Z42" s="21" t="s">
        <v>582</v>
      </c>
      <c r="AA42" s="21" t="s">
        <v>583</v>
      </c>
      <c r="AB42" s="21" t="s">
        <v>129</v>
      </c>
      <c r="AC42" s="21" t="s">
        <v>584</v>
      </c>
      <c r="AD42" s="21" t="s">
        <v>287</v>
      </c>
      <c r="AE42" s="21" t="s">
        <v>133</v>
      </c>
      <c r="AF42" s="21" t="s">
        <v>135</v>
      </c>
      <c r="AG42" s="21" t="s">
        <v>135</v>
      </c>
      <c r="AH42" s="21" t="s">
        <v>135</v>
      </c>
      <c r="AI42" s="21" t="s">
        <v>135</v>
      </c>
    </row>
    <row r="43" spans="1:36" ht="15.75" customHeight="1" x14ac:dyDescent="0.3">
      <c r="A43" s="21">
        <v>2024</v>
      </c>
      <c r="B43" s="22">
        <v>45372.992650428241</v>
      </c>
      <c r="C43" s="21" t="s">
        <v>183</v>
      </c>
      <c r="D43" s="21" t="s">
        <v>183</v>
      </c>
      <c r="E43" s="21" t="s">
        <v>183</v>
      </c>
      <c r="F43" s="21" t="s">
        <v>183</v>
      </c>
      <c r="G43" s="21" t="s">
        <v>93</v>
      </c>
      <c r="H43" s="21" t="s">
        <v>585</v>
      </c>
      <c r="I43" s="21" t="s">
        <v>576</v>
      </c>
      <c r="J43" s="21" t="s">
        <v>586</v>
      </c>
      <c r="K43" s="21" t="e">
        <f t="shared" ca="1" si="0"/>
        <v>#NAME?</v>
      </c>
      <c r="L43" s="24">
        <v>1962</v>
      </c>
      <c r="N43" s="21" t="s">
        <v>111</v>
      </c>
      <c r="O43" s="21" t="s">
        <v>112</v>
      </c>
      <c r="P43" s="26">
        <v>9346834357</v>
      </c>
      <c r="Q43" s="26" t="e">
        <f t="shared" ca="1" si="1"/>
        <v>#NAME?</v>
      </c>
      <c r="R43" s="21" t="s">
        <v>304</v>
      </c>
      <c r="S43" s="21" t="s">
        <v>587</v>
      </c>
      <c r="T43" s="21" t="s">
        <v>587</v>
      </c>
      <c r="U43" s="21" t="s">
        <v>588</v>
      </c>
      <c r="V43" s="21" t="s">
        <v>588</v>
      </c>
      <c r="W43" s="21" t="s">
        <v>589</v>
      </c>
      <c r="X43" s="21" t="s">
        <v>179</v>
      </c>
      <c r="Y43" s="21" t="s">
        <v>179</v>
      </c>
      <c r="Z43" s="21" t="s">
        <v>127</v>
      </c>
      <c r="AA43" s="21" t="s">
        <v>386</v>
      </c>
      <c r="AB43" s="21" t="s">
        <v>129</v>
      </c>
      <c r="AC43" s="21" t="s">
        <v>590</v>
      </c>
      <c r="AD43" s="21" t="s">
        <v>287</v>
      </c>
      <c r="AE43" s="21" t="s">
        <v>133</v>
      </c>
      <c r="AF43" s="21" t="s">
        <v>135</v>
      </c>
      <c r="AG43" s="21" t="s">
        <v>135</v>
      </c>
      <c r="AH43" s="21" t="s">
        <v>135</v>
      </c>
      <c r="AI43" s="21" t="s">
        <v>135</v>
      </c>
      <c r="AJ43" s="21" t="s">
        <v>591</v>
      </c>
    </row>
    <row r="44" spans="1:36" ht="15.75" customHeight="1" x14ac:dyDescent="0.3">
      <c r="A44" s="21">
        <v>2024</v>
      </c>
      <c r="B44" s="22">
        <v>45372.995441527775</v>
      </c>
      <c r="C44" s="21" t="s">
        <v>183</v>
      </c>
      <c r="D44" s="21" t="s">
        <v>183</v>
      </c>
      <c r="E44" s="21" t="s">
        <v>183</v>
      </c>
      <c r="F44" s="21" t="s">
        <v>183</v>
      </c>
      <c r="G44" s="21" t="s">
        <v>93</v>
      </c>
      <c r="H44" s="21" t="s">
        <v>592</v>
      </c>
      <c r="I44" s="21" t="s">
        <v>593</v>
      </c>
      <c r="J44" s="21" t="s">
        <v>594</v>
      </c>
      <c r="K44" s="21" t="e">
        <f t="shared" ca="1" si="0"/>
        <v>#NAME?</v>
      </c>
      <c r="L44" s="24">
        <v>2001</v>
      </c>
      <c r="N44" s="21" t="s">
        <v>111</v>
      </c>
      <c r="O44" s="21" t="s">
        <v>112</v>
      </c>
      <c r="P44" s="26">
        <v>9581698919</v>
      </c>
      <c r="Q44" s="26" t="e">
        <f t="shared" ca="1" si="1"/>
        <v>#NAME?</v>
      </c>
      <c r="R44" s="21" t="s">
        <v>595</v>
      </c>
      <c r="S44" s="21" t="s">
        <v>596</v>
      </c>
      <c r="T44" s="21" t="s">
        <v>596</v>
      </c>
      <c r="U44" s="21" t="s">
        <v>597</v>
      </c>
      <c r="V44" s="21" t="s">
        <v>597</v>
      </c>
      <c r="W44" s="21" t="s">
        <v>598</v>
      </c>
      <c r="X44" s="21" t="s">
        <v>467</v>
      </c>
      <c r="Y44" s="21" t="s">
        <v>467</v>
      </c>
      <c r="Z44" s="21" t="s">
        <v>599</v>
      </c>
      <c r="AA44" s="21" t="s">
        <v>600</v>
      </c>
      <c r="AB44" s="21" t="s">
        <v>129</v>
      </c>
      <c r="AC44" s="21" t="s">
        <v>601</v>
      </c>
      <c r="AD44" s="21" t="s">
        <v>132</v>
      </c>
      <c r="AE44" s="21" t="s">
        <v>133</v>
      </c>
      <c r="AF44" s="21" t="s">
        <v>135</v>
      </c>
      <c r="AG44" s="21" t="s">
        <v>135</v>
      </c>
      <c r="AH44" s="21" t="s">
        <v>135</v>
      </c>
      <c r="AI44" s="21" t="s">
        <v>135</v>
      </c>
      <c r="AJ44" s="21" t="s">
        <v>602</v>
      </c>
    </row>
    <row r="45" spans="1:36" ht="15.75" customHeight="1" x14ac:dyDescent="0.3">
      <c r="A45" s="21">
        <v>2024</v>
      </c>
      <c r="B45" s="22">
        <v>45373.003936284724</v>
      </c>
      <c r="C45" s="21" t="s">
        <v>183</v>
      </c>
      <c r="D45" s="21" t="s">
        <v>183</v>
      </c>
      <c r="E45" s="21" t="s">
        <v>183</v>
      </c>
      <c r="F45" s="21" t="s">
        <v>183</v>
      </c>
      <c r="G45" s="21" t="s">
        <v>93</v>
      </c>
      <c r="H45" s="21" t="s">
        <v>603</v>
      </c>
      <c r="I45" s="21" t="s">
        <v>604</v>
      </c>
      <c r="J45" s="21" t="s">
        <v>605</v>
      </c>
      <c r="K45" s="21" t="e">
        <f t="shared" ca="1" si="0"/>
        <v>#NAME?</v>
      </c>
      <c r="L45" s="24">
        <v>1988</v>
      </c>
      <c r="N45" s="21" t="s">
        <v>111</v>
      </c>
      <c r="O45" s="21" t="s">
        <v>112</v>
      </c>
      <c r="P45" s="26">
        <v>9959167555</v>
      </c>
      <c r="Q45" s="26" t="e">
        <f t="shared" ca="1" si="1"/>
        <v>#NAME?</v>
      </c>
      <c r="R45" s="21" t="s">
        <v>188</v>
      </c>
      <c r="S45" s="21" t="s">
        <v>606</v>
      </c>
      <c r="T45" s="21" t="s">
        <v>606</v>
      </c>
      <c r="U45" s="21" t="s">
        <v>607</v>
      </c>
      <c r="V45" s="21" t="s">
        <v>607</v>
      </c>
      <c r="W45" s="21" t="s">
        <v>210</v>
      </c>
      <c r="X45" s="21" t="s">
        <v>536</v>
      </c>
      <c r="Y45" s="21" t="s">
        <v>536</v>
      </c>
      <c r="Z45" s="21" t="s">
        <v>127</v>
      </c>
      <c r="AA45" s="21" t="s">
        <v>608</v>
      </c>
      <c r="AB45" s="21" t="s">
        <v>129</v>
      </c>
      <c r="AC45" s="21" t="s">
        <v>609</v>
      </c>
      <c r="AD45" s="21" t="s">
        <v>132</v>
      </c>
      <c r="AE45" s="21" t="s">
        <v>133</v>
      </c>
      <c r="AF45" s="21" t="s">
        <v>135</v>
      </c>
      <c r="AG45" s="21" t="s">
        <v>135</v>
      </c>
      <c r="AH45" s="21" t="s">
        <v>135</v>
      </c>
      <c r="AI45" s="21" t="s">
        <v>135</v>
      </c>
      <c r="AJ45" s="21" t="s">
        <v>610</v>
      </c>
    </row>
    <row r="46" spans="1:36" ht="15.75" customHeight="1" x14ac:dyDescent="0.3">
      <c r="A46" s="21">
        <v>2024</v>
      </c>
      <c r="B46" s="22">
        <v>45373.017632939816</v>
      </c>
      <c r="C46" s="21" t="s">
        <v>183</v>
      </c>
      <c r="D46" s="21" t="s">
        <v>183</v>
      </c>
      <c r="E46" s="21" t="s">
        <v>183</v>
      </c>
      <c r="F46" s="21" t="s">
        <v>183</v>
      </c>
      <c r="G46" s="21" t="s">
        <v>93</v>
      </c>
      <c r="H46" s="21" t="s">
        <v>611</v>
      </c>
      <c r="I46" s="21" t="s">
        <v>612</v>
      </c>
      <c r="J46" s="21" t="s">
        <v>613</v>
      </c>
      <c r="K46" s="21" t="e">
        <f t="shared" ca="1" si="0"/>
        <v>#NAME?</v>
      </c>
      <c r="L46" s="24">
        <v>1971</v>
      </c>
      <c r="N46" s="21" t="s">
        <v>111</v>
      </c>
      <c r="O46" s="21" t="s">
        <v>112</v>
      </c>
      <c r="P46" s="26">
        <v>9885030611</v>
      </c>
      <c r="Q46" s="26" t="e">
        <f t="shared" ca="1" si="1"/>
        <v>#NAME?</v>
      </c>
      <c r="R46" s="21" t="s">
        <v>118</v>
      </c>
      <c r="S46" s="21" t="s">
        <v>614</v>
      </c>
      <c r="T46" s="21" t="s">
        <v>614</v>
      </c>
      <c r="U46" s="21" t="s">
        <v>615</v>
      </c>
      <c r="V46" s="21" t="s">
        <v>615</v>
      </c>
      <c r="W46" s="21" t="s">
        <v>219</v>
      </c>
      <c r="X46" s="21" t="s">
        <v>179</v>
      </c>
      <c r="Y46" s="21" t="s">
        <v>616</v>
      </c>
      <c r="Z46" s="21" t="s">
        <v>127</v>
      </c>
      <c r="AA46" s="21" t="s">
        <v>617</v>
      </c>
      <c r="AB46" s="21" t="s">
        <v>408</v>
      </c>
      <c r="AC46" s="21" t="s">
        <v>618</v>
      </c>
      <c r="AD46" s="21" t="s">
        <v>169</v>
      </c>
      <c r="AE46" s="21" t="s">
        <v>133</v>
      </c>
      <c r="AF46" s="21" t="s">
        <v>135</v>
      </c>
      <c r="AG46" s="21" t="s">
        <v>135</v>
      </c>
      <c r="AH46" s="21" t="s">
        <v>135</v>
      </c>
      <c r="AI46" s="21" t="s">
        <v>135</v>
      </c>
      <c r="AJ46" s="21" t="s">
        <v>619</v>
      </c>
    </row>
    <row r="47" spans="1:36" ht="15.75" customHeight="1" x14ac:dyDescent="0.3">
      <c r="A47" s="21">
        <v>2024</v>
      </c>
      <c r="B47" s="22">
        <v>45373.024686435187</v>
      </c>
      <c r="C47" s="21" t="s">
        <v>183</v>
      </c>
      <c r="D47" s="21" t="s">
        <v>183</v>
      </c>
      <c r="E47" s="21" t="s">
        <v>183</v>
      </c>
      <c r="F47" s="21" t="s">
        <v>183</v>
      </c>
      <c r="G47" s="21" t="s">
        <v>93</v>
      </c>
      <c r="H47" s="21" t="s">
        <v>620</v>
      </c>
      <c r="I47" s="21" t="s">
        <v>622</v>
      </c>
      <c r="J47" s="21" t="s">
        <v>623</v>
      </c>
      <c r="K47" s="21" t="e">
        <f t="shared" ca="1" si="0"/>
        <v>#NAME?</v>
      </c>
      <c r="L47" s="24">
        <v>1967</v>
      </c>
      <c r="N47" s="21" t="s">
        <v>111</v>
      </c>
      <c r="O47" s="21" t="s">
        <v>112</v>
      </c>
      <c r="P47" s="26">
        <v>8978544100</v>
      </c>
      <c r="Q47" s="26" t="e">
        <f t="shared" ca="1" si="1"/>
        <v>#NAME?</v>
      </c>
      <c r="R47" s="21" t="s">
        <v>626</v>
      </c>
      <c r="S47" s="21" t="s">
        <v>627</v>
      </c>
      <c r="T47" s="21" t="s">
        <v>627</v>
      </c>
      <c r="U47" s="21" t="s">
        <v>628</v>
      </c>
      <c r="V47" s="21" t="s">
        <v>628</v>
      </c>
      <c r="W47" s="21" t="s">
        <v>629</v>
      </c>
      <c r="X47" s="21" t="s">
        <v>630</v>
      </c>
      <c r="Y47" s="21" t="s">
        <v>630</v>
      </c>
      <c r="Z47" s="21" t="s">
        <v>296</v>
      </c>
      <c r="AA47" s="21" t="s">
        <v>631</v>
      </c>
      <c r="AB47" s="21" t="s">
        <v>129</v>
      </c>
      <c r="AC47" s="21" t="s">
        <v>632</v>
      </c>
      <c r="AD47" s="21" t="s">
        <v>169</v>
      </c>
      <c r="AE47" s="21" t="s">
        <v>133</v>
      </c>
      <c r="AF47" s="21" t="s">
        <v>135</v>
      </c>
      <c r="AG47" s="21" t="s">
        <v>135</v>
      </c>
      <c r="AH47" s="21" t="s">
        <v>135</v>
      </c>
      <c r="AI47" s="21" t="s">
        <v>135</v>
      </c>
    </row>
    <row r="48" spans="1:36" ht="15.75" customHeight="1" x14ac:dyDescent="0.3">
      <c r="A48" s="21">
        <v>2024</v>
      </c>
      <c r="B48" s="22">
        <v>45373.032114803238</v>
      </c>
      <c r="C48" s="21" t="s">
        <v>183</v>
      </c>
      <c r="D48" s="21" t="s">
        <v>183</v>
      </c>
      <c r="E48" s="21" t="s">
        <v>183</v>
      </c>
      <c r="F48" s="21" t="s">
        <v>183</v>
      </c>
      <c r="G48" s="21" t="s">
        <v>256</v>
      </c>
      <c r="H48" s="21" t="s">
        <v>633</v>
      </c>
      <c r="I48" s="21" t="s">
        <v>634</v>
      </c>
      <c r="J48" s="21" t="s">
        <v>635</v>
      </c>
      <c r="K48" s="21" t="e">
        <f t="shared" ca="1" si="0"/>
        <v>#NAME?</v>
      </c>
      <c r="L48" s="24">
        <v>2014</v>
      </c>
      <c r="N48" s="21" t="s">
        <v>111</v>
      </c>
      <c r="O48" s="21" t="s">
        <v>112</v>
      </c>
      <c r="P48" s="26">
        <v>9440149494</v>
      </c>
      <c r="Q48" s="26" t="e">
        <f t="shared" ca="1" si="1"/>
        <v>#NAME?</v>
      </c>
      <c r="R48" s="21" t="s">
        <v>188</v>
      </c>
      <c r="S48" s="21" t="s">
        <v>636</v>
      </c>
      <c r="T48" s="21" t="s">
        <v>636</v>
      </c>
      <c r="U48" s="21" t="s">
        <v>637</v>
      </c>
      <c r="V48" s="21" t="s">
        <v>637</v>
      </c>
      <c r="W48" s="21" t="s">
        <v>328</v>
      </c>
      <c r="X48" s="21" t="s">
        <v>179</v>
      </c>
      <c r="Y48" s="21" t="s">
        <v>179</v>
      </c>
      <c r="Z48" s="21" t="s">
        <v>638</v>
      </c>
      <c r="AA48" s="21" t="s">
        <v>396</v>
      </c>
      <c r="AB48" s="21" t="s">
        <v>563</v>
      </c>
      <c r="AC48" s="21" t="s">
        <v>639</v>
      </c>
      <c r="AD48" s="21" t="s">
        <v>132</v>
      </c>
      <c r="AE48" s="21" t="s">
        <v>133</v>
      </c>
      <c r="AF48" s="21" t="s">
        <v>135</v>
      </c>
      <c r="AG48" s="21" t="s">
        <v>135</v>
      </c>
      <c r="AH48" s="21" t="s">
        <v>135</v>
      </c>
      <c r="AI48" s="21" t="s">
        <v>135</v>
      </c>
      <c r="AJ48" s="21" t="s">
        <v>640</v>
      </c>
    </row>
    <row r="49" spans="1:36" ht="15.75" customHeight="1" x14ac:dyDescent="0.3">
      <c r="A49" s="21">
        <v>2024</v>
      </c>
      <c r="B49" s="22">
        <v>45373.057935543984</v>
      </c>
      <c r="C49" s="21" t="s">
        <v>183</v>
      </c>
      <c r="D49" s="21" t="s">
        <v>183</v>
      </c>
      <c r="E49" s="21" t="s">
        <v>183</v>
      </c>
      <c r="F49" s="21" t="s">
        <v>183</v>
      </c>
      <c r="G49" s="21" t="s">
        <v>256</v>
      </c>
      <c r="H49" s="21" t="s">
        <v>641</v>
      </c>
      <c r="I49" s="21" t="s">
        <v>642</v>
      </c>
      <c r="J49" s="21" t="s">
        <v>643</v>
      </c>
      <c r="K49" s="21" t="e">
        <f t="shared" ca="1" si="0"/>
        <v>#NAME?</v>
      </c>
      <c r="L49" s="24">
        <v>2013</v>
      </c>
      <c r="N49" s="21" t="s">
        <v>111</v>
      </c>
      <c r="O49" s="21" t="s">
        <v>112</v>
      </c>
      <c r="P49" s="26">
        <v>9414349343</v>
      </c>
      <c r="Q49" s="26" t="e">
        <f t="shared" ca="1" si="1"/>
        <v>#NAME?</v>
      </c>
      <c r="R49" s="21" t="s">
        <v>118</v>
      </c>
      <c r="S49" s="21" t="s">
        <v>644</v>
      </c>
      <c r="T49" s="21" t="s">
        <v>644</v>
      </c>
      <c r="U49" s="21" t="s">
        <v>645</v>
      </c>
      <c r="V49" s="21" t="s">
        <v>645</v>
      </c>
      <c r="W49" s="21" t="s">
        <v>646</v>
      </c>
      <c r="X49" s="21" t="s">
        <v>536</v>
      </c>
      <c r="Y49" s="21" t="s">
        <v>647</v>
      </c>
      <c r="Z49" s="21" t="s">
        <v>648</v>
      </c>
      <c r="AA49" s="21" t="s">
        <v>649</v>
      </c>
      <c r="AB49" s="21" t="s">
        <v>408</v>
      </c>
      <c r="AC49" s="21" t="s">
        <v>650</v>
      </c>
      <c r="AD49" s="21" t="s">
        <v>132</v>
      </c>
      <c r="AE49" s="21" t="s">
        <v>133</v>
      </c>
      <c r="AF49" s="21" t="s">
        <v>135</v>
      </c>
      <c r="AG49" s="21" t="s">
        <v>135</v>
      </c>
      <c r="AH49" s="21" t="s">
        <v>135</v>
      </c>
      <c r="AI49" s="21" t="s">
        <v>135</v>
      </c>
      <c r="AJ49" s="21" t="s">
        <v>651</v>
      </c>
    </row>
    <row r="50" spans="1:36" ht="15.75" customHeight="1" x14ac:dyDescent="0.3">
      <c r="A50" s="21">
        <v>2024</v>
      </c>
      <c r="B50" s="22">
        <v>45373.066090972221</v>
      </c>
      <c r="C50" s="21" t="s">
        <v>183</v>
      </c>
      <c r="D50" s="21" t="s">
        <v>183</v>
      </c>
      <c r="E50" s="21" t="s">
        <v>183</v>
      </c>
      <c r="F50" s="21" t="s">
        <v>183</v>
      </c>
      <c r="G50" s="21" t="s">
        <v>93</v>
      </c>
      <c r="H50" s="21" t="s">
        <v>652</v>
      </c>
      <c r="I50" s="21" t="s">
        <v>653</v>
      </c>
      <c r="J50" s="21" t="s">
        <v>654</v>
      </c>
      <c r="K50" s="21" t="e">
        <f t="shared" ca="1" si="0"/>
        <v>#NAME?</v>
      </c>
      <c r="L50" s="24">
        <v>1984</v>
      </c>
      <c r="N50" s="21" t="s">
        <v>111</v>
      </c>
      <c r="O50" s="21" t="s">
        <v>112</v>
      </c>
      <c r="P50" s="26">
        <v>9290103468</v>
      </c>
      <c r="Q50" s="26" t="e">
        <f t="shared" ca="1" si="1"/>
        <v>#NAME?</v>
      </c>
      <c r="R50" s="21" t="s">
        <v>188</v>
      </c>
      <c r="S50" s="21" t="s">
        <v>655</v>
      </c>
      <c r="T50" s="21" t="s">
        <v>655</v>
      </c>
      <c r="U50" s="21" t="s">
        <v>656</v>
      </c>
      <c r="V50" s="21" t="s">
        <v>656</v>
      </c>
      <c r="W50" s="21" t="s">
        <v>307</v>
      </c>
      <c r="X50" s="21" t="s">
        <v>657</v>
      </c>
      <c r="Y50" s="21" t="s">
        <v>211</v>
      </c>
      <c r="Z50" s="21" t="s">
        <v>284</v>
      </c>
      <c r="AA50" s="21" t="s">
        <v>658</v>
      </c>
      <c r="AB50" s="21" t="s">
        <v>129</v>
      </c>
      <c r="AC50" s="21" t="s">
        <v>659</v>
      </c>
      <c r="AD50" s="21" t="s">
        <v>169</v>
      </c>
      <c r="AE50" s="21" t="s">
        <v>133</v>
      </c>
      <c r="AF50" s="21" t="s">
        <v>135</v>
      </c>
      <c r="AG50" s="21" t="s">
        <v>135</v>
      </c>
      <c r="AH50" s="21" t="s">
        <v>135</v>
      </c>
      <c r="AI50" s="21" t="s">
        <v>135</v>
      </c>
      <c r="AJ50" s="21" t="s">
        <v>660</v>
      </c>
    </row>
    <row r="51" spans="1:36" ht="15.75" customHeight="1" x14ac:dyDescent="0.3">
      <c r="A51" s="21">
        <v>2024</v>
      </c>
      <c r="B51" s="22">
        <v>45373.100654016205</v>
      </c>
      <c r="C51" s="21" t="s">
        <v>183</v>
      </c>
      <c r="D51" s="21" t="s">
        <v>183</v>
      </c>
      <c r="E51" s="21" t="s">
        <v>183</v>
      </c>
      <c r="F51" s="21" t="s">
        <v>183</v>
      </c>
      <c r="G51" s="21" t="s">
        <v>93</v>
      </c>
      <c r="H51" s="21" t="s">
        <v>661</v>
      </c>
      <c r="I51" s="21" t="s">
        <v>662</v>
      </c>
      <c r="J51" s="21" t="s">
        <v>663</v>
      </c>
      <c r="K51" s="21" t="e">
        <f t="shared" ca="1" si="0"/>
        <v>#NAME?</v>
      </c>
      <c r="L51" s="24">
        <v>1968</v>
      </c>
      <c r="N51" s="21" t="s">
        <v>111</v>
      </c>
      <c r="O51" s="21" t="s">
        <v>112</v>
      </c>
      <c r="P51" s="26">
        <v>9845157430</v>
      </c>
      <c r="Q51" s="26" t="e">
        <f t="shared" ca="1" si="1"/>
        <v>#NAME?</v>
      </c>
      <c r="R51" s="21" t="s">
        <v>664</v>
      </c>
      <c r="S51" s="21" t="s">
        <v>665</v>
      </c>
      <c r="T51" s="21" t="s">
        <v>665</v>
      </c>
      <c r="U51" s="21" t="s">
        <v>666</v>
      </c>
      <c r="V51" s="21" t="s">
        <v>666</v>
      </c>
      <c r="W51" s="21" t="s">
        <v>307</v>
      </c>
      <c r="X51" s="21" t="s">
        <v>211</v>
      </c>
      <c r="Y51" s="21" t="s">
        <v>667</v>
      </c>
      <c r="Z51" s="21" t="s">
        <v>127</v>
      </c>
      <c r="AA51" s="21" t="s">
        <v>668</v>
      </c>
      <c r="AB51" s="21" t="s">
        <v>129</v>
      </c>
      <c r="AC51" s="21" t="s">
        <v>669</v>
      </c>
      <c r="AD51" s="21" t="s">
        <v>169</v>
      </c>
      <c r="AE51" s="21" t="s">
        <v>133</v>
      </c>
      <c r="AF51" s="21" t="s">
        <v>135</v>
      </c>
      <c r="AG51" s="21" t="s">
        <v>135</v>
      </c>
      <c r="AH51" s="21" t="s">
        <v>135</v>
      </c>
      <c r="AI51" s="21" t="s">
        <v>135</v>
      </c>
      <c r="AJ51" s="21" t="s">
        <v>670</v>
      </c>
    </row>
    <row r="52" spans="1:36" ht="15.75" customHeight="1" x14ac:dyDescent="0.3">
      <c r="A52" s="21">
        <v>2024</v>
      </c>
      <c r="B52" s="22">
        <v>45373.127294965278</v>
      </c>
      <c r="C52" s="21" t="s">
        <v>183</v>
      </c>
      <c r="D52" s="21" t="s">
        <v>183</v>
      </c>
      <c r="E52" s="21" t="s">
        <v>183</v>
      </c>
      <c r="F52" s="21" t="s">
        <v>183</v>
      </c>
      <c r="G52" s="21" t="s">
        <v>93</v>
      </c>
      <c r="H52" s="21" t="s">
        <v>671</v>
      </c>
      <c r="I52" s="21" t="s">
        <v>672</v>
      </c>
      <c r="J52" s="21" t="s">
        <v>281</v>
      </c>
      <c r="K52" s="21" t="e">
        <f t="shared" ca="1" si="0"/>
        <v>#NAME?</v>
      </c>
      <c r="L52" s="24">
        <v>1965</v>
      </c>
      <c r="N52" s="21" t="s">
        <v>111</v>
      </c>
      <c r="O52" s="21" t="s">
        <v>112</v>
      </c>
      <c r="P52" s="26">
        <v>9441026448</v>
      </c>
      <c r="Q52" s="26" t="e">
        <f t="shared" ca="1" si="1"/>
        <v>#NAME?</v>
      </c>
      <c r="R52" s="21" t="s">
        <v>118</v>
      </c>
      <c r="S52" s="21" t="s">
        <v>673</v>
      </c>
      <c r="T52" s="21" t="s">
        <v>673</v>
      </c>
      <c r="U52" s="21" t="s">
        <v>674</v>
      </c>
      <c r="V52" s="21" t="s">
        <v>674</v>
      </c>
      <c r="W52" s="21" t="s">
        <v>498</v>
      </c>
      <c r="X52" s="21" t="s">
        <v>308</v>
      </c>
      <c r="Y52" s="21" t="s">
        <v>308</v>
      </c>
      <c r="Z52" s="21" t="s">
        <v>127</v>
      </c>
      <c r="AA52" s="21" t="s">
        <v>675</v>
      </c>
      <c r="AB52" s="21" t="s">
        <v>129</v>
      </c>
      <c r="AC52" s="21" t="s">
        <v>676</v>
      </c>
      <c r="AD52" s="21" t="s">
        <v>132</v>
      </c>
      <c r="AE52" s="21" t="s">
        <v>133</v>
      </c>
      <c r="AF52" s="21" t="s">
        <v>135</v>
      </c>
      <c r="AG52" s="21" t="s">
        <v>135</v>
      </c>
      <c r="AH52" s="21" t="s">
        <v>135</v>
      </c>
      <c r="AI52" s="21" t="s">
        <v>135</v>
      </c>
      <c r="AJ52" s="21" t="s">
        <v>677</v>
      </c>
    </row>
    <row r="53" spans="1:36" ht="15.75" customHeight="1" x14ac:dyDescent="0.3">
      <c r="A53" s="21">
        <v>2024</v>
      </c>
      <c r="B53" s="22">
        <v>45373.128630081017</v>
      </c>
      <c r="C53" s="21" t="s">
        <v>183</v>
      </c>
      <c r="D53" s="21" t="s">
        <v>183</v>
      </c>
      <c r="E53" s="21" t="s">
        <v>183</v>
      </c>
      <c r="F53" s="21" t="s">
        <v>183</v>
      </c>
      <c r="G53" s="21" t="s">
        <v>93</v>
      </c>
      <c r="H53" s="21" t="s">
        <v>678</v>
      </c>
      <c r="I53" s="21" t="s">
        <v>679</v>
      </c>
      <c r="J53" s="21" t="s">
        <v>680</v>
      </c>
      <c r="K53" s="21" t="e">
        <f t="shared" ca="1" si="0"/>
        <v>#NAME?</v>
      </c>
      <c r="L53" s="24">
        <v>1957</v>
      </c>
      <c r="N53" s="21" t="s">
        <v>111</v>
      </c>
      <c r="O53" s="21" t="s">
        <v>112</v>
      </c>
      <c r="P53" s="26">
        <v>7981517172</v>
      </c>
      <c r="Q53" s="26" t="e">
        <f t="shared" ca="1" si="1"/>
        <v>#NAME?</v>
      </c>
      <c r="R53" s="21" t="s">
        <v>118</v>
      </c>
      <c r="S53" s="21" t="s">
        <v>681</v>
      </c>
      <c r="T53" s="21" t="s">
        <v>681</v>
      </c>
      <c r="U53" s="21" t="s">
        <v>682</v>
      </c>
      <c r="V53" s="21" t="s">
        <v>682</v>
      </c>
      <c r="W53" s="21" t="s">
        <v>307</v>
      </c>
      <c r="X53" s="21" t="s">
        <v>536</v>
      </c>
      <c r="Y53" s="21" t="s">
        <v>536</v>
      </c>
      <c r="Z53" s="21" t="s">
        <v>683</v>
      </c>
      <c r="AA53" s="21" t="s">
        <v>684</v>
      </c>
      <c r="AB53" s="21" t="s">
        <v>129</v>
      </c>
      <c r="AC53" s="21" t="s">
        <v>685</v>
      </c>
      <c r="AD53" s="21" t="s">
        <v>132</v>
      </c>
      <c r="AE53" s="21" t="s">
        <v>133</v>
      </c>
      <c r="AF53" s="21" t="s">
        <v>686</v>
      </c>
      <c r="AG53" s="21" t="s">
        <v>135</v>
      </c>
      <c r="AH53" s="21" t="s">
        <v>135</v>
      </c>
      <c r="AI53" s="21" t="s">
        <v>135</v>
      </c>
    </row>
    <row r="54" spans="1:36" ht="15.75" customHeight="1" x14ac:dyDescent="0.3">
      <c r="A54" s="21">
        <v>2024</v>
      </c>
      <c r="B54" s="22">
        <v>45373.135192372683</v>
      </c>
      <c r="C54" s="21" t="s">
        <v>183</v>
      </c>
      <c r="D54" s="21" t="s">
        <v>183</v>
      </c>
      <c r="E54" s="21" t="s">
        <v>183</v>
      </c>
      <c r="F54" s="21" t="s">
        <v>183</v>
      </c>
      <c r="G54" s="21" t="s">
        <v>93</v>
      </c>
      <c r="H54" s="21" t="s">
        <v>687</v>
      </c>
      <c r="I54" s="21" t="s">
        <v>679</v>
      </c>
      <c r="J54" s="21" t="s">
        <v>688</v>
      </c>
      <c r="K54" s="21" t="e">
        <f t="shared" ca="1" si="0"/>
        <v>#NAME?</v>
      </c>
      <c r="L54" s="24">
        <v>1974</v>
      </c>
      <c r="N54" s="21" t="s">
        <v>111</v>
      </c>
      <c r="O54" s="21" t="s">
        <v>112</v>
      </c>
      <c r="P54" s="26">
        <v>9885571274</v>
      </c>
      <c r="Q54" s="26" t="e">
        <f t="shared" ca="1" si="1"/>
        <v>#NAME?</v>
      </c>
      <c r="R54" s="21" t="s">
        <v>188</v>
      </c>
      <c r="S54" s="21" t="s">
        <v>689</v>
      </c>
      <c r="T54" s="21" t="s">
        <v>689</v>
      </c>
      <c r="U54" s="21" t="s">
        <v>690</v>
      </c>
      <c r="V54" s="21" t="s">
        <v>690</v>
      </c>
      <c r="W54" s="21" t="s">
        <v>307</v>
      </c>
      <c r="X54" s="21" t="s">
        <v>352</v>
      </c>
      <c r="Y54" s="21" t="s">
        <v>352</v>
      </c>
      <c r="Z54" s="21" t="s">
        <v>127</v>
      </c>
      <c r="AA54" s="21" t="s">
        <v>691</v>
      </c>
      <c r="AB54" s="21" t="s">
        <v>129</v>
      </c>
      <c r="AC54" s="21" t="s">
        <v>692</v>
      </c>
      <c r="AD54" s="21" t="s">
        <v>287</v>
      </c>
      <c r="AE54" s="21" t="s">
        <v>332</v>
      </c>
      <c r="AF54" s="21" t="s">
        <v>135</v>
      </c>
      <c r="AG54" s="21" t="s">
        <v>135</v>
      </c>
      <c r="AH54" s="21" t="s">
        <v>135</v>
      </c>
      <c r="AI54" s="21" t="s">
        <v>135</v>
      </c>
      <c r="AJ54" s="21" t="s">
        <v>693</v>
      </c>
    </row>
    <row r="55" spans="1:36" ht="15.75" customHeight="1" x14ac:dyDescent="0.3">
      <c r="A55" s="21">
        <v>2024</v>
      </c>
      <c r="B55" s="22">
        <v>45373.145963310184</v>
      </c>
      <c r="C55" s="21" t="s">
        <v>183</v>
      </c>
      <c r="D55" s="21" t="s">
        <v>183</v>
      </c>
      <c r="E55" s="21" t="s">
        <v>183</v>
      </c>
      <c r="F55" s="21" t="s">
        <v>183</v>
      </c>
      <c r="G55" s="21" t="s">
        <v>93</v>
      </c>
      <c r="H55" s="21" t="s">
        <v>694</v>
      </c>
      <c r="I55" s="21" t="s">
        <v>695</v>
      </c>
      <c r="J55" s="21" t="s">
        <v>696</v>
      </c>
      <c r="K55" s="21" t="e">
        <f t="shared" ca="1" si="0"/>
        <v>#NAME?</v>
      </c>
      <c r="L55" s="24">
        <v>1982</v>
      </c>
      <c r="N55" s="21" t="s">
        <v>111</v>
      </c>
      <c r="O55" s="21" t="s">
        <v>112</v>
      </c>
      <c r="P55" s="26">
        <v>9100402750</v>
      </c>
      <c r="Q55" s="26" t="e">
        <f t="shared" ca="1" si="1"/>
        <v>#NAME?</v>
      </c>
      <c r="R55" s="21" t="s">
        <v>118</v>
      </c>
      <c r="S55" s="21" t="s">
        <v>614</v>
      </c>
      <c r="T55" s="21" t="s">
        <v>614</v>
      </c>
      <c r="U55" s="21" t="s">
        <v>697</v>
      </c>
      <c r="V55" s="21" t="s">
        <v>697</v>
      </c>
      <c r="W55" s="21" t="s">
        <v>319</v>
      </c>
      <c r="X55" s="21" t="s">
        <v>698</v>
      </c>
      <c r="Y55" s="21" t="s">
        <v>699</v>
      </c>
      <c r="Z55" s="21" t="s">
        <v>127</v>
      </c>
      <c r="AA55" s="21" t="s">
        <v>700</v>
      </c>
      <c r="AB55" s="21" t="s">
        <v>129</v>
      </c>
      <c r="AC55" s="21" t="s">
        <v>701</v>
      </c>
      <c r="AD55" s="21" t="s">
        <v>169</v>
      </c>
      <c r="AE55" s="21" t="s">
        <v>133</v>
      </c>
      <c r="AF55" s="21" t="s">
        <v>135</v>
      </c>
      <c r="AG55" s="21" t="s">
        <v>135</v>
      </c>
      <c r="AH55" s="21" t="s">
        <v>135</v>
      </c>
      <c r="AI55" s="21" t="s">
        <v>135</v>
      </c>
    </row>
    <row r="56" spans="1:36" ht="15.75" customHeight="1" x14ac:dyDescent="0.3">
      <c r="A56" s="21">
        <v>2024</v>
      </c>
      <c r="B56" s="22">
        <v>45373.214814236111</v>
      </c>
      <c r="C56" s="21" t="s">
        <v>183</v>
      </c>
      <c r="D56" s="21" t="s">
        <v>183</v>
      </c>
      <c r="E56" s="21" t="s">
        <v>183</v>
      </c>
      <c r="F56" s="21" t="s">
        <v>183</v>
      </c>
      <c r="G56" s="21" t="s">
        <v>256</v>
      </c>
      <c r="H56" s="21" t="s">
        <v>702</v>
      </c>
      <c r="I56" s="21" t="s">
        <v>703</v>
      </c>
      <c r="J56" s="21" t="s">
        <v>704</v>
      </c>
      <c r="K56" s="21" t="e">
        <f t="shared" ca="1" si="0"/>
        <v>#NAME?</v>
      </c>
      <c r="L56" s="24">
        <v>2013</v>
      </c>
      <c r="N56" s="21" t="s">
        <v>111</v>
      </c>
      <c r="O56" s="21" t="s">
        <v>112</v>
      </c>
      <c r="P56" s="26">
        <v>7569238056</v>
      </c>
      <c r="Q56" s="26" t="e">
        <f t="shared" ca="1" si="1"/>
        <v>#NAME?</v>
      </c>
      <c r="R56" s="21" t="s">
        <v>188</v>
      </c>
      <c r="S56" s="21" t="s">
        <v>606</v>
      </c>
      <c r="T56" s="21" t="s">
        <v>606</v>
      </c>
      <c r="U56" s="21" t="s">
        <v>705</v>
      </c>
      <c r="V56" s="21" t="s">
        <v>705</v>
      </c>
      <c r="W56" s="21" t="s">
        <v>706</v>
      </c>
      <c r="X56" s="21" t="s">
        <v>179</v>
      </c>
      <c r="Y56" s="21" t="s">
        <v>707</v>
      </c>
      <c r="Z56" s="21" t="s">
        <v>708</v>
      </c>
      <c r="AA56" s="21" t="s">
        <v>709</v>
      </c>
      <c r="AB56" s="21" t="s">
        <v>563</v>
      </c>
      <c r="AC56" s="21" t="s">
        <v>710</v>
      </c>
      <c r="AD56" s="21" t="s">
        <v>132</v>
      </c>
      <c r="AE56" s="21" t="s">
        <v>133</v>
      </c>
      <c r="AF56" s="21" t="s">
        <v>135</v>
      </c>
      <c r="AG56" s="21" t="s">
        <v>135</v>
      </c>
      <c r="AH56" s="21" t="s">
        <v>135</v>
      </c>
      <c r="AI56" s="21" t="s">
        <v>135</v>
      </c>
      <c r="AJ56" s="21" t="s">
        <v>711</v>
      </c>
    </row>
    <row r="57" spans="1:36" ht="15.75" customHeight="1" x14ac:dyDescent="0.3">
      <c r="A57" s="21">
        <v>2024</v>
      </c>
      <c r="B57" s="22">
        <v>45373.29947114583</v>
      </c>
      <c r="C57" s="21" t="s">
        <v>183</v>
      </c>
      <c r="D57" s="21" t="s">
        <v>183</v>
      </c>
      <c r="E57" s="21" t="s">
        <v>183</v>
      </c>
      <c r="F57" s="21" t="s">
        <v>183</v>
      </c>
      <c r="G57" s="21" t="s">
        <v>93</v>
      </c>
      <c r="H57" s="21" t="s">
        <v>712</v>
      </c>
      <c r="I57" s="21" t="s">
        <v>1199</v>
      </c>
      <c r="J57" s="21" t="s">
        <v>7124</v>
      </c>
      <c r="K57" s="21" t="e">
        <f t="shared" ca="1" si="0"/>
        <v>#NAME?</v>
      </c>
      <c r="L57" s="24">
        <v>1979</v>
      </c>
      <c r="N57" s="21" t="s">
        <v>111</v>
      </c>
      <c r="O57" s="21" t="s">
        <v>112</v>
      </c>
      <c r="P57" s="26">
        <v>9397054888</v>
      </c>
      <c r="Q57" s="26" t="e">
        <f t="shared" ca="1" si="1"/>
        <v>#NAME?</v>
      </c>
      <c r="R57" s="21" t="s">
        <v>715</v>
      </c>
      <c r="S57" s="21" t="s">
        <v>496</v>
      </c>
      <c r="T57" s="21" t="s">
        <v>496</v>
      </c>
      <c r="U57" s="21" t="s">
        <v>717</v>
      </c>
      <c r="V57" s="21" t="s">
        <v>717</v>
      </c>
      <c r="W57" s="21" t="s">
        <v>488</v>
      </c>
      <c r="X57" s="21" t="s">
        <v>179</v>
      </c>
      <c r="Y57" s="21" t="s">
        <v>707</v>
      </c>
      <c r="Z57" s="21" t="s">
        <v>284</v>
      </c>
      <c r="AA57" s="21" t="s">
        <v>719</v>
      </c>
      <c r="AB57" s="21" t="s">
        <v>129</v>
      </c>
      <c r="AC57" s="21" t="s">
        <v>720</v>
      </c>
      <c r="AD57" s="21" t="s">
        <v>169</v>
      </c>
      <c r="AE57" s="21" t="s">
        <v>133</v>
      </c>
      <c r="AF57" s="21" t="s">
        <v>135</v>
      </c>
      <c r="AG57" s="21" t="s">
        <v>135</v>
      </c>
      <c r="AH57" s="21" t="s">
        <v>135</v>
      </c>
      <c r="AI57" s="21" t="s">
        <v>135</v>
      </c>
      <c r="AJ57" s="21" t="s">
        <v>721</v>
      </c>
    </row>
    <row r="58" spans="1:36" ht="15.75" customHeight="1" x14ac:dyDescent="0.3">
      <c r="A58" s="21">
        <v>2024</v>
      </c>
      <c r="B58" s="22">
        <v>45373.340310486106</v>
      </c>
      <c r="C58" s="21" t="s">
        <v>183</v>
      </c>
      <c r="D58" s="21" t="s">
        <v>183</v>
      </c>
      <c r="E58" s="21" t="s">
        <v>183</v>
      </c>
      <c r="F58" s="21" t="s">
        <v>183</v>
      </c>
      <c r="G58" s="21" t="s">
        <v>93</v>
      </c>
      <c r="H58" s="21" t="s">
        <v>722</v>
      </c>
      <c r="I58" s="21" t="s">
        <v>367</v>
      </c>
      <c r="J58" s="21" t="s">
        <v>723</v>
      </c>
      <c r="K58" s="21" t="e">
        <f t="shared" ca="1" si="0"/>
        <v>#NAME?</v>
      </c>
      <c r="L58" s="24">
        <v>1989</v>
      </c>
      <c r="N58" s="21" t="s">
        <v>111</v>
      </c>
      <c r="O58" s="21" t="s">
        <v>112</v>
      </c>
      <c r="P58" s="26">
        <v>9059397397</v>
      </c>
      <c r="Q58" s="26" t="e">
        <f t="shared" ca="1" si="1"/>
        <v>#NAME?</v>
      </c>
      <c r="R58" s="21" t="s">
        <v>724</v>
      </c>
      <c r="S58" s="21" t="s">
        <v>725</v>
      </c>
      <c r="T58" s="21" t="s">
        <v>725</v>
      </c>
      <c r="U58" s="21" t="s">
        <v>726</v>
      </c>
      <c r="V58" s="21" t="s">
        <v>726</v>
      </c>
      <c r="W58" s="21" t="s">
        <v>307</v>
      </c>
      <c r="X58" s="21" t="s">
        <v>536</v>
      </c>
      <c r="Y58" s="21" t="s">
        <v>536</v>
      </c>
      <c r="Z58" s="21" t="s">
        <v>127</v>
      </c>
      <c r="AA58" s="21" t="s">
        <v>727</v>
      </c>
      <c r="AB58" s="21" t="s">
        <v>129</v>
      </c>
      <c r="AC58" s="21" t="s">
        <v>728</v>
      </c>
      <c r="AD58" s="21" t="s">
        <v>287</v>
      </c>
      <c r="AE58" s="21" t="s">
        <v>133</v>
      </c>
      <c r="AF58" s="21" t="s">
        <v>686</v>
      </c>
      <c r="AG58" s="21" t="s">
        <v>135</v>
      </c>
      <c r="AH58" s="21" t="s">
        <v>135</v>
      </c>
      <c r="AI58" s="21" t="s">
        <v>135</v>
      </c>
    </row>
    <row r="59" spans="1:36" ht="15.75" customHeight="1" x14ac:dyDescent="0.3">
      <c r="A59" s="21">
        <v>2024</v>
      </c>
      <c r="B59" s="22">
        <v>45373.345737129624</v>
      </c>
      <c r="C59" s="21" t="s">
        <v>183</v>
      </c>
      <c r="D59" s="21" t="s">
        <v>183</v>
      </c>
      <c r="E59" s="21" t="s">
        <v>183</v>
      </c>
      <c r="F59" s="21" t="s">
        <v>183</v>
      </c>
      <c r="G59" s="21" t="s">
        <v>93</v>
      </c>
      <c r="H59" s="21" t="s">
        <v>729</v>
      </c>
      <c r="I59" s="21" t="s">
        <v>730</v>
      </c>
      <c r="J59" s="21" t="s">
        <v>731</v>
      </c>
      <c r="K59" s="21" t="e">
        <f t="shared" ca="1" si="0"/>
        <v>#NAME?</v>
      </c>
      <c r="L59" s="24">
        <v>1978</v>
      </c>
      <c r="N59" s="21" t="s">
        <v>111</v>
      </c>
      <c r="O59" s="21" t="s">
        <v>112</v>
      </c>
      <c r="P59" s="26">
        <v>9866130638</v>
      </c>
      <c r="Q59" s="26" t="e">
        <f t="shared" ca="1" si="1"/>
        <v>#NAME?</v>
      </c>
      <c r="R59" s="21" t="s">
        <v>485</v>
      </c>
      <c r="S59" s="21" t="s">
        <v>732</v>
      </c>
      <c r="T59" s="21" t="s">
        <v>732</v>
      </c>
      <c r="U59" s="21" t="s">
        <v>733</v>
      </c>
      <c r="V59" s="21" t="s">
        <v>733</v>
      </c>
      <c r="W59" s="21" t="s">
        <v>307</v>
      </c>
      <c r="X59" s="21" t="s">
        <v>734</v>
      </c>
      <c r="Y59" s="21" t="s">
        <v>734</v>
      </c>
      <c r="Z59" s="21" t="s">
        <v>127</v>
      </c>
      <c r="AA59" s="21" t="s">
        <v>735</v>
      </c>
      <c r="AB59" s="21" t="s">
        <v>129</v>
      </c>
      <c r="AC59" s="21" t="s">
        <v>736</v>
      </c>
      <c r="AD59" s="21" t="s">
        <v>132</v>
      </c>
      <c r="AE59" s="21" t="s">
        <v>133</v>
      </c>
      <c r="AF59" s="21" t="s">
        <v>135</v>
      </c>
      <c r="AG59" s="21" t="s">
        <v>135</v>
      </c>
      <c r="AH59" s="21" t="s">
        <v>135</v>
      </c>
      <c r="AI59" s="21" t="s">
        <v>135</v>
      </c>
      <c r="AJ59" s="21" t="s">
        <v>737</v>
      </c>
    </row>
    <row r="60" spans="1:36" ht="15.75" customHeight="1" x14ac:dyDescent="0.3">
      <c r="A60" s="21">
        <v>2024</v>
      </c>
      <c r="B60" s="22">
        <v>45373.412769560186</v>
      </c>
      <c r="C60" s="21" t="s">
        <v>183</v>
      </c>
      <c r="D60" s="21" t="s">
        <v>183</v>
      </c>
      <c r="E60" s="21" t="s">
        <v>183</v>
      </c>
      <c r="F60" s="21" t="s">
        <v>183</v>
      </c>
      <c r="G60" s="21" t="s">
        <v>93</v>
      </c>
      <c r="H60" s="21" t="s">
        <v>738</v>
      </c>
      <c r="I60" s="21" t="s">
        <v>739</v>
      </c>
      <c r="J60" s="21" t="s">
        <v>740</v>
      </c>
      <c r="K60" s="21" t="e">
        <f t="shared" ca="1" si="0"/>
        <v>#NAME?</v>
      </c>
      <c r="L60" s="24">
        <v>1974</v>
      </c>
      <c r="N60" s="21" t="s">
        <v>474</v>
      </c>
      <c r="O60" s="21" t="s">
        <v>316</v>
      </c>
      <c r="P60" s="26">
        <v>9257193072</v>
      </c>
      <c r="Q60" s="26" t="e">
        <f t="shared" ca="1" si="1"/>
        <v>#NAME?</v>
      </c>
      <c r="R60" s="21" t="s">
        <v>741</v>
      </c>
      <c r="S60" s="21" t="s">
        <v>742</v>
      </c>
      <c r="T60" s="21" t="s">
        <v>742</v>
      </c>
      <c r="U60" s="21" t="s">
        <v>743</v>
      </c>
      <c r="V60" s="21" t="s">
        <v>743</v>
      </c>
      <c r="W60" s="21" t="s">
        <v>744</v>
      </c>
      <c r="X60" s="21" t="s">
        <v>178</v>
      </c>
      <c r="Y60" s="21" t="s">
        <v>745</v>
      </c>
      <c r="Z60" s="21" t="s">
        <v>746</v>
      </c>
      <c r="AA60" s="21" t="s">
        <v>747</v>
      </c>
      <c r="AB60" s="21" t="s">
        <v>129</v>
      </c>
      <c r="AC60" s="21" t="s">
        <v>748</v>
      </c>
      <c r="AD60" s="21" t="s">
        <v>169</v>
      </c>
      <c r="AE60" s="21" t="s">
        <v>133</v>
      </c>
      <c r="AF60" s="21" t="s">
        <v>135</v>
      </c>
      <c r="AG60" s="21" t="s">
        <v>135</v>
      </c>
      <c r="AH60" s="21" t="s">
        <v>135</v>
      </c>
      <c r="AI60" s="21" t="s">
        <v>135</v>
      </c>
    </row>
    <row r="61" spans="1:36" ht="15.75" customHeight="1" x14ac:dyDescent="0.3">
      <c r="A61" s="21">
        <v>2024</v>
      </c>
      <c r="B61" s="22">
        <v>45373.485977974538</v>
      </c>
      <c r="C61" s="21" t="s">
        <v>183</v>
      </c>
      <c r="D61" s="21" t="s">
        <v>183</v>
      </c>
      <c r="E61" s="21" t="s">
        <v>183</v>
      </c>
      <c r="F61" s="21" t="s">
        <v>183</v>
      </c>
      <c r="G61" s="21" t="s">
        <v>93</v>
      </c>
      <c r="H61" s="21" t="s">
        <v>749</v>
      </c>
      <c r="I61" s="21" t="s">
        <v>750</v>
      </c>
      <c r="J61" s="21" t="s">
        <v>751</v>
      </c>
      <c r="K61" s="21" t="e">
        <f t="shared" ca="1" si="0"/>
        <v>#NAME?</v>
      </c>
      <c r="L61" s="24">
        <v>1968</v>
      </c>
      <c r="N61" s="21" t="s">
        <v>315</v>
      </c>
      <c r="O61" s="21" t="s">
        <v>316</v>
      </c>
      <c r="P61" s="26">
        <v>2816855734</v>
      </c>
      <c r="Q61" s="26" t="e">
        <f t="shared" ca="1" si="1"/>
        <v>#NAME?</v>
      </c>
      <c r="R61" s="21" t="s">
        <v>752</v>
      </c>
      <c r="S61" s="21" t="s">
        <v>753</v>
      </c>
      <c r="T61" s="21" t="s">
        <v>753</v>
      </c>
      <c r="U61" s="21" t="s">
        <v>754</v>
      </c>
      <c r="V61" s="21" t="s">
        <v>754</v>
      </c>
      <c r="W61" s="21" t="s">
        <v>307</v>
      </c>
      <c r="X61" s="21" t="s">
        <v>179</v>
      </c>
      <c r="Y61" s="21" t="s">
        <v>179</v>
      </c>
      <c r="Z61" s="21" t="s">
        <v>127</v>
      </c>
      <c r="AA61" s="21" t="s">
        <v>755</v>
      </c>
      <c r="AB61" s="21" t="s">
        <v>129</v>
      </c>
      <c r="AC61" s="21" t="s">
        <v>756</v>
      </c>
      <c r="AD61" s="21" t="s">
        <v>132</v>
      </c>
      <c r="AE61" s="21" t="s">
        <v>133</v>
      </c>
      <c r="AF61" s="21" t="s">
        <v>135</v>
      </c>
      <c r="AG61" s="21" t="s">
        <v>135</v>
      </c>
      <c r="AH61" s="21" t="s">
        <v>135</v>
      </c>
      <c r="AI61" s="21" t="s">
        <v>135</v>
      </c>
    </row>
    <row r="62" spans="1:36" ht="15.75" customHeight="1" x14ac:dyDescent="0.3">
      <c r="A62" s="21">
        <v>2024</v>
      </c>
      <c r="B62" s="22">
        <v>45373.530406851853</v>
      </c>
      <c r="C62" s="21" t="s">
        <v>183</v>
      </c>
      <c r="D62" s="21" t="s">
        <v>183</v>
      </c>
      <c r="E62" s="21" t="s">
        <v>183</v>
      </c>
      <c r="F62" s="21" t="s">
        <v>183</v>
      </c>
      <c r="G62" s="21" t="s">
        <v>93</v>
      </c>
      <c r="H62" s="21" t="s">
        <v>757</v>
      </c>
      <c r="I62" s="21" t="s">
        <v>758</v>
      </c>
      <c r="J62" s="21" t="s">
        <v>281</v>
      </c>
      <c r="K62" s="21" t="e">
        <f t="shared" ca="1" si="0"/>
        <v>#NAME?</v>
      </c>
      <c r="L62" s="24">
        <v>1975</v>
      </c>
      <c r="N62" s="21" t="s">
        <v>111</v>
      </c>
      <c r="O62" s="21" t="s">
        <v>112</v>
      </c>
      <c r="P62" s="26">
        <v>8886665546</v>
      </c>
      <c r="Q62" s="26" t="e">
        <f t="shared" ca="1" si="1"/>
        <v>#NAME?</v>
      </c>
      <c r="R62" s="21" t="s">
        <v>188</v>
      </c>
      <c r="S62" s="21" t="s">
        <v>759</v>
      </c>
      <c r="T62" s="21" t="s">
        <v>759</v>
      </c>
      <c r="U62" s="21" t="s">
        <v>760</v>
      </c>
      <c r="V62" s="21" t="s">
        <v>760</v>
      </c>
      <c r="W62" s="21" t="s">
        <v>307</v>
      </c>
      <c r="X62" s="21" t="s">
        <v>308</v>
      </c>
      <c r="Y62" s="21" t="s">
        <v>707</v>
      </c>
      <c r="Z62" s="21" t="s">
        <v>284</v>
      </c>
      <c r="AA62" s="21" t="s">
        <v>761</v>
      </c>
      <c r="AB62" s="21" t="s">
        <v>129</v>
      </c>
      <c r="AC62" s="21" t="s">
        <v>762</v>
      </c>
      <c r="AD62" s="21" t="s">
        <v>132</v>
      </c>
      <c r="AE62" s="21" t="s">
        <v>133</v>
      </c>
      <c r="AF62" s="21" t="s">
        <v>135</v>
      </c>
      <c r="AG62" s="21" t="s">
        <v>135</v>
      </c>
      <c r="AH62" s="21" t="s">
        <v>135</v>
      </c>
      <c r="AI62" s="21" t="s">
        <v>135</v>
      </c>
      <c r="AJ62" s="21" t="s">
        <v>763</v>
      </c>
    </row>
    <row r="63" spans="1:36" ht="15.75" customHeight="1" x14ac:dyDescent="0.3">
      <c r="A63" s="21">
        <v>2024</v>
      </c>
      <c r="B63" s="22">
        <v>45373.533468032409</v>
      </c>
      <c r="C63" s="21" t="s">
        <v>183</v>
      </c>
      <c r="D63" s="21" t="s">
        <v>183</v>
      </c>
      <c r="E63" s="21" t="s">
        <v>183</v>
      </c>
      <c r="F63" s="21" t="s">
        <v>183</v>
      </c>
      <c r="G63" s="21" t="s">
        <v>256</v>
      </c>
      <c r="H63" s="21" t="s">
        <v>764</v>
      </c>
      <c r="I63" s="21" t="s">
        <v>758</v>
      </c>
      <c r="J63" s="21" t="s">
        <v>765</v>
      </c>
      <c r="K63" s="21" t="e">
        <f t="shared" ca="1" si="0"/>
        <v>#NAME?</v>
      </c>
      <c r="L63" s="24">
        <v>2010</v>
      </c>
      <c r="N63" s="21" t="s">
        <v>111</v>
      </c>
      <c r="O63" s="21" t="s">
        <v>112</v>
      </c>
      <c r="P63" s="26">
        <v>9133099933</v>
      </c>
      <c r="Q63" s="26" t="e">
        <f t="shared" ca="1" si="1"/>
        <v>#NAME?</v>
      </c>
      <c r="R63" s="21" t="s">
        <v>188</v>
      </c>
      <c r="S63" s="21" t="s">
        <v>759</v>
      </c>
      <c r="T63" s="21" t="s">
        <v>759</v>
      </c>
      <c r="U63" s="21" t="s">
        <v>766</v>
      </c>
      <c r="V63" s="21" t="s">
        <v>766</v>
      </c>
      <c r="W63" s="21" t="s">
        <v>307</v>
      </c>
      <c r="X63" s="21" t="s">
        <v>308</v>
      </c>
      <c r="Y63" s="21" t="s">
        <v>707</v>
      </c>
      <c r="Z63" s="21" t="s">
        <v>767</v>
      </c>
      <c r="AA63" s="21" t="s">
        <v>284</v>
      </c>
      <c r="AB63" s="21" t="s">
        <v>408</v>
      </c>
      <c r="AC63" s="21" t="s">
        <v>768</v>
      </c>
      <c r="AD63" s="21" t="s">
        <v>169</v>
      </c>
      <c r="AE63" s="21" t="s">
        <v>133</v>
      </c>
      <c r="AF63" s="21" t="s">
        <v>135</v>
      </c>
      <c r="AG63" s="21" t="s">
        <v>135</v>
      </c>
      <c r="AH63" s="21" t="s">
        <v>135</v>
      </c>
      <c r="AI63" s="21" t="s">
        <v>135</v>
      </c>
      <c r="AJ63" s="21" t="s">
        <v>769</v>
      </c>
    </row>
    <row r="64" spans="1:36" ht="15.75" customHeight="1" x14ac:dyDescent="0.3">
      <c r="A64" s="21">
        <v>2024</v>
      </c>
      <c r="B64" s="22">
        <v>45373.683324606478</v>
      </c>
      <c r="C64" s="21" t="s">
        <v>183</v>
      </c>
      <c r="D64" s="21" t="s">
        <v>183</v>
      </c>
      <c r="E64" s="21" t="s">
        <v>183</v>
      </c>
      <c r="F64" s="21" t="s">
        <v>183</v>
      </c>
      <c r="G64" s="21" t="s">
        <v>93</v>
      </c>
      <c r="H64" s="21" t="s">
        <v>770</v>
      </c>
      <c r="I64" s="21" t="s">
        <v>771</v>
      </c>
      <c r="J64" s="21" t="s">
        <v>772</v>
      </c>
      <c r="K64" s="21" t="e">
        <f t="shared" ca="1" si="0"/>
        <v>#NAME?</v>
      </c>
      <c r="L64" s="24">
        <v>2002</v>
      </c>
      <c r="N64" s="21" t="s">
        <v>111</v>
      </c>
      <c r="O64" s="21" t="s">
        <v>112</v>
      </c>
      <c r="P64" s="26">
        <v>8374522975</v>
      </c>
      <c r="Q64" s="26" t="e">
        <f t="shared" ca="1" si="1"/>
        <v>#NAME?</v>
      </c>
      <c r="R64" s="21" t="s">
        <v>118</v>
      </c>
      <c r="S64" s="21" t="s">
        <v>773</v>
      </c>
      <c r="T64" s="21" t="s">
        <v>773</v>
      </c>
      <c r="U64" s="21" t="s">
        <v>774</v>
      </c>
      <c r="V64" s="21" t="s">
        <v>774</v>
      </c>
      <c r="W64" s="21" t="s">
        <v>775</v>
      </c>
      <c r="X64" s="21" t="s">
        <v>776</v>
      </c>
      <c r="Y64" s="21" t="s">
        <v>221</v>
      </c>
      <c r="Z64" s="21" t="s">
        <v>127</v>
      </c>
      <c r="AA64" s="21" t="s">
        <v>777</v>
      </c>
      <c r="AB64" s="21" t="s">
        <v>129</v>
      </c>
      <c r="AC64" s="21" t="s">
        <v>778</v>
      </c>
      <c r="AD64" s="21" t="s">
        <v>132</v>
      </c>
      <c r="AE64" s="21" t="s">
        <v>133</v>
      </c>
      <c r="AF64" s="21" t="s">
        <v>135</v>
      </c>
      <c r="AG64" s="21" t="s">
        <v>135</v>
      </c>
      <c r="AH64" s="21" t="s">
        <v>135</v>
      </c>
      <c r="AI64" s="21" t="s">
        <v>135</v>
      </c>
      <c r="AJ64" s="21" t="s">
        <v>779</v>
      </c>
    </row>
    <row r="65" spans="1:36" ht="15.75" customHeight="1" x14ac:dyDescent="0.3">
      <c r="A65" s="21">
        <v>2024</v>
      </c>
      <c r="B65" s="22">
        <v>45373.812088831022</v>
      </c>
      <c r="C65" s="21" t="s">
        <v>183</v>
      </c>
      <c r="D65" s="21" t="s">
        <v>183</v>
      </c>
      <c r="E65" s="21" t="s">
        <v>183</v>
      </c>
      <c r="F65" s="21" t="s">
        <v>183</v>
      </c>
      <c r="G65" s="21" t="s">
        <v>93</v>
      </c>
      <c r="H65" s="21" t="s">
        <v>780</v>
      </c>
      <c r="I65" s="21" t="s">
        <v>781</v>
      </c>
      <c r="J65" s="21" t="s">
        <v>782</v>
      </c>
      <c r="K65" s="21" t="e">
        <f t="shared" ca="1" si="0"/>
        <v>#NAME?</v>
      </c>
      <c r="L65" s="24">
        <v>1987</v>
      </c>
      <c r="N65" s="21" t="s">
        <v>111</v>
      </c>
      <c r="O65" s="21" t="s">
        <v>112</v>
      </c>
      <c r="P65" s="26">
        <v>8123277057</v>
      </c>
      <c r="Q65" s="26" t="e">
        <f t="shared" ca="1" si="1"/>
        <v>#NAME?</v>
      </c>
      <c r="R65" s="21" t="s">
        <v>783</v>
      </c>
      <c r="S65" s="21" t="s">
        <v>784</v>
      </c>
      <c r="T65" s="21" t="s">
        <v>784</v>
      </c>
      <c r="U65" s="21" t="s">
        <v>785</v>
      </c>
      <c r="V65" s="21" t="s">
        <v>785</v>
      </c>
      <c r="W65" s="21" t="s">
        <v>307</v>
      </c>
      <c r="X65" s="21" t="s">
        <v>788</v>
      </c>
      <c r="Y65" s="21" t="s">
        <v>789</v>
      </c>
      <c r="Z65" s="21" t="s">
        <v>127</v>
      </c>
      <c r="AA65" s="21" t="s">
        <v>790</v>
      </c>
      <c r="AB65" s="21" t="s">
        <v>129</v>
      </c>
      <c r="AC65" s="21" t="s">
        <v>792</v>
      </c>
      <c r="AD65" s="21" t="s">
        <v>132</v>
      </c>
      <c r="AE65" s="21" t="s">
        <v>133</v>
      </c>
      <c r="AF65" s="21" t="s">
        <v>135</v>
      </c>
      <c r="AG65" s="21" t="s">
        <v>135</v>
      </c>
      <c r="AH65" s="21" t="s">
        <v>135</v>
      </c>
      <c r="AI65" s="21" t="s">
        <v>135</v>
      </c>
      <c r="AJ65" s="21" t="s">
        <v>793</v>
      </c>
    </row>
    <row r="66" spans="1:36" ht="15.75" customHeight="1" x14ac:dyDescent="0.3">
      <c r="A66" s="21">
        <v>2024</v>
      </c>
      <c r="B66" s="22">
        <v>45373.918777349536</v>
      </c>
      <c r="C66" s="21" t="s">
        <v>183</v>
      </c>
      <c r="D66" s="21" t="s">
        <v>183</v>
      </c>
      <c r="E66" s="21" t="s">
        <v>183</v>
      </c>
      <c r="F66" s="21" t="s">
        <v>183</v>
      </c>
      <c r="G66" s="21" t="s">
        <v>93</v>
      </c>
      <c r="H66" s="21" t="s">
        <v>794</v>
      </c>
      <c r="I66" s="21" t="s">
        <v>795</v>
      </c>
      <c r="J66" s="21" t="s">
        <v>281</v>
      </c>
      <c r="K66" s="21" t="e">
        <f t="shared" ca="1" si="0"/>
        <v>#NAME?</v>
      </c>
      <c r="L66" s="24">
        <v>1963</v>
      </c>
      <c r="N66" s="21" t="s">
        <v>111</v>
      </c>
      <c r="O66" s="21" t="s">
        <v>112</v>
      </c>
      <c r="P66" s="26">
        <v>9391944044</v>
      </c>
      <c r="Q66" s="26" t="e">
        <f t="shared" ca="1" si="1"/>
        <v>#NAME?</v>
      </c>
      <c r="R66" s="21" t="s">
        <v>796</v>
      </c>
      <c r="S66" s="21" t="s">
        <v>797</v>
      </c>
      <c r="T66" s="21" t="s">
        <v>797</v>
      </c>
      <c r="U66" s="21" t="s">
        <v>798</v>
      </c>
      <c r="V66" s="21" t="s">
        <v>798</v>
      </c>
      <c r="W66" s="21" t="s">
        <v>266</v>
      </c>
      <c r="X66" s="21" t="s">
        <v>352</v>
      </c>
      <c r="Y66" s="21" t="s">
        <v>352</v>
      </c>
      <c r="Z66" s="21" t="s">
        <v>127</v>
      </c>
      <c r="AA66" s="21" t="s">
        <v>799</v>
      </c>
      <c r="AB66" s="21" t="s">
        <v>129</v>
      </c>
      <c r="AC66" s="21" t="s">
        <v>800</v>
      </c>
      <c r="AD66" s="21" t="s">
        <v>169</v>
      </c>
      <c r="AE66" s="21" t="s">
        <v>133</v>
      </c>
      <c r="AF66" s="21" t="s">
        <v>135</v>
      </c>
      <c r="AG66" s="21" t="s">
        <v>135</v>
      </c>
      <c r="AH66" s="21" t="s">
        <v>135</v>
      </c>
      <c r="AI66" s="21" t="s">
        <v>135</v>
      </c>
      <c r="AJ66" s="21" t="s">
        <v>801</v>
      </c>
    </row>
    <row r="67" spans="1:36" ht="15.75" customHeight="1" x14ac:dyDescent="0.3">
      <c r="A67" s="21">
        <v>2024</v>
      </c>
      <c r="B67" s="22">
        <v>45373.955168819448</v>
      </c>
      <c r="C67" s="21" t="s">
        <v>183</v>
      </c>
      <c r="D67" s="21" t="s">
        <v>183</v>
      </c>
      <c r="E67" s="21" t="s">
        <v>183</v>
      </c>
      <c r="F67" s="21" t="s">
        <v>183</v>
      </c>
      <c r="G67" s="21" t="s">
        <v>93</v>
      </c>
      <c r="H67" s="21" t="s">
        <v>802</v>
      </c>
      <c r="I67" s="21" t="s">
        <v>803</v>
      </c>
      <c r="J67" s="21" t="s">
        <v>804</v>
      </c>
      <c r="K67" s="21" t="e">
        <f t="shared" ca="1" si="0"/>
        <v>#NAME?</v>
      </c>
      <c r="L67" s="24">
        <v>1964</v>
      </c>
      <c r="N67" s="21" t="s">
        <v>111</v>
      </c>
      <c r="O67" s="21" t="s">
        <v>112</v>
      </c>
      <c r="P67" s="26">
        <v>9440631176</v>
      </c>
      <c r="Q67" s="26" t="e">
        <f t="shared" ca="1" si="1"/>
        <v>#NAME?</v>
      </c>
      <c r="R67" s="21" t="s">
        <v>118</v>
      </c>
      <c r="S67" s="21" t="s">
        <v>805</v>
      </c>
      <c r="T67" s="21" t="s">
        <v>805</v>
      </c>
      <c r="U67" s="21" t="s">
        <v>806</v>
      </c>
      <c r="V67" s="21" t="s">
        <v>806</v>
      </c>
      <c r="W67" s="21" t="s">
        <v>328</v>
      </c>
      <c r="X67" s="21" t="s">
        <v>807</v>
      </c>
      <c r="Y67" s="21" t="s">
        <v>536</v>
      </c>
      <c r="Z67" s="21" t="s">
        <v>808</v>
      </c>
      <c r="AA67" s="21" t="s">
        <v>809</v>
      </c>
      <c r="AB67" s="21" t="s">
        <v>129</v>
      </c>
      <c r="AC67" s="21" t="s">
        <v>810</v>
      </c>
      <c r="AD67" s="21" t="s">
        <v>169</v>
      </c>
      <c r="AE67" s="21" t="s">
        <v>133</v>
      </c>
      <c r="AF67" s="21" t="s">
        <v>135</v>
      </c>
      <c r="AG67" s="21" t="s">
        <v>135</v>
      </c>
      <c r="AH67" s="21" t="s">
        <v>135</v>
      </c>
      <c r="AI67" s="21" t="s">
        <v>135</v>
      </c>
      <c r="AJ67" s="21" t="s">
        <v>811</v>
      </c>
    </row>
    <row r="68" spans="1:36" ht="15.75" customHeight="1" x14ac:dyDescent="0.3">
      <c r="A68" s="21">
        <v>2024</v>
      </c>
      <c r="B68" s="22">
        <v>45374.048225972219</v>
      </c>
      <c r="C68" s="21" t="s">
        <v>183</v>
      </c>
      <c r="D68" s="21" t="s">
        <v>183</v>
      </c>
      <c r="E68" s="21" t="s">
        <v>183</v>
      </c>
      <c r="F68" s="21" t="s">
        <v>183</v>
      </c>
      <c r="G68" s="21" t="s">
        <v>93</v>
      </c>
      <c r="H68" s="21" t="s">
        <v>812</v>
      </c>
      <c r="I68" s="21" t="s">
        <v>813</v>
      </c>
      <c r="J68" s="21" t="s">
        <v>814</v>
      </c>
      <c r="K68" s="21" t="e">
        <f t="shared" ca="1" si="0"/>
        <v>#NAME?</v>
      </c>
      <c r="L68" s="24">
        <v>1980</v>
      </c>
      <c r="N68" s="21" t="s">
        <v>111</v>
      </c>
      <c r="O68" s="21" t="s">
        <v>112</v>
      </c>
      <c r="P68" s="26">
        <v>7893677746</v>
      </c>
      <c r="Q68" s="26" t="e">
        <f t="shared" ca="1" si="1"/>
        <v>#NAME?</v>
      </c>
      <c r="R68" s="21" t="s">
        <v>815</v>
      </c>
      <c r="S68" s="21" t="s">
        <v>816</v>
      </c>
      <c r="T68" s="21" t="s">
        <v>816</v>
      </c>
      <c r="U68" s="21" t="s">
        <v>817</v>
      </c>
      <c r="V68" s="21" t="s">
        <v>817</v>
      </c>
      <c r="W68" s="21" t="s">
        <v>219</v>
      </c>
      <c r="X68" s="21" t="s">
        <v>179</v>
      </c>
      <c r="Y68" s="21" t="s">
        <v>179</v>
      </c>
      <c r="Z68" s="21" t="s">
        <v>127</v>
      </c>
      <c r="AA68" s="21" t="s">
        <v>818</v>
      </c>
      <c r="AB68" s="21" t="s">
        <v>129</v>
      </c>
      <c r="AC68" s="21" t="s">
        <v>819</v>
      </c>
      <c r="AD68" s="21" t="s">
        <v>287</v>
      </c>
      <c r="AE68" s="21" t="s">
        <v>133</v>
      </c>
      <c r="AF68" s="21" t="s">
        <v>135</v>
      </c>
      <c r="AG68" s="21" t="s">
        <v>135</v>
      </c>
      <c r="AH68" s="21" t="s">
        <v>135</v>
      </c>
      <c r="AI68" s="21" t="s">
        <v>135</v>
      </c>
    </row>
    <row r="69" spans="1:36" ht="15.75" customHeight="1" x14ac:dyDescent="0.3">
      <c r="A69" s="21">
        <v>2024</v>
      </c>
      <c r="B69" s="22">
        <v>45374.083734247688</v>
      </c>
      <c r="C69" s="21" t="s">
        <v>183</v>
      </c>
      <c r="D69" s="21" t="s">
        <v>183</v>
      </c>
      <c r="E69" s="21" t="s">
        <v>183</v>
      </c>
      <c r="F69" s="21" t="s">
        <v>90</v>
      </c>
      <c r="G69" s="21" t="s">
        <v>93</v>
      </c>
      <c r="H69" s="21" t="s">
        <v>820</v>
      </c>
      <c r="I69" s="21" t="s">
        <v>821</v>
      </c>
      <c r="J69" s="21" t="s">
        <v>822</v>
      </c>
      <c r="K69" s="21" t="e">
        <f t="shared" ca="1" si="0"/>
        <v>#NAME?</v>
      </c>
      <c r="L69" s="24">
        <v>1986</v>
      </c>
      <c r="N69" s="21" t="s">
        <v>111</v>
      </c>
      <c r="O69" s="21" t="s">
        <v>112</v>
      </c>
      <c r="P69" s="26">
        <v>9491031078</v>
      </c>
      <c r="Q69" s="26" t="e">
        <f t="shared" ca="1" si="1"/>
        <v>#NAME?</v>
      </c>
      <c r="R69" s="21" t="s">
        <v>118</v>
      </c>
      <c r="S69" s="21" t="s">
        <v>823</v>
      </c>
      <c r="T69" s="21" t="s">
        <v>823</v>
      </c>
      <c r="U69" s="21" t="s">
        <v>824</v>
      </c>
      <c r="V69" s="21" t="s">
        <v>824</v>
      </c>
      <c r="W69" s="21" t="s">
        <v>706</v>
      </c>
      <c r="X69" s="21" t="s">
        <v>211</v>
      </c>
      <c r="Y69" s="21" t="s">
        <v>352</v>
      </c>
      <c r="Z69" s="21" t="s">
        <v>127</v>
      </c>
      <c r="AA69" s="21" t="s">
        <v>450</v>
      </c>
      <c r="AB69" s="21" t="s">
        <v>129</v>
      </c>
      <c r="AC69" s="21" t="s">
        <v>825</v>
      </c>
      <c r="AD69" s="21" t="s">
        <v>132</v>
      </c>
      <c r="AE69" s="21" t="s">
        <v>133</v>
      </c>
      <c r="AF69" s="21" t="s">
        <v>135</v>
      </c>
      <c r="AG69" s="21" t="s">
        <v>135</v>
      </c>
      <c r="AH69" s="21" t="s">
        <v>135</v>
      </c>
      <c r="AI69" s="21" t="s">
        <v>135</v>
      </c>
      <c r="AJ69" s="21" t="s">
        <v>826</v>
      </c>
    </row>
    <row r="70" spans="1:36" ht="15.75" customHeight="1" x14ac:dyDescent="0.3">
      <c r="A70" s="21">
        <v>2024</v>
      </c>
      <c r="B70" s="22">
        <v>45374.094053287037</v>
      </c>
      <c r="C70" s="21" t="s">
        <v>183</v>
      </c>
      <c r="D70" s="21" t="s">
        <v>183</v>
      </c>
      <c r="E70" s="21" t="s">
        <v>183</v>
      </c>
      <c r="F70" s="21" t="s">
        <v>183</v>
      </c>
      <c r="G70" s="21" t="s">
        <v>256</v>
      </c>
      <c r="H70" s="21" t="s">
        <v>827</v>
      </c>
      <c r="I70" s="21" t="s">
        <v>828</v>
      </c>
      <c r="J70" s="21" t="s">
        <v>829</v>
      </c>
      <c r="K70" s="21" t="e">
        <f t="shared" ca="1" si="0"/>
        <v>#NAME?</v>
      </c>
      <c r="L70" s="24">
        <v>2015</v>
      </c>
      <c r="N70" s="21" t="s">
        <v>111</v>
      </c>
      <c r="O70" s="21" t="s">
        <v>112</v>
      </c>
      <c r="P70" s="26">
        <v>9573826562</v>
      </c>
      <c r="Q70" s="26" t="e">
        <f t="shared" ca="1" si="1"/>
        <v>#NAME?</v>
      </c>
      <c r="R70" s="21" t="s">
        <v>830</v>
      </c>
      <c r="S70" s="21" t="s">
        <v>831</v>
      </c>
      <c r="T70" s="21" t="s">
        <v>831</v>
      </c>
      <c r="U70" s="21" t="s">
        <v>832</v>
      </c>
      <c r="V70" s="21" t="s">
        <v>832</v>
      </c>
      <c r="W70" s="21" t="s">
        <v>307</v>
      </c>
      <c r="X70" s="21" t="s">
        <v>179</v>
      </c>
      <c r="Y70" s="21" t="s">
        <v>179</v>
      </c>
      <c r="Z70" s="21" t="s">
        <v>833</v>
      </c>
      <c r="AA70" s="21" t="s">
        <v>396</v>
      </c>
      <c r="AB70" s="21" t="s">
        <v>408</v>
      </c>
      <c r="AC70" s="21" t="s">
        <v>834</v>
      </c>
      <c r="AD70" s="21" t="s">
        <v>132</v>
      </c>
      <c r="AE70" s="21" t="s">
        <v>133</v>
      </c>
      <c r="AF70" s="21" t="s">
        <v>135</v>
      </c>
      <c r="AG70" s="21" t="s">
        <v>135</v>
      </c>
      <c r="AH70" s="21" t="s">
        <v>135</v>
      </c>
      <c r="AI70" s="21" t="s">
        <v>135</v>
      </c>
    </row>
    <row r="71" spans="1:36" ht="15.75" customHeight="1" x14ac:dyDescent="0.3">
      <c r="A71" s="21">
        <v>2024</v>
      </c>
      <c r="B71" s="22">
        <v>45374.116085208334</v>
      </c>
      <c r="C71" s="21" t="s">
        <v>183</v>
      </c>
      <c r="D71" s="21" t="s">
        <v>183</v>
      </c>
      <c r="E71" s="21" t="s">
        <v>183</v>
      </c>
      <c r="F71" s="21" t="s">
        <v>183</v>
      </c>
      <c r="G71" s="21" t="s">
        <v>93</v>
      </c>
      <c r="H71" s="21" t="s">
        <v>835</v>
      </c>
      <c r="I71" s="21" t="s">
        <v>836</v>
      </c>
      <c r="J71" s="21" t="s">
        <v>837</v>
      </c>
      <c r="K71" s="21" t="e">
        <f t="shared" ca="1" si="0"/>
        <v>#NAME?</v>
      </c>
      <c r="L71" s="24">
        <v>1961</v>
      </c>
      <c r="N71" s="21" t="s">
        <v>111</v>
      </c>
      <c r="O71" s="21" t="s">
        <v>112</v>
      </c>
      <c r="P71" s="26">
        <v>9437176540</v>
      </c>
      <c r="Q71" s="26" t="e">
        <f t="shared" ca="1" si="1"/>
        <v>#NAME?</v>
      </c>
      <c r="R71" s="21" t="s">
        <v>838</v>
      </c>
      <c r="S71" s="21" t="s">
        <v>839</v>
      </c>
      <c r="T71" s="21" t="s">
        <v>839</v>
      </c>
      <c r="U71" s="21" t="s">
        <v>840</v>
      </c>
      <c r="V71" s="21" t="s">
        <v>840</v>
      </c>
      <c r="W71" s="21" t="s">
        <v>841</v>
      </c>
      <c r="X71" s="21" t="s">
        <v>842</v>
      </c>
      <c r="Y71" s="21" t="s">
        <v>843</v>
      </c>
      <c r="Z71" s="21" t="s">
        <v>127</v>
      </c>
      <c r="AA71" s="21" t="s">
        <v>844</v>
      </c>
      <c r="AB71" s="21" t="s">
        <v>129</v>
      </c>
      <c r="AC71" s="21" t="s">
        <v>845</v>
      </c>
      <c r="AD71" s="21" t="s">
        <v>132</v>
      </c>
      <c r="AE71" s="21" t="s">
        <v>133</v>
      </c>
      <c r="AF71" s="21" t="s">
        <v>135</v>
      </c>
      <c r="AG71" s="21" t="s">
        <v>135</v>
      </c>
      <c r="AH71" s="21" t="s">
        <v>135</v>
      </c>
      <c r="AI71" s="21" t="s">
        <v>135</v>
      </c>
      <c r="AJ71" s="21" t="s">
        <v>846</v>
      </c>
    </row>
    <row r="72" spans="1:36" ht="15.75" customHeight="1" x14ac:dyDescent="0.3">
      <c r="A72" s="21">
        <v>2024</v>
      </c>
      <c r="B72" s="22">
        <v>45374.313009953708</v>
      </c>
      <c r="C72" s="21" t="s">
        <v>183</v>
      </c>
      <c r="D72" s="21" t="s">
        <v>183</v>
      </c>
      <c r="E72" s="21" t="s">
        <v>183</v>
      </c>
      <c r="F72" s="21" t="s">
        <v>183</v>
      </c>
      <c r="G72" s="21" t="s">
        <v>93</v>
      </c>
      <c r="H72" s="21" t="s">
        <v>847</v>
      </c>
      <c r="I72" s="21" t="s">
        <v>848</v>
      </c>
      <c r="J72" s="21" t="s">
        <v>849</v>
      </c>
      <c r="K72" s="21" t="e">
        <f t="shared" ca="1" si="0"/>
        <v>#NAME?</v>
      </c>
      <c r="L72" s="24">
        <v>1971</v>
      </c>
      <c r="N72" s="21" t="s">
        <v>111</v>
      </c>
      <c r="O72" s="21" t="s">
        <v>112</v>
      </c>
      <c r="P72" s="26">
        <v>8790788333</v>
      </c>
      <c r="Q72" s="26" t="e">
        <f t="shared" ca="1" si="1"/>
        <v>#NAME?</v>
      </c>
      <c r="R72" s="21" t="s">
        <v>850</v>
      </c>
      <c r="S72" s="21" t="s">
        <v>851</v>
      </c>
      <c r="T72" s="21" t="s">
        <v>851</v>
      </c>
      <c r="U72" s="21" t="s">
        <v>852</v>
      </c>
      <c r="V72" s="21" t="s">
        <v>852</v>
      </c>
      <c r="W72" s="21" t="s">
        <v>394</v>
      </c>
      <c r="X72" s="21" t="s">
        <v>571</v>
      </c>
      <c r="Y72" s="21" t="s">
        <v>853</v>
      </c>
      <c r="Z72" s="21" t="s">
        <v>284</v>
      </c>
      <c r="AA72" s="21" t="s">
        <v>854</v>
      </c>
      <c r="AB72" s="21" t="s">
        <v>129</v>
      </c>
      <c r="AC72" s="21" t="s">
        <v>855</v>
      </c>
      <c r="AD72" s="21" t="s">
        <v>132</v>
      </c>
      <c r="AE72" s="21" t="s">
        <v>133</v>
      </c>
      <c r="AF72" s="21" t="s">
        <v>135</v>
      </c>
      <c r="AG72" s="21" t="s">
        <v>135</v>
      </c>
      <c r="AH72" s="21" t="s">
        <v>135</v>
      </c>
      <c r="AI72" s="21" t="s">
        <v>135</v>
      </c>
      <c r="AJ72" s="21" t="s">
        <v>858</v>
      </c>
    </row>
    <row r="73" spans="1:36" ht="15.75" customHeight="1" x14ac:dyDescent="0.3">
      <c r="A73" s="21">
        <v>2024</v>
      </c>
      <c r="B73" s="22">
        <v>45374.336140543979</v>
      </c>
      <c r="C73" s="21" t="s">
        <v>183</v>
      </c>
      <c r="D73" s="21" t="s">
        <v>183</v>
      </c>
      <c r="E73" s="21" t="s">
        <v>183</v>
      </c>
      <c r="F73" s="21" t="s">
        <v>90</v>
      </c>
      <c r="G73" s="21" t="s">
        <v>93</v>
      </c>
      <c r="H73" s="21" t="s">
        <v>860</v>
      </c>
      <c r="I73" s="21" t="s">
        <v>861</v>
      </c>
      <c r="J73" s="21" t="s">
        <v>862</v>
      </c>
      <c r="K73" s="21" t="e">
        <f t="shared" ca="1" si="0"/>
        <v>#NAME?</v>
      </c>
      <c r="L73" s="24">
        <v>1980</v>
      </c>
      <c r="N73" s="21" t="s">
        <v>402</v>
      </c>
      <c r="O73" s="21" t="s">
        <v>316</v>
      </c>
      <c r="P73" s="26">
        <v>7347090606</v>
      </c>
      <c r="Q73" s="26" t="e">
        <f t="shared" ca="1" si="1"/>
        <v>#NAME?</v>
      </c>
      <c r="R73" s="21" t="s">
        <v>863</v>
      </c>
      <c r="S73" s="21" t="s">
        <v>864</v>
      </c>
      <c r="T73" s="21" t="s">
        <v>864</v>
      </c>
      <c r="U73" s="21" t="s">
        <v>865</v>
      </c>
      <c r="V73" s="21" t="s">
        <v>865</v>
      </c>
      <c r="W73" s="21" t="s">
        <v>219</v>
      </c>
      <c r="X73" s="21" t="s">
        <v>179</v>
      </c>
      <c r="Y73" s="21" t="s">
        <v>179</v>
      </c>
      <c r="Z73" s="21" t="s">
        <v>296</v>
      </c>
      <c r="AA73" s="21" t="s">
        <v>866</v>
      </c>
      <c r="AB73" s="21" t="s">
        <v>129</v>
      </c>
      <c r="AC73" s="21" t="s">
        <v>867</v>
      </c>
      <c r="AD73" s="21" t="s">
        <v>287</v>
      </c>
      <c r="AE73" s="21" t="s">
        <v>332</v>
      </c>
      <c r="AF73" s="21" t="s">
        <v>135</v>
      </c>
      <c r="AG73" s="21" t="s">
        <v>135</v>
      </c>
      <c r="AH73" s="21" t="s">
        <v>135</v>
      </c>
      <c r="AI73" s="21" t="s">
        <v>135</v>
      </c>
    </row>
    <row r="74" spans="1:36" ht="15.75" customHeight="1" x14ac:dyDescent="0.3">
      <c r="A74" s="21">
        <v>2024</v>
      </c>
      <c r="B74" s="22">
        <v>45374.918166793985</v>
      </c>
      <c r="C74" s="21" t="s">
        <v>183</v>
      </c>
      <c r="D74" s="21" t="s">
        <v>183</v>
      </c>
      <c r="E74" s="21" t="s">
        <v>183</v>
      </c>
      <c r="F74" s="21" t="s">
        <v>183</v>
      </c>
      <c r="G74" s="21" t="s">
        <v>93</v>
      </c>
      <c r="H74" s="21" t="s">
        <v>868</v>
      </c>
      <c r="I74" s="21" t="s">
        <v>869</v>
      </c>
      <c r="J74" s="21" t="s">
        <v>870</v>
      </c>
      <c r="K74" s="21" t="e">
        <f t="shared" ca="1" si="0"/>
        <v>#NAME?</v>
      </c>
      <c r="L74" s="24">
        <v>1961</v>
      </c>
      <c r="N74" s="21" t="s">
        <v>111</v>
      </c>
      <c r="O74" s="21" t="s">
        <v>112</v>
      </c>
      <c r="P74" s="26">
        <v>9490885905</v>
      </c>
      <c r="Q74" s="26" t="e">
        <f t="shared" ca="1" si="1"/>
        <v>#NAME?</v>
      </c>
      <c r="R74" s="21" t="s">
        <v>871</v>
      </c>
      <c r="S74" s="21" t="s">
        <v>872</v>
      </c>
      <c r="T74" s="21" t="s">
        <v>872</v>
      </c>
      <c r="U74" s="21" t="s">
        <v>873</v>
      </c>
      <c r="V74" s="21" t="s">
        <v>873</v>
      </c>
      <c r="W74" s="21" t="s">
        <v>162</v>
      </c>
      <c r="X74" s="21" t="s">
        <v>874</v>
      </c>
      <c r="Y74" s="21" t="s">
        <v>875</v>
      </c>
      <c r="Z74" s="21" t="s">
        <v>284</v>
      </c>
      <c r="AA74" s="21" t="s">
        <v>876</v>
      </c>
      <c r="AB74" s="21" t="s">
        <v>129</v>
      </c>
      <c r="AC74" s="21" t="s">
        <v>877</v>
      </c>
      <c r="AD74" s="21" t="s">
        <v>169</v>
      </c>
      <c r="AE74" s="21" t="s">
        <v>133</v>
      </c>
      <c r="AF74" s="21" t="s">
        <v>135</v>
      </c>
      <c r="AG74" s="21" t="s">
        <v>135</v>
      </c>
      <c r="AH74" s="21" t="s">
        <v>135</v>
      </c>
      <c r="AI74" s="21" t="s">
        <v>135</v>
      </c>
      <c r="AJ74" s="21" t="s">
        <v>878</v>
      </c>
    </row>
    <row r="75" spans="1:36" ht="15.75" customHeight="1" x14ac:dyDescent="0.3">
      <c r="A75" s="21">
        <v>2024</v>
      </c>
      <c r="B75" s="22">
        <v>45374.924048877314</v>
      </c>
      <c r="C75" s="21" t="s">
        <v>183</v>
      </c>
      <c r="D75" s="21" t="s">
        <v>183</v>
      </c>
      <c r="E75" s="21" t="s">
        <v>183</v>
      </c>
      <c r="F75" s="21" t="s">
        <v>183</v>
      </c>
      <c r="G75" s="21" t="s">
        <v>256</v>
      </c>
      <c r="H75" s="21" t="s">
        <v>879</v>
      </c>
      <c r="I75" s="21" t="s">
        <v>880</v>
      </c>
      <c r="J75" s="21" t="s">
        <v>881</v>
      </c>
      <c r="K75" s="21" t="e">
        <f t="shared" ca="1" si="0"/>
        <v>#NAME?</v>
      </c>
      <c r="L75" s="24">
        <v>2015</v>
      </c>
      <c r="N75" s="21" t="s">
        <v>111</v>
      </c>
      <c r="O75" s="21" t="s">
        <v>112</v>
      </c>
      <c r="P75" s="26">
        <v>9908321918</v>
      </c>
      <c r="Q75" s="26" t="e">
        <f t="shared" ca="1" si="1"/>
        <v>#NAME?</v>
      </c>
      <c r="R75" s="21" t="s">
        <v>188</v>
      </c>
      <c r="S75" s="21" t="s">
        <v>882</v>
      </c>
      <c r="T75" s="21" t="s">
        <v>882</v>
      </c>
      <c r="U75" s="21" t="s">
        <v>883</v>
      </c>
      <c r="V75" s="21" t="s">
        <v>883</v>
      </c>
      <c r="W75" s="21" t="s">
        <v>884</v>
      </c>
      <c r="X75" s="21" t="s">
        <v>885</v>
      </c>
      <c r="Y75" s="21" t="s">
        <v>308</v>
      </c>
      <c r="Z75" s="21" t="s">
        <v>886</v>
      </c>
      <c r="AA75" s="21" t="s">
        <v>887</v>
      </c>
      <c r="AB75" s="21" t="s">
        <v>408</v>
      </c>
      <c r="AC75" s="21" t="s">
        <v>888</v>
      </c>
      <c r="AD75" s="21" t="s">
        <v>287</v>
      </c>
      <c r="AE75" s="21" t="s">
        <v>332</v>
      </c>
      <c r="AF75" s="21" t="s">
        <v>135</v>
      </c>
      <c r="AG75" s="21" t="s">
        <v>135</v>
      </c>
      <c r="AH75" s="21" t="s">
        <v>135</v>
      </c>
      <c r="AI75" s="21" t="s">
        <v>135</v>
      </c>
      <c r="AJ75" s="21" t="s">
        <v>889</v>
      </c>
    </row>
    <row r="76" spans="1:36" ht="15.75" customHeight="1" x14ac:dyDescent="0.3">
      <c r="A76" s="21">
        <v>2024</v>
      </c>
      <c r="B76" s="22">
        <v>45380.436467615742</v>
      </c>
      <c r="C76" s="21" t="s">
        <v>183</v>
      </c>
      <c r="D76" s="21" t="s">
        <v>183</v>
      </c>
      <c r="E76" s="21" t="s">
        <v>183</v>
      </c>
      <c r="F76" s="21" t="s">
        <v>183</v>
      </c>
      <c r="G76" s="21" t="s">
        <v>256</v>
      </c>
      <c r="H76" s="21" t="s">
        <v>890</v>
      </c>
      <c r="I76" s="21" t="s">
        <v>891</v>
      </c>
      <c r="J76" s="21" t="s">
        <v>892</v>
      </c>
      <c r="K76" s="21" t="e">
        <f t="shared" ca="1" si="0"/>
        <v>#NAME?</v>
      </c>
      <c r="L76" s="24">
        <v>2013</v>
      </c>
      <c r="N76" s="21" t="s">
        <v>111</v>
      </c>
      <c r="O76" s="21" t="s">
        <v>112</v>
      </c>
      <c r="P76" s="26">
        <v>9494858601</v>
      </c>
      <c r="Q76" s="26" t="e">
        <f t="shared" ca="1" si="1"/>
        <v>#NAME?</v>
      </c>
      <c r="R76" s="21" t="s">
        <v>188</v>
      </c>
      <c r="S76" s="21" t="s">
        <v>893</v>
      </c>
      <c r="T76" s="21" t="s">
        <v>893</v>
      </c>
      <c r="U76" s="21" t="s">
        <v>894</v>
      </c>
      <c r="V76" s="21" t="s">
        <v>894</v>
      </c>
      <c r="W76" s="21" t="s">
        <v>706</v>
      </c>
      <c r="X76" s="21" t="s">
        <v>179</v>
      </c>
      <c r="Y76" s="21" t="s">
        <v>179</v>
      </c>
      <c r="Z76" s="21" t="s">
        <v>895</v>
      </c>
      <c r="AA76" s="21" t="s">
        <v>896</v>
      </c>
      <c r="AB76" s="21" t="s">
        <v>563</v>
      </c>
      <c r="AC76" s="21" t="s">
        <v>897</v>
      </c>
      <c r="AD76" s="21" t="s">
        <v>287</v>
      </c>
      <c r="AE76" s="21" t="s">
        <v>133</v>
      </c>
      <c r="AF76" s="21" t="s">
        <v>135</v>
      </c>
      <c r="AG76" s="21" t="s">
        <v>135</v>
      </c>
      <c r="AH76" s="21" t="s">
        <v>135</v>
      </c>
      <c r="AI76" s="21" t="s">
        <v>135</v>
      </c>
      <c r="AJ76" s="21" t="s">
        <v>898</v>
      </c>
    </row>
    <row r="77" spans="1:36" ht="15.75" customHeight="1" x14ac:dyDescent="0.3">
      <c r="A77" s="21">
        <v>2024</v>
      </c>
      <c r="B77" s="22">
        <v>45380.454473425925</v>
      </c>
      <c r="C77" s="21" t="s">
        <v>183</v>
      </c>
      <c r="D77" s="21" t="s">
        <v>183</v>
      </c>
      <c r="E77" s="21" t="s">
        <v>183</v>
      </c>
      <c r="F77" s="21" t="s">
        <v>183</v>
      </c>
      <c r="G77" s="21" t="s">
        <v>93</v>
      </c>
      <c r="H77" s="21" t="s">
        <v>899</v>
      </c>
      <c r="I77" s="21" t="s">
        <v>900</v>
      </c>
      <c r="J77" s="138" t="s">
        <v>901</v>
      </c>
      <c r="K77" s="21" t="e">
        <f t="shared" ca="1" si="0"/>
        <v>#NAME?</v>
      </c>
      <c r="L77" s="24">
        <v>1974</v>
      </c>
      <c r="N77" s="21" t="s">
        <v>111</v>
      </c>
      <c r="O77" s="21" t="s">
        <v>112</v>
      </c>
      <c r="P77" s="26">
        <v>9866296512</v>
      </c>
      <c r="Q77" s="26" t="e">
        <f t="shared" ca="1" si="1"/>
        <v>#NAME?</v>
      </c>
      <c r="R77" s="21" t="s">
        <v>118</v>
      </c>
      <c r="S77" s="21" t="s">
        <v>902</v>
      </c>
      <c r="T77" s="21" t="s">
        <v>902</v>
      </c>
      <c r="U77" s="21" t="s">
        <v>903</v>
      </c>
      <c r="V77" s="21" t="s">
        <v>903</v>
      </c>
      <c r="W77" s="21" t="s">
        <v>219</v>
      </c>
      <c r="X77" s="21" t="s">
        <v>352</v>
      </c>
      <c r="Y77" s="21" t="s">
        <v>904</v>
      </c>
      <c r="Z77" s="21" t="s">
        <v>284</v>
      </c>
      <c r="AA77" s="21" t="s">
        <v>905</v>
      </c>
      <c r="AB77" s="21" t="s">
        <v>129</v>
      </c>
      <c r="AC77" s="21" t="s">
        <v>906</v>
      </c>
      <c r="AD77" s="21" t="s">
        <v>287</v>
      </c>
      <c r="AE77" s="21" t="s">
        <v>332</v>
      </c>
      <c r="AF77" s="21" t="s">
        <v>135</v>
      </c>
      <c r="AG77" s="21" t="s">
        <v>135</v>
      </c>
      <c r="AH77" s="21" t="s">
        <v>135</v>
      </c>
      <c r="AI77" s="21" t="s">
        <v>135</v>
      </c>
    </row>
    <row r="78" spans="1:36" ht="15.75" customHeight="1" x14ac:dyDescent="0.3">
      <c r="A78" s="21">
        <v>2024</v>
      </c>
      <c r="B78" s="22">
        <v>45380.455166782413</v>
      </c>
      <c r="C78" s="21" t="s">
        <v>183</v>
      </c>
      <c r="D78" s="21" t="s">
        <v>183</v>
      </c>
      <c r="E78" s="21" t="s">
        <v>183</v>
      </c>
      <c r="F78" s="21" t="s">
        <v>183</v>
      </c>
      <c r="G78" s="21" t="s">
        <v>93</v>
      </c>
      <c r="H78" s="21" t="s">
        <v>907</v>
      </c>
      <c r="I78" s="21" t="s">
        <v>908</v>
      </c>
      <c r="J78" s="21" t="s">
        <v>909</v>
      </c>
      <c r="K78" s="21" t="e">
        <f t="shared" ca="1" si="0"/>
        <v>#NAME?</v>
      </c>
      <c r="L78" s="24">
        <v>1992</v>
      </c>
      <c r="N78" s="21" t="s">
        <v>111</v>
      </c>
      <c r="O78" s="21" t="s">
        <v>112</v>
      </c>
      <c r="P78" s="26">
        <v>9502020229</v>
      </c>
      <c r="Q78" s="26" t="e">
        <f t="shared" ca="1" si="1"/>
        <v>#NAME?</v>
      </c>
      <c r="R78" s="21" t="s">
        <v>910</v>
      </c>
      <c r="S78" s="21" t="s">
        <v>911</v>
      </c>
      <c r="T78" s="21" t="s">
        <v>911</v>
      </c>
      <c r="U78" s="21" t="s">
        <v>912</v>
      </c>
      <c r="V78" s="21" t="s">
        <v>912</v>
      </c>
      <c r="W78" s="21" t="s">
        <v>210</v>
      </c>
      <c r="X78" s="21" t="s">
        <v>178</v>
      </c>
      <c r="Y78" s="21" t="s">
        <v>581</v>
      </c>
      <c r="Z78" s="21" t="s">
        <v>296</v>
      </c>
      <c r="AA78" s="21" t="s">
        <v>913</v>
      </c>
      <c r="AB78" s="21" t="s">
        <v>129</v>
      </c>
      <c r="AC78" s="21" t="s">
        <v>914</v>
      </c>
      <c r="AD78" s="21" t="s">
        <v>132</v>
      </c>
      <c r="AE78" s="21" t="s">
        <v>133</v>
      </c>
      <c r="AF78" s="21" t="s">
        <v>135</v>
      </c>
      <c r="AG78" s="21" t="s">
        <v>135</v>
      </c>
      <c r="AH78" s="21" t="s">
        <v>135</v>
      </c>
      <c r="AI78" s="21" t="s">
        <v>135</v>
      </c>
    </row>
    <row r="79" spans="1:36" ht="15.75" customHeight="1" x14ac:dyDescent="0.3">
      <c r="A79" s="21">
        <v>2024</v>
      </c>
      <c r="B79" s="22">
        <v>45380.460049953705</v>
      </c>
      <c r="C79" s="21" t="s">
        <v>183</v>
      </c>
      <c r="D79" s="21" t="s">
        <v>183</v>
      </c>
      <c r="E79" s="21" t="s">
        <v>183</v>
      </c>
      <c r="F79" s="21" t="s">
        <v>183</v>
      </c>
      <c r="G79" s="21" t="s">
        <v>93</v>
      </c>
      <c r="H79" s="21" t="s">
        <v>918</v>
      </c>
      <c r="I79" s="21" t="s">
        <v>919</v>
      </c>
      <c r="J79" s="21" t="s">
        <v>920</v>
      </c>
      <c r="K79" s="21" t="e">
        <f t="shared" ca="1" si="0"/>
        <v>#NAME?</v>
      </c>
      <c r="L79" s="24">
        <v>1970</v>
      </c>
      <c r="N79" s="21" t="s">
        <v>111</v>
      </c>
      <c r="O79" s="21" t="s">
        <v>112</v>
      </c>
      <c r="P79" s="26">
        <v>9958143242</v>
      </c>
      <c r="Q79" s="26" t="e">
        <f t="shared" ca="1" si="1"/>
        <v>#NAME?</v>
      </c>
      <c r="R79" s="21" t="s">
        <v>921</v>
      </c>
      <c r="S79" s="21" t="s">
        <v>922</v>
      </c>
      <c r="T79" s="21" t="s">
        <v>922</v>
      </c>
      <c r="U79" s="21" t="s">
        <v>923</v>
      </c>
      <c r="V79" s="21" t="s">
        <v>923</v>
      </c>
      <c r="W79" s="21" t="s">
        <v>328</v>
      </c>
      <c r="X79" s="21" t="s">
        <v>478</v>
      </c>
      <c r="Y79" s="21" t="s">
        <v>904</v>
      </c>
      <c r="Z79" s="21" t="s">
        <v>284</v>
      </c>
      <c r="AA79" s="21" t="s">
        <v>924</v>
      </c>
      <c r="AB79" s="21" t="s">
        <v>129</v>
      </c>
      <c r="AC79" s="21" t="s">
        <v>925</v>
      </c>
      <c r="AD79" s="21" t="s">
        <v>287</v>
      </c>
      <c r="AE79" s="21" t="s">
        <v>133</v>
      </c>
      <c r="AF79" s="21" t="s">
        <v>135</v>
      </c>
      <c r="AG79" s="21" t="s">
        <v>135</v>
      </c>
      <c r="AH79" s="21" t="s">
        <v>135</v>
      </c>
      <c r="AI79" s="21" t="s">
        <v>135</v>
      </c>
      <c r="AJ79" s="21" t="s">
        <v>926</v>
      </c>
    </row>
    <row r="80" spans="1:36" ht="15.75" customHeight="1" x14ac:dyDescent="0.3">
      <c r="A80" s="21">
        <v>2024</v>
      </c>
      <c r="B80" s="22">
        <v>45380.477896493059</v>
      </c>
      <c r="C80" s="21" t="s">
        <v>183</v>
      </c>
      <c r="D80" s="21" t="s">
        <v>183</v>
      </c>
      <c r="E80" s="21" t="s">
        <v>183</v>
      </c>
      <c r="F80" s="21" t="s">
        <v>183</v>
      </c>
      <c r="G80" s="21" t="s">
        <v>93</v>
      </c>
      <c r="H80" s="21" t="s">
        <v>927</v>
      </c>
      <c r="I80" s="21" t="s">
        <v>928</v>
      </c>
      <c r="J80" s="21" t="s">
        <v>929</v>
      </c>
      <c r="K80" s="21" t="e">
        <f t="shared" ca="1" si="0"/>
        <v>#NAME?</v>
      </c>
      <c r="L80" s="24">
        <v>1981</v>
      </c>
      <c r="N80" s="21" t="s">
        <v>111</v>
      </c>
      <c r="O80" s="21" t="s">
        <v>112</v>
      </c>
      <c r="P80" s="26">
        <v>8790358319</v>
      </c>
      <c r="Q80" s="26" t="e">
        <f t="shared" ca="1" si="1"/>
        <v>#NAME?</v>
      </c>
      <c r="R80" s="21" t="s">
        <v>188</v>
      </c>
      <c r="S80" s="21" t="s">
        <v>930</v>
      </c>
      <c r="T80" s="21" t="s">
        <v>930</v>
      </c>
      <c r="U80" s="21" t="s">
        <v>931</v>
      </c>
      <c r="V80" s="21" t="s">
        <v>931</v>
      </c>
      <c r="W80" s="21" t="s">
        <v>328</v>
      </c>
      <c r="X80" s="21" t="s">
        <v>352</v>
      </c>
      <c r="Y80" s="21" t="s">
        <v>932</v>
      </c>
      <c r="Z80" s="21" t="s">
        <v>284</v>
      </c>
      <c r="AA80" s="21" t="s">
        <v>933</v>
      </c>
      <c r="AB80" s="21" t="s">
        <v>129</v>
      </c>
      <c r="AC80" s="21" t="s">
        <v>934</v>
      </c>
      <c r="AD80" s="21" t="s">
        <v>169</v>
      </c>
      <c r="AE80" s="21" t="s">
        <v>133</v>
      </c>
      <c r="AF80" s="21" t="s">
        <v>135</v>
      </c>
      <c r="AG80" s="21" t="s">
        <v>135</v>
      </c>
      <c r="AH80" s="21" t="s">
        <v>135</v>
      </c>
      <c r="AI80" s="21" t="s">
        <v>135</v>
      </c>
      <c r="AJ80" s="21" t="s">
        <v>935</v>
      </c>
    </row>
    <row r="81" spans="1:36" ht="15.75" customHeight="1" x14ac:dyDescent="0.3">
      <c r="A81" s="21">
        <v>2024</v>
      </c>
      <c r="B81" s="22">
        <v>45380.481942083337</v>
      </c>
      <c r="C81" s="21" t="s">
        <v>183</v>
      </c>
      <c r="D81" s="21" t="s">
        <v>183</v>
      </c>
      <c r="E81" s="21" t="s">
        <v>183</v>
      </c>
      <c r="F81" s="21" t="s">
        <v>183</v>
      </c>
      <c r="G81" s="21" t="s">
        <v>93</v>
      </c>
      <c r="H81" s="21" t="s">
        <v>936</v>
      </c>
      <c r="I81" s="21" t="s">
        <v>937</v>
      </c>
      <c r="J81" s="21" t="s">
        <v>938</v>
      </c>
      <c r="K81" s="21" t="e">
        <f t="shared" ca="1" si="0"/>
        <v>#NAME?</v>
      </c>
      <c r="L81" s="24">
        <v>1961</v>
      </c>
      <c r="N81" s="21" t="s">
        <v>111</v>
      </c>
      <c r="O81" s="21" t="s">
        <v>112</v>
      </c>
      <c r="P81" s="26">
        <v>9492927375</v>
      </c>
      <c r="Q81" s="26" t="e">
        <f t="shared" ca="1" si="1"/>
        <v>#NAME?</v>
      </c>
      <c r="R81" s="21" t="s">
        <v>939</v>
      </c>
      <c r="S81" s="21" t="s">
        <v>940</v>
      </c>
      <c r="T81" s="21" t="s">
        <v>940</v>
      </c>
      <c r="U81" s="21" t="s">
        <v>941</v>
      </c>
      <c r="V81" s="21" t="s">
        <v>941</v>
      </c>
      <c r="W81" s="21" t="s">
        <v>488</v>
      </c>
      <c r="X81" s="21" t="s">
        <v>308</v>
      </c>
      <c r="Y81" s="21" t="s">
        <v>942</v>
      </c>
      <c r="Z81" s="21" t="s">
        <v>127</v>
      </c>
      <c r="AA81" s="21" t="s">
        <v>943</v>
      </c>
      <c r="AB81" s="21" t="s">
        <v>129</v>
      </c>
      <c r="AC81" s="21" t="s">
        <v>944</v>
      </c>
      <c r="AD81" s="21" t="s">
        <v>132</v>
      </c>
      <c r="AE81" s="21" t="s">
        <v>133</v>
      </c>
      <c r="AF81" s="21" t="s">
        <v>686</v>
      </c>
      <c r="AG81" s="21" t="s">
        <v>135</v>
      </c>
      <c r="AH81" s="21" t="s">
        <v>135</v>
      </c>
      <c r="AI81" s="21" t="s">
        <v>135</v>
      </c>
      <c r="AJ81" s="21" t="s">
        <v>945</v>
      </c>
    </row>
    <row r="82" spans="1:36" ht="15.75" customHeight="1" x14ac:dyDescent="0.3">
      <c r="A82" s="21">
        <v>2024</v>
      </c>
      <c r="B82" s="22">
        <v>45380.4882459375</v>
      </c>
      <c r="C82" s="21" t="s">
        <v>183</v>
      </c>
      <c r="D82" s="21" t="s">
        <v>183</v>
      </c>
      <c r="E82" s="21" t="s">
        <v>183</v>
      </c>
      <c r="F82" s="21" t="s">
        <v>183</v>
      </c>
      <c r="G82" s="21" t="s">
        <v>93</v>
      </c>
      <c r="H82" s="21" t="s">
        <v>946</v>
      </c>
      <c r="I82" s="21" t="s">
        <v>947</v>
      </c>
      <c r="J82" s="21" t="s">
        <v>948</v>
      </c>
      <c r="K82" s="21" t="e">
        <f t="shared" ca="1" si="0"/>
        <v>#NAME?</v>
      </c>
      <c r="L82" s="24">
        <v>2009</v>
      </c>
      <c r="N82" s="21" t="s">
        <v>111</v>
      </c>
      <c r="O82" s="21" t="s">
        <v>112</v>
      </c>
      <c r="P82" s="26">
        <v>9121432011</v>
      </c>
      <c r="Q82" s="26" t="e">
        <f t="shared" ca="1" si="1"/>
        <v>#NAME?</v>
      </c>
      <c r="R82" s="21" t="s">
        <v>188</v>
      </c>
      <c r="S82" s="21" t="s">
        <v>949</v>
      </c>
      <c r="T82" s="21" t="s">
        <v>949</v>
      </c>
      <c r="U82" s="21" t="s">
        <v>950</v>
      </c>
      <c r="V82" s="21" t="s">
        <v>950</v>
      </c>
      <c r="W82" s="21" t="s">
        <v>951</v>
      </c>
      <c r="X82" s="21" t="s">
        <v>952</v>
      </c>
      <c r="Y82" s="21" t="s">
        <v>376</v>
      </c>
      <c r="Z82" s="21" t="s">
        <v>127</v>
      </c>
      <c r="AA82" s="21" t="s">
        <v>953</v>
      </c>
      <c r="AB82" s="21" t="s">
        <v>129</v>
      </c>
      <c r="AC82" s="21" t="s">
        <v>954</v>
      </c>
      <c r="AD82" s="21" t="s">
        <v>132</v>
      </c>
      <c r="AE82" s="21" t="s">
        <v>133</v>
      </c>
      <c r="AF82" s="21" t="s">
        <v>135</v>
      </c>
      <c r="AG82" s="21" t="s">
        <v>135</v>
      </c>
      <c r="AH82" s="21" t="s">
        <v>135</v>
      </c>
      <c r="AI82" s="21" t="s">
        <v>135</v>
      </c>
      <c r="AJ82" s="21" t="s">
        <v>955</v>
      </c>
    </row>
    <row r="83" spans="1:36" ht="15.75" customHeight="1" x14ac:dyDescent="0.3">
      <c r="A83" s="21">
        <v>2024</v>
      </c>
      <c r="B83" s="22">
        <v>45380.492832199074</v>
      </c>
      <c r="C83" s="21" t="s">
        <v>183</v>
      </c>
      <c r="D83" s="21" t="s">
        <v>183</v>
      </c>
      <c r="E83" s="21" t="s">
        <v>183</v>
      </c>
      <c r="F83" s="21" t="s">
        <v>183</v>
      </c>
      <c r="G83" s="21" t="s">
        <v>93</v>
      </c>
      <c r="H83" s="21" t="s">
        <v>956</v>
      </c>
      <c r="I83" s="21" t="s">
        <v>957</v>
      </c>
      <c r="J83" s="21" t="s">
        <v>958</v>
      </c>
      <c r="K83" s="21" t="e">
        <f t="shared" ca="1" si="0"/>
        <v>#NAME?</v>
      </c>
      <c r="L83" s="24">
        <v>1963</v>
      </c>
      <c r="N83" s="21" t="s">
        <v>111</v>
      </c>
      <c r="O83" s="21" t="s">
        <v>112</v>
      </c>
      <c r="P83" s="26">
        <v>9490366695</v>
      </c>
      <c r="Q83" s="26" t="e">
        <f t="shared" ca="1" si="1"/>
        <v>#NAME?</v>
      </c>
      <c r="R83" s="21" t="s">
        <v>118</v>
      </c>
      <c r="S83" s="21" t="s">
        <v>959</v>
      </c>
      <c r="T83" s="21" t="s">
        <v>959</v>
      </c>
      <c r="U83" s="21" t="s">
        <v>960</v>
      </c>
      <c r="V83" s="21" t="s">
        <v>960</v>
      </c>
      <c r="W83" s="21" t="s">
        <v>706</v>
      </c>
      <c r="X83" s="21" t="s">
        <v>904</v>
      </c>
      <c r="Y83" s="21" t="s">
        <v>904</v>
      </c>
      <c r="Z83" s="21" t="s">
        <v>284</v>
      </c>
      <c r="AA83" s="21" t="s">
        <v>961</v>
      </c>
      <c r="AB83" s="21" t="s">
        <v>129</v>
      </c>
      <c r="AC83" s="21" t="s">
        <v>962</v>
      </c>
      <c r="AD83" s="21" t="s">
        <v>287</v>
      </c>
      <c r="AE83" s="21" t="s">
        <v>133</v>
      </c>
      <c r="AF83" s="21" t="s">
        <v>135</v>
      </c>
      <c r="AG83" s="21" t="s">
        <v>135</v>
      </c>
      <c r="AH83" s="21" t="s">
        <v>135</v>
      </c>
      <c r="AI83" s="21" t="s">
        <v>135</v>
      </c>
      <c r="AJ83" s="21" t="s">
        <v>963</v>
      </c>
    </row>
    <row r="84" spans="1:36" ht="15.75" customHeight="1" x14ac:dyDescent="0.3">
      <c r="A84" s="21">
        <v>2024</v>
      </c>
      <c r="B84" s="22">
        <v>45380.496729166669</v>
      </c>
      <c r="C84" s="21" t="s">
        <v>183</v>
      </c>
      <c r="D84" s="21" t="s">
        <v>183</v>
      </c>
      <c r="E84" s="21" t="s">
        <v>183</v>
      </c>
      <c r="F84" s="21" t="s">
        <v>183</v>
      </c>
      <c r="G84" s="21" t="s">
        <v>93</v>
      </c>
      <c r="H84" s="21" t="s">
        <v>964</v>
      </c>
      <c r="I84" s="21" t="s">
        <v>965</v>
      </c>
      <c r="J84" s="21" t="s">
        <v>281</v>
      </c>
      <c r="K84" s="21" t="e">
        <f t="shared" ca="1" si="0"/>
        <v>#NAME?</v>
      </c>
      <c r="L84" s="24">
        <v>1971</v>
      </c>
      <c r="N84" s="21" t="s">
        <v>111</v>
      </c>
      <c r="O84" s="21" t="s">
        <v>112</v>
      </c>
      <c r="P84" s="26">
        <v>9912805900</v>
      </c>
      <c r="Q84" s="26" t="e">
        <f t="shared" ca="1" si="1"/>
        <v>#NAME?</v>
      </c>
      <c r="R84" s="21" t="s">
        <v>188</v>
      </c>
      <c r="S84" s="21" t="s">
        <v>966</v>
      </c>
      <c r="T84" s="21" t="s">
        <v>966</v>
      </c>
      <c r="U84" s="21" t="s">
        <v>967</v>
      </c>
      <c r="V84" s="21" t="s">
        <v>967</v>
      </c>
      <c r="W84" s="21" t="s">
        <v>307</v>
      </c>
      <c r="X84" s="21" t="s">
        <v>352</v>
      </c>
      <c r="Y84" s="21" t="s">
        <v>352</v>
      </c>
      <c r="Z84" s="21" t="s">
        <v>284</v>
      </c>
      <c r="AA84" s="21" t="s">
        <v>968</v>
      </c>
      <c r="AB84" s="21" t="s">
        <v>129</v>
      </c>
      <c r="AC84" s="21" t="s">
        <v>969</v>
      </c>
      <c r="AD84" s="21" t="s">
        <v>132</v>
      </c>
      <c r="AE84" s="21" t="s">
        <v>133</v>
      </c>
      <c r="AF84" s="21" t="s">
        <v>135</v>
      </c>
      <c r="AG84" s="21" t="s">
        <v>135</v>
      </c>
      <c r="AH84" s="21" t="s">
        <v>135</v>
      </c>
      <c r="AI84" s="21" t="s">
        <v>135</v>
      </c>
    </row>
    <row r="85" spans="1:36" ht="15.75" customHeight="1" x14ac:dyDescent="0.3">
      <c r="A85" s="21">
        <v>2024</v>
      </c>
      <c r="B85" s="22">
        <v>45380.502894212965</v>
      </c>
      <c r="C85" s="21" t="s">
        <v>183</v>
      </c>
      <c r="D85" s="21" t="s">
        <v>183</v>
      </c>
      <c r="E85" s="21" t="s">
        <v>183</v>
      </c>
      <c r="F85" s="21" t="s">
        <v>183</v>
      </c>
      <c r="G85" s="21" t="s">
        <v>93</v>
      </c>
      <c r="H85" s="21" t="s">
        <v>970</v>
      </c>
      <c r="I85" s="21" t="s">
        <v>971</v>
      </c>
      <c r="J85" s="21" t="s">
        <v>972</v>
      </c>
      <c r="K85" s="21" t="e">
        <f t="shared" ca="1" si="0"/>
        <v>#NAME?</v>
      </c>
      <c r="L85" s="24">
        <v>1975</v>
      </c>
      <c r="N85" s="21" t="s">
        <v>315</v>
      </c>
      <c r="O85" s="21" t="s">
        <v>316</v>
      </c>
      <c r="P85" s="26">
        <v>9723421582</v>
      </c>
      <c r="Q85" s="26" t="e">
        <f t="shared" ca="1" si="1"/>
        <v>#NAME?</v>
      </c>
      <c r="R85" s="21" t="s">
        <v>975</v>
      </c>
      <c r="S85" s="21" t="s">
        <v>976</v>
      </c>
      <c r="T85" s="21" t="s">
        <v>976</v>
      </c>
      <c r="U85" s="21" t="s">
        <v>977</v>
      </c>
      <c r="V85" s="21" t="s">
        <v>977</v>
      </c>
      <c r="W85" s="21" t="s">
        <v>307</v>
      </c>
      <c r="X85" s="21" t="s">
        <v>220</v>
      </c>
      <c r="Y85" s="21" t="s">
        <v>211</v>
      </c>
      <c r="Z85" s="21" t="s">
        <v>127</v>
      </c>
      <c r="AA85" s="21" t="s">
        <v>978</v>
      </c>
      <c r="AB85" s="21" t="s">
        <v>129</v>
      </c>
      <c r="AC85" s="21" t="s">
        <v>979</v>
      </c>
      <c r="AD85" s="21" t="s">
        <v>132</v>
      </c>
      <c r="AE85" s="21" t="s">
        <v>133</v>
      </c>
      <c r="AF85" s="21" t="s">
        <v>135</v>
      </c>
      <c r="AG85" s="21" t="s">
        <v>135</v>
      </c>
      <c r="AH85" s="21" t="s">
        <v>135</v>
      </c>
      <c r="AI85" s="21" t="s">
        <v>135</v>
      </c>
      <c r="AJ85" s="21" t="s">
        <v>980</v>
      </c>
    </row>
    <row r="86" spans="1:36" ht="15.75" customHeight="1" x14ac:dyDescent="0.3">
      <c r="A86" s="21">
        <v>2024</v>
      </c>
      <c r="B86" s="22">
        <v>45384.029744571759</v>
      </c>
      <c r="C86" s="21" t="s">
        <v>183</v>
      </c>
      <c r="D86" s="21" t="s">
        <v>183</v>
      </c>
      <c r="E86" s="21" t="s">
        <v>183</v>
      </c>
      <c r="F86" s="21" t="s">
        <v>183</v>
      </c>
      <c r="G86" s="21" t="s">
        <v>93</v>
      </c>
      <c r="H86" s="21" t="s">
        <v>981</v>
      </c>
      <c r="I86" s="21" t="s">
        <v>982</v>
      </c>
      <c r="J86" s="21" t="s">
        <v>983</v>
      </c>
      <c r="K86" s="21" t="e">
        <f t="shared" ca="1" si="0"/>
        <v>#NAME?</v>
      </c>
      <c r="L86" s="24">
        <v>1959</v>
      </c>
      <c r="N86" s="21" t="s">
        <v>111</v>
      </c>
      <c r="O86" s="21" t="s">
        <v>112</v>
      </c>
      <c r="P86" s="26">
        <v>6281260746</v>
      </c>
      <c r="Q86" s="26" t="e">
        <f t="shared" ca="1" si="1"/>
        <v>#NAME?</v>
      </c>
      <c r="R86" s="21" t="s">
        <v>118</v>
      </c>
      <c r="S86" s="21" t="s">
        <v>984</v>
      </c>
      <c r="T86" s="21" t="s">
        <v>984</v>
      </c>
      <c r="U86" s="21" t="s">
        <v>985</v>
      </c>
      <c r="V86" s="21" t="s">
        <v>985</v>
      </c>
      <c r="W86" s="21" t="s">
        <v>307</v>
      </c>
      <c r="X86" s="21" t="s">
        <v>178</v>
      </c>
      <c r="Y86" s="21" t="s">
        <v>536</v>
      </c>
      <c r="Z86" s="21" t="s">
        <v>127</v>
      </c>
      <c r="AA86" s="21" t="s">
        <v>986</v>
      </c>
      <c r="AB86" s="21" t="s">
        <v>129</v>
      </c>
      <c r="AC86" s="21" t="s">
        <v>987</v>
      </c>
      <c r="AD86" s="21" t="s">
        <v>132</v>
      </c>
      <c r="AE86" s="21" t="s">
        <v>133</v>
      </c>
      <c r="AF86" s="21" t="s">
        <v>135</v>
      </c>
      <c r="AG86" s="21" t="s">
        <v>135</v>
      </c>
      <c r="AH86" s="21" t="s">
        <v>135</v>
      </c>
      <c r="AI86" s="21" t="s">
        <v>135</v>
      </c>
      <c r="AJ86" s="21" t="s">
        <v>988</v>
      </c>
    </row>
    <row r="87" spans="1:36" ht="15.75" customHeight="1" x14ac:dyDescent="0.3">
      <c r="A87" s="21">
        <v>2024</v>
      </c>
      <c r="B87" s="22">
        <v>45386.030846076392</v>
      </c>
      <c r="C87" s="21" t="s">
        <v>183</v>
      </c>
      <c r="D87" s="21" t="s">
        <v>183</v>
      </c>
      <c r="E87" s="21" t="s">
        <v>183</v>
      </c>
      <c r="F87" s="21" t="s">
        <v>183</v>
      </c>
      <c r="G87" s="21" t="s">
        <v>93</v>
      </c>
      <c r="H87" s="21" t="s">
        <v>989</v>
      </c>
      <c r="I87" s="21" t="s">
        <v>990</v>
      </c>
      <c r="J87" s="21" t="s">
        <v>991</v>
      </c>
      <c r="K87" s="21" t="e">
        <f t="shared" ca="1" si="0"/>
        <v>#NAME?</v>
      </c>
      <c r="L87" s="24">
        <v>1966</v>
      </c>
      <c r="N87" s="21" t="s">
        <v>111</v>
      </c>
      <c r="O87" s="21" t="s">
        <v>112</v>
      </c>
      <c r="P87" s="26">
        <v>9483631232</v>
      </c>
      <c r="Q87" s="26" t="e">
        <f t="shared" ca="1" si="1"/>
        <v>#NAME?</v>
      </c>
      <c r="R87" s="21" t="s">
        <v>992</v>
      </c>
      <c r="S87" s="21" t="s">
        <v>993</v>
      </c>
      <c r="T87" s="21" t="s">
        <v>993</v>
      </c>
      <c r="U87" s="21" t="s">
        <v>994</v>
      </c>
      <c r="V87" s="21" t="s">
        <v>994</v>
      </c>
      <c r="W87" s="21" t="s">
        <v>995</v>
      </c>
      <c r="X87" s="21" t="s">
        <v>996</v>
      </c>
      <c r="Y87" s="21" t="s">
        <v>194</v>
      </c>
      <c r="Z87" s="21" t="s">
        <v>284</v>
      </c>
      <c r="AA87" s="21" t="s">
        <v>997</v>
      </c>
      <c r="AB87" s="21" t="s">
        <v>129</v>
      </c>
      <c r="AC87" s="21" t="s">
        <v>998</v>
      </c>
      <c r="AD87" s="21" t="s">
        <v>287</v>
      </c>
      <c r="AE87" s="21" t="s">
        <v>133</v>
      </c>
      <c r="AF87" s="21" t="s">
        <v>135</v>
      </c>
      <c r="AG87" s="21" t="s">
        <v>135</v>
      </c>
      <c r="AH87" s="21" t="s">
        <v>135</v>
      </c>
      <c r="AI87" s="21" t="s">
        <v>135</v>
      </c>
      <c r="AJ87" s="21" t="s">
        <v>999</v>
      </c>
    </row>
    <row r="88" spans="1:36" ht="15.75" customHeight="1" x14ac:dyDescent="0.3">
      <c r="A88" s="21">
        <v>2024</v>
      </c>
      <c r="B88" s="22">
        <v>45387.357912638894</v>
      </c>
      <c r="C88" s="21" t="s">
        <v>183</v>
      </c>
      <c r="D88" s="21" t="s">
        <v>183</v>
      </c>
      <c r="E88" s="21" t="s">
        <v>183</v>
      </c>
      <c r="F88" s="21" t="s">
        <v>183</v>
      </c>
      <c r="G88" s="21" t="s">
        <v>256</v>
      </c>
      <c r="H88" s="21" t="s">
        <v>1000</v>
      </c>
      <c r="I88" s="21" t="s">
        <v>1001</v>
      </c>
      <c r="J88" s="21" t="s">
        <v>1002</v>
      </c>
      <c r="K88" s="21" t="e">
        <f t="shared" ca="1" si="0"/>
        <v>#NAME?</v>
      </c>
      <c r="L88" s="24">
        <v>2013</v>
      </c>
      <c r="N88" s="21" t="s">
        <v>111</v>
      </c>
      <c r="O88" s="21" t="s">
        <v>112</v>
      </c>
      <c r="P88" s="26">
        <v>7981631827</v>
      </c>
      <c r="Q88" s="26" t="e">
        <f t="shared" ca="1" si="1"/>
        <v>#NAME?</v>
      </c>
      <c r="R88" s="21" t="s">
        <v>188</v>
      </c>
      <c r="S88" s="21" t="s">
        <v>1003</v>
      </c>
      <c r="T88" s="21" t="s">
        <v>1003</v>
      </c>
      <c r="U88" s="21" t="s">
        <v>1004</v>
      </c>
      <c r="V88" s="21" t="s">
        <v>1004</v>
      </c>
      <c r="W88" s="21" t="s">
        <v>307</v>
      </c>
      <c r="X88" s="21" t="s">
        <v>308</v>
      </c>
      <c r="Y88" s="21" t="s">
        <v>352</v>
      </c>
      <c r="Z88" s="21" t="s">
        <v>1005</v>
      </c>
      <c r="AA88" s="21" t="s">
        <v>1006</v>
      </c>
      <c r="AB88" s="21" t="s">
        <v>408</v>
      </c>
      <c r="AC88" s="21" t="s">
        <v>1007</v>
      </c>
      <c r="AD88" s="21" t="s">
        <v>287</v>
      </c>
      <c r="AE88" s="21" t="s">
        <v>332</v>
      </c>
      <c r="AF88" s="21" t="s">
        <v>135</v>
      </c>
      <c r="AG88" s="21" t="s">
        <v>135</v>
      </c>
      <c r="AH88" s="21" t="s">
        <v>135</v>
      </c>
      <c r="AI88" s="21" t="s">
        <v>135</v>
      </c>
    </row>
    <row r="89" spans="1:36" ht="15.75" customHeight="1" x14ac:dyDescent="0.3">
      <c r="A89" s="21">
        <v>2024</v>
      </c>
      <c r="B89" s="22">
        <v>45387.43879133102</v>
      </c>
      <c r="C89" s="21" t="s">
        <v>183</v>
      </c>
      <c r="D89" s="21" t="s">
        <v>183</v>
      </c>
      <c r="E89" s="21" t="s">
        <v>183</v>
      </c>
      <c r="F89" s="21" t="s">
        <v>183</v>
      </c>
      <c r="G89" s="21" t="s">
        <v>93</v>
      </c>
      <c r="H89" s="21" t="s">
        <v>1008</v>
      </c>
      <c r="I89" s="21" t="s">
        <v>1009</v>
      </c>
      <c r="J89" s="21" t="s">
        <v>1010</v>
      </c>
      <c r="K89" s="21" t="e">
        <f t="shared" ca="1" si="0"/>
        <v>#NAME?</v>
      </c>
      <c r="L89" s="24">
        <v>1991</v>
      </c>
      <c r="N89" s="21" t="s">
        <v>111</v>
      </c>
      <c r="O89" s="21" t="s">
        <v>112</v>
      </c>
      <c r="P89" s="26">
        <v>9298903940</v>
      </c>
      <c r="Q89" s="26" t="e">
        <f t="shared" ca="1" si="1"/>
        <v>#NAME?</v>
      </c>
      <c r="R89" s="21" t="s">
        <v>783</v>
      </c>
      <c r="S89" s="21" t="s">
        <v>1011</v>
      </c>
      <c r="T89" s="21" t="s">
        <v>1011</v>
      </c>
      <c r="U89" s="21" t="s">
        <v>1012</v>
      </c>
      <c r="V89" s="21" t="s">
        <v>1012</v>
      </c>
      <c r="W89" s="21" t="s">
        <v>374</v>
      </c>
      <c r="X89" s="21" t="s">
        <v>179</v>
      </c>
      <c r="Y89" s="21" t="s">
        <v>178</v>
      </c>
      <c r="Z89" s="21" t="s">
        <v>284</v>
      </c>
      <c r="AA89" s="21" t="s">
        <v>1013</v>
      </c>
      <c r="AB89" s="21" t="s">
        <v>129</v>
      </c>
      <c r="AC89" s="21" t="s">
        <v>1014</v>
      </c>
      <c r="AD89" s="21" t="s">
        <v>287</v>
      </c>
      <c r="AE89" s="21" t="s">
        <v>332</v>
      </c>
      <c r="AF89" s="21" t="s">
        <v>135</v>
      </c>
      <c r="AG89" s="21" t="s">
        <v>135</v>
      </c>
      <c r="AH89" s="21" t="s">
        <v>135</v>
      </c>
      <c r="AI89" s="21" t="s">
        <v>135</v>
      </c>
    </row>
    <row r="90" spans="1:36" ht="15.75" customHeight="1" x14ac:dyDescent="0.3">
      <c r="A90" s="21">
        <v>2024</v>
      </c>
      <c r="B90" s="22">
        <v>45387.858460173607</v>
      </c>
      <c r="C90" s="21" t="s">
        <v>183</v>
      </c>
      <c r="D90" s="21" t="s">
        <v>183</v>
      </c>
      <c r="E90" s="21" t="s">
        <v>183</v>
      </c>
      <c r="F90" s="21" t="s">
        <v>183</v>
      </c>
      <c r="G90" s="21" t="s">
        <v>256</v>
      </c>
      <c r="H90" s="21" t="s">
        <v>1015</v>
      </c>
      <c r="I90" s="21" t="s">
        <v>1016</v>
      </c>
      <c r="J90" s="21" t="s">
        <v>1017</v>
      </c>
      <c r="K90" s="21" t="e">
        <f t="shared" ca="1" si="0"/>
        <v>#NAME?</v>
      </c>
      <c r="L90" s="24">
        <v>2010</v>
      </c>
      <c r="N90" s="21" t="s">
        <v>111</v>
      </c>
      <c r="O90" s="21" t="s">
        <v>112</v>
      </c>
      <c r="P90" s="26">
        <v>9642433663</v>
      </c>
      <c r="Q90" s="26" t="e">
        <f t="shared" ca="1" si="1"/>
        <v>#NAME?</v>
      </c>
      <c r="R90" s="21" t="s">
        <v>118</v>
      </c>
      <c r="S90" s="21" t="s">
        <v>1018</v>
      </c>
      <c r="T90" s="21" t="s">
        <v>1018</v>
      </c>
      <c r="U90" s="21" t="s">
        <v>1019</v>
      </c>
      <c r="V90" s="21" t="s">
        <v>1019</v>
      </c>
      <c r="W90" s="21" t="s">
        <v>307</v>
      </c>
      <c r="X90" s="21" t="s">
        <v>467</v>
      </c>
      <c r="Y90" s="21" t="s">
        <v>1020</v>
      </c>
      <c r="Z90" s="21" t="s">
        <v>284</v>
      </c>
      <c r="AA90" s="21" t="s">
        <v>396</v>
      </c>
      <c r="AB90" s="21" t="s">
        <v>129</v>
      </c>
      <c r="AC90" s="21" t="s">
        <v>1021</v>
      </c>
      <c r="AD90" s="21" t="s">
        <v>287</v>
      </c>
      <c r="AE90" s="21" t="s">
        <v>332</v>
      </c>
      <c r="AF90" s="21" t="s">
        <v>135</v>
      </c>
      <c r="AG90" s="21" t="s">
        <v>135</v>
      </c>
      <c r="AH90" s="21" t="s">
        <v>135</v>
      </c>
      <c r="AI90" s="21" t="s">
        <v>135</v>
      </c>
    </row>
    <row r="91" spans="1:36" ht="15.75" customHeight="1" x14ac:dyDescent="0.3">
      <c r="A91" s="21">
        <v>2024</v>
      </c>
      <c r="B91" s="22">
        <v>45388.422160034723</v>
      </c>
      <c r="C91" s="21" t="s">
        <v>183</v>
      </c>
      <c r="D91" s="21" t="s">
        <v>183</v>
      </c>
      <c r="E91" s="21" t="s">
        <v>183</v>
      </c>
      <c r="F91" s="21" t="s">
        <v>183</v>
      </c>
      <c r="G91" s="21" t="s">
        <v>93</v>
      </c>
      <c r="H91" s="21" t="s">
        <v>1022</v>
      </c>
      <c r="I91" s="21" t="s">
        <v>1023</v>
      </c>
      <c r="J91" s="21" t="s">
        <v>1024</v>
      </c>
      <c r="K91" s="21" t="e">
        <f t="shared" ca="1" si="0"/>
        <v>#NAME?</v>
      </c>
      <c r="L91" s="24">
        <v>1966</v>
      </c>
      <c r="N91" s="21" t="s">
        <v>111</v>
      </c>
      <c r="O91" s="21" t="s">
        <v>112</v>
      </c>
      <c r="P91" s="26">
        <v>8801961216</v>
      </c>
      <c r="Q91" s="26" t="e">
        <f t="shared" ca="1" si="1"/>
        <v>#NAME?</v>
      </c>
      <c r="R91" s="21" t="s">
        <v>188</v>
      </c>
      <c r="S91" s="21" t="s">
        <v>1025</v>
      </c>
      <c r="T91" s="21" t="s">
        <v>1025</v>
      </c>
      <c r="U91" s="21" t="s">
        <v>1026</v>
      </c>
      <c r="V91" s="21" t="s">
        <v>1026</v>
      </c>
      <c r="W91" s="21" t="s">
        <v>706</v>
      </c>
      <c r="X91" s="21" t="s">
        <v>1027</v>
      </c>
      <c r="Y91" s="21" t="s">
        <v>536</v>
      </c>
      <c r="Z91" s="21" t="s">
        <v>127</v>
      </c>
      <c r="AA91" s="21" t="s">
        <v>1028</v>
      </c>
      <c r="AB91" s="21" t="s">
        <v>129</v>
      </c>
      <c r="AC91" s="21" t="s">
        <v>1029</v>
      </c>
      <c r="AD91" s="21" t="s">
        <v>132</v>
      </c>
      <c r="AE91" s="21" t="s">
        <v>133</v>
      </c>
      <c r="AF91" s="21" t="s">
        <v>135</v>
      </c>
      <c r="AG91" s="21" t="s">
        <v>135</v>
      </c>
      <c r="AH91" s="21" t="s">
        <v>135</v>
      </c>
      <c r="AI91" s="21" t="s">
        <v>135</v>
      </c>
    </row>
    <row r="92" spans="1:36" ht="15.75" customHeight="1" x14ac:dyDescent="0.3">
      <c r="A92" s="21">
        <v>2024</v>
      </c>
      <c r="B92" s="22">
        <v>45388.454917569441</v>
      </c>
      <c r="C92" s="21" t="s">
        <v>183</v>
      </c>
      <c r="D92" s="21" t="s">
        <v>183</v>
      </c>
      <c r="E92" s="21" t="s">
        <v>183</v>
      </c>
      <c r="F92" s="21" t="s">
        <v>183</v>
      </c>
      <c r="G92" s="21" t="s">
        <v>256</v>
      </c>
      <c r="H92" s="21" t="s">
        <v>1030</v>
      </c>
      <c r="I92" s="21" t="s">
        <v>1032</v>
      </c>
      <c r="J92" s="21" t="s">
        <v>1033</v>
      </c>
      <c r="K92" s="21" t="e">
        <f t="shared" ca="1" si="0"/>
        <v>#NAME?</v>
      </c>
      <c r="L92" s="24">
        <v>2010</v>
      </c>
      <c r="N92" s="21" t="s">
        <v>315</v>
      </c>
      <c r="O92" s="21" t="s">
        <v>316</v>
      </c>
      <c r="P92" s="26">
        <v>5635704029</v>
      </c>
      <c r="Q92" s="26" t="e">
        <f t="shared" ca="1" si="1"/>
        <v>#NAME?</v>
      </c>
      <c r="R92" s="21" t="s">
        <v>1036</v>
      </c>
      <c r="S92" s="21" t="s">
        <v>1037</v>
      </c>
      <c r="T92" s="21" t="s">
        <v>1037</v>
      </c>
      <c r="U92" s="21" t="s">
        <v>1038</v>
      </c>
      <c r="V92" s="21" t="s">
        <v>1038</v>
      </c>
      <c r="W92" s="21" t="s">
        <v>319</v>
      </c>
      <c r="X92" s="21" t="s">
        <v>308</v>
      </c>
      <c r="Y92" s="21" t="s">
        <v>1039</v>
      </c>
      <c r="Z92" s="21" t="s">
        <v>127</v>
      </c>
      <c r="AA92" s="21" t="s">
        <v>1040</v>
      </c>
      <c r="AB92" s="21" t="s">
        <v>129</v>
      </c>
      <c r="AC92" s="21" t="s">
        <v>1041</v>
      </c>
      <c r="AD92" s="21" t="s">
        <v>132</v>
      </c>
      <c r="AE92" s="21" t="s">
        <v>133</v>
      </c>
      <c r="AF92" s="21" t="s">
        <v>135</v>
      </c>
      <c r="AG92" s="21" t="s">
        <v>135</v>
      </c>
      <c r="AH92" s="21" t="s">
        <v>135</v>
      </c>
      <c r="AI92" s="21" t="s">
        <v>135</v>
      </c>
      <c r="AJ92" s="21" t="s">
        <v>1042</v>
      </c>
    </row>
    <row r="93" spans="1:36" ht="15.75" customHeight="1" x14ac:dyDescent="0.3">
      <c r="A93" s="21">
        <v>2024</v>
      </c>
      <c r="B93" s="22">
        <v>45388.957915543986</v>
      </c>
      <c r="C93" s="21" t="s">
        <v>183</v>
      </c>
      <c r="D93" s="21" t="s">
        <v>183</v>
      </c>
      <c r="E93" s="21" t="s">
        <v>183</v>
      </c>
      <c r="F93" s="21" t="s">
        <v>183</v>
      </c>
      <c r="G93" s="21" t="s">
        <v>256</v>
      </c>
      <c r="H93" s="21" t="s">
        <v>1043</v>
      </c>
      <c r="I93" s="21" t="s">
        <v>1044</v>
      </c>
      <c r="J93" s="21" t="s">
        <v>718</v>
      </c>
      <c r="K93" s="21" t="e">
        <f t="shared" ca="1" si="0"/>
        <v>#NAME?</v>
      </c>
      <c r="L93" s="24">
        <v>2015</v>
      </c>
      <c r="N93" s="21" t="s">
        <v>111</v>
      </c>
      <c r="O93" s="21" t="s">
        <v>112</v>
      </c>
      <c r="P93" s="26">
        <v>9491340827</v>
      </c>
      <c r="Q93" s="26" t="e">
        <f t="shared" ca="1" si="1"/>
        <v>#NAME?</v>
      </c>
      <c r="R93" s="21" t="s">
        <v>188</v>
      </c>
      <c r="S93" s="21" t="s">
        <v>1045</v>
      </c>
      <c r="T93" s="21" t="s">
        <v>1045</v>
      </c>
      <c r="U93" s="21" t="s">
        <v>1046</v>
      </c>
      <c r="V93" s="21" t="s">
        <v>1046</v>
      </c>
      <c r="W93" s="21" t="s">
        <v>307</v>
      </c>
      <c r="X93" s="21" t="s">
        <v>1047</v>
      </c>
      <c r="Y93" s="21" t="s">
        <v>1048</v>
      </c>
      <c r="Z93" s="21" t="s">
        <v>1049</v>
      </c>
      <c r="AA93" s="21" t="s">
        <v>1050</v>
      </c>
      <c r="AB93" s="21" t="s">
        <v>408</v>
      </c>
      <c r="AC93" s="21" t="s">
        <v>1051</v>
      </c>
      <c r="AD93" s="21" t="s">
        <v>287</v>
      </c>
      <c r="AE93" s="21" t="s">
        <v>133</v>
      </c>
      <c r="AF93" s="21" t="s">
        <v>135</v>
      </c>
      <c r="AG93" s="21" t="s">
        <v>135</v>
      </c>
      <c r="AH93" s="21" t="s">
        <v>135</v>
      </c>
      <c r="AI93" s="21" t="s">
        <v>135</v>
      </c>
    </row>
    <row r="94" spans="1:36" ht="15.75" customHeight="1" x14ac:dyDescent="0.3">
      <c r="A94" s="21">
        <v>2024</v>
      </c>
      <c r="B94" s="22">
        <v>45389.680484583332</v>
      </c>
      <c r="C94" s="21" t="s">
        <v>183</v>
      </c>
      <c r="D94" s="21" t="s">
        <v>183</v>
      </c>
      <c r="E94" s="21" t="s">
        <v>183</v>
      </c>
      <c r="F94" s="21" t="s">
        <v>183</v>
      </c>
      <c r="G94" s="21" t="s">
        <v>256</v>
      </c>
      <c r="H94" s="21" t="s">
        <v>1052</v>
      </c>
      <c r="I94" s="21" t="s">
        <v>1053</v>
      </c>
      <c r="J94" s="21" t="s">
        <v>1054</v>
      </c>
      <c r="K94" s="21" t="e">
        <f t="shared" ca="1" si="0"/>
        <v>#NAME?</v>
      </c>
      <c r="L94" s="24">
        <v>2010</v>
      </c>
      <c r="N94" s="21" t="s">
        <v>402</v>
      </c>
      <c r="O94" s="21" t="s">
        <v>316</v>
      </c>
      <c r="P94" s="26">
        <v>3653557220</v>
      </c>
      <c r="Q94" s="26" t="e">
        <f t="shared" ca="1" si="1"/>
        <v>#NAME?</v>
      </c>
      <c r="R94" s="21" t="s">
        <v>1055</v>
      </c>
      <c r="S94" s="21" t="s">
        <v>1056</v>
      </c>
      <c r="T94" s="21" t="s">
        <v>1056</v>
      </c>
      <c r="U94" s="21" t="s">
        <v>1057</v>
      </c>
      <c r="V94" s="21" t="s">
        <v>1057</v>
      </c>
      <c r="W94" s="21" t="s">
        <v>307</v>
      </c>
      <c r="X94" s="21" t="s">
        <v>308</v>
      </c>
      <c r="Y94" s="21" t="s">
        <v>406</v>
      </c>
      <c r="Z94" s="21" t="s">
        <v>1058</v>
      </c>
      <c r="AA94" s="21" t="s">
        <v>1059</v>
      </c>
      <c r="AB94" s="21" t="s">
        <v>408</v>
      </c>
      <c r="AC94" s="21" t="s">
        <v>1060</v>
      </c>
      <c r="AD94" s="21" t="s">
        <v>287</v>
      </c>
      <c r="AE94" s="21" t="s">
        <v>133</v>
      </c>
      <c r="AF94" s="21" t="s">
        <v>135</v>
      </c>
      <c r="AG94" s="21" t="s">
        <v>135</v>
      </c>
      <c r="AH94" s="21" t="s">
        <v>135</v>
      </c>
      <c r="AI94" s="21" t="s">
        <v>135</v>
      </c>
    </row>
    <row r="95" spans="1:36" ht="15.75" customHeight="1" x14ac:dyDescent="0.3">
      <c r="A95" s="21">
        <v>2024</v>
      </c>
      <c r="B95" s="22">
        <v>45389.927102650458</v>
      </c>
      <c r="C95" s="21" t="s">
        <v>183</v>
      </c>
      <c r="D95" s="21" t="s">
        <v>183</v>
      </c>
      <c r="E95" s="21" t="s">
        <v>183</v>
      </c>
      <c r="F95" s="21" t="s">
        <v>183</v>
      </c>
      <c r="G95" s="21" t="s">
        <v>256</v>
      </c>
      <c r="H95" s="21" t="s">
        <v>1061</v>
      </c>
      <c r="I95" s="21" t="s">
        <v>891</v>
      </c>
      <c r="J95" s="21" t="s">
        <v>1062</v>
      </c>
      <c r="K95" s="21" t="e">
        <f t="shared" ca="1" si="0"/>
        <v>#NAME?</v>
      </c>
      <c r="L95" s="24">
        <v>2012</v>
      </c>
      <c r="N95" s="21" t="s">
        <v>402</v>
      </c>
      <c r="O95" s="21" t="s">
        <v>316</v>
      </c>
      <c r="P95" s="26">
        <v>4702725998</v>
      </c>
      <c r="Q95" s="26" t="e">
        <f t="shared" ca="1" si="1"/>
        <v>#NAME?</v>
      </c>
      <c r="R95" s="21" t="s">
        <v>1063</v>
      </c>
      <c r="S95" s="21" t="s">
        <v>1064</v>
      </c>
      <c r="T95" s="21" t="s">
        <v>1064</v>
      </c>
      <c r="U95" s="21" t="s">
        <v>1065</v>
      </c>
      <c r="V95" s="21" t="s">
        <v>1065</v>
      </c>
      <c r="W95" s="21" t="s">
        <v>1066</v>
      </c>
      <c r="X95" s="21" t="s">
        <v>536</v>
      </c>
      <c r="Y95" s="21" t="s">
        <v>1067</v>
      </c>
      <c r="Z95" s="21" t="s">
        <v>1068</v>
      </c>
      <c r="AA95" s="21" t="s">
        <v>1006</v>
      </c>
      <c r="AB95" s="21" t="s">
        <v>408</v>
      </c>
      <c r="AC95" s="21" t="s">
        <v>1069</v>
      </c>
      <c r="AD95" s="21" t="s">
        <v>287</v>
      </c>
      <c r="AE95" s="21" t="s">
        <v>133</v>
      </c>
      <c r="AF95" s="21" t="s">
        <v>135</v>
      </c>
      <c r="AG95" s="21" t="s">
        <v>135</v>
      </c>
      <c r="AH95" s="21" t="s">
        <v>135</v>
      </c>
      <c r="AI95" s="21" t="s">
        <v>135</v>
      </c>
    </row>
    <row r="96" spans="1:36" ht="15.75" customHeight="1" x14ac:dyDescent="0.3">
      <c r="A96" s="21">
        <v>2024</v>
      </c>
      <c r="B96" s="22">
        <v>45392.41043369213</v>
      </c>
      <c r="C96" s="21" t="s">
        <v>183</v>
      </c>
      <c r="D96" s="21" t="s">
        <v>183</v>
      </c>
      <c r="E96" s="21" t="s">
        <v>183</v>
      </c>
      <c r="F96" s="21" t="s">
        <v>183</v>
      </c>
      <c r="G96" s="21" t="s">
        <v>93</v>
      </c>
      <c r="H96" s="21" t="s">
        <v>1070</v>
      </c>
      <c r="I96" s="21" t="s">
        <v>695</v>
      </c>
      <c r="J96" s="21" t="s">
        <v>1071</v>
      </c>
      <c r="K96" s="21" t="e">
        <f t="shared" ca="1" si="0"/>
        <v>#NAME?</v>
      </c>
      <c r="L96" s="24">
        <v>1980</v>
      </c>
      <c r="N96" s="21" t="s">
        <v>111</v>
      </c>
      <c r="O96" s="21" t="s">
        <v>112</v>
      </c>
      <c r="P96" s="26">
        <v>9885096301</v>
      </c>
      <c r="Q96" s="26" t="e">
        <f t="shared" ca="1" si="1"/>
        <v>#NAME?</v>
      </c>
      <c r="R96" s="21" t="s">
        <v>118</v>
      </c>
      <c r="S96" s="21" t="s">
        <v>1072</v>
      </c>
      <c r="T96" s="21" t="s">
        <v>1072</v>
      </c>
      <c r="U96" s="21" t="s">
        <v>1073</v>
      </c>
      <c r="V96" s="21" t="s">
        <v>1073</v>
      </c>
      <c r="W96" s="21" t="s">
        <v>1074</v>
      </c>
      <c r="X96" s="21" t="s">
        <v>1075</v>
      </c>
      <c r="Y96" s="21" t="s">
        <v>1076</v>
      </c>
      <c r="Z96" s="21" t="s">
        <v>284</v>
      </c>
      <c r="AA96" s="21" t="s">
        <v>1077</v>
      </c>
      <c r="AB96" s="21" t="s">
        <v>408</v>
      </c>
      <c r="AC96" s="21" t="s">
        <v>1078</v>
      </c>
      <c r="AD96" s="21" t="s">
        <v>132</v>
      </c>
      <c r="AE96" s="21" t="s">
        <v>332</v>
      </c>
      <c r="AF96" s="21" t="s">
        <v>135</v>
      </c>
      <c r="AG96" s="21" t="s">
        <v>135</v>
      </c>
      <c r="AH96" s="21" t="s">
        <v>135</v>
      </c>
      <c r="AI96" s="21" t="s">
        <v>135</v>
      </c>
      <c r="AJ96" s="21" t="s">
        <v>1079</v>
      </c>
    </row>
    <row r="97" spans="1:36" ht="15.75" customHeight="1" x14ac:dyDescent="0.3">
      <c r="A97" s="21">
        <v>2024</v>
      </c>
      <c r="B97" s="22">
        <v>45393.074632673612</v>
      </c>
      <c r="C97" s="21" t="s">
        <v>183</v>
      </c>
      <c r="D97" s="21" t="s">
        <v>183</v>
      </c>
      <c r="E97" s="21" t="s">
        <v>183</v>
      </c>
      <c r="F97" s="21" t="s">
        <v>183</v>
      </c>
      <c r="G97" s="21" t="s">
        <v>256</v>
      </c>
      <c r="H97" s="21" t="s">
        <v>1080</v>
      </c>
      <c r="I97" s="21" t="s">
        <v>1081</v>
      </c>
      <c r="J97" s="21" t="s">
        <v>1082</v>
      </c>
      <c r="K97" s="21" t="e">
        <f t="shared" ca="1" si="0"/>
        <v>#NAME?</v>
      </c>
      <c r="L97" s="24">
        <v>2016</v>
      </c>
      <c r="N97" s="21" t="s">
        <v>111</v>
      </c>
      <c r="O97" s="21" t="s">
        <v>112</v>
      </c>
      <c r="P97" s="26">
        <v>9966190739</v>
      </c>
      <c r="Q97" s="26" t="e">
        <f t="shared" ca="1" si="1"/>
        <v>#NAME?</v>
      </c>
      <c r="R97" s="21" t="s">
        <v>118</v>
      </c>
      <c r="S97" s="21" t="s">
        <v>1083</v>
      </c>
      <c r="T97" s="21" t="s">
        <v>1083</v>
      </c>
      <c r="U97" s="21" t="s">
        <v>1084</v>
      </c>
      <c r="V97" s="21" t="s">
        <v>1084</v>
      </c>
      <c r="W97" s="21" t="s">
        <v>219</v>
      </c>
      <c r="X97" s="21" t="s">
        <v>707</v>
      </c>
      <c r="Y97" s="21" t="s">
        <v>707</v>
      </c>
      <c r="Z97" s="21" t="s">
        <v>1085</v>
      </c>
      <c r="AA97" s="21" t="s">
        <v>1086</v>
      </c>
      <c r="AB97" s="21" t="s">
        <v>408</v>
      </c>
      <c r="AC97" s="21" t="s">
        <v>1087</v>
      </c>
      <c r="AD97" s="21" t="s">
        <v>132</v>
      </c>
      <c r="AE97" s="21" t="s">
        <v>332</v>
      </c>
      <c r="AF97" s="21" t="s">
        <v>135</v>
      </c>
      <c r="AG97" s="21" t="s">
        <v>135</v>
      </c>
      <c r="AH97" s="21" t="s">
        <v>135</v>
      </c>
      <c r="AI97" s="21" t="s">
        <v>135</v>
      </c>
    </row>
    <row r="98" spans="1:36" ht="15.75" customHeight="1" x14ac:dyDescent="0.3">
      <c r="A98" s="21">
        <v>2024</v>
      </c>
      <c r="B98" s="22">
        <v>45393.124506134263</v>
      </c>
      <c r="C98" s="21" t="s">
        <v>183</v>
      </c>
      <c r="D98" s="21" t="s">
        <v>183</v>
      </c>
      <c r="E98" s="21" t="s">
        <v>183</v>
      </c>
      <c r="F98" s="21" t="s">
        <v>183</v>
      </c>
      <c r="G98" s="21" t="s">
        <v>93</v>
      </c>
      <c r="H98" s="21" t="s">
        <v>1088</v>
      </c>
      <c r="I98" s="21" t="s">
        <v>1089</v>
      </c>
      <c r="J98" s="21" t="s">
        <v>1090</v>
      </c>
      <c r="K98" s="21" t="e">
        <f t="shared" ca="1" si="0"/>
        <v>#NAME?</v>
      </c>
      <c r="L98" s="24">
        <v>1977</v>
      </c>
      <c r="N98" s="21" t="s">
        <v>111</v>
      </c>
      <c r="O98" s="21" t="s">
        <v>112</v>
      </c>
      <c r="P98" s="26">
        <v>9133779696</v>
      </c>
      <c r="Q98" s="26" t="e">
        <f t="shared" ca="1" si="1"/>
        <v>#NAME?</v>
      </c>
      <c r="R98" s="21" t="s">
        <v>236</v>
      </c>
      <c r="S98" s="21" t="s">
        <v>1091</v>
      </c>
      <c r="T98" s="21" t="s">
        <v>1091</v>
      </c>
      <c r="U98" s="21" t="s">
        <v>1092</v>
      </c>
      <c r="V98" s="21" t="s">
        <v>1092</v>
      </c>
      <c r="W98" s="21" t="s">
        <v>307</v>
      </c>
      <c r="X98" s="21" t="s">
        <v>1093</v>
      </c>
      <c r="Y98" s="21" t="s">
        <v>1094</v>
      </c>
      <c r="Z98" s="21" t="s">
        <v>1095</v>
      </c>
      <c r="AA98" s="21" t="s">
        <v>1096</v>
      </c>
      <c r="AB98" s="21" t="s">
        <v>408</v>
      </c>
      <c r="AC98" s="21" t="s">
        <v>1097</v>
      </c>
      <c r="AD98" s="21" t="s">
        <v>132</v>
      </c>
      <c r="AE98" s="21" t="s">
        <v>133</v>
      </c>
      <c r="AF98" s="21" t="s">
        <v>135</v>
      </c>
      <c r="AG98" s="21" t="s">
        <v>135</v>
      </c>
      <c r="AH98" s="21" t="s">
        <v>135</v>
      </c>
      <c r="AI98" s="21" t="s">
        <v>135</v>
      </c>
      <c r="AJ98" s="21" t="s">
        <v>1098</v>
      </c>
    </row>
    <row r="99" spans="1:36" ht="15.75" customHeight="1" x14ac:dyDescent="0.3">
      <c r="A99" s="21">
        <v>2024</v>
      </c>
      <c r="B99" s="22">
        <v>45393.914424849536</v>
      </c>
      <c r="C99" s="21" t="s">
        <v>183</v>
      </c>
      <c r="D99" s="21" t="s">
        <v>183</v>
      </c>
      <c r="E99" s="21" t="s">
        <v>183</v>
      </c>
      <c r="F99" s="21" t="s">
        <v>183</v>
      </c>
      <c r="G99" s="21" t="s">
        <v>93</v>
      </c>
      <c r="H99" s="21" t="s">
        <v>1099</v>
      </c>
      <c r="I99" s="21" t="s">
        <v>1100</v>
      </c>
      <c r="J99" s="21" t="s">
        <v>862</v>
      </c>
      <c r="K99" s="21" t="e">
        <f t="shared" ca="1" si="0"/>
        <v>#NAME?</v>
      </c>
      <c r="L99" s="24">
        <v>1978</v>
      </c>
      <c r="N99" s="21" t="s">
        <v>111</v>
      </c>
      <c r="O99" s="21" t="s">
        <v>112</v>
      </c>
      <c r="P99" s="26">
        <v>7702648904</v>
      </c>
      <c r="Q99" s="26" t="e">
        <f t="shared" ca="1" si="1"/>
        <v>#NAME?</v>
      </c>
      <c r="R99" s="21" t="s">
        <v>118</v>
      </c>
      <c r="S99" s="21" t="s">
        <v>1101</v>
      </c>
      <c r="T99" s="21" t="s">
        <v>1101</v>
      </c>
      <c r="U99" s="21" t="s">
        <v>1102</v>
      </c>
      <c r="V99" s="21" t="s">
        <v>1102</v>
      </c>
      <c r="W99" s="21" t="s">
        <v>307</v>
      </c>
      <c r="X99" s="21" t="s">
        <v>536</v>
      </c>
      <c r="Y99" s="21" t="s">
        <v>536</v>
      </c>
      <c r="Z99" s="21" t="s">
        <v>284</v>
      </c>
      <c r="AA99" s="21" t="s">
        <v>1103</v>
      </c>
      <c r="AB99" s="21" t="s">
        <v>129</v>
      </c>
      <c r="AC99" s="21" t="s">
        <v>1104</v>
      </c>
      <c r="AD99" s="21" t="s">
        <v>132</v>
      </c>
      <c r="AE99" s="21" t="s">
        <v>133</v>
      </c>
      <c r="AF99" s="21" t="s">
        <v>135</v>
      </c>
      <c r="AG99" s="21" t="s">
        <v>135</v>
      </c>
      <c r="AH99" s="21" t="s">
        <v>135</v>
      </c>
      <c r="AI99" s="21" t="s">
        <v>135</v>
      </c>
    </row>
    <row r="100" spans="1:36" ht="15.75" customHeight="1" x14ac:dyDescent="0.3">
      <c r="A100" s="21">
        <v>2024</v>
      </c>
      <c r="B100" s="22">
        <v>45393.92041283565</v>
      </c>
      <c r="C100" s="21" t="s">
        <v>183</v>
      </c>
      <c r="D100" s="21" t="s">
        <v>183</v>
      </c>
      <c r="E100" s="21" t="s">
        <v>183</v>
      </c>
      <c r="F100" s="21" t="s">
        <v>183</v>
      </c>
      <c r="G100" s="21" t="s">
        <v>256</v>
      </c>
      <c r="H100" s="21" t="s">
        <v>1099</v>
      </c>
      <c r="I100" s="21" t="s">
        <v>1100</v>
      </c>
      <c r="J100" s="138" t="s">
        <v>1105</v>
      </c>
      <c r="K100" s="21" t="e">
        <f t="shared" ca="1" si="0"/>
        <v>#NAME?</v>
      </c>
      <c r="L100" s="24">
        <v>2012</v>
      </c>
      <c r="N100" s="21" t="s">
        <v>111</v>
      </c>
      <c r="O100" s="21" t="s">
        <v>112</v>
      </c>
      <c r="P100" s="26">
        <v>7702648904</v>
      </c>
      <c r="Q100" s="26" t="e">
        <f t="shared" ca="1" si="1"/>
        <v>#NAME?</v>
      </c>
      <c r="R100" s="21" t="s">
        <v>188</v>
      </c>
      <c r="S100" s="21" t="s">
        <v>1101</v>
      </c>
      <c r="T100" s="21" t="s">
        <v>1101</v>
      </c>
      <c r="U100" s="21" t="s">
        <v>1106</v>
      </c>
      <c r="V100" s="21" t="s">
        <v>1106</v>
      </c>
      <c r="W100" s="21" t="s">
        <v>307</v>
      </c>
      <c r="X100" s="21" t="s">
        <v>267</v>
      </c>
      <c r="Y100" s="21" t="s">
        <v>1107</v>
      </c>
      <c r="Z100" s="21" t="s">
        <v>1108</v>
      </c>
      <c r="AA100" s="21" t="s">
        <v>1109</v>
      </c>
      <c r="AB100" s="21" t="s">
        <v>408</v>
      </c>
      <c r="AC100" s="21" t="s">
        <v>1110</v>
      </c>
      <c r="AD100" s="21" t="s">
        <v>132</v>
      </c>
      <c r="AE100" s="21" t="s">
        <v>133</v>
      </c>
      <c r="AF100" s="21" t="s">
        <v>135</v>
      </c>
      <c r="AG100" s="21" t="s">
        <v>135</v>
      </c>
      <c r="AH100" s="21" t="s">
        <v>135</v>
      </c>
      <c r="AI100" s="21" t="s">
        <v>135</v>
      </c>
    </row>
    <row r="101" spans="1:36" ht="15.75" customHeight="1" x14ac:dyDescent="0.3">
      <c r="A101" s="21">
        <v>2024</v>
      </c>
      <c r="B101" s="22">
        <v>45395.010518298615</v>
      </c>
      <c r="C101" s="21" t="s">
        <v>183</v>
      </c>
      <c r="D101" s="21" t="s">
        <v>183</v>
      </c>
      <c r="E101" s="21" t="s">
        <v>183</v>
      </c>
      <c r="F101" s="21" t="s">
        <v>183</v>
      </c>
      <c r="G101" s="21" t="s">
        <v>93</v>
      </c>
      <c r="H101" s="21" t="s">
        <v>1111</v>
      </c>
      <c r="I101" s="21" t="s">
        <v>1113</v>
      </c>
      <c r="J101" s="21" t="s">
        <v>1114</v>
      </c>
      <c r="K101" s="21" t="e">
        <f t="shared" ca="1" si="0"/>
        <v>#NAME?</v>
      </c>
      <c r="L101" s="24">
        <v>1986</v>
      </c>
      <c r="N101" s="21" t="s">
        <v>111</v>
      </c>
      <c r="O101" s="21" t="s">
        <v>112</v>
      </c>
      <c r="P101" s="26">
        <v>9985172514</v>
      </c>
      <c r="Q101" s="26" t="e">
        <f t="shared" ca="1" si="1"/>
        <v>#NAME?</v>
      </c>
      <c r="R101" s="21" t="s">
        <v>188</v>
      </c>
      <c r="S101" s="21" t="s">
        <v>1117</v>
      </c>
      <c r="T101" s="21" t="s">
        <v>1117</v>
      </c>
      <c r="U101" s="21" t="s">
        <v>1118</v>
      </c>
      <c r="V101" s="21" t="s">
        <v>1118</v>
      </c>
      <c r="W101" s="21" t="s">
        <v>123</v>
      </c>
      <c r="X101" s="21" t="s">
        <v>308</v>
      </c>
      <c r="Y101" s="21" t="s">
        <v>308</v>
      </c>
      <c r="Z101" s="21" t="s">
        <v>127</v>
      </c>
      <c r="AA101" s="21" t="s">
        <v>1119</v>
      </c>
      <c r="AB101" s="21" t="s">
        <v>129</v>
      </c>
      <c r="AC101" s="21" t="s">
        <v>1120</v>
      </c>
      <c r="AD101" s="21" t="s">
        <v>287</v>
      </c>
      <c r="AE101" s="21" t="s">
        <v>133</v>
      </c>
      <c r="AF101" s="21" t="s">
        <v>135</v>
      </c>
      <c r="AG101" s="21" t="s">
        <v>135</v>
      </c>
      <c r="AH101" s="21" t="s">
        <v>135</v>
      </c>
      <c r="AI101" s="21" t="s">
        <v>135</v>
      </c>
      <c r="AJ101" s="21" t="s">
        <v>1121</v>
      </c>
    </row>
    <row r="102" spans="1:36" ht="15.75" customHeight="1" x14ac:dyDescent="0.3">
      <c r="A102" s="21">
        <v>2024</v>
      </c>
      <c r="B102" s="22">
        <v>45395.357646481483</v>
      </c>
      <c r="C102" s="21" t="s">
        <v>183</v>
      </c>
      <c r="D102" s="21" t="s">
        <v>183</v>
      </c>
      <c r="E102" s="21" t="s">
        <v>183</v>
      </c>
      <c r="F102" s="21" t="s">
        <v>183</v>
      </c>
      <c r="G102" s="21" t="s">
        <v>93</v>
      </c>
      <c r="H102" s="21" t="s">
        <v>1122</v>
      </c>
      <c r="I102" s="21" t="s">
        <v>1123</v>
      </c>
      <c r="J102" s="21" t="s">
        <v>713</v>
      </c>
      <c r="K102" s="21" t="e">
        <f t="shared" ca="1" si="0"/>
        <v>#NAME?</v>
      </c>
      <c r="L102" s="24">
        <v>1994</v>
      </c>
      <c r="N102" s="21" t="s">
        <v>111</v>
      </c>
      <c r="O102" s="21" t="s">
        <v>112</v>
      </c>
      <c r="P102" s="26">
        <v>9789649477</v>
      </c>
      <c r="Q102" s="26" t="e">
        <f t="shared" ca="1" si="1"/>
        <v>#NAME?</v>
      </c>
      <c r="R102" s="21" t="s">
        <v>783</v>
      </c>
      <c r="S102" s="21" t="s">
        <v>1124</v>
      </c>
      <c r="T102" s="21" t="s">
        <v>1124</v>
      </c>
      <c r="U102" s="21" t="s">
        <v>1125</v>
      </c>
      <c r="V102" s="21" t="s">
        <v>1125</v>
      </c>
      <c r="W102" s="21" t="s">
        <v>1126</v>
      </c>
      <c r="X102" s="21" t="s">
        <v>536</v>
      </c>
      <c r="Y102" s="21" t="s">
        <v>178</v>
      </c>
      <c r="Z102" s="21" t="s">
        <v>284</v>
      </c>
      <c r="AA102" s="21" t="s">
        <v>1127</v>
      </c>
      <c r="AB102" s="21" t="s">
        <v>129</v>
      </c>
      <c r="AC102" s="21" t="s">
        <v>1128</v>
      </c>
      <c r="AD102" s="21" t="s">
        <v>132</v>
      </c>
      <c r="AE102" s="21" t="s">
        <v>332</v>
      </c>
      <c r="AF102" s="21" t="s">
        <v>135</v>
      </c>
      <c r="AG102" s="21" t="s">
        <v>135</v>
      </c>
      <c r="AH102" s="21" t="s">
        <v>135</v>
      </c>
      <c r="AI102" s="21" t="s">
        <v>135</v>
      </c>
    </row>
    <row r="103" spans="1:36" ht="15.75" customHeight="1" x14ac:dyDescent="0.3">
      <c r="A103" s="21">
        <v>2024</v>
      </c>
      <c r="B103" s="22">
        <v>45396.144662268518</v>
      </c>
      <c r="C103" s="21" t="s">
        <v>183</v>
      </c>
      <c r="D103" s="21" t="s">
        <v>183</v>
      </c>
      <c r="E103" s="21" t="s">
        <v>183</v>
      </c>
      <c r="F103" s="21" t="s">
        <v>90</v>
      </c>
      <c r="G103" s="21" t="s">
        <v>93</v>
      </c>
      <c r="H103" s="21" t="s">
        <v>1129</v>
      </c>
      <c r="I103" s="21" t="s">
        <v>1130</v>
      </c>
      <c r="J103" s="21" t="s">
        <v>1131</v>
      </c>
      <c r="K103" s="21" t="e">
        <f t="shared" ca="1" si="0"/>
        <v>#NAME?</v>
      </c>
      <c r="L103" s="24">
        <v>1980</v>
      </c>
      <c r="N103" s="21" t="s">
        <v>111</v>
      </c>
      <c r="O103" s="21" t="s">
        <v>112</v>
      </c>
      <c r="P103" s="26">
        <v>9441515161</v>
      </c>
      <c r="Q103" s="26" t="e">
        <f t="shared" ca="1" si="1"/>
        <v>#NAME?</v>
      </c>
      <c r="R103" s="21" t="s">
        <v>1132</v>
      </c>
      <c r="S103" s="21" t="s">
        <v>1133</v>
      </c>
      <c r="T103" s="21" t="s">
        <v>1133</v>
      </c>
      <c r="U103" s="21" t="s">
        <v>1134</v>
      </c>
      <c r="V103" s="21" t="s">
        <v>1134</v>
      </c>
      <c r="W103" s="21" t="s">
        <v>1135</v>
      </c>
      <c r="X103" s="21" t="s">
        <v>1136</v>
      </c>
      <c r="Y103" s="21" t="s">
        <v>1136</v>
      </c>
      <c r="Z103" s="21" t="s">
        <v>127</v>
      </c>
      <c r="AA103" s="21" t="s">
        <v>1137</v>
      </c>
      <c r="AB103" s="21" t="s">
        <v>129</v>
      </c>
      <c r="AC103" s="21" t="s">
        <v>1138</v>
      </c>
      <c r="AD103" s="21" t="s">
        <v>169</v>
      </c>
      <c r="AE103" s="21" t="s">
        <v>133</v>
      </c>
      <c r="AF103" s="21" t="s">
        <v>135</v>
      </c>
      <c r="AG103" s="21" t="s">
        <v>135</v>
      </c>
      <c r="AH103" s="21" t="s">
        <v>135</v>
      </c>
      <c r="AI103" s="21" t="s">
        <v>135</v>
      </c>
      <c r="AJ103" s="21" t="s">
        <v>1139</v>
      </c>
    </row>
    <row r="104" spans="1:36" ht="15.75" customHeight="1" x14ac:dyDescent="0.3">
      <c r="A104" s="21">
        <v>2024</v>
      </c>
      <c r="B104" s="22">
        <v>45396.453343333334</v>
      </c>
      <c r="C104" s="21" t="s">
        <v>183</v>
      </c>
      <c r="D104" s="21" t="s">
        <v>183</v>
      </c>
      <c r="E104" s="21" t="s">
        <v>183</v>
      </c>
      <c r="F104" s="21" t="s">
        <v>90</v>
      </c>
      <c r="G104" s="21" t="s">
        <v>93</v>
      </c>
      <c r="H104" s="21" t="s">
        <v>1140</v>
      </c>
      <c r="I104" s="21" t="s">
        <v>1141</v>
      </c>
      <c r="J104" s="21" t="s">
        <v>1142</v>
      </c>
      <c r="K104" s="21" t="e">
        <f t="shared" ca="1" si="0"/>
        <v>#NAME?</v>
      </c>
      <c r="L104" s="24">
        <v>1972</v>
      </c>
      <c r="N104" s="21" t="s">
        <v>111</v>
      </c>
      <c r="O104" s="21" t="s">
        <v>112</v>
      </c>
      <c r="P104" s="26">
        <v>9490662549</v>
      </c>
      <c r="Q104" s="26" t="e">
        <f t="shared" ca="1" si="1"/>
        <v>#NAME?</v>
      </c>
      <c r="R104" s="21" t="s">
        <v>1132</v>
      </c>
      <c r="S104" s="21" t="s">
        <v>1143</v>
      </c>
      <c r="T104" s="21" t="s">
        <v>1143</v>
      </c>
      <c r="U104" s="21" t="s">
        <v>1144</v>
      </c>
      <c r="V104" s="21" t="s">
        <v>1144</v>
      </c>
      <c r="W104" s="21" t="s">
        <v>706</v>
      </c>
      <c r="X104" s="21" t="s">
        <v>1145</v>
      </c>
      <c r="Y104" s="21" t="s">
        <v>1146</v>
      </c>
      <c r="Z104" s="21" t="s">
        <v>127</v>
      </c>
      <c r="AA104" s="21" t="s">
        <v>1147</v>
      </c>
      <c r="AB104" s="21" t="s">
        <v>129</v>
      </c>
      <c r="AC104" s="21" t="s">
        <v>1148</v>
      </c>
      <c r="AD104" s="21" t="s">
        <v>169</v>
      </c>
      <c r="AE104" s="21" t="s">
        <v>133</v>
      </c>
      <c r="AF104" s="21" t="s">
        <v>135</v>
      </c>
      <c r="AG104" s="21" t="s">
        <v>135</v>
      </c>
      <c r="AH104" s="21" t="s">
        <v>135</v>
      </c>
      <c r="AI104" s="21" t="s">
        <v>135</v>
      </c>
      <c r="AJ104" s="21" t="s">
        <v>1149</v>
      </c>
    </row>
    <row r="105" spans="1:36" ht="15.75" customHeight="1" x14ac:dyDescent="0.3">
      <c r="A105" s="21">
        <v>2024</v>
      </c>
      <c r="B105" s="22">
        <v>45401.112823055555</v>
      </c>
      <c r="C105" s="21" t="s">
        <v>183</v>
      </c>
      <c r="D105" s="21" t="s">
        <v>183</v>
      </c>
      <c r="E105" s="21" t="s">
        <v>183</v>
      </c>
      <c r="F105" s="21" t="s">
        <v>90</v>
      </c>
      <c r="G105" s="21" t="s">
        <v>93</v>
      </c>
      <c r="H105" s="21" t="s">
        <v>1150</v>
      </c>
      <c r="I105" s="21" t="s">
        <v>1151</v>
      </c>
      <c r="J105" s="21" t="s">
        <v>1152</v>
      </c>
      <c r="K105" s="21" t="e">
        <f t="shared" ca="1" si="0"/>
        <v>#NAME?</v>
      </c>
      <c r="L105" s="24">
        <v>1976</v>
      </c>
      <c r="N105" s="21" t="s">
        <v>111</v>
      </c>
      <c r="O105" s="21" t="s">
        <v>112</v>
      </c>
      <c r="P105" s="26">
        <v>9951085656</v>
      </c>
      <c r="Q105" s="26" t="e">
        <f t="shared" ca="1" si="1"/>
        <v>#NAME?</v>
      </c>
      <c r="R105" s="21" t="s">
        <v>485</v>
      </c>
      <c r="S105" s="21" t="s">
        <v>1153</v>
      </c>
      <c r="T105" s="21" t="s">
        <v>1153</v>
      </c>
      <c r="U105" s="21" t="s">
        <v>1154</v>
      </c>
      <c r="V105" s="21" t="s">
        <v>1154</v>
      </c>
      <c r="W105" s="21" t="s">
        <v>706</v>
      </c>
      <c r="X105" s="21" t="s">
        <v>220</v>
      </c>
      <c r="Y105" s="21" t="s">
        <v>221</v>
      </c>
      <c r="Z105" s="21" t="s">
        <v>296</v>
      </c>
      <c r="AA105" s="21" t="s">
        <v>1155</v>
      </c>
      <c r="AB105" s="21" t="s">
        <v>129</v>
      </c>
      <c r="AC105" s="21" t="s">
        <v>1156</v>
      </c>
      <c r="AD105" s="21" t="s">
        <v>287</v>
      </c>
      <c r="AE105" s="21" t="s">
        <v>133</v>
      </c>
      <c r="AF105" s="21" t="s">
        <v>135</v>
      </c>
      <c r="AG105" s="21" t="s">
        <v>135</v>
      </c>
      <c r="AH105" s="21" t="s">
        <v>135</v>
      </c>
      <c r="AI105" s="21" t="s">
        <v>135</v>
      </c>
    </row>
    <row r="106" spans="1:36" ht="15.75" customHeight="1" x14ac:dyDescent="0.3">
      <c r="A106" s="21">
        <v>2024</v>
      </c>
      <c r="B106" s="22">
        <v>45406.421582708332</v>
      </c>
      <c r="C106" s="21" t="s">
        <v>183</v>
      </c>
      <c r="D106" s="21" t="s">
        <v>183</v>
      </c>
      <c r="E106" s="21" t="s">
        <v>183</v>
      </c>
      <c r="F106" s="21" t="s">
        <v>183</v>
      </c>
      <c r="G106" s="21" t="s">
        <v>93</v>
      </c>
      <c r="H106" s="21" t="s">
        <v>1157</v>
      </c>
      <c r="I106" s="21" t="s">
        <v>1158</v>
      </c>
      <c r="J106" s="21" t="s">
        <v>1159</v>
      </c>
      <c r="K106" s="21" t="e">
        <f t="shared" ca="1" si="0"/>
        <v>#NAME?</v>
      </c>
      <c r="L106" s="24">
        <v>1970</v>
      </c>
      <c r="N106" s="21" t="s">
        <v>111</v>
      </c>
      <c r="O106" s="21" t="s">
        <v>112</v>
      </c>
      <c r="P106" s="26">
        <v>9989094198</v>
      </c>
      <c r="Q106" s="26" t="e">
        <f t="shared" ca="1" si="1"/>
        <v>#NAME?</v>
      </c>
      <c r="R106" s="21" t="s">
        <v>118</v>
      </c>
      <c r="S106" s="21" t="s">
        <v>1160</v>
      </c>
      <c r="T106" s="21" t="s">
        <v>1160</v>
      </c>
      <c r="U106" s="21" t="s">
        <v>1161</v>
      </c>
      <c r="V106" s="21" t="s">
        <v>1161</v>
      </c>
      <c r="W106" s="21" t="s">
        <v>123</v>
      </c>
      <c r="X106" s="21" t="s">
        <v>220</v>
      </c>
      <c r="Y106" s="21" t="s">
        <v>220</v>
      </c>
      <c r="Z106" s="21" t="s">
        <v>127</v>
      </c>
      <c r="AA106" s="21" t="s">
        <v>1162</v>
      </c>
      <c r="AB106" s="21" t="s">
        <v>129</v>
      </c>
      <c r="AC106" s="21" t="s">
        <v>1163</v>
      </c>
      <c r="AD106" s="21" t="s">
        <v>132</v>
      </c>
      <c r="AE106" s="21" t="s">
        <v>133</v>
      </c>
      <c r="AF106" s="21" t="s">
        <v>135</v>
      </c>
      <c r="AG106" s="21" t="s">
        <v>135</v>
      </c>
      <c r="AH106" s="21" t="s">
        <v>135</v>
      </c>
      <c r="AI106" s="21" t="s">
        <v>135</v>
      </c>
      <c r="AJ106" s="21" t="s">
        <v>1164</v>
      </c>
    </row>
    <row r="107" spans="1:36" ht="15.75" customHeight="1" x14ac:dyDescent="0.3">
      <c r="A107" s="21">
        <v>2024</v>
      </c>
      <c r="B107" s="22">
        <v>45423.372657523149</v>
      </c>
      <c r="C107" s="21" t="s">
        <v>183</v>
      </c>
      <c r="D107" s="21" t="s">
        <v>183</v>
      </c>
      <c r="E107" s="21" t="s">
        <v>183</v>
      </c>
      <c r="F107" s="21" t="s">
        <v>90</v>
      </c>
      <c r="G107" s="21" t="s">
        <v>256</v>
      </c>
      <c r="H107" s="21" t="s">
        <v>1165</v>
      </c>
      <c r="I107" s="21" t="s">
        <v>891</v>
      </c>
      <c r="J107" s="21" t="s">
        <v>1166</v>
      </c>
      <c r="K107" s="21" t="e">
        <f t="shared" ca="1" si="0"/>
        <v>#NAME?</v>
      </c>
      <c r="L107" s="24">
        <v>2017</v>
      </c>
      <c r="N107" s="21" t="s">
        <v>111</v>
      </c>
      <c r="O107" s="21" t="s">
        <v>112</v>
      </c>
      <c r="P107" s="26">
        <v>9959870087</v>
      </c>
      <c r="Q107" s="26" t="e">
        <f t="shared" ca="1" si="1"/>
        <v>#NAME?</v>
      </c>
      <c r="R107" s="21" t="s">
        <v>188</v>
      </c>
      <c r="S107" s="21" t="s">
        <v>1167</v>
      </c>
      <c r="T107" s="21" t="s">
        <v>1167</v>
      </c>
      <c r="U107" s="21" t="s">
        <v>1168</v>
      </c>
      <c r="V107" s="21" t="s">
        <v>1168</v>
      </c>
      <c r="W107" s="21" t="s">
        <v>1169</v>
      </c>
      <c r="X107" s="21" t="s">
        <v>267</v>
      </c>
      <c r="Y107" s="21" t="s">
        <v>406</v>
      </c>
      <c r="Z107" s="21" t="s">
        <v>1170</v>
      </c>
      <c r="AA107" s="21" t="s">
        <v>1171</v>
      </c>
      <c r="AB107" s="21" t="s">
        <v>408</v>
      </c>
      <c r="AC107" s="21" t="s">
        <v>1172</v>
      </c>
      <c r="AD107" s="21" t="s">
        <v>287</v>
      </c>
      <c r="AE107" s="21" t="s">
        <v>133</v>
      </c>
      <c r="AF107" s="21" t="s">
        <v>135</v>
      </c>
      <c r="AG107" s="21" t="s">
        <v>135</v>
      </c>
      <c r="AH107" s="21" t="s">
        <v>135</v>
      </c>
      <c r="AI107" s="21" t="s">
        <v>135</v>
      </c>
    </row>
    <row r="108" spans="1:36" ht="15.75" customHeight="1" x14ac:dyDescent="0.3">
      <c r="A108" s="21">
        <v>2024</v>
      </c>
      <c r="B108" s="22">
        <v>45429.644037199076</v>
      </c>
      <c r="C108" s="21" t="s">
        <v>183</v>
      </c>
      <c r="D108" s="21" t="s">
        <v>183</v>
      </c>
      <c r="E108" s="21" t="s">
        <v>183</v>
      </c>
      <c r="F108" s="21" t="s">
        <v>183</v>
      </c>
      <c r="G108" s="21" t="s">
        <v>256</v>
      </c>
      <c r="H108" s="21" t="s">
        <v>1173</v>
      </c>
      <c r="I108" s="21" t="s">
        <v>880</v>
      </c>
      <c r="J108" s="21" t="s">
        <v>1174</v>
      </c>
      <c r="K108" s="21" t="e">
        <f t="shared" ca="1" si="0"/>
        <v>#NAME?</v>
      </c>
      <c r="L108" s="24">
        <v>2016</v>
      </c>
      <c r="N108" s="21" t="s">
        <v>111</v>
      </c>
      <c r="O108" s="21" t="s">
        <v>112</v>
      </c>
      <c r="P108" s="26">
        <v>9440766356</v>
      </c>
      <c r="Q108" s="26" t="e">
        <f t="shared" ca="1" si="1"/>
        <v>#NAME?</v>
      </c>
      <c r="R108" s="21" t="s">
        <v>118</v>
      </c>
      <c r="S108" s="21" t="s">
        <v>1175</v>
      </c>
      <c r="T108" s="21" t="s">
        <v>1175</v>
      </c>
      <c r="U108" s="21" t="s">
        <v>1176</v>
      </c>
      <c r="V108" s="21" t="s">
        <v>1176</v>
      </c>
      <c r="W108" s="21" t="s">
        <v>328</v>
      </c>
      <c r="X108" s="21" t="s">
        <v>179</v>
      </c>
      <c r="Y108" s="21" t="s">
        <v>267</v>
      </c>
      <c r="Z108" s="21" t="s">
        <v>1177</v>
      </c>
      <c r="AA108" s="21" t="s">
        <v>396</v>
      </c>
      <c r="AB108" s="21" t="s">
        <v>563</v>
      </c>
      <c r="AC108" s="21" t="s">
        <v>1178</v>
      </c>
      <c r="AD108" s="21" t="s">
        <v>287</v>
      </c>
      <c r="AE108" s="21" t="s">
        <v>133</v>
      </c>
      <c r="AF108" s="21" t="s">
        <v>135</v>
      </c>
      <c r="AG108" s="21" t="s">
        <v>135</v>
      </c>
      <c r="AH108" s="21" t="s">
        <v>135</v>
      </c>
      <c r="AI108" s="21" t="s">
        <v>135</v>
      </c>
      <c r="AJ108" s="21" t="s">
        <v>1179</v>
      </c>
    </row>
    <row r="109" spans="1:36" ht="15.75" customHeight="1" x14ac:dyDescent="0.3">
      <c r="A109" s="21">
        <v>2024</v>
      </c>
      <c r="B109" s="22">
        <v>45447.062348958338</v>
      </c>
      <c r="C109" s="21" t="s">
        <v>183</v>
      </c>
      <c r="D109" s="21" t="s">
        <v>183</v>
      </c>
      <c r="E109" s="21" t="s">
        <v>183</v>
      </c>
      <c r="F109" s="21" t="s">
        <v>183</v>
      </c>
      <c r="G109" s="21" t="s">
        <v>93</v>
      </c>
      <c r="H109" s="21" t="s">
        <v>1180</v>
      </c>
      <c r="I109" s="21" t="s">
        <v>1181</v>
      </c>
      <c r="J109" s="21" t="s">
        <v>1182</v>
      </c>
      <c r="K109" s="21" t="e">
        <f t="shared" ca="1" si="0"/>
        <v>#NAME?</v>
      </c>
      <c r="L109" s="24">
        <v>1984</v>
      </c>
      <c r="N109" s="21" t="s">
        <v>111</v>
      </c>
      <c r="O109" s="21" t="s">
        <v>112</v>
      </c>
      <c r="P109" s="26">
        <v>9490018864</v>
      </c>
      <c r="Q109" s="26" t="e">
        <f t="shared" ca="1" si="1"/>
        <v>#NAME?</v>
      </c>
      <c r="R109" s="21" t="s">
        <v>188</v>
      </c>
      <c r="S109" s="21" t="s">
        <v>1183</v>
      </c>
      <c r="T109" s="21" t="s">
        <v>1183</v>
      </c>
      <c r="U109" s="21" t="s">
        <v>1184</v>
      </c>
      <c r="V109" s="21" t="s">
        <v>1184</v>
      </c>
      <c r="W109" s="21" t="s">
        <v>1185</v>
      </c>
      <c r="X109" s="21" t="s">
        <v>179</v>
      </c>
      <c r="Y109" s="21" t="s">
        <v>179</v>
      </c>
      <c r="Z109" s="21" t="s">
        <v>284</v>
      </c>
      <c r="AA109" s="21" t="s">
        <v>1186</v>
      </c>
      <c r="AB109" s="21" t="s">
        <v>129</v>
      </c>
      <c r="AC109" s="21" t="s">
        <v>1187</v>
      </c>
      <c r="AD109" s="21" t="s">
        <v>287</v>
      </c>
      <c r="AE109" s="21" t="s">
        <v>133</v>
      </c>
      <c r="AF109" s="21" t="s">
        <v>135</v>
      </c>
      <c r="AG109" s="21" t="s">
        <v>135</v>
      </c>
      <c r="AH109" s="21" t="s">
        <v>135</v>
      </c>
      <c r="AI109" s="21" t="s">
        <v>135</v>
      </c>
      <c r="AJ109" s="21" t="s">
        <v>284</v>
      </c>
    </row>
    <row r="110" spans="1:36" ht="15.75" customHeight="1" x14ac:dyDescent="0.3">
      <c r="A110" s="21">
        <v>2024</v>
      </c>
      <c r="B110" s="22">
        <v>45453.895946712961</v>
      </c>
      <c r="C110" s="21" t="s">
        <v>183</v>
      </c>
      <c r="D110" s="21" t="s">
        <v>183</v>
      </c>
      <c r="E110" s="21" t="s">
        <v>183</v>
      </c>
      <c r="F110" s="21" t="s">
        <v>183</v>
      </c>
      <c r="G110" s="21" t="s">
        <v>93</v>
      </c>
      <c r="H110" s="21" t="s">
        <v>1188</v>
      </c>
      <c r="I110" s="21" t="s">
        <v>1189</v>
      </c>
      <c r="J110" s="21" t="s">
        <v>1190</v>
      </c>
      <c r="K110" s="21" t="e">
        <f t="shared" ca="1" si="0"/>
        <v>#NAME?</v>
      </c>
      <c r="L110" s="24">
        <v>2003</v>
      </c>
      <c r="N110" s="21" t="s">
        <v>402</v>
      </c>
      <c r="O110" s="21" t="s">
        <v>316</v>
      </c>
      <c r="P110" s="26">
        <v>4253756070</v>
      </c>
      <c r="Q110" s="26" t="e">
        <f t="shared" ca="1" si="1"/>
        <v>#NAME?</v>
      </c>
      <c r="R110" s="21" t="s">
        <v>1191</v>
      </c>
      <c r="S110" s="21" t="s">
        <v>1192</v>
      </c>
      <c r="T110" s="21" t="s">
        <v>1192</v>
      </c>
      <c r="U110" s="21" t="s">
        <v>1193</v>
      </c>
      <c r="V110" s="21" t="s">
        <v>1193</v>
      </c>
      <c r="W110" s="21" t="s">
        <v>307</v>
      </c>
      <c r="X110" s="21" t="s">
        <v>308</v>
      </c>
      <c r="Y110" s="21" t="s">
        <v>267</v>
      </c>
      <c r="Z110" s="21" t="s">
        <v>127</v>
      </c>
      <c r="AA110" s="21" t="s">
        <v>1194</v>
      </c>
      <c r="AB110" s="21" t="s">
        <v>129</v>
      </c>
      <c r="AC110" s="21" t="s">
        <v>1195</v>
      </c>
      <c r="AD110" s="21" t="s">
        <v>132</v>
      </c>
      <c r="AE110" s="21" t="s">
        <v>133</v>
      </c>
      <c r="AF110" s="21" t="s">
        <v>135</v>
      </c>
      <c r="AG110" s="21" t="s">
        <v>135</v>
      </c>
      <c r="AH110" s="21" t="s">
        <v>135</v>
      </c>
      <c r="AI110" s="21" t="s">
        <v>135</v>
      </c>
    </row>
    <row r="111" spans="1:36" ht="15.75" customHeight="1" x14ac:dyDescent="0.3">
      <c r="A111" s="21">
        <v>2024</v>
      </c>
      <c r="B111" s="22">
        <v>45467.834560810181</v>
      </c>
      <c r="C111" s="21" t="s">
        <v>183</v>
      </c>
      <c r="D111" s="21" t="s">
        <v>183</v>
      </c>
      <c r="E111" s="21" t="s">
        <v>183</v>
      </c>
      <c r="F111" s="21" t="s">
        <v>183</v>
      </c>
      <c r="G111" s="21" t="s">
        <v>93</v>
      </c>
      <c r="H111" s="21" t="s">
        <v>1198</v>
      </c>
      <c r="I111" s="21" t="s">
        <v>1199</v>
      </c>
      <c r="J111" s="21" t="s">
        <v>1200</v>
      </c>
      <c r="K111" s="21" t="e">
        <f t="shared" ca="1" si="0"/>
        <v>#NAME?</v>
      </c>
      <c r="L111" s="24">
        <v>1964</v>
      </c>
      <c r="N111" s="21" t="s">
        <v>111</v>
      </c>
      <c r="O111" s="21" t="s">
        <v>112</v>
      </c>
      <c r="P111" s="26">
        <v>9441518992</v>
      </c>
      <c r="Q111" s="26" t="e">
        <f t="shared" ca="1" si="1"/>
        <v>#NAME?</v>
      </c>
      <c r="R111" s="21" t="s">
        <v>1201</v>
      </c>
      <c r="S111" s="21" t="s">
        <v>1202</v>
      </c>
      <c r="T111" s="21" t="s">
        <v>1202</v>
      </c>
      <c r="U111" s="21" t="s">
        <v>1203</v>
      </c>
      <c r="V111" s="21" t="s">
        <v>1203</v>
      </c>
      <c r="W111" s="21" t="s">
        <v>1204</v>
      </c>
      <c r="X111" s="21" t="s">
        <v>536</v>
      </c>
      <c r="Y111" s="21" t="s">
        <v>536</v>
      </c>
      <c r="Z111" s="21" t="s">
        <v>127</v>
      </c>
      <c r="AA111" s="21" t="s">
        <v>1205</v>
      </c>
      <c r="AB111" s="21" t="s">
        <v>129</v>
      </c>
      <c r="AC111" s="21" t="s">
        <v>1206</v>
      </c>
      <c r="AD111" s="21" t="s">
        <v>169</v>
      </c>
      <c r="AE111" s="21" t="s">
        <v>133</v>
      </c>
      <c r="AF111" s="21" t="s">
        <v>135</v>
      </c>
      <c r="AG111" s="21" t="s">
        <v>135</v>
      </c>
      <c r="AH111" s="21" t="s">
        <v>135</v>
      </c>
      <c r="AI111" s="21" t="s">
        <v>135</v>
      </c>
    </row>
    <row r="112" spans="1:36" ht="15.75" customHeight="1" x14ac:dyDescent="0.3">
      <c r="A112" s="21">
        <v>2024</v>
      </c>
      <c r="B112" s="22">
        <v>45467.860545046293</v>
      </c>
      <c r="C112" s="21" t="s">
        <v>183</v>
      </c>
      <c r="D112" s="21" t="s">
        <v>183</v>
      </c>
      <c r="E112" s="21" t="s">
        <v>183</v>
      </c>
      <c r="F112" s="21" t="s">
        <v>183</v>
      </c>
      <c r="G112" s="21" t="s">
        <v>256</v>
      </c>
      <c r="H112" s="21" t="s">
        <v>1207</v>
      </c>
      <c r="I112" s="21" t="s">
        <v>1208</v>
      </c>
      <c r="J112" s="21" t="s">
        <v>1209</v>
      </c>
      <c r="K112" s="21" t="e">
        <f t="shared" ca="1" si="0"/>
        <v>#NAME?</v>
      </c>
      <c r="L112" s="24">
        <v>2015</v>
      </c>
      <c r="N112" s="21" t="s">
        <v>111</v>
      </c>
      <c r="O112" s="21" t="s">
        <v>112</v>
      </c>
      <c r="P112" s="26">
        <v>9886087687</v>
      </c>
      <c r="Q112" s="26" t="e">
        <f t="shared" ca="1" si="1"/>
        <v>#NAME?</v>
      </c>
      <c r="R112" s="21" t="s">
        <v>551</v>
      </c>
      <c r="S112" s="21" t="s">
        <v>1210</v>
      </c>
      <c r="T112" s="21" t="s">
        <v>1210</v>
      </c>
      <c r="U112" s="21" t="s">
        <v>1211</v>
      </c>
      <c r="V112" s="21" t="s">
        <v>1211</v>
      </c>
      <c r="W112" s="21" t="s">
        <v>319</v>
      </c>
      <c r="X112" s="21" t="s">
        <v>178</v>
      </c>
      <c r="Y112" s="21" t="s">
        <v>1212</v>
      </c>
      <c r="Z112" s="21" t="s">
        <v>1213</v>
      </c>
      <c r="AA112" s="21" t="s">
        <v>1214</v>
      </c>
      <c r="AB112" s="21" t="s">
        <v>408</v>
      </c>
      <c r="AC112" s="21" t="s">
        <v>1215</v>
      </c>
      <c r="AD112" s="21" t="s">
        <v>132</v>
      </c>
      <c r="AE112" s="21" t="s">
        <v>133</v>
      </c>
      <c r="AF112" s="21" t="s">
        <v>135</v>
      </c>
      <c r="AG112" s="21" t="s">
        <v>135</v>
      </c>
      <c r="AH112" s="21" t="s">
        <v>135</v>
      </c>
      <c r="AI112" s="21" t="s">
        <v>135</v>
      </c>
    </row>
    <row r="113" spans="1:36" ht="15.75" customHeight="1" x14ac:dyDescent="0.3">
      <c r="A113" s="21">
        <v>2024</v>
      </c>
      <c r="B113" s="22">
        <v>45468.387062627313</v>
      </c>
      <c r="C113" s="21" t="s">
        <v>183</v>
      </c>
      <c r="D113" s="21" t="s">
        <v>183</v>
      </c>
      <c r="E113" s="21" t="s">
        <v>183</v>
      </c>
      <c r="F113" s="21" t="s">
        <v>183</v>
      </c>
      <c r="G113" s="21" t="s">
        <v>93</v>
      </c>
      <c r="H113" s="21" t="s">
        <v>1216</v>
      </c>
      <c r="I113" s="21" t="s">
        <v>1217</v>
      </c>
      <c r="J113" s="138" t="s">
        <v>1218</v>
      </c>
      <c r="K113" s="21" t="e">
        <f t="shared" ca="1" si="0"/>
        <v>#NAME?</v>
      </c>
      <c r="L113" s="24">
        <v>1982</v>
      </c>
      <c r="N113" s="21" t="s">
        <v>474</v>
      </c>
      <c r="O113" s="21" t="s">
        <v>316</v>
      </c>
      <c r="P113" s="26">
        <v>3093614587</v>
      </c>
      <c r="Q113" s="26" t="e">
        <f t="shared" ca="1" si="1"/>
        <v>#NAME?</v>
      </c>
      <c r="R113" s="21" t="s">
        <v>1219</v>
      </c>
      <c r="S113" s="21" t="s">
        <v>127</v>
      </c>
      <c r="T113" s="21" t="s">
        <v>127</v>
      </c>
      <c r="U113" s="21" t="s">
        <v>1220</v>
      </c>
      <c r="V113" s="21" t="s">
        <v>1220</v>
      </c>
      <c r="W113" s="21" t="s">
        <v>307</v>
      </c>
      <c r="X113" s="21" t="s">
        <v>211</v>
      </c>
      <c r="Y113" s="21" t="s">
        <v>1221</v>
      </c>
      <c r="Z113" s="21" t="s">
        <v>127</v>
      </c>
      <c r="AA113" s="21" t="s">
        <v>608</v>
      </c>
      <c r="AB113" s="21" t="s">
        <v>129</v>
      </c>
      <c r="AC113" s="21" t="s">
        <v>1222</v>
      </c>
      <c r="AD113" s="21" t="s">
        <v>287</v>
      </c>
      <c r="AE113" s="21" t="s">
        <v>133</v>
      </c>
      <c r="AF113" s="21" t="s">
        <v>135</v>
      </c>
      <c r="AG113" s="21" t="s">
        <v>135</v>
      </c>
      <c r="AH113" s="21" t="s">
        <v>135</v>
      </c>
      <c r="AI113" s="21" t="s">
        <v>135</v>
      </c>
    </row>
    <row r="114" spans="1:36" ht="15.75" customHeight="1" x14ac:dyDescent="0.3">
      <c r="A114" s="21">
        <v>2024</v>
      </c>
      <c r="B114" s="22">
        <v>45468.44112048611</v>
      </c>
      <c r="C114" s="21" t="s">
        <v>183</v>
      </c>
      <c r="D114" s="21" t="s">
        <v>183</v>
      </c>
      <c r="E114" s="21" t="s">
        <v>183</v>
      </c>
      <c r="F114" s="21" t="s">
        <v>183</v>
      </c>
      <c r="G114" s="21" t="s">
        <v>93</v>
      </c>
      <c r="H114" s="21" t="s">
        <v>1223</v>
      </c>
      <c r="I114" s="21" t="s">
        <v>1224</v>
      </c>
      <c r="J114" s="21" t="s">
        <v>1225</v>
      </c>
      <c r="K114" s="21" t="e">
        <f t="shared" ca="1" si="0"/>
        <v>#NAME?</v>
      </c>
      <c r="L114" s="24">
        <v>1990</v>
      </c>
      <c r="N114" s="21" t="s">
        <v>315</v>
      </c>
      <c r="O114" s="21" t="s">
        <v>316</v>
      </c>
      <c r="P114" s="26">
        <v>3154202790</v>
      </c>
      <c r="Q114" s="26" t="e">
        <f t="shared" ca="1" si="1"/>
        <v>#NAME?</v>
      </c>
      <c r="R114" s="21" t="s">
        <v>521</v>
      </c>
      <c r="S114" s="21" t="s">
        <v>1226</v>
      </c>
      <c r="T114" s="21" t="s">
        <v>1226</v>
      </c>
      <c r="U114" s="21" t="s">
        <v>1227</v>
      </c>
      <c r="V114" s="21" t="s">
        <v>1227</v>
      </c>
      <c r="W114" s="21" t="s">
        <v>706</v>
      </c>
      <c r="X114" s="21" t="s">
        <v>179</v>
      </c>
      <c r="Y114" s="21" t="s">
        <v>179</v>
      </c>
      <c r="Z114" s="21" t="s">
        <v>127</v>
      </c>
      <c r="AA114" s="21" t="s">
        <v>905</v>
      </c>
      <c r="AB114" s="21" t="s">
        <v>129</v>
      </c>
      <c r="AC114" s="21" t="s">
        <v>1228</v>
      </c>
      <c r="AD114" s="21" t="s">
        <v>132</v>
      </c>
      <c r="AE114" s="21" t="s">
        <v>133</v>
      </c>
      <c r="AF114" s="21" t="s">
        <v>135</v>
      </c>
      <c r="AG114" s="21" t="s">
        <v>135</v>
      </c>
      <c r="AH114" s="21" t="s">
        <v>135</v>
      </c>
      <c r="AI114" s="21" t="s">
        <v>135</v>
      </c>
    </row>
    <row r="115" spans="1:36" ht="15.75" customHeight="1" x14ac:dyDescent="0.3">
      <c r="A115" s="21">
        <v>2024</v>
      </c>
      <c r="B115" s="22">
        <v>45468.645591643522</v>
      </c>
      <c r="C115" s="21" t="s">
        <v>183</v>
      </c>
      <c r="D115" s="21" t="s">
        <v>183</v>
      </c>
      <c r="E115" s="21" t="s">
        <v>183</v>
      </c>
      <c r="F115" s="21" t="s">
        <v>183</v>
      </c>
      <c r="G115" s="21" t="s">
        <v>93</v>
      </c>
      <c r="H115" s="21" t="s">
        <v>1229</v>
      </c>
      <c r="I115" s="21" t="s">
        <v>1230</v>
      </c>
      <c r="J115" s="21" t="s">
        <v>1231</v>
      </c>
      <c r="K115" s="21" t="e">
        <f t="shared" ca="1" si="0"/>
        <v>#NAME?</v>
      </c>
      <c r="L115" s="24">
        <v>1978</v>
      </c>
      <c r="N115" s="21" t="s">
        <v>402</v>
      </c>
      <c r="O115" s="21" t="s">
        <v>316</v>
      </c>
      <c r="P115" s="26">
        <v>6504458553</v>
      </c>
      <c r="Q115" s="26" t="e">
        <f t="shared" ca="1" si="1"/>
        <v>#NAME?</v>
      </c>
      <c r="R115" s="21" t="s">
        <v>1232</v>
      </c>
      <c r="S115" s="21" t="s">
        <v>1233</v>
      </c>
      <c r="T115" s="21" t="s">
        <v>1233</v>
      </c>
      <c r="U115" s="21" t="s">
        <v>1234</v>
      </c>
      <c r="V115" s="21" t="s">
        <v>1234</v>
      </c>
      <c r="W115" s="21" t="s">
        <v>307</v>
      </c>
      <c r="X115" s="21" t="s">
        <v>1235</v>
      </c>
      <c r="Y115" s="21" t="s">
        <v>1235</v>
      </c>
      <c r="Z115" s="21" t="s">
        <v>127</v>
      </c>
      <c r="AA115" s="21" t="s">
        <v>1236</v>
      </c>
      <c r="AB115" s="21" t="s">
        <v>129</v>
      </c>
      <c r="AC115" s="21" t="s">
        <v>1237</v>
      </c>
      <c r="AD115" s="21" t="s">
        <v>132</v>
      </c>
      <c r="AE115" s="21" t="s">
        <v>133</v>
      </c>
      <c r="AF115" s="21" t="s">
        <v>135</v>
      </c>
      <c r="AG115" s="21" t="s">
        <v>135</v>
      </c>
      <c r="AH115" s="21" t="s">
        <v>135</v>
      </c>
      <c r="AI115" s="21" t="s">
        <v>135</v>
      </c>
    </row>
    <row r="116" spans="1:36" ht="15.75" customHeight="1" x14ac:dyDescent="0.3">
      <c r="A116" s="21">
        <v>2024</v>
      </c>
      <c r="B116" s="22">
        <v>45469.870402418979</v>
      </c>
      <c r="C116" s="21" t="s">
        <v>183</v>
      </c>
      <c r="D116" s="21" t="s">
        <v>183</v>
      </c>
      <c r="E116" s="21" t="s">
        <v>183</v>
      </c>
      <c r="F116" s="21" t="s">
        <v>183</v>
      </c>
      <c r="G116" s="21" t="s">
        <v>93</v>
      </c>
      <c r="H116" s="21" t="s">
        <v>1238</v>
      </c>
      <c r="I116" s="21" t="s">
        <v>1239</v>
      </c>
      <c r="J116" s="21" t="s">
        <v>1240</v>
      </c>
      <c r="K116" s="21" t="e">
        <f t="shared" ca="1" si="0"/>
        <v>#NAME?</v>
      </c>
      <c r="L116" s="24">
        <v>1981</v>
      </c>
      <c r="N116" s="21" t="s">
        <v>111</v>
      </c>
      <c r="O116" s="21" t="s">
        <v>112</v>
      </c>
      <c r="P116" s="26">
        <v>9666236247</v>
      </c>
      <c r="Q116" s="26" t="e">
        <f t="shared" ca="1" si="1"/>
        <v>#NAME?</v>
      </c>
      <c r="R116" s="21" t="s">
        <v>118</v>
      </c>
      <c r="S116" s="21" t="s">
        <v>1241</v>
      </c>
      <c r="T116" s="21" t="s">
        <v>1241</v>
      </c>
      <c r="U116" s="21" t="s">
        <v>1242</v>
      </c>
      <c r="V116" s="21" t="s">
        <v>1242</v>
      </c>
      <c r="W116" s="21" t="s">
        <v>498</v>
      </c>
      <c r="X116" s="21" t="s">
        <v>536</v>
      </c>
      <c r="Y116" s="21" t="s">
        <v>536</v>
      </c>
      <c r="Z116" s="21" t="s">
        <v>127</v>
      </c>
      <c r="AA116" s="21" t="s">
        <v>1243</v>
      </c>
      <c r="AB116" s="21" t="s">
        <v>129</v>
      </c>
      <c r="AC116" s="21" t="s">
        <v>1244</v>
      </c>
      <c r="AD116" s="21" t="s">
        <v>169</v>
      </c>
      <c r="AE116" s="21" t="s">
        <v>133</v>
      </c>
      <c r="AF116" s="21" t="s">
        <v>135</v>
      </c>
      <c r="AG116" s="21" t="s">
        <v>135</v>
      </c>
      <c r="AH116" s="21" t="s">
        <v>135</v>
      </c>
      <c r="AI116" s="21" t="s">
        <v>135</v>
      </c>
    </row>
    <row r="117" spans="1:36" ht="15.75" customHeight="1" x14ac:dyDescent="0.3">
      <c r="A117" s="21">
        <v>2024</v>
      </c>
      <c r="B117" s="22">
        <v>45470.482466226851</v>
      </c>
      <c r="C117" s="21" t="s">
        <v>183</v>
      </c>
      <c r="D117" s="21" t="s">
        <v>183</v>
      </c>
      <c r="E117" s="21" t="s">
        <v>183</v>
      </c>
      <c r="F117" s="21" t="s">
        <v>183</v>
      </c>
      <c r="G117" s="21" t="s">
        <v>93</v>
      </c>
      <c r="H117" s="21" t="s">
        <v>1245</v>
      </c>
      <c r="I117" s="21" t="s">
        <v>1246</v>
      </c>
      <c r="J117" s="21" t="s">
        <v>1247</v>
      </c>
      <c r="K117" s="21" t="e">
        <f t="shared" ca="1" si="0"/>
        <v>#NAME?</v>
      </c>
      <c r="L117" s="24">
        <v>1968</v>
      </c>
      <c r="N117" s="21" t="s">
        <v>474</v>
      </c>
      <c r="O117" s="21" t="s">
        <v>316</v>
      </c>
      <c r="P117" s="26">
        <v>7194809042</v>
      </c>
      <c r="Q117" s="26" t="e">
        <f t="shared" ca="1" si="1"/>
        <v>#NAME?</v>
      </c>
      <c r="R117" s="21" t="s">
        <v>1248</v>
      </c>
      <c r="S117" s="21" t="s">
        <v>1249</v>
      </c>
      <c r="T117" s="21" t="s">
        <v>1249</v>
      </c>
      <c r="U117" s="21" t="s">
        <v>1250</v>
      </c>
      <c r="V117" s="21" t="s">
        <v>1250</v>
      </c>
      <c r="W117" s="21" t="s">
        <v>328</v>
      </c>
      <c r="X117" s="21" t="s">
        <v>308</v>
      </c>
      <c r="Y117" s="21" t="s">
        <v>308</v>
      </c>
      <c r="Z117" s="21" t="s">
        <v>1251</v>
      </c>
      <c r="AA117" s="21" t="s">
        <v>1252</v>
      </c>
      <c r="AB117" s="21" t="s">
        <v>129</v>
      </c>
      <c r="AC117" s="21" t="s">
        <v>1253</v>
      </c>
      <c r="AD117" s="21" t="s">
        <v>132</v>
      </c>
      <c r="AE117" s="21" t="s">
        <v>133</v>
      </c>
      <c r="AF117" s="21" t="s">
        <v>135</v>
      </c>
      <c r="AG117" s="21" t="s">
        <v>135</v>
      </c>
      <c r="AH117" s="21" t="s">
        <v>135</v>
      </c>
      <c r="AI117" s="21" t="s">
        <v>135</v>
      </c>
      <c r="AJ117" s="21" t="s">
        <v>1254</v>
      </c>
    </row>
    <row r="118" spans="1:36" ht="15.75" customHeight="1" x14ac:dyDescent="0.3">
      <c r="A118" s="21">
        <v>2024</v>
      </c>
      <c r="B118" s="22">
        <v>45472.805295671293</v>
      </c>
      <c r="C118" s="21" t="s">
        <v>183</v>
      </c>
      <c r="D118" s="21" t="s">
        <v>183</v>
      </c>
      <c r="E118" s="21" t="s">
        <v>183</v>
      </c>
      <c r="F118" s="21" t="s">
        <v>90</v>
      </c>
      <c r="G118" s="21" t="s">
        <v>93</v>
      </c>
      <c r="H118" s="21" t="s">
        <v>1255</v>
      </c>
      <c r="I118" s="21" t="s">
        <v>1256</v>
      </c>
      <c r="J118" s="21" t="s">
        <v>1257</v>
      </c>
      <c r="K118" s="21" t="e">
        <f t="shared" ca="1" si="0"/>
        <v>#NAME?</v>
      </c>
      <c r="L118" s="24">
        <v>1979</v>
      </c>
      <c r="N118" s="21" t="s">
        <v>474</v>
      </c>
      <c r="O118" s="21" t="s">
        <v>316</v>
      </c>
      <c r="P118" s="26">
        <v>5109699959</v>
      </c>
      <c r="Q118" s="26" t="e">
        <f t="shared" ca="1" si="1"/>
        <v>#NAME?</v>
      </c>
      <c r="R118" s="21" t="s">
        <v>1258</v>
      </c>
      <c r="S118" s="21" t="s">
        <v>1259</v>
      </c>
      <c r="T118" s="21" t="s">
        <v>1259</v>
      </c>
      <c r="U118" s="21" t="s">
        <v>1260</v>
      </c>
      <c r="V118" s="21" t="s">
        <v>1260</v>
      </c>
      <c r="W118" s="21" t="s">
        <v>219</v>
      </c>
      <c r="X118" s="21" t="s">
        <v>308</v>
      </c>
      <c r="Y118" s="21" t="s">
        <v>1261</v>
      </c>
      <c r="Z118" s="21" t="s">
        <v>127</v>
      </c>
      <c r="AA118" s="21" t="s">
        <v>818</v>
      </c>
      <c r="AB118" s="21" t="s">
        <v>129</v>
      </c>
      <c r="AC118" s="21" t="s">
        <v>1262</v>
      </c>
      <c r="AD118" s="21" t="s">
        <v>132</v>
      </c>
      <c r="AE118" s="21" t="s">
        <v>133</v>
      </c>
      <c r="AF118" s="21" t="s">
        <v>135</v>
      </c>
      <c r="AG118" s="21" t="s">
        <v>135</v>
      </c>
      <c r="AH118" s="21" t="s">
        <v>135</v>
      </c>
      <c r="AI118" s="21" t="s">
        <v>135</v>
      </c>
    </row>
    <row r="119" spans="1:36" ht="15.75" customHeight="1" x14ac:dyDescent="0.3">
      <c r="A119" s="21">
        <v>2024</v>
      </c>
      <c r="B119" s="22">
        <v>45476.483105196763</v>
      </c>
      <c r="C119" s="21" t="s">
        <v>183</v>
      </c>
      <c r="D119" s="21" t="s">
        <v>183</v>
      </c>
      <c r="E119" s="21" t="s">
        <v>183</v>
      </c>
      <c r="F119" s="21" t="s">
        <v>183</v>
      </c>
      <c r="G119" s="21" t="s">
        <v>93</v>
      </c>
      <c r="H119" s="21" t="s">
        <v>1263</v>
      </c>
      <c r="I119" s="21" t="s">
        <v>1264</v>
      </c>
      <c r="J119" s="21" t="s">
        <v>1265</v>
      </c>
      <c r="K119" s="21" t="e">
        <f t="shared" ca="1" si="0"/>
        <v>#NAME?</v>
      </c>
      <c r="L119" s="24">
        <v>1982</v>
      </c>
      <c r="N119" s="21" t="s">
        <v>474</v>
      </c>
      <c r="O119" s="21" t="s">
        <v>316</v>
      </c>
      <c r="P119" s="26">
        <v>9802539445</v>
      </c>
      <c r="Q119" s="26" t="e">
        <f t="shared" ca="1" si="1"/>
        <v>#NAME?</v>
      </c>
      <c r="R119" s="21" t="s">
        <v>1266</v>
      </c>
      <c r="S119" s="21" t="s">
        <v>1226</v>
      </c>
      <c r="T119" s="21" t="s">
        <v>1226</v>
      </c>
      <c r="U119" s="21" t="s">
        <v>1267</v>
      </c>
      <c r="V119" s="21" t="s">
        <v>1267</v>
      </c>
      <c r="W119" s="21" t="s">
        <v>1268</v>
      </c>
      <c r="X119" s="21" t="s">
        <v>478</v>
      </c>
      <c r="Y119" s="21" t="s">
        <v>478</v>
      </c>
      <c r="Z119" s="21" t="s">
        <v>127</v>
      </c>
      <c r="AA119" s="21" t="s">
        <v>818</v>
      </c>
      <c r="AB119" s="21" t="s">
        <v>129</v>
      </c>
      <c r="AC119" s="21" t="s">
        <v>1269</v>
      </c>
      <c r="AD119" s="21" t="s">
        <v>169</v>
      </c>
      <c r="AE119" s="21" t="s">
        <v>332</v>
      </c>
      <c r="AF119" s="21" t="s">
        <v>135</v>
      </c>
      <c r="AG119" s="21" t="s">
        <v>135</v>
      </c>
      <c r="AH119" s="21" t="s">
        <v>135</v>
      </c>
      <c r="AI119" s="21" t="s">
        <v>135</v>
      </c>
    </row>
    <row r="120" spans="1:36" ht="15.75" customHeight="1" x14ac:dyDescent="0.3">
      <c r="A120" s="21">
        <v>2024</v>
      </c>
      <c r="B120" s="22">
        <v>45487.323742199078</v>
      </c>
      <c r="C120" s="21" t="s">
        <v>183</v>
      </c>
      <c r="D120" s="21" t="s">
        <v>183</v>
      </c>
      <c r="E120" s="21" t="s">
        <v>183</v>
      </c>
      <c r="F120" s="21" t="s">
        <v>183</v>
      </c>
      <c r="G120" s="21" t="s">
        <v>93</v>
      </c>
      <c r="H120" s="21" t="s">
        <v>1272</v>
      </c>
      <c r="I120" s="21" t="s">
        <v>1273</v>
      </c>
      <c r="J120" s="138" t="s">
        <v>1274</v>
      </c>
      <c r="K120" s="21" t="e">
        <f t="shared" ca="1" si="0"/>
        <v>#NAME?</v>
      </c>
      <c r="L120" s="24">
        <v>1977</v>
      </c>
      <c r="N120" s="21" t="s">
        <v>111</v>
      </c>
      <c r="O120" s="21" t="s">
        <v>112</v>
      </c>
      <c r="P120" s="26">
        <v>9963898885</v>
      </c>
      <c r="Q120" s="26" t="e">
        <f t="shared" ca="1" si="1"/>
        <v>#NAME?</v>
      </c>
      <c r="R120" s="21" t="s">
        <v>485</v>
      </c>
      <c r="S120" s="21" t="s">
        <v>1275</v>
      </c>
      <c r="T120" s="21" t="s">
        <v>1275</v>
      </c>
      <c r="U120" s="21" t="s">
        <v>1276</v>
      </c>
      <c r="V120" s="21" t="s">
        <v>1276</v>
      </c>
      <c r="W120" s="21" t="s">
        <v>1277</v>
      </c>
      <c r="X120" s="21" t="s">
        <v>1278</v>
      </c>
      <c r="Y120" s="21" t="s">
        <v>1279</v>
      </c>
      <c r="Z120" s="21" t="s">
        <v>1280</v>
      </c>
      <c r="AA120" s="21" t="s">
        <v>1281</v>
      </c>
      <c r="AB120" s="21" t="s">
        <v>408</v>
      </c>
      <c r="AC120" s="21" t="s">
        <v>1283</v>
      </c>
      <c r="AD120" s="21" t="s">
        <v>132</v>
      </c>
      <c r="AE120" s="21" t="s">
        <v>133</v>
      </c>
      <c r="AF120" s="21" t="s">
        <v>135</v>
      </c>
      <c r="AG120" s="21" t="s">
        <v>135</v>
      </c>
      <c r="AH120" s="21" t="s">
        <v>135</v>
      </c>
      <c r="AI120" s="21" t="s">
        <v>135</v>
      </c>
      <c r="AJ120" s="21" t="s">
        <v>1285</v>
      </c>
    </row>
    <row r="121" spans="1:36" ht="15.75" customHeight="1" x14ac:dyDescent="0.3">
      <c r="A121" s="21">
        <v>2024</v>
      </c>
      <c r="B121" s="22">
        <v>45495.607477349535</v>
      </c>
      <c r="C121" s="21" t="s">
        <v>183</v>
      </c>
      <c r="D121" s="21" t="s">
        <v>183</v>
      </c>
      <c r="E121" s="21" t="s">
        <v>183</v>
      </c>
      <c r="F121" s="21" t="s">
        <v>183</v>
      </c>
      <c r="G121" s="21" t="s">
        <v>93</v>
      </c>
      <c r="H121" s="21" t="s">
        <v>1286</v>
      </c>
      <c r="I121" s="21" t="s">
        <v>1287</v>
      </c>
      <c r="J121" s="21" t="s">
        <v>1288</v>
      </c>
      <c r="K121" s="21" t="e">
        <f t="shared" ca="1" si="0"/>
        <v>#NAME?</v>
      </c>
      <c r="L121" s="24">
        <v>1975</v>
      </c>
      <c r="N121" s="21" t="s">
        <v>315</v>
      </c>
      <c r="O121" s="21" t="s">
        <v>316</v>
      </c>
      <c r="P121" s="26">
        <v>6308491111</v>
      </c>
      <c r="Q121" s="26" t="e">
        <f t="shared" ca="1" si="1"/>
        <v>#NAME?</v>
      </c>
      <c r="R121" s="21" t="s">
        <v>1289</v>
      </c>
      <c r="S121" s="21" t="s">
        <v>1290</v>
      </c>
      <c r="T121" s="21" t="s">
        <v>1290</v>
      </c>
      <c r="U121" s="21" t="s">
        <v>1291</v>
      </c>
      <c r="V121" s="21" t="s">
        <v>1291</v>
      </c>
      <c r="W121" s="21" t="s">
        <v>1126</v>
      </c>
      <c r="X121" s="21" t="s">
        <v>1292</v>
      </c>
      <c r="Y121" s="21" t="s">
        <v>1292</v>
      </c>
      <c r="Z121" s="21" t="s">
        <v>127</v>
      </c>
      <c r="AA121" s="21" t="s">
        <v>1293</v>
      </c>
      <c r="AB121" s="21" t="s">
        <v>129</v>
      </c>
      <c r="AC121" s="21" t="s">
        <v>1294</v>
      </c>
      <c r="AD121" s="21" t="s">
        <v>169</v>
      </c>
      <c r="AE121" s="21" t="s">
        <v>332</v>
      </c>
      <c r="AF121" s="21" t="s">
        <v>135</v>
      </c>
      <c r="AG121" s="21" t="s">
        <v>135</v>
      </c>
      <c r="AH121" s="21" t="s">
        <v>135</v>
      </c>
      <c r="AI121" s="21" t="s">
        <v>135</v>
      </c>
    </row>
    <row r="122" spans="1:36" ht="15.75" customHeight="1" x14ac:dyDescent="0.3">
      <c r="A122" s="21">
        <v>2024</v>
      </c>
      <c r="B122" s="22">
        <v>45530.426455034722</v>
      </c>
      <c r="C122" s="21" t="s">
        <v>183</v>
      </c>
      <c r="D122" s="21" t="s">
        <v>183</v>
      </c>
      <c r="E122" s="21" t="s">
        <v>183</v>
      </c>
      <c r="F122" s="21" t="s">
        <v>183</v>
      </c>
      <c r="G122" s="21" t="s">
        <v>93</v>
      </c>
      <c r="H122" s="21" t="s">
        <v>1295</v>
      </c>
      <c r="I122" s="21" t="s">
        <v>781</v>
      </c>
      <c r="J122" s="21" t="s">
        <v>1296</v>
      </c>
      <c r="K122" s="21" t="e">
        <f t="shared" ca="1" si="0"/>
        <v>#NAME?</v>
      </c>
      <c r="L122" s="24">
        <v>1990</v>
      </c>
      <c r="N122" s="21" t="s">
        <v>315</v>
      </c>
      <c r="O122" s="21" t="s">
        <v>316</v>
      </c>
      <c r="P122" s="26">
        <v>3468046591</v>
      </c>
      <c r="Q122" s="26" t="e">
        <f t="shared" ca="1" si="1"/>
        <v>#NAME?</v>
      </c>
      <c r="R122" s="21" t="s">
        <v>1297</v>
      </c>
      <c r="S122" s="21" t="s">
        <v>1298</v>
      </c>
      <c r="T122" s="21" t="s">
        <v>1298</v>
      </c>
      <c r="U122" s="21" t="s">
        <v>1299</v>
      </c>
      <c r="V122" s="21" t="s">
        <v>1299</v>
      </c>
      <c r="W122" s="21" t="s">
        <v>307</v>
      </c>
      <c r="X122" s="21" t="s">
        <v>211</v>
      </c>
      <c r="Y122" s="21" t="s">
        <v>506</v>
      </c>
      <c r="Z122" s="21" t="s">
        <v>127</v>
      </c>
      <c r="AA122" s="21" t="s">
        <v>1300</v>
      </c>
      <c r="AB122" s="21" t="s">
        <v>129</v>
      </c>
      <c r="AC122" s="21" t="s">
        <v>1301</v>
      </c>
      <c r="AD122" s="21" t="s">
        <v>287</v>
      </c>
      <c r="AE122" s="21" t="s">
        <v>133</v>
      </c>
      <c r="AF122" s="21" t="s">
        <v>135</v>
      </c>
      <c r="AG122" s="21" t="s">
        <v>135</v>
      </c>
      <c r="AH122" s="21" t="s">
        <v>135</v>
      </c>
      <c r="AI122" s="21" t="s">
        <v>135</v>
      </c>
    </row>
    <row r="123" spans="1:36" ht="15.75" customHeight="1" x14ac:dyDescent="0.3">
      <c r="A123" s="21">
        <v>2024</v>
      </c>
      <c r="B123" s="22">
        <v>45530.885163067127</v>
      </c>
      <c r="C123" s="21" t="s">
        <v>183</v>
      </c>
      <c r="D123" s="21" t="s">
        <v>183</v>
      </c>
      <c r="E123" s="21" t="s">
        <v>183</v>
      </c>
      <c r="F123" s="21" t="s">
        <v>183</v>
      </c>
      <c r="G123" s="21" t="s">
        <v>93</v>
      </c>
      <c r="H123" s="21" t="s">
        <v>1302</v>
      </c>
      <c r="I123" s="21" t="s">
        <v>1303</v>
      </c>
      <c r="J123" s="21" t="s">
        <v>1304</v>
      </c>
      <c r="K123" s="21" t="e">
        <f t="shared" ca="1" si="0"/>
        <v>#NAME?</v>
      </c>
      <c r="L123" s="24">
        <v>1987</v>
      </c>
      <c r="N123" s="21" t="s">
        <v>315</v>
      </c>
      <c r="O123" s="21" t="s">
        <v>316</v>
      </c>
      <c r="P123" s="26">
        <v>7178772989</v>
      </c>
      <c r="Q123" s="26" t="e">
        <f t="shared" ca="1" si="1"/>
        <v>#NAME?</v>
      </c>
      <c r="R123" s="21" t="s">
        <v>1305</v>
      </c>
      <c r="S123" s="21" t="s">
        <v>1306</v>
      </c>
      <c r="T123" s="21" t="s">
        <v>1306</v>
      </c>
      <c r="U123" s="21" t="s">
        <v>1307</v>
      </c>
      <c r="V123" s="21" t="s">
        <v>1307</v>
      </c>
      <c r="W123" s="21" t="s">
        <v>319</v>
      </c>
      <c r="X123" s="21" t="s">
        <v>1308</v>
      </c>
      <c r="Y123" s="21" t="s">
        <v>1309</v>
      </c>
      <c r="Z123" s="21" t="s">
        <v>296</v>
      </c>
      <c r="AA123" s="21" t="s">
        <v>1310</v>
      </c>
      <c r="AB123" s="21" t="s">
        <v>129</v>
      </c>
      <c r="AC123" s="21" t="s">
        <v>1311</v>
      </c>
      <c r="AD123" s="21" t="s">
        <v>132</v>
      </c>
      <c r="AE123" s="21" t="s">
        <v>332</v>
      </c>
      <c r="AF123" s="21" t="s">
        <v>135</v>
      </c>
      <c r="AG123" s="21" t="s">
        <v>135</v>
      </c>
      <c r="AH123" s="21" t="s">
        <v>135</v>
      </c>
      <c r="AI123" s="21" t="s">
        <v>135</v>
      </c>
    </row>
    <row r="124" spans="1:36" ht="15.75" customHeight="1" x14ac:dyDescent="0.3">
      <c r="A124" s="21">
        <v>2024</v>
      </c>
      <c r="B124" s="22">
        <v>45539.899047245373</v>
      </c>
      <c r="C124" s="21" t="s">
        <v>183</v>
      </c>
      <c r="D124" s="21" t="s">
        <v>183</v>
      </c>
      <c r="E124" s="21" t="s">
        <v>183</v>
      </c>
      <c r="F124" s="21" t="s">
        <v>183</v>
      </c>
      <c r="G124" s="21" t="s">
        <v>93</v>
      </c>
      <c r="H124" s="21" t="s">
        <v>1312</v>
      </c>
      <c r="I124" s="21" t="s">
        <v>1313</v>
      </c>
      <c r="J124" s="21" t="s">
        <v>1314</v>
      </c>
      <c r="K124" s="21" t="e">
        <f t="shared" ca="1" si="0"/>
        <v>#NAME?</v>
      </c>
      <c r="L124" s="24">
        <v>1956</v>
      </c>
      <c r="N124" s="21" t="s">
        <v>111</v>
      </c>
      <c r="O124" s="21" t="s">
        <v>112</v>
      </c>
      <c r="P124" s="26">
        <v>9963506254</v>
      </c>
      <c r="Q124" s="26" t="e">
        <f t="shared" ca="1" si="1"/>
        <v>#NAME?</v>
      </c>
      <c r="R124" s="21" t="s">
        <v>1315</v>
      </c>
      <c r="S124" s="21" t="s">
        <v>1316</v>
      </c>
      <c r="T124" s="21" t="s">
        <v>1316</v>
      </c>
      <c r="U124" s="21" t="s">
        <v>1317</v>
      </c>
      <c r="V124" s="21" t="s">
        <v>1317</v>
      </c>
      <c r="W124" s="21" t="s">
        <v>1318</v>
      </c>
      <c r="X124" s="21" t="s">
        <v>734</v>
      </c>
      <c r="Y124" s="21" t="s">
        <v>308</v>
      </c>
      <c r="Z124" s="21" t="s">
        <v>127</v>
      </c>
      <c r="AA124" s="21" t="s">
        <v>1319</v>
      </c>
      <c r="AB124" s="21" t="s">
        <v>129</v>
      </c>
      <c r="AC124" s="21" t="s">
        <v>1320</v>
      </c>
      <c r="AD124" s="21" t="s">
        <v>132</v>
      </c>
      <c r="AE124" s="21" t="s">
        <v>133</v>
      </c>
      <c r="AF124" s="21" t="s">
        <v>135</v>
      </c>
      <c r="AG124" s="21" t="s">
        <v>135</v>
      </c>
      <c r="AH124" s="21" t="s">
        <v>135</v>
      </c>
      <c r="AI124" s="21" t="s">
        <v>135</v>
      </c>
    </row>
    <row r="125" spans="1:36" ht="15.75" customHeight="1" x14ac:dyDescent="0.3">
      <c r="A125" s="21">
        <v>2024</v>
      </c>
      <c r="B125" s="22">
        <v>45553.556631226849</v>
      </c>
      <c r="C125" s="21" t="s">
        <v>183</v>
      </c>
      <c r="D125" s="21" t="s">
        <v>183</v>
      </c>
      <c r="E125" s="21" t="s">
        <v>183</v>
      </c>
      <c r="F125" s="21" t="s">
        <v>183</v>
      </c>
      <c r="G125" s="21" t="s">
        <v>93</v>
      </c>
      <c r="H125" s="21" t="s">
        <v>1321</v>
      </c>
      <c r="I125" s="21" t="s">
        <v>1322</v>
      </c>
      <c r="J125" s="21" t="s">
        <v>1323</v>
      </c>
      <c r="K125" s="21" t="e">
        <f t="shared" ca="1" si="0"/>
        <v>#NAME?</v>
      </c>
      <c r="L125" s="24">
        <v>1993</v>
      </c>
      <c r="N125" s="21" t="s">
        <v>315</v>
      </c>
      <c r="O125" s="21" t="s">
        <v>316</v>
      </c>
      <c r="P125" s="26">
        <v>6823304234</v>
      </c>
      <c r="Q125" s="26" t="e">
        <f t="shared" ca="1" si="1"/>
        <v>#NAME?</v>
      </c>
      <c r="R125" s="21" t="s">
        <v>1324</v>
      </c>
      <c r="S125" s="21" t="s">
        <v>1325</v>
      </c>
      <c r="T125" s="21" t="s">
        <v>1325</v>
      </c>
      <c r="U125" s="21" t="s">
        <v>1326</v>
      </c>
      <c r="V125" s="21" t="s">
        <v>1326</v>
      </c>
      <c r="W125" s="21" t="s">
        <v>219</v>
      </c>
      <c r="X125" s="21" t="s">
        <v>308</v>
      </c>
      <c r="Y125" s="21" t="s">
        <v>1327</v>
      </c>
      <c r="Z125" s="21" t="s">
        <v>127</v>
      </c>
      <c r="AA125" s="21" t="s">
        <v>608</v>
      </c>
      <c r="AB125" s="21" t="s">
        <v>129</v>
      </c>
      <c r="AC125" s="21" t="s">
        <v>1328</v>
      </c>
      <c r="AD125" s="21" t="s">
        <v>169</v>
      </c>
      <c r="AE125" s="21" t="s">
        <v>133</v>
      </c>
      <c r="AF125" s="21" t="s">
        <v>135</v>
      </c>
      <c r="AG125" s="21" t="s">
        <v>135</v>
      </c>
      <c r="AH125" s="21" t="s">
        <v>135</v>
      </c>
      <c r="AI125" s="21" t="s">
        <v>135</v>
      </c>
    </row>
    <row r="126" spans="1:36" ht="15.75" customHeight="1" x14ac:dyDescent="0.3">
      <c r="A126" s="21">
        <v>2024</v>
      </c>
      <c r="B126" s="22">
        <v>45557.339403460646</v>
      </c>
      <c r="C126" s="21" t="s">
        <v>183</v>
      </c>
      <c r="D126" s="21" t="s">
        <v>183</v>
      </c>
      <c r="E126" s="21" t="s">
        <v>183</v>
      </c>
      <c r="F126" s="21" t="s">
        <v>183</v>
      </c>
      <c r="G126" s="21" t="s">
        <v>93</v>
      </c>
      <c r="H126" s="21" t="s">
        <v>1329</v>
      </c>
      <c r="I126" s="21" t="s">
        <v>1330</v>
      </c>
      <c r="J126" s="21" t="s">
        <v>1331</v>
      </c>
      <c r="K126" s="21" t="e">
        <f t="shared" ca="1" si="0"/>
        <v>#NAME?</v>
      </c>
      <c r="L126" s="24">
        <v>1974</v>
      </c>
      <c r="N126" s="21" t="s">
        <v>111</v>
      </c>
      <c r="O126" s="21" t="s">
        <v>112</v>
      </c>
      <c r="P126" s="26">
        <v>8374548534</v>
      </c>
      <c r="Q126" s="26" t="e">
        <f t="shared" ca="1" si="1"/>
        <v>#NAME?</v>
      </c>
      <c r="R126" s="21" t="s">
        <v>118</v>
      </c>
      <c r="S126" s="21" t="s">
        <v>1332</v>
      </c>
      <c r="T126" s="21" t="s">
        <v>1332</v>
      </c>
      <c r="U126" s="21" t="s">
        <v>1333</v>
      </c>
      <c r="V126" s="21" t="s">
        <v>1333</v>
      </c>
      <c r="W126" s="21" t="s">
        <v>219</v>
      </c>
      <c r="X126" s="21" t="s">
        <v>571</v>
      </c>
      <c r="Y126" s="21" t="s">
        <v>536</v>
      </c>
      <c r="Z126" s="21" t="s">
        <v>127</v>
      </c>
      <c r="AA126" s="21" t="s">
        <v>418</v>
      </c>
      <c r="AB126" s="21" t="s">
        <v>129</v>
      </c>
      <c r="AC126" s="21" t="s">
        <v>1334</v>
      </c>
      <c r="AD126" s="21" t="s">
        <v>132</v>
      </c>
      <c r="AE126" s="21" t="s">
        <v>133</v>
      </c>
      <c r="AF126" s="21" t="s">
        <v>135</v>
      </c>
      <c r="AG126" s="21" t="s">
        <v>135</v>
      </c>
      <c r="AH126" s="21" t="s">
        <v>135</v>
      </c>
      <c r="AI126" s="21" t="s">
        <v>135</v>
      </c>
    </row>
    <row r="127" spans="1:36" ht="15.75" customHeight="1" x14ac:dyDescent="0.3">
      <c r="A127" s="21">
        <v>2024</v>
      </c>
      <c r="B127" s="22">
        <v>45561.907007013884</v>
      </c>
      <c r="C127" s="21" t="s">
        <v>183</v>
      </c>
      <c r="D127" s="21" t="s">
        <v>183</v>
      </c>
      <c r="E127" s="21" t="s">
        <v>183</v>
      </c>
      <c r="F127" s="21" t="s">
        <v>183</v>
      </c>
      <c r="G127" s="21" t="s">
        <v>93</v>
      </c>
      <c r="H127" s="21" t="s">
        <v>1335</v>
      </c>
      <c r="I127" s="21" t="s">
        <v>781</v>
      </c>
      <c r="J127" s="21" t="s">
        <v>1336</v>
      </c>
      <c r="K127" s="21" t="e">
        <f t="shared" ca="1" si="0"/>
        <v>#NAME?</v>
      </c>
      <c r="L127" s="24">
        <v>1986</v>
      </c>
      <c r="N127" s="21" t="s">
        <v>111</v>
      </c>
      <c r="O127" s="21" t="s">
        <v>112</v>
      </c>
      <c r="P127" s="26">
        <v>9859698586</v>
      </c>
      <c r="Q127" s="26" t="e">
        <f t="shared" ca="1" si="1"/>
        <v>#NAME?</v>
      </c>
      <c r="R127" s="21" t="s">
        <v>188</v>
      </c>
      <c r="S127" s="21" t="s">
        <v>1337</v>
      </c>
      <c r="T127" s="21" t="s">
        <v>1337</v>
      </c>
      <c r="U127" s="21" t="s">
        <v>1338</v>
      </c>
      <c r="V127" s="21" t="s">
        <v>1338</v>
      </c>
      <c r="W127" s="21" t="s">
        <v>266</v>
      </c>
      <c r="X127" s="21" t="s">
        <v>352</v>
      </c>
      <c r="Y127" s="21" t="s">
        <v>352</v>
      </c>
      <c r="Z127" s="21" t="s">
        <v>127</v>
      </c>
      <c r="AA127" s="21" t="s">
        <v>1339</v>
      </c>
      <c r="AB127" s="21" t="s">
        <v>129</v>
      </c>
      <c r="AC127" s="21" t="s">
        <v>1340</v>
      </c>
      <c r="AD127" s="21" t="s">
        <v>169</v>
      </c>
      <c r="AE127" s="21" t="s">
        <v>133</v>
      </c>
      <c r="AF127" s="21" t="s">
        <v>135</v>
      </c>
      <c r="AG127" s="21" t="s">
        <v>135</v>
      </c>
      <c r="AH127" s="21" t="s">
        <v>135</v>
      </c>
      <c r="AI127" s="21" t="s">
        <v>135</v>
      </c>
      <c r="AJ127" s="21" t="s">
        <v>1341</v>
      </c>
    </row>
    <row r="128" spans="1:36" ht="15.75" customHeight="1" x14ac:dyDescent="0.3">
      <c r="A128" s="21">
        <v>2024</v>
      </c>
      <c r="B128" s="22">
        <v>45583.886597175922</v>
      </c>
      <c r="C128" s="21" t="s">
        <v>183</v>
      </c>
      <c r="D128" s="21" t="s">
        <v>183</v>
      </c>
      <c r="E128" s="21" t="s">
        <v>183</v>
      </c>
      <c r="F128" s="21" t="s">
        <v>90</v>
      </c>
      <c r="G128" s="21" t="s">
        <v>93</v>
      </c>
      <c r="H128" s="21" t="s">
        <v>1342</v>
      </c>
      <c r="I128" s="21" t="s">
        <v>1343</v>
      </c>
      <c r="J128" s="21" t="s">
        <v>1344</v>
      </c>
      <c r="K128" s="21" t="e">
        <f t="shared" ca="1" si="0"/>
        <v>#NAME?</v>
      </c>
      <c r="L128" s="24">
        <v>1982</v>
      </c>
      <c r="N128" s="21" t="s">
        <v>111</v>
      </c>
      <c r="O128" s="21" t="s">
        <v>112</v>
      </c>
      <c r="P128" s="26">
        <v>9573000540</v>
      </c>
      <c r="Q128" s="26" t="e">
        <f t="shared" ca="1" si="1"/>
        <v>#NAME?</v>
      </c>
      <c r="R128" s="21" t="s">
        <v>118</v>
      </c>
      <c r="S128" s="21" t="s">
        <v>1345</v>
      </c>
      <c r="T128" s="21" t="s">
        <v>1345</v>
      </c>
      <c r="U128" s="21" t="s">
        <v>1346</v>
      </c>
      <c r="V128" s="21" t="s">
        <v>1346</v>
      </c>
      <c r="W128" s="21" t="s">
        <v>251</v>
      </c>
      <c r="X128" s="21" t="s">
        <v>1347</v>
      </c>
      <c r="Y128" s="21" t="s">
        <v>1348</v>
      </c>
      <c r="Z128" s="21" t="s">
        <v>127</v>
      </c>
      <c r="AA128" s="21" t="s">
        <v>1349</v>
      </c>
      <c r="AB128" s="21" t="s">
        <v>129</v>
      </c>
      <c r="AC128" s="21" t="s">
        <v>1350</v>
      </c>
      <c r="AD128" s="21" t="s">
        <v>287</v>
      </c>
      <c r="AE128" s="21" t="s">
        <v>133</v>
      </c>
      <c r="AF128" s="21" t="s">
        <v>135</v>
      </c>
      <c r="AG128" s="21" t="s">
        <v>135</v>
      </c>
      <c r="AH128" s="21" t="s">
        <v>135</v>
      </c>
      <c r="AI128" s="21" t="s">
        <v>135</v>
      </c>
    </row>
    <row r="129" spans="1:36" ht="15.75" customHeight="1" x14ac:dyDescent="0.3">
      <c r="A129" s="21">
        <v>2024</v>
      </c>
      <c r="B129" s="22">
        <v>45592.52712752315</v>
      </c>
      <c r="C129" s="21" t="s">
        <v>183</v>
      </c>
      <c r="D129" s="21" t="s">
        <v>183</v>
      </c>
      <c r="E129" s="21" t="s">
        <v>183</v>
      </c>
      <c r="F129" s="21" t="s">
        <v>183</v>
      </c>
      <c r="G129" s="21" t="s">
        <v>93</v>
      </c>
      <c r="H129" s="21" t="s">
        <v>1351</v>
      </c>
      <c r="I129" s="21" t="s">
        <v>1352</v>
      </c>
      <c r="J129" s="21" t="s">
        <v>1353</v>
      </c>
      <c r="K129" s="21" t="e">
        <f t="shared" ca="1" si="0"/>
        <v>#NAME?</v>
      </c>
      <c r="L129" s="24">
        <v>1966</v>
      </c>
      <c r="N129" s="21" t="s">
        <v>111</v>
      </c>
      <c r="O129" s="21" t="s">
        <v>112</v>
      </c>
      <c r="P129" s="26">
        <v>9399952777</v>
      </c>
      <c r="Q129" s="26" t="e">
        <f t="shared" ca="1" si="1"/>
        <v>#NAME?</v>
      </c>
      <c r="R129" s="21" t="s">
        <v>188</v>
      </c>
      <c r="S129" s="21" t="s">
        <v>1354</v>
      </c>
      <c r="T129" s="21" t="s">
        <v>1354</v>
      </c>
      <c r="U129" s="21" t="s">
        <v>1355</v>
      </c>
      <c r="V129" s="21" t="s">
        <v>1355</v>
      </c>
      <c r="W129" s="21" t="s">
        <v>219</v>
      </c>
      <c r="X129" s="21" t="s">
        <v>571</v>
      </c>
      <c r="Y129" s="21" t="s">
        <v>571</v>
      </c>
      <c r="Z129" s="21" t="s">
        <v>127</v>
      </c>
      <c r="AA129" s="21" t="s">
        <v>1119</v>
      </c>
      <c r="AB129" s="21" t="s">
        <v>129</v>
      </c>
      <c r="AC129" s="21" t="s">
        <v>286</v>
      </c>
      <c r="AD129" s="21" t="s">
        <v>287</v>
      </c>
      <c r="AE129" s="21" t="s">
        <v>133</v>
      </c>
      <c r="AF129" s="21" t="s">
        <v>135</v>
      </c>
      <c r="AG129" s="21" t="s">
        <v>135</v>
      </c>
      <c r="AH129" s="21" t="s">
        <v>135</v>
      </c>
      <c r="AI129" s="21" t="s">
        <v>135</v>
      </c>
    </row>
    <row r="130" spans="1:36" ht="15.75" customHeight="1" x14ac:dyDescent="0.3">
      <c r="A130" s="21">
        <v>2024</v>
      </c>
      <c r="B130" s="22">
        <v>45594.954781296299</v>
      </c>
      <c r="C130" s="21" t="s">
        <v>183</v>
      </c>
      <c r="D130" s="21" t="s">
        <v>183</v>
      </c>
      <c r="E130" s="21" t="s">
        <v>183</v>
      </c>
      <c r="F130" s="21" t="s">
        <v>183</v>
      </c>
      <c r="G130" s="21" t="s">
        <v>256</v>
      </c>
      <c r="H130" s="21" t="s">
        <v>1356</v>
      </c>
      <c r="I130" s="21" t="s">
        <v>1357</v>
      </c>
      <c r="J130" s="138" t="s">
        <v>1358</v>
      </c>
      <c r="K130" s="21" t="e">
        <f t="shared" ca="1" si="0"/>
        <v>#NAME?</v>
      </c>
      <c r="L130" s="24">
        <v>2011</v>
      </c>
      <c r="N130" s="21" t="s">
        <v>111</v>
      </c>
      <c r="O130" s="21" t="s">
        <v>112</v>
      </c>
      <c r="P130" s="26">
        <v>9849143016</v>
      </c>
      <c r="Q130" s="26" t="e">
        <f t="shared" ca="1" si="1"/>
        <v>#NAME?</v>
      </c>
      <c r="R130" s="21" t="s">
        <v>188</v>
      </c>
      <c r="S130" s="21" t="s">
        <v>1359</v>
      </c>
      <c r="T130" s="21" t="s">
        <v>1359</v>
      </c>
      <c r="U130" s="21" t="s">
        <v>1360</v>
      </c>
      <c r="V130" s="21" t="s">
        <v>1360</v>
      </c>
      <c r="W130" s="21" t="s">
        <v>328</v>
      </c>
      <c r="X130" s="21" t="s">
        <v>1361</v>
      </c>
      <c r="Y130" s="21" t="s">
        <v>734</v>
      </c>
      <c r="Z130" s="21" t="s">
        <v>1362</v>
      </c>
      <c r="AA130" s="21" t="s">
        <v>1363</v>
      </c>
      <c r="AB130" s="21" t="s">
        <v>408</v>
      </c>
      <c r="AC130" s="21" t="s">
        <v>1364</v>
      </c>
      <c r="AD130" s="21" t="s">
        <v>132</v>
      </c>
      <c r="AE130" s="21" t="s">
        <v>133</v>
      </c>
      <c r="AF130" s="21" t="s">
        <v>135</v>
      </c>
      <c r="AG130" s="21" t="s">
        <v>135</v>
      </c>
      <c r="AH130" s="21" t="s">
        <v>135</v>
      </c>
      <c r="AI130" s="21" t="s">
        <v>135</v>
      </c>
    </row>
    <row r="131" spans="1:36" ht="15.75" customHeight="1" x14ac:dyDescent="0.3">
      <c r="A131" s="21">
        <v>2024</v>
      </c>
      <c r="B131" s="22">
        <v>45606.000031516203</v>
      </c>
      <c r="C131" s="21" t="s">
        <v>183</v>
      </c>
      <c r="D131" s="21" t="s">
        <v>183</v>
      </c>
      <c r="E131" s="21" t="s">
        <v>183</v>
      </c>
      <c r="F131" s="21" t="s">
        <v>183</v>
      </c>
      <c r="G131" s="21" t="s">
        <v>93</v>
      </c>
      <c r="H131" s="21" t="s">
        <v>1365</v>
      </c>
      <c r="I131" s="21" t="s">
        <v>1366</v>
      </c>
      <c r="J131" s="21" t="s">
        <v>1367</v>
      </c>
      <c r="K131" s="21" t="e">
        <f t="shared" ca="1" si="0"/>
        <v>#NAME?</v>
      </c>
      <c r="L131" s="24">
        <v>2005</v>
      </c>
      <c r="N131" s="21" t="s">
        <v>111</v>
      </c>
      <c r="O131" s="21" t="s">
        <v>112</v>
      </c>
      <c r="P131" s="26">
        <v>8317376970</v>
      </c>
      <c r="Q131" s="26" t="e">
        <f t="shared" ca="1" si="1"/>
        <v>#NAME?</v>
      </c>
      <c r="R131" s="21" t="s">
        <v>1368</v>
      </c>
      <c r="S131" s="21" t="s">
        <v>127</v>
      </c>
      <c r="T131" s="21" t="s">
        <v>127</v>
      </c>
      <c r="U131" s="21" t="s">
        <v>1369</v>
      </c>
      <c r="V131" s="21" t="s">
        <v>1369</v>
      </c>
      <c r="W131" s="21" t="s">
        <v>1370</v>
      </c>
      <c r="X131" s="21" t="s">
        <v>1371</v>
      </c>
      <c r="Y131" s="21" t="s">
        <v>1372</v>
      </c>
      <c r="Z131" s="21" t="s">
        <v>127</v>
      </c>
      <c r="AA131" s="21" t="s">
        <v>1373</v>
      </c>
      <c r="AB131" s="21" t="s">
        <v>129</v>
      </c>
      <c r="AC131" s="21" t="s">
        <v>1374</v>
      </c>
      <c r="AD131" s="21" t="s">
        <v>287</v>
      </c>
      <c r="AE131" s="21" t="s">
        <v>133</v>
      </c>
      <c r="AF131" s="21" t="s">
        <v>135</v>
      </c>
      <c r="AG131" s="21" t="s">
        <v>135</v>
      </c>
      <c r="AH131" s="21" t="s">
        <v>135</v>
      </c>
      <c r="AI131" s="21" t="s">
        <v>135</v>
      </c>
    </row>
    <row r="132" spans="1:36" ht="15.75" customHeight="1" x14ac:dyDescent="0.3">
      <c r="A132" s="21">
        <v>2024</v>
      </c>
      <c r="B132" s="22">
        <v>45614.485989548615</v>
      </c>
      <c r="C132" s="21" t="s">
        <v>183</v>
      </c>
      <c r="D132" s="21" t="s">
        <v>183</v>
      </c>
      <c r="E132" s="21" t="s">
        <v>183</v>
      </c>
      <c r="F132" s="21" t="s">
        <v>183</v>
      </c>
      <c r="G132" s="21" t="s">
        <v>93</v>
      </c>
      <c r="H132" s="21" t="s">
        <v>1375</v>
      </c>
      <c r="I132" s="21" t="s">
        <v>1376</v>
      </c>
      <c r="J132" s="21" t="s">
        <v>1377</v>
      </c>
      <c r="K132" s="21" t="e">
        <f t="shared" ca="1" si="0"/>
        <v>#NAME?</v>
      </c>
      <c r="L132" s="24">
        <v>1979</v>
      </c>
      <c r="N132" s="21" t="s">
        <v>111</v>
      </c>
      <c r="O132" s="21" t="s">
        <v>112</v>
      </c>
      <c r="P132" s="26">
        <v>9948696975</v>
      </c>
      <c r="Q132" s="26" t="e">
        <f t="shared" ca="1" si="1"/>
        <v>#NAME?</v>
      </c>
      <c r="R132" s="21" t="s">
        <v>1378</v>
      </c>
      <c r="S132" s="21" t="s">
        <v>1379</v>
      </c>
      <c r="T132" s="21" t="s">
        <v>1379</v>
      </c>
      <c r="U132" s="21" t="s">
        <v>1381</v>
      </c>
      <c r="V132" s="21" t="s">
        <v>1381</v>
      </c>
      <c r="W132" s="21" t="s">
        <v>219</v>
      </c>
      <c r="X132" s="21" t="s">
        <v>178</v>
      </c>
      <c r="Y132" s="21" t="s">
        <v>1383</v>
      </c>
      <c r="Z132" s="21" t="s">
        <v>127</v>
      </c>
      <c r="AA132" s="21" t="s">
        <v>1384</v>
      </c>
      <c r="AB132" s="21" t="s">
        <v>129</v>
      </c>
      <c r="AC132" s="21" t="s">
        <v>1385</v>
      </c>
      <c r="AD132" s="21" t="s">
        <v>132</v>
      </c>
      <c r="AE132" s="21" t="s">
        <v>133</v>
      </c>
      <c r="AF132" s="21" t="s">
        <v>135</v>
      </c>
      <c r="AG132" s="21" t="s">
        <v>135</v>
      </c>
      <c r="AH132" s="21" t="s">
        <v>135</v>
      </c>
      <c r="AI132" s="21" t="s">
        <v>135</v>
      </c>
      <c r="AJ132" s="21" t="s">
        <v>1386</v>
      </c>
    </row>
    <row r="133" spans="1:36" ht="15.75" customHeight="1" x14ac:dyDescent="0.3">
      <c r="A133" s="21">
        <v>2024</v>
      </c>
      <c r="B133" s="22">
        <v>45626.339020694446</v>
      </c>
      <c r="C133" s="21" t="s">
        <v>183</v>
      </c>
      <c r="D133" s="21" t="s">
        <v>183</v>
      </c>
      <c r="E133" s="21" t="s">
        <v>183</v>
      </c>
      <c r="F133" s="21" t="s">
        <v>183</v>
      </c>
      <c r="G133" s="21" t="s">
        <v>93</v>
      </c>
      <c r="H133" s="21" t="s">
        <v>1387</v>
      </c>
      <c r="I133" s="21" t="s">
        <v>1388</v>
      </c>
      <c r="J133" s="21" t="s">
        <v>1389</v>
      </c>
      <c r="K133" s="21" t="e">
        <f t="shared" ca="1" si="0"/>
        <v>#NAME?</v>
      </c>
      <c r="L133" s="24">
        <v>1972</v>
      </c>
      <c r="N133" s="21" t="s">
        <v>402</v>
      </c>
      <c r="O133" s="21" t="s">
        <v>316</v>
      </c>
      <c r="P133" s="26">
        <v>2482296058</v>
      </c>
      <c r="Q133" s="26" t="e">
        <f t="shared" ca="1" si="1"/>
        <v>#NAME?</v>
      </c>
      <c r="R133" s="21" t="s">
        <v>1390</v>
      </c>
      <c r="S133" s="21" t="s">
        <v>1391</v>
      </c>
      <c r="T133" s="21" t="s">
        <v>1391</v>
      </c>
      <c r="U133" s="21" t="s">
        <v>1392</v>
      </c>
      <c r="V133" s="21" t="s">
        <v>1392</v>
      </c>
      <c r="W133" s="21" t="s">
        <v>307</v>
      </c>
      <c r="X133" s="21" t="s">
        <v>179</v>
      </c>
      <c r="Y133" s="21" t="s">
        <v>179</v>
      </c>
      <c r="Z133" s="21" t="s">
        <v>127</v>
      </c>
      <c r="AA133" s="21" t="s">
        <v>1393</v>
      </c>
      <c r="AB133" s="21" t="s">
        <v>129</v>
      </c>
      <c r="AC133" s="21" t="s">
        <v>1394</v>
      </c>
      <c r="AD133" s="21" t="s">
        <v>169</v>
      </c>
      <c r="AE133" s="21" t="s">
        <v>133</v>
      </c>
      <c r="AF133" s="21" t="s">
        <v>135</v>
      </c>
      <c r="AG133" s="21" t="s">
        <v>135</v>
      </c>
      <c r="AH133" s="21" t="s">
        <v>135</v>
      </c>
      <c r="AI133" s="21" t="s">
        <v>135</v>
      </c>
    </row>
    <row r="134" spans="1:36" ht="15.75" customHeight="1" x14ac:dyDescent="0.3">
      <c r="A134" s="21">
        <v>2024</v>
      </c>
      <c r="B134" s="22">
        <v>45630.057912349541</v>
      </c>
      <c r="C134" s="21" t="s">
        <v>183</v>
      </c>
      <c r="D134" s="21" t="s">
        <v>183</v>
      </c>
      <c r="E134" s="21" t="s">
        <v>183</v>
      </c>
      <c r="F134" s="21" t="s">
        <v>183</v>
      </c>
      <c r="G134" s="21" t="s">
        <v>93</v>
      </c>
      <c r="H134" s="21" t="s">
        <v>1395</v>
      </c>
      <c r="I134" s="21" t="s">
        <v>1396</v>
      </c>
      <c r="J134" s="21" t="s">
        <v>1397</v>
      </c>
      <c r="K134" s="21" t="e">
        <f t="shared" ca="1" si="0"/>
        <v>#NAME?</v>
      </c>
      <c r="L134" s="24">
        <v>1984</v>
      </c>
      <c r="N134" s="21" t="s">
        <v>111</v>
      </c>
      <c r="O134" s="21" t="s">
        <v>112</v>
      </c>
      <c r="P134" s="26">
        <v>8297443036</v>
      </c>
      <c r="Q134" s="26" t="e">
        <f t="shared" ca="1" si="1"/>
        <v>#NAME?</v>
      </c>
      <c r="R134" s="21" t="s">
        <v>664</v>
      </c>
      <c r="S134" s="21" t="s">
        <v>284</v>
      </c>
      <c r="T134" s="21" t="s">
        <v>284</v>
      </c>
      <c r="U134" s="21" t="s">
        <v>1398</v>
      </c>
      <c r="V134" s="21" t="s">
        <v>1398</v>
      </c>
      <c r="W134" s="21" t="s">
        <v>622</v>
      </c>
      <c r="X134" s="21" t="s">
        <v>1399</v>
      </c>
      <c r="Y134" s="21" t="s">
        <v>478</v>
      </c>
      <c r="Z134" s="21" t="s">
        <v>284</v>
      </c>
      <c r="AA134" s="21" t="s">
        <v>1400</v>
      </c>
      <c r="AB134" s="21" t="s">
        <v>129</v>
      </c>
      <c r="AC134" s="21" t="s">
        <v>1401</v>
      </c>
      <c r="AD134" s="21" t="s">
        <v>287</v>
      </c>
      <c r="AE134" s="21" t="s">
        <v>133</v>
      </c>
      <c r="AF134" s="21" t="s">
        <v>135</v>
      </c>
      <c r="AG134" s="21" t="s">
        <v>135</v>
      </c>
      <c r="AH134" s="21" t="s">
        <v>135</v>
      </c>
      <c r="AI134" s="21" t="s">
        <v>135</v>
      </c>
      <c r="AJ134" s="21" t="s">
        <v>1402</v>
      </c>
    </row>
    <row r="135" spans="1:36" ht="15.75" customHeight="1" x14ac:dyDescent="0.3">
      <c r="A135" s="21">
        <v>2024</v>
      </c>
      <c r="B135" s="22">
        <v>45630.074824039351</v>
      </c>
      <c r="C135" s="21" t="s">
        <v>183</v>
      </c>
      <c r="D135" s="21" t="s">
        <v>183</v>
      </c>
      <c r="E135" s="21" t="s">
        <v>183</v>
      </c>
      <c r="F135" s="21" t="s">
        <v>183</v>
      </c>
      <c r="G135" s="21" t="s">
        <v>93</v>
      </c>
      <c r="H135" s="21" t="s">
        <v>1403</v>
      </c>
      <c r="I135" s="21" t="s">
        <v>1404</v>
      </c>
      <c r="J135" s="21" t="s">
        <v>1405</v>
      </c>
      <c r="K135" s="21" t="e">
        <f t="shared" ca="1" si="0"/>
        <v>#NAME?</v>
      </c>
      <c r="L135" s="24">
        <v>1984</v>
      </c>
      <c r="N135" s="21" t="s">
        <v>111</v>
      </c>
      <c r="O135" s="21" t="s">
        <v>112</v>
      </c>
      <c r="P135" s="26">
        <v>9766655172</v>
      </c>
      <c r="Q135" s="26" t="e">
        <f t="shared" ca="1" si="1"/>
        <v>#NAME?</v>
      </c>
      <c r="R135" s="21" t="s">
        <v>118</v>
      </c>
      <c r="S135" s="21" t="s">
        <v>1406</v>
      </c>
      <c r="T135" s="21" t="s">
        <v>1406</v>
      </c>
      <c r="U135" s="21" t="s">
        <v>1407</v>
      </c>
      <c r="V135" s="21" t="s">
        <v>1407</v>
      </c>
      <c r="W135" s="21" t="s">
        <v>1408</v>
      </c>
      <c r="X135" s="21" t="s">
        <v>308</v>
      </c>
      <c r="Y135" s="21" t="s">
        <v>308</v>
      </c>
      <c r="Z135" s="21" t="s">
        <v>127</v>
      </c>
      <c r="AA135" s="21" t="s">
        <v>526</v>
      </c>
      <c r="AB135" s="21" t="s">
        <v>129</v>
      </c>
      <c r="AC135" s="21" t="s">
        <v>1409</v>
      </c>
      <c r="AD135" s="21" t="s">
        <v>132</v>
      </c>
      <c r="AE135" s="21" t="s">
        <v>133</v>
      </c>
      <c r="AF135" s="21" t="s">
        <v>135</v>
      </c>
      <c r="AG135" s="21" t="s">
        <v>135</v>
      </c>
      <c r="AH135" s="21" t="s">
        <v>135</v>
      </c>
      <c r="AI135" s="21" t="s">
        <v>135</v>
      </c>
      <c r="AJ135" s="21" t="s">
        <v>1410</v>
      </c>
    </row>
    <row r="136" spans="1:36" ht="15.75" customHeight="1" x14ac:dyDescent="0.3">
      <c r="A136" s="21">
        <v>2024</v>
      </c>
      <c r="B136" s="22">
        <v>45630.589822731483</v>
      </c>
      <c r="C136" s="21" t="s">
        <v>183</v>
      </c>
      <c r="D136" s="21" t="s">
        <v>183</v>
      </c>
      <c r="E136" s="21" t="s">
        <v>183</v>
      </c>
      <c r="F136" s="21" t="s">
        <v>183</v>
      </c>
      <c r="G136" s="21" t="s">
        <v>93</v>
      </c>
      <c r="H136" s="21" t="s">
        <v>1411</v>
      </c>
      <c r="I136" s="21" t="s">
        <v>1412</v>
      </c>
      <c r="J136" s="21" t="s">
        <v>594</v>
      </c>
      <c r="K136" s="21" t="e">
        <f t="shared" ca="1" si="0"/>
        <v>#NAME?</v>
      </c>
      <c r="L136" s="24">
        <v>1985</v>
      </c>
      <c r="N136" s="21" t="s">
        <v>111</v>
      </c>
      <c r="O136" s="21" t="s">
        <v>112</v>
      </c>
      <c r="P136" s="26">
        <v>9848287755</v>
      </c>
      <c r="Q136" s="26" t="e">
        <f t="shared" ca="1" si="1"/>
        <v>#NAME?</v>
      </c>
      <c r="R136" s="21" t="s">
        <v>118</v>
      </c>
      <c r="S136" s="21" t="s">
        <v>1413</v>
      </c>
      <c r="T136" s="21" t="s">
        <v>1413</v>
      </c>
      <c r="U136" s="21" t="s">
        <v>588</v>
      </c>
      <c r="V136" s="21" t="s">
        <v>588</v>
      </c>
      <c r="W136" s="21" t="s">
        <v>307</v>
      </c>
      <c r="X136" s="21" t="s">
        <v>178</v>
      </c>
      <c r="Y136" s="21" t="s">
        <v>179</v>
      </c>
      <c r="Z136" s="21" t="s">
        <v>127</v>
      </c>
      <c r="AA136" s="21" t="s">
        <v>1414</v>
      </c>
      <c r="AB136" s="21" t="s">
        <v>129</v>
      </c>
      <c r="AC136" s="21" t="s">
        <v>1415</v>
      </c>
      <c r="AD136" s="21" t="s">
        <v>132</v>
      </c>
      <c r="AE136" s="21" t="s">
        <v>133</v>
      </c>
      <c r="AF136" s="21" t="s">
        <v>135</v>
      </c>
      <c r="AG136" s="21" t="s">
        <v>135</v>
      </c>
      <c r="AH136" s="21" t="s">
        <v>135</v>
      </c>
      <c r="AI136" s="21" t="s">
        <v>135</v>
      </c>
    </row>
    <row r="137" spans="1:36" ht="15.75" customHeight="1" x14ac:dyDescent="0.3">
      <c r="A137" s="21">
        <v>2024</v>
      </c>
      <c r="B137" s="22">
        <v>45634.921384583329</v>
      </c>
      <c r="C137" s="21" t="s">
        <v>183</v>
      </c>
      <c r="D137" s="21" t="s">
        <v>183</v>
      </c>
      <c r="E137" s="21" t="s">
        <v>183</v>
      </c>
      <c r="F137" s="21" t="s">
        <v>183</v>
      </c>
      <c r="G137" s="21" t="s">
        <v>256</v>
      </c>
      <c r="H137" s="21" t="s">
        <v>1416</v>
      </c>
      <c r="I137" s="21" t="s">
        <v>1417</v>
      </c>
      <c r="J137" s="21" t="s">
        <v>1418</v>
      </c>
      <c r="K137" s="21" t="e">
        <f t="shared" ca="1" si="0"/>
        <v>#NAME?</v>
      </c>
      <c r="L137" s="24">
        <v>2012</v>
      </c>
      <c r="N137" s="21" t="s">
        <v>111</v>
      </c>
      <c r="O137" s="21" t="s">
        <v>112</v>
      </c>
      <c r="P137" s="26">
        <v>9880802421</v>
      </c>
      <c r="Q137" s="26" t="e">
        <f t="shared" ca="1" si="1"/>
        <v>#NAME?</v>
      </c>
      <c r="R137" s="21" t="s">
        <v>188</v>
      </c>
      <c r="S137" s="21" t="s">
        <v>1419</v>
      </c>
      <c r="T137" s="21" t="s">
        <v>1419</v>
      </c>
      <c r="U137" s="21" t="s">
        <v>1420</v>
      </c>
      <c r="V137" s="21" t="s">
        <v>1420</v>
      </c>
      <c r="W137" s="21" t="s">
        <v>307</v>
      </c>
      <c r="X137" s="21" t="s">
        <v>308</v>
      </c>
      <c r="Y137" s="21" t="s">
        <v>308</v>
      </c>
      <c r="Z137" s="21" t="s">
        <v>1421</v>
      </c>
      <c r="AA137" s="21" t="s">
        <v>1422</v>
      </c>
      <c r="AB137" s="21" t="s">
        <v>1423</v>
      </c>
      <c r="AC137" s="21" t="s">
        <v>1424</v>
      </c>
      <c r="AD137" s="21" t="s">
        <v>287</v>
      </c>
      <c r="AE137" s="21" t="s">
        <v>133</v>
      </c>
      <c r="AF137" s="21" t="s">
        <v>135</v>
      </c>
      <c r="AG137" s="21" t="s">
        <v>135</v>
      </c>
      <c r="AH137" s="21" t="s">
        <v>135</v>
      </c>
      <c r="AI137" s="21" t="s">
        <v>135</v>
      </c>
    </row>
    <row r="138" spans="1:36" ht="15.75" customHeight="1" x14ac:dyDescent="0.3">
      <c r="A138" s="21">
        <v>2024</v>
      </c>
      <c r="B138" s="22">
        <v>45636.361565162035</v>
      </c>
      <c r="C138" s="21" t="s">
        <v>183</v>
      </c>
      <c r="D138" s="21" t="s">
        <v>183</v>
      </c>
      <c r="E138" s="21" t="s">
        <v>183</v>
      </c>
      <c r="F138" s="21" t="s">
        <v>183</v>
      </c>
      <c r="G138" s="21" t="s">
        <v>93</v>
      </c>
      <c r="H138" s="21" t="s">
        <v>1425</v>
      </c>
      <c r="I138" s="21" t="s">
        <v>1426</v>
      </c>
      <c r="J138" s="21" t="s">
        <v>1427</v>
      </c>
      <c r="K138" s="21" t="e">
        <f t="shared" ca="1" si="0"/>
        <v>#NAME?</v>
      </c>
      <c r="L138" s="24">
        <v>1988</v>
      </c>
      <c r="N138" s="21" t="s">
        <v>111</v>
      </c>
      <c r="O138" s="21" t="s">
        <v>112</v>
      </c>
      <c r="P138" s="26">
        <v>9885913164</v>
      </c>
      <c r="Q138" s="26" t="e">
        <f t="shared" ca="1" si="1"/>
        <v>#NAME?</v>
      </c>
      <c r="R138" s="21" t="s">
        <v>1428</v>
      </c>
      <c r="S138" s="21" t="s">
        <v>1429</v>
      </c>
      <c r="T138" s="21" t="s">
        <v>1429</v>
      </c>
      <c r="U138" s="21" t="s">
        <v>1430</v>
      </c>
      <c r="V138" s="21" t="s">
        <v>1430</v>
      </c>
      <c r="W138" s="21" t="s">
        <v>319</v>
      </c>
      <c r="X138" s="21" t="s">
        <v>571</v>
      </c>
      <c r="Y138" s="21" t="s">
        <v>571</v>
      </c>
      <c r="Z138" s="21" t="s">
        <v>582</v>
      </c>
      <c r="AA138" s="21" t="s">
        <v>297</v>
      </c>
      <c r="AB138" s="21" t="s">
        <v>129</v>
      </c>
      <c r="AC138" s="21" t="s">
        <v>1431</v>
      </c>
      <c r="AD138" s="21" t="s">
        <v>132</v>
      </c>
      <c r="AE138" s="21" t="s">
        <v>133</v>
      </c>
      <c r="AF138" s="21" t="s">
        <v>135</v>
      </c>
      <c r="AG138" s="21" t="s">
        <v>135</v>
      </c>
      <c r="AH138" s="21" t="s">
        <v>135</v>
      </c>
      <c r="AI138" s="21" t="s">
        <v>135</v>
      </c>
    </row>
    <row r="139" spans="1:36" ht="15.75" customHeight="1" x14ac:dyDescent="0.3">
      <c r="A139" s="21">
        <v>2024</v>
      </c>
      <c r="B139" s="22">
        <v>45641.838514097224</v>
      </c>
      <c r="C139" s="21" t="s">
        <v>183</v>
      </c>
      <c r="D139" s="21" t="s">
        <v>183</v>
      </c>
      <c r="E139" s="21" t="s">
        <v>183</v>
      </c>
      <c r="F139" s="21" t="s">
        <v>183</v>
      </c>
      <c r="G139" s="21" t="s">
        <v>93</v>
      </c>
      <c r="H139" s="21" t="s">
        <v>1432</v>
      </c>
      <c r="I139" s="21" t="s">
        <v>1433</v>
      </c>
      <c r="J139" s="21" t="s">
        <v>1434</v>
      </c>
      <c r="K139" s="21" t="e">
        <f t="shared" ca="1" si="0"/>
        <v>#NAME?</v>
      </c>
      <c r="L139" s="24">
        <v>1991</v>
      </c>
      <c r="N139" s="21" t="s">
        <v>111</v>
      </c>
      <c r="O139" s="21" t="s">
        <v>112</v>
      </c>
      <c r="P139" s="26">
        <v>9000580605</v>
      </c>
      <c r="Q139" s="26" t="e">
        <f t="shared" ca="1" si="1"/>
        <v>#NAME?</v>
      </c>
      <c r="R139" s="21" t="s">
        <v>1435</v>
      </c>
      <c r="S139" s="21" t="s">
        <v>1436</v>
      </c>
      <c r="T139" s="21" t="s">
        <v>1436</v>
      </c>
      <c r="U139" s="21" t="s">
        <v>1437</v>
      </c>
      <c r="V139" s="21" t="s">
        <v>1437</v>
      </c>
      <c r="W139" s="21" t="s">
        <v>328</v>
      </c>
      <c r="X139" s="21" t="s">
        <v>295</v>
      </c>
      <c r="Y139" s="21" t="s">
        <v>1438</v>
      </c>
      <c r="Z139" s="21" t="s">
        <v>296</v>
      </c>
      <c r="AA139" s="21" t="s">
        <v>1439</v>
      </c>
      <c r="AB139" s="21" t="s">
        <v>129</v>
      </c>
      <c r="AC139" s="21" t="s">
        <v>1440</v>
      </c>
      <c r="AD139" s="21" t="s">
        <v>132</v>
      </c>
      <c r="AE139" s="21" t="s">
        <v>133</v>
      </c>
      <c r="AF139" s="21" t="s">
        <v>135</v>
      </c>
      <c r="AG139" s="21" t="s">
        <v>135</v>
      </c>
      <c r="AH139" s="21" t="s">
        <v>135</v>
      </c>
      <c r="AI139" s="21" t="s">
        <v>135</v>
      </c>
    </row>
    <row r="140" spans="1:36" ht="15.75" customHeight="1" x14ac:dyDescent="0.3">
      <c r="A140" s="21">
        <v>2024</v>
      </c>
      <c r="B140" s="22">
        <v>45642.186288495373</v>
      </c>
      <c r="C140" s="21" t="s">
        <v>183</v>
      </c>
      <c r="D140" s="21" t="s">
        <v>183</v>
      </c>
      <c r="E140" s="21" t="s">
        <v>183</v>
      </c>
      <c r="F140" s="21" t="s">
        <v>183</v>
      </c>
      <c r="G140" s="21" t="s">
        <v>93</v>
      </c>
      <c r="H140" s="21" t="s">
        <v>1441</v>
      </c>
      <c r="I140" s="21" t="s">
        <v>1442</v>
      </c>
      <c r="J140" s="21" t="s">
        <v>1443</v>
      </c>
      <c r="K140" s="21" t="e">
        <f t="shared" ca="1" si="0"/>
        <v>#NAME?</v>
      </c>
      <c r="L140" s="24">
        <v>1981</v>
      </c>
      <c r="N140" s="21" t="s">
        <v>111</v>
      </c>
      <c r="O140" s="21" t="s">
        <v>112</v>
      </c>
      <c r="P140" s="26">
        <v>9701405128</v>
      </c>
      <c r="Q140" s="26" t="e">
        <f t="shared" ca="1" si="1"/>
        <v>#NAME?</v>
      </c>
      <c r="R140" s="21" t="s">
        <v>118</v>
      </c>
      <c r="S140" s="21" t="s">
        <v>1429</v>
      </c>
      <c r="T140" s="21" t="s">
        <v>1429</v>
      </c>
      <c r="U140" s="21" t="s">
        <v>1444</v>
      </c>
      <c r="V140" s="21" t="s">
        <v>1444</v>
      </c>
      <c r="W140" s="21" t="s">
        <v>775</v>
      </c>
      <c r="X140" s="21" t="s">
        <v>267</v>
      </c>
      <c r="Y140" s="21" t="s">
        <v>1445</v>
      </c>
      <c r="Z140" s="21" t="s">
        <v>127</v>
      </c>
      <c r="AA140" s="21" t="s">
        <v>1446</v>
      </c>
      <c r="AB140" s="21" t="s">
        <v>408</v>
      </c>
      <c r="AC140" s="21" t="s">
        <v>1447</v>
      </c>
      <c r="AD140" s="21" t="s">
        <v>132</v>
      </c>
      <c r="AE140" s="21" t="s">
        <v>133</v>
      </c>
      <c r="AF140" s="21" t="s">
        <v>135</v>
      </c>
      <c r="AG140" s="21" t="s">
        <v>135</v>
      </c>
      <c r="AH140" s="21" t="s">
        <v>135</v>
      </c>
      <c r="AI140" s="21" t="s">
        <v>135</v>
      </c>
      <c r="AJ140" s="21" t="s">
        <v>1448</v>
      </c>
    </row>
    <row r="141" spans="1:36" ht="15.75" customHeight="1" x14ac:dyDescent="0.3">
      <c r="A141" s="21">
        <v>2024</v>
      </c>
      <c r="B141" s="22">
        <v>45643.851603414354</v>
      </c>
      <c r="C141" s="21" t="s">
        <v>183</v>
      </c>
      <c r="D141" s="21" t="s">
        <v>183</v>
      </c>
      <c r="E141" s="21" t="s">
        <v>183</v>
      </c>
      <c r="F141" s="21" t="s">
        <v>183</v>
      </c>
      <c r="G141" s="21" t="s">
        <v>93</v>
      </c>
      <c r="H141" s="21" t="s">
        <v>1449</v>
      </c>
      <c r="I141" s="21" t="s">
        <v>1282</v>
      </c>
      <c r="J141" s="21" t="s">
        <v>1450</v>
      </c>
      <c r="K141" s="21" t="e">
        <f t="shared" ca="1" si="0"/>
        <v>#NAME?</v>
      </c>
      <c r="L141" s="24">
        <v>1955</v>
      </c>
      <c r="N141" s="21" t="s">
        <v>111</v>
      </c>
      <c r="O141" s="21" t="s">
        <v>112</v>
      </c>
      <c r="P141" s="26">
        <v>9940499941</v>
      </c>
      <c r="Q141" s="26" t="e">
        <f t="shared" ca="1" si="1"/>
        <v>#NAME?</v>
      </c>
      <c r="R141" s="21" t="s">
        <v>236</v>
      </c>
      <c r="S141" s="21" t="s">
        <v>1451</v>
      </c>
      <c r="T141" s="21" t="s">
        <v>1451</v>
      </c>
      <c r="U141" s="21" t="s">
        <v>1452</v>
      </c>
      <c r="V141" s="21" t="s">
        <v>1452</v>
      </c>
      <c r="W141" s="21" t="s">
        <v>841</v>
      </c>
      <c r="X141" s="21" t="s">
        <v>1453</v>
      </c>
      <c r="Y141" s="21" t="s">
        <v>1454</v>
      </c>
      <c r="Z141" s="21" t="s">
        <v>127</v>
      </c>
      <c r="AA141" s="21" t="s">
        <v>1455</v>
      </c>
      <c r="AB141" s="21" t="s">
        <v>129</v>
      </c>
      <c r="AC141" s="21" t="s">
        <v>1456</v>
      </c>
      <c r="AD141" s="21" t="s">
        <v>132</v>
      </c>
      <c r="AE141" s="21" t="s">
        <v>133</v>
      </c>
      <c r="AF141" s="21" t="s">
        <v>135</v>
      </c>
      <c r="AG141" s="21" t="s">
        <v>135</v>
      </c>
      <c r="AH141" s="21" t="s">
        <v>135</v>
      </c>
      <c r="AI141" s="21" t="s">
        <v>135</v>
      </c>
      <c r="AJ141" s="21" t="s">
        <v>1457</v>
      </c>
    </row>
    <row r="142" spans="1:36" ht="15.75" customHeight="1" x14ac:dyDescent="0.3">
      <c r="A142" s="21">
        <v>2024</v>
      </c>
      <c r="B142" s="22">
        <v>45650.418114618056</v>
      </c>
      <c r="C142" s="21" t="s">
        <v>183</v>
      </c>
      <c r="D142" s="21" t="s">
        <v>183</v>
      </c>
      <c r="E142" s="21" t="s">
        <v>183</v>
      </c>
      <c r="F142" s="21" t="s">
        <v>183</v>
      </c>
      <c r="G142" s="21" t="s">
        <v>93</v>
      </c>
      <c r="H142" s="21" t="s">
        <v>1458</v>
      </c>
      <c r="I142" s="21" t="s">
        <v>1459</v>
      </c>
      <c r="J142" s="21" t="s">
        <v>1460</v>
      </c>
      <c r="K142" s="21" t="e">
        <f t="shared" ca="1" si="0"/>
        <v>#NAME?</v>
      </c>
      <c r="L142" s="24">
        <v>1964</v>
      </c>
      <c r="N142" s="21" t="s">
        <v>111</v>
      </c>
      <c r="O142" s="21" t="s">
        <v>112</v>
      </c>
      <c r="P142" s="26">
        <v>7382874712</v>
      </c>
      <c r="Q142" s="26" t="e">
        <f t="shared" ca="1" si="1"/>
        <v>#NAME?</v>
      </c>
      <c r="R142" s="21" t="s">
        <v>1462</v>
      </c>
      <c r="S142" s="21" t="s">
        <v>1463</v>
      </c>
      <c r="T142" s="21" t="s">
        <v>1463</v>
      </c>
      <c r="U142" s="21" t="s">
        <v>1465</v>
      </c>
      <c r="V142" s="21" t="s">
        <v>1465</v>
      </c>
      <c r="W142" s="21" t="s">
        <v>328</v>
      </c>
      <c r="X142" s="21" t="s">
        <v>571</v>
      </c>
      <c r="Y142" s="21" t="s">
        <v>1466</v>
      </c>
      <c r="Z142" s="21" t="s">
        <v>127</v>
      </c>
      <c r="AA142" s="21" t="s">
        <v>1467</v>
      </c>
      <c r="AB142" s="21" t="s">
        <v>129</v>
      </c>
      <c r="AC142" s="21" t="s">
        <v>1468</v>
      </c>
      <c r="AD142" s="21" t="s">
        <v>287</v>
      </c>
      <c r="AE142" s="21" t="s">
        <v>133</v>
      </c>
      <c r="AF142" s="21" t="s">
        <v>135</v>
      </c>
      <c r="AG142" s="21" t="s">
        <v>135</v>
      </c>
      <c r="AH142" s="21" t="s">
        <v>135</v>
      </c>
      <c r="AI142" s="21" t="s">
        <v>135</v>
      </c>
      <c r="AJ142" s="21" t="s">
        <v>1469</v>
      </c>
    </row>
    <row r="143" spans="1:36" ht="15.75" customHeight="1" x14ac:dyDescent="0.3">
      <c r="A143" s="21">
        <v>2024</v>
      </c>
      <c r="B143" s="22">
        <v>45652.409554641199</v>
      </c>
      <c r="C143" s="21" t="s">
        <v>183</v>
      </c>
      <c r="D143" s="21" t="s">
        <v>183</v>
      </c>
      <c r="E143" s="21" t="s">
        <v>183</v>
      </c>
      <c r="F143" s="21" t="s">
        <v>183</v>
      </c>
      <c r="G143" s="21" t="s">
        <v>256</v>
      </c>
      <c r="H143" s="21" t="s">
        <v>1470</v>
      </c>
      <c r="I143" s="21" t="s">
        <v>1471</v>
      </c>
      <c r="J143" s="21" t="s">
        <v>1472</v>
      </c>
      <c r="K143" s="21" t="e">
        <f t="shared" ca="1" si="0"/>
        <v>#NAME?</v>
      </c>
      <c r="L143" s="24">
        <v>2016</v>
      </c>
      <c r="N143" s="21" t="s">
        <v>111</v>
      </c>
      <c r="O143" s="21" t="s">
        <v>112</v>
      </c>
      <c r="P143" s="26">
        <v>9560141585</v>
      </c>
      <c r="Q143" s="26" t="e">
        <f t="shared" ca="1" si="1"/>
        <v>#NAME?</v>
      </c>
      <c r="R143" s="21" t="s">
        <v>1473</v>
      </c>
      <c r="S143" s="21" t="s">
        <v>1474</v>
      </c>
      <c r="T143" s="21" t="s">
        <v>1474</v>
      </c>
      <c r="U143" s="21" t="s">
        <v>1475</v>
      </c>
      <c r="V143" s="21" t="s">
        <v>1475</v>
      </c>
      <c r="W143" s="21" t="s">
        <v>951</v>
      </c>
      <c r="X143" s="21" t="s">
        <v>1235</v>
      </c>
      <c r="Y143" s="21" t="s">
        <v>1476</v>
      </c>
      <c r="Z143" s="21" t="s">
        <v>1477</v>
      </c>
      <c r="AA143" s="21" t="s">
        <v>1478</v>
      </c>
      <c r="AB143" s="21" t="s">
        <v>1423</v>
      </c>
      <c r="AC143" s="21" t="s">
        <v>1479</v>
      </c>
      <c r="AD143" s="21" t="s">
        <v>132</v>
      </c>
      <c r="AE143" s="21" t="s">
        <v>332</v>
      </c>
      <c r="AF143" s="21" t="s">
        <v>135</v>
      </c>
      <c r="AG143" s="21" t="s">
        <v>135</v>
      </c>
      <c r="AH143" s="21" t="s">
        <v>135</v>
      </c>
      <c r="AI143" s="21" t="s">
        <v>135</v>
      </c>
    </row>
    <row r="144" spans="1:36" ht="15.75" customHeight="1" x14ac:dyDescent="0.3">
      <c r="A144" s="21">
        <v>2024</v>
      </c>
      <c r="B144" s="22">
        <v>45654.75272167824</v>
      </c>
      <c r="C144" s="21" t="s">
        <v>183</v>
      </c>
      <c r="D144" s="21" t="s">
        <v>183</v>
      </c>
      <c r="E144" s="21" t="s">
        <v>183</v>
      </c>
      <c r="F144" s="21" t="s">
        <v>183</v>
      </c>
      <c r="G144" s="21" t="s">
        <v>256</v>
      </c>
      <c r="H144" s="21" t="s">
        <v>1480</v>
      </c>
      <c r="I144" s="21" t="s">
        <v>1115</v>
      </c>
      <c r="J144" s="21" t="s">
        <v>1116</v>
      </c>
      <c r="K144" s="21" t="e">
        <f t="shared" ca="1" si="0"/>
        <v>#NAME?</v>
      </c>
      <c r="L144" s="24">
        <v>2014</v>
      </c>
      <c r="N144" s="21" t="s">
        <v>402</v>
      </c>
      <c r="O144" s="21" t="s">
        <v>316</v>
      </c>
      <c r="P144" s="26">
        <v>6104573193</v>
      </c>
      <c r="Q144" s="26" t="e">
        <f t="shared" ca="1" si="1"/>
        <v>#NAME?</v>
      </c>
      <c r="R144" s="21" t="s">
        <v>1481</v>
      </c>
      <c r="S144" s="21" t="s">
        <v>1482</v>
      </c>
      <c r="T144" s="21" t="s">
        <v>1482</v>
      </c>
      <c r="U144" s="21" t="s">
        <v>1483</v>
      </c>
      <c r="V144" s="21" t="s">
        <v>1483</v>
      </c>
      <c r="W144" s="21" t="s">
        <v>307</v>
      </c>
      <c r="X144" s="21" t="s">
        <v>308</v>
      </c>
      <c r="Y144" s="21" t="s">
        <v>1484</v>
      </c>
      <c r="Z144" s="21" t="s">
        <v>1485</v>
      </c>
      <c r="AA144" s="21" t="s">
        <v>1486</v>
      </c>
      <c r="AB144" s="21" t="s">
        <v>563</v>
      </c>
      <c r="AC144" s="21" t="s">
        <v>1487</v>
      </c>
      <c r="AD144" s="21" t="s">
        <v>169</v>
      </c>
      <c r="AE144" s="21" t="s">
        <v>133</v>
      </c>
      <c r="AF144" s="21" t="s">
        <v>135</v>
      </c>
      <c r="AG144" s="21" t="s">
        <v>135</v>
      </c>
      <c r="AH144" s="21" t="s">
        <v>135</v>
      </c>
      <c r="AI144" s="21" t="s">
        <v>135</v>
      </c>
      <c r="AJ144" s="21" t="s">
        <v>1488</v>
      </c>
    </row>
    <row r="145" spans="1:36" ht="15.75" customHeight="1" x14ac:dyDescent="0.3">
      <c r="A145" s="21">
        <v>2025</v>
      </c>
      <c r="B145" s="22">
        <v>45666.023911111115</v>
      </c>
      <c r="C145" s="21" t="s">
        <v>183</v>
      </c>
      <c r="D145" s="21" t="s">
        <v>183</v>
      </c>
      <c r="E145" s="21" t="s">
        <v>183</v>
      </c>
      <c r="F145" s="21" t="s">
        <v>183</v>
      </c>
      <c r="G145" s="21" t="s">
        <v>93</v>
      </c>
      <c r="H145" s="21" t="s">
        <v>1489</v>
      </c>
      <c r="I145" s="21" t="s">
        <v>1490</v>
      </c>
      <c r="J145" s="21" t="s">
        <v>1491</v>
      </c>
      <c r="K145" s="21" t="e">
        <f t="shared" ca="1" si="0"/>
        <v>#NAME?</v>
      </c>
      <c r="L145" s="24">
        <v>1963</v>
      </c>
      <c r="N145" s="21" t="s">
        <v>111</v>
      </c>
      <c r="O145" s="21" t="s">
        <v>112</v>
      </c>
      <c r="P145" s="26">
        <v>9441222203</v>
      </c>
      <c r="Q145" s="26" t="e">
        <f t="shared" ca="1" si="1"/>
        <v>#NAME?</v>
      </c>
      <c r="R145" s="21" t="s">
        <v>118</v>
      </c>
      <c r="S145" s="21" t="s">
        <v>1492</v>
      </c>
      <c r="T145" s="21" t="s">
        <v>1492</v>
      </c>
      <c r="U145" s="21" t="s">
        <v>1493</v>
      </c>
      <c r="V145" s="21" t="s">
        <v>1493</v>
      </c>
      <c r="W145" s="21" t="s">
        <v>307</v>
      </c>
      <c r="X145" s="21" t="s">
        <v>179</v>
      </c>
      <c r="Y145" s="21" t="s">
        <v>1494</v>
      </c>
      <c r="Z145" s="21" t="s">
        <v>127</v>
      </c>
      <c r="AA145" s="21" t="s">
        <v>1495</v>
      </c>
      <c r="AB145" s="21" t="s">
        <v>129</v>
      </c>
      <c r="AC145" s="21" t="s">
        <v>1496</v>
      </c>
      <c r="AD145" s="21" t="s">
        <v>287</v>
      </c>
      <c r="AE145" s="21" t="s">
        <v>133</v>
      </c>
      <c r="AF145" s="21" t="s">
        <v>135</v>
      </c>
      <c r="AG145" s="21" t="s">
        <v>135</v>
      </c>
      <c r="AH145" s="21" t="s">
        <v>135</v>
      </c>
      <c r="AI145" s="21" t="s">
        <v>135</v>
      </c>
      <c r="AJ145" s="21" t="s">
        <v>1497</v>
      </c>
    </row>
    <row r="146" spans="1:36" ht="15.75" customHeight="1" x14ac:dyDescent="0.3">
      <c r="A146" s="21">
        <v>2025</v>
      </c>
      <c r="B146" s="22">
        <v>45666.91177450231</v>
      </c>
      <c r="C146" s="21" t="s">
        <v>183</v>
      </c>
      <c r="D146" s="21" t="s">
        <v>183</v>
      </c>
      <c r="E146" s="21" t="s">
        <v>183</v>
      </c>
      <c r="F146" s="21" t="s">
        <v>183</v>
      </c>
      <c r="G146" s="21" t="s">
        <v>93</v>
      </c>
      <c r="H146" s="21" t="s">
        <v>1498</v>
      </c>
      <c r="I146" s="21" t="s">
        <v>1499</v>
      </c>
      <c r="J146" s="21" t="s">
        <v>1500</v>
      </c>
      <c r="K146" s="21" t="e">
        <f t="shared" ca="1" si="0"/>
        <v>#NAME?</v>
      </c>
      <c r="L146" s="24">
        <v>1982</v>
      </c>
      <c r="N146" s="21" t="s">
        <v>474</v>
      </c>
      <c r="O146" s="21" t="s">
        <v>316</v>
      </c>
      <c r="P146" s="26">
        <v>4046619333</v>
      </c>
      <c r="Q146" s="26" t="e">
        <f t="shared" ca="1" si="1"/>
        <v>#NAME?</v>
      </c>
      <c r="R146" s="21" t="s">
        <v>1501</v>
      </c>
      <c r="S146" s="21" t="s">
        <v>127</v>
      </c>
      <c r="T146" s="21" t="s">
        <v>127</v>
      </c>
      <c r="U146" s="21" t="s">
        <v>1502</v>
      </c>
      <c r="V146" s="21" t="s">
        <v>1502</v>
      </c>
      <c r="W146" s="21" t="s">
        <v>686</v>
      </c>
      <c r="X146" s="21" t="s">
        <v>179</v>
      </c>
      <c r="Y146" s="21" t="s">
        <v>179</v>
      </c>
      <c r="Z146" s="21" t="s">
        <v>127</v>
      </c>
      <c r="AA146" s="21" t="s">
        <v>1503</v>
      </c>
      <c r="AB146" s="21" t="s">
        <v>129</v>
      </c>
      <c r="AC146" s="21" t="s">
        <v>1504</v>
      </c>
      <c r="AD146" s="21" t="s">
        <v>132</v>
      </c>
      <c r="AE146" s="21" t="s">
        <v>133</v>
      </c>
      <c r="AF146" s="21" t="s">
        <v>686</v>
      </c>
      <c r="AG146" s="21" t="s">
        <v>135</v>
      </c>
      <c r="AH146" s="21" t="s">
        <v>135</v>
      </c>
      <c r="AI146" s="21" t="s">
        <v>135</v>
      </c>
    </row>
    <row r="147" spans="1:36" ht="15.75" customHeight="1" x14ac:dyDescent="0.3">
      <c r="A147" s="21">
        <v>2025</v>
      </c>
      <c r="B147" s="22">
        <v>45667.273515844907</v>
      </c>
      <c r="C147" s="21" t="s">
        <v>183</v>
      </c>
      <c r="D147" s="21" t="s">
        <v>183</v>
      </c>
      <c r="E147" s="21" t="s">
        <v>183</v>
      </c>
      <c r="F147" s="21" t="s">
        <v>183</v>
      </c>
      <c r="G147" s="21" t="s">
        <v>93</v>
      </c>
      <c r="H147" s="21" t="s">
        <v>1505</v>
      </c>
      <c r="I147" s="21" t="s">
        <v>281</v>
      </c>
      <c r="J147" s="21" t="s">
        <v>1506</v>
      </c>
      <c r="K147" s="21" t="e">
        <f t="shared" ca="1" si="0"/>
        <v>#NAME?</v>
      </c>
      <c r="L147" s="24">
        <v>1969</v>
      </c>
      <c r="N147" s="21" t="s">
        <v>111</v>
      </c>
      <c r="O147" s="21" t="s">
        <v>112</v>
      </c>
      <c r="P147" s="26">
        <v>9393474374</v>
      </c>
      <c r="Q147" s="26" t="e">
        <f t="shared" ca="1" si="1"/>
        <v>#NAME?</v>
      </c>
      <c r="R147" s="21" t="s">
        <v>485</v>
      </c>
      <c r="S147" s="21" t="s">
        <v>1507</v>
      </c>
      <c r="T147" s="21" t="s">
        <v>1507</v>
      </c>
      <c r="U147" s="21" t="s">
        <v>1508</v>
      </c>
      <c r="V147" s="21" t="s">
        <v>1508</v>
      </c>
      <c r="W147" s="21" t="s">
        <v>307</v>
      </c>
      <c r="X147" s="21" t="s">
        <v>1509</v>
      </c>
      <c r="Y147" s="21" t="s">
        <v>1510</v>
      </c>
      <c r="Z147" s="21" t="s">
        <v>127</v>
      </c>
      <c r="AA147" s="21" t="s">
        <v>1511</v>
      </c>
      <c r="AB147" s="21" t="s">
        <v>129</v>
      </c>
      <c r="AC147" s="21" t="s">
        <v>1512</v>
      </c>
      <c r="AD147" s="21" t="s">
        <v>287</v>
      </c>
      <c r="AE147" s="21" t="s">
        <v>133</v>
      </c>
      <c r="AF147" s="21" t="s">
        <v>135</v>
      </c>
      <c r="AG147" s="21" t="s">
        <v>135</v>
      </c>
      <c r="AH147" s="21" t="s">
        <v>135</v>
      </c>
      <c r="AI147" s="21" t="s">
        <v>135</v>
      </c>
      <c r="AJ147" s="21" t="s">
        <v>1513</v>
      </c>
    </row>
    <row r="148" spans="1:36" ht="15.75" customHeight="1" x14ac:dyDescent="0.3">
      <c r="A148" s="21">
        <v>2025</v>
      </c>
      <c r="B148" s="22">
        <v>45667.829882488426</v>
      </c>
      <c r="C148" s="21" t="s">
        <v>183</v>
      </c>
      <c r="D148" s="21" t="s">
        <v>183</v>
      </c>
      <c r="E148" s="21" t="s">
        <v>183</v>
      </c>
      <c r="F148" s="21" t="s">
        <v>183</v>
      </c>
      <c r="G148" s="21" t="s">
        <v>93</v>
      </c>
      <c r="H148" s="21" t="s">
        <v>1514</v>
      </c>
      <c r="I148" s="21" t="s">
        <v>982</v>
      </c>
      <c r="J148" s="21" t="s">
        <v>1515</v>
      </c>
      <c r="K148" s="21" t="e">
        <f t="shared" ca="1" si="0"/>
        <v>#NAME?</v>
      </c>
      <c r="L148" s="24">
        <v>1987</v>
      </c>
      <c r="N148" s="21" t="s">
        <v>474</v>
      </c>
      <c r="O148" s="21" t="s">
        <v>316</v>
      </c>
      <c r="P148" s="26">
        <v>8582429506</v>
      </c>
      <c r="Q148" s="26" t="e">
        <f t="shared" ca="1" si="1"/>
        <v>#NAME?</v>
      </c>
      <c r="R148" s="21" t="s">
        <v>1516</v>
      </c>
      <c r="S148" s="21" t="s">
        <v>1517</v>
      </c>
      <c r="T148" s="21" t="s">
        <v>1517</v>
      </c>
      <c r="U148" s="21" t="s">
        <v>1518</v>
      </c>
      <c r="V148" s="21" t="s">
        <v>1518</v>
      </c>
      <c r="W148" s="21" t="s">
        <v>1519</v>
      </c>
      <c r="X148" s="21" t="s">
        <v>179</v>
      </c>
      <c r="Y148" s="21" t="s">
        <v>1520</v>
      </c>
      <c r="Z148" s="21" t="s">
        <v>127</v>
      </c>
      <c r="AA148" s="21" t="s">
        <v>1521</v>
      </c>
      <c r="AB148" s="21" t="s">
        <v>129</v>
      </c>
      <c r="AC148" s="21" t="s">
        <v>1522</v>
      </c>
      <c r="AD148" s="21" t="s">
        <v>132</v>
      </c>
      <c r="AE148" s="21" t="s">
        <v>133</v>
      </c>
      <c r="AF148" s="21" t="s">
        <v>135</v>
      </c>
      <c r="AG148" s="21" t="s">
        <v>135</v>
      </c>
      <c r="AH148" s="21" t="s">
        <v>135</v>
      </c>
      <c r="AI148" s="21" t="s">
        <v>135</v>
      </c>
    </row>
    <row r="149" spans="1:36" ht="15.75" customHeight="1" x14ac:dyDescent="0.3">
      <c r="A149" s="21">
        <v>2025</v>
      </c>
      <c r="B149" s="22">
        <v>45668.277297465276</v>
      </c>
      <c r="C149" s="21" t="s">
        <v>183</v>
      </c>
      <c r="D149" s="21" t="s">
        <v>183</v>
      </c>
      <c r="E149" s="21" t="s">
        <v>183</v>
      </c>
      <c r="F149" s="21" t="s">
        <v>183</v>
      </c>
      <c r="G149" s="21" t="s">
        <v>93</v>
      </c>
      <c r="H149" s="21" t="s">
        <v>1523</v>
      </c>
      <c r="I149" s="21" t="s">
        <v>1524</v>
      </c>
      <c r="J149" s="21" t="s">
        <v>1525</v>
      </c>
      <c r="K149" s="21" t="e">
        <f t="shared" ca="1" si="0"/>
        <v>#NAME?</v>
      </c>
      <c r="L149" s="24">
        <v>1970</v>
      </c>
      <c r="N149" s="21" t="s">
        <v>111</v>
      </c>
      <c r="O149" s="21" t="s">
        <v>112</v>
      </c>
      <c r="P149" s="26">
        <v>9500054858</v>
      </c>
      <c r="Q149" s="26" t="e">
        <f t="shared" ca="1" si="1"/>
        <v>#NAME?</v>
      </c>
      <c r="R149" s="21" t="s">
        <v>1526</v>
      </c>
      <c r="S149" s="21" t="s">
        <v>1527</v>
      </c>
      <c r="T149" s="21" t="s">
        <v>1527</v>
      </c>
      <c r="U149" s="21" t="s">
        <v>1528</v>
      </c>
      <c r="V149" s="21" t="s">
        <v>1528</v>
      </c>
      <c r="W149" s="21" t="s">
        <v>535</v>
      </c>
      <c r="X149" s="21" t="s">
        <v>616</v>
      </c>
      <c r="Y149" s="21" t="s">
        <v>1529</v>
      </c>
      <c r="Z149" s="21" t="s">
        <v>127</v>
      </c>
      <c r="AA149" s="21" t="s">
        <v>1530</v>
      </c>
      <c r="AB149" s="21" t="s">
        <v>129</v>
      </c>
      <c r="AC149" s="21" t="s">
        <v>1531</v>
      </c>
      <c r="AD149" s="21" t="s">
        <v>169</v>
      </c>
      <c r="AE149" s="21" t="s">
        <v>133</v>
      </c>
      <c r="AF149" s="21" t="s">
        <v>686</v>
      </c>
      <c r="AG149" s="21" t="s">
        <v>135</v>
      </c>
      <c r="AH149" s="21" t="s">
        <v>135</v>
      </c>
      <c r="AI149" s="21" t="s">
        <v>135</v>
      </c>
      <c r="AJ149" s="21" t="s">
        <v>1532</v>
      </c>
    </row>
    <row r="150" spans="1:36" ht="15.75" customHeight="1" x14ac:dyDescent="0.3">
      <c r="A150" s="21">
        <v>2025</v>
      </c>
      <c r="B150" s="22">
        <v>45675.352000636572</v>
      </c>
      <c r="C150" s="21" t="s">
        <v>183</v>
      </c>
      <c r="D150" s="21" t="s">
        <v>183</v>
      </c>
      <c r="E150" s="21" t="s">
        <v>183</v>
      </c>
      <c r="F150" s="21" t="s">
        <v>183</v>
      </c>
      <c r="G150" s="21" t="s">
        <v>93</v>
      </c>
      <c r="H150" s="21" t="s">
        <v>1533</v>
      </c>
      <c r="I150" s="21" t="s">
        <v>1534</v>
      </c>
      <c r="J150" s="21" t="s">
        <v>1535</v>
      </c>
      <c r="K150" s="21" t="e">
        <f t="shared" ca="1" si="0"/>
        <v>#NAME?</v>
      </c>
      <c r="L150" s="24">
        <v>1989</v>
      </c>
      <c r="N150" s="21" t="s">
        <v>111</v>
      </c>
      <c r="O150" s="21" t="s">
        <v>112</v>
      </c>
      <c r="P150" s="26">
        <v>9884178605</v>
      </c>
      <c r="Q150" s="26" t="e">
        <f t="shared" ca="1" si="1"/>
        <v>#NAME?</v>
      </c>
      <c r="R150" s="21" t="s">
        <v>1536</v>
      </c>
      <c r="S150" s="21" t="s">
        <v>1537</v>
      </c>
      <c r="T150" s="21" t="s">
        <v>1537</v>
      </c>
      <c r="U150" s="21" t="s">
        <v>1538</v>
      </c>
      <c r="V150" s="21" t="s">
        <v>1538</v>
      </c>
      <c r="W150" s="21" t="s">
        <v>1539</v>
      </c>
      <c r="X150" s="21" t="s">
        <v>375</v>
      </c>
      <c r="Y150" s="21" t="s">
        <v>1540</v>
      </c>
      <c r="Z150" s="21" t="s">
        <v>127</v>
      </c>
      <c r="AA150" s="21" t="s">
        <v>1541</v>
      </c>
      <c r="AB150" s="21" t="s">
        <v>129</v>
      </c>
      <c r="AC150" s="21" t="s">
        <v>1542</v>
      </c>
      <c r="AD150" s="21" t="s">
        <v>132</v>
      </c>
      <c r="AE150" s="21" t="s">
        <v>133</v>
      </c>
      <c r="AF150" s="21" t="s">
        <v>135</v>
      </c>
      <c r="AG150" s="21" t="s">
        <v>135</v>
      </c>
      <c r="AH150" s="21" t="s">
        <v>135</v>
      </c>
      <c r="AI150" s="21" t="s">
        <v>135</v>
      </c>
      <c r="AJ150" s="21" t="s">
        <v>1543</v>
      </c>
    </row>
    <row r="151" spans="1:36" ht="15.75" customHeight="1" x14ac:dyDescent="0.3">
      <c r="A151" s="21">
        <v>2025</v>
      </c>
      <c r="B151" s="22">
        <v>45675.87422805556</v>
      </c>
      <c r="C151" s="21" t="s">
        <v>183</v>
      </c>
      <c r="D151" s="21" t="s">
        <v>183</v>
      </c>
      <c r="E151" s="21" t="s">
        <v>183</v>
      </c>
      <c r="F151" s="21" t="s">
        <v>183</v>
      </c>
      <c r="G151" s="21" t="s">
        <v>93</v>
      </c>
      <c r="H151" s="21" t="s">
        <v>1544</v>
      </c>
      <c r="I151" s="21" t="s">
        <v>1208</v>
      </c>
      <c r="J151" s="21" t="s">
        <v>1545</v>
      </c>
      <c r="K151" s="21" t="e">
        <f t="shared" ca="1" si="0"/>
        <v>#NAME?</v>
      </c>
      <c r="L151" s="24">
        <v>1967</v>
      </c>
      <c r="N151" s="21" t="s">
        <v>111</v>
      </c>
      <c r="O151" s="21" t="s">
        <v>112</v>
      </c>
      <c r="P151" s="26">
        <v>9949100942</v>
      </c>
      <c r="Q151" s="26" t="e">
        <f t="shared" ca="1" si="1"/>
        <v>#NAME?</v>
      </c>
      <c r="R151" s="21" t="s">
        <v>118</v>
      </c>
      <c r="S151" s="21" t="s">
        <v>1546</v>
      </c>
      <c r="T151" s="21" t="s">
        <v>1546</v>
      </c>
      <c r="U151" s="21" t="s">
        <v>1547</v>
      </c>
      <c r="V151" s="21" t="s">
        <v>1547</v>
      </c>
      <c r="W151" s="21" t="s">
        <v>706</v>
      </c>
      <c r="X151" s="21" t="s">
        <v>467</v>
      </c>
      <c r="Y151" s="21" t="s">
        <v>467</v>
      </c>
      <c r="Z151" s="21" t="s">
        <v>284</v>
      </c>
      <c r="AA151" s="21" t="s">
        <v>1548</v>
      </c>
      <c r="AB151" s="21" t="s">
        <v>129</v>
      </c>
      <c r="AC151" s="21" t="s">
        <v>1549</v>
      </c>
      <c r="AD151" s="21" t="s">
        <v>132</v>
      </c>
      <c r="AE151" s="21" t="s">
        <v>332</v>
      </c>
      <c r="AF151" s="21" t="s">
        <v>135</v>
      </c>
      <c r="AG151" s="21" t="s">
        <v>135</v>
      </c>
      <c r="AH151" s="21" t="s">
        <v>135</v>
      </c>
      <c r="AI151" s="21" t="s">
        <v>135</v>
      </c>
      <c r="AJ151" s="21" t="s">
        <v>1550</v>
      </c>
    </row>
    <row r="152" spans="1:36" ht="15.75" customHeight="1" x14ac:dyDescent="0.3">
      <c r="A152" s="21">
        <v>2025</v>
      </c>
      <c r="B152" s="22">
        <v>45676.105293796296</v>
      </c>
      <c r="C152" s="21" t="s">
        <v>183</v>
      </c>
      <c r="D152" s="21" t="s">
        <v>183</v>
      </c>
      <c r="E152" s="21" t="s">
        <v>183</v>
      </c>
      <c r="F152" s="21" t="s">
        <v>183</v>
      </c>
      <c r="G152" s="21" t="s">
        <v>93</v>
      </c>
      <c r="H152" s="21" t="s">
        <v>1553</v>
      </c>
      <c r="I152" s="21" t="s">
        <v>1554</v>
      </c>
      <c r="J152" s="21" t="s">
        <v>1555</v>
      </c>
      <c r="K152" s="21" t="e">
        <f t="shared" ca="1" si="0"/>
        <v>#NAME?</v>
      </c>
      <c r="L152" s="24">
        <v>1982</v>
      </c>
      <c r="N152" s="21" t="s">
        <v>111</v>
      </c>
      <c r="O152" s="21" t="s">
        <v>112</v>
      </c>
      <c r="P152" s="26">
        <v>8089085859</v>
      </c>
      <c r="Q152" s="26" t="e">
        <f t="shared" ca="1" si="1"/>
        <v>#NAME?</v>
      </c>
      <c r="R152" s="21" t="s">
        <v>118</v>
      </c>
      <c r="S152" s="21" t="s">
        <v>1556</v>
      </c>
      <c r="T152" s="21" t="s">
        <v>1556</v>
      </c>
      <c r="U152" s="21" t="s">
        <v>1557</v>
      </c>
      <c r="V152" s="21" t="s">
        <v>1557</v>
      </c>
      <c r="W152" s="21" t="s">
        <v>307</v>
      </c>
      <c r="X152" s="21" t="s">
        <v>536</v>
      </c>
      <c r="Y152" s="21" t="s">
        <v>536</v>
      </c>
      <c r="Z152" s="21" t="s">
        <v>127</v>
      </c>
      <c r="AA152" s="21" t="s">
        <v>1558</v>
      </c>
      <c r="AB152" s="21" t="s">
        <v>129</v>
      </c>
      <c r="AC152" s="21" t="s">
        <v>1559</v>
      </c>
      <c r="AD152" s="21" t="s">
        <v>132</v>
      </c>
      <c r="AE152" s="21" t="s">
        <v>133</v>
      </c>
      <c r="AF152" s="21" t="s">
        <v>135</v>
      </c>
      <c r="AG152" s="21" t="s">
        <v>135</v>
      </c>
      <c r="AH152" s="21" t="s">
        <v>135</v>
      </c>
      <c r="AI152" s="21" t="s">
        <v>135</v>
      </c>
      <c r="AJ152" s="21" t="s">
        <v>1560</v>
      </c>
    </row>
    <row r="153" spans="1:36" ht="15.75" customHeight="1" x14ac:dyDescent="0.3">
      <c r="A153" s="21">
        <v>2025</v>
      </c>
      <c r="B153" s="22">
        <v>45676.343602280089</v>
      </c>
      <c r="C153" s="21" t="s">
        <v>183</v>
      </c>
      <c r="D153" s="21" t="s">
        <v>183</v>
      </c>
      <c r="E153" s="21" t="s">
        <v>183</v>
      </c>
      <c r="F153" s="21" t="s">
        <v>183</v>
      </c>
      <c r="G153" s="21" t="s">
        <v>93</v>
      </c>
      <c r="H153" s="21" t="s">
        <v>1561</v>
      </c>
      <c r="I153" s="21" t="s">
        <v>1562</v>
      </c>
      <c r="J153" s="21" t="s">
        <v>1563</v>
      </c>
      <c r="K153" s="21" t="e">
        <f t="shared" ca="1" si="0"/>
        <v>#NAME?</v>
      </c>
      <c r="L153" s="24">
        <v>1976</v>
      </c>
      <c r="N153" s="21" t="s">
        <v>402</v>
      </c>
      <c r="O153" s="21" t="s">
        <v>316</v>
      </c>
      <c r="P153" s="26">
        <v>5715087449</v>
      </c>
      <c r="Q153" s="26" t="e">
        <f t="shared" ca="1" si="1"/>
        <v>#NAME?</v>
      </c>
      <c r="R153" s="21" t="s">
        <v>1564</v>
      </c>
      <c r="S153" s="21" t="s">
        <v>1565</v>
      </c>
      <c r="T153" s="21" t="s">
        <v>1565</v>
      </c>
      <c r="U153" s="21" t="s">
        <v>1566</v>
      </c>
      <c r="V153" s="21" t="s">
        <v>1566</v>
      </c>
      <c r="W153" s="21" t="s">
        <v>307</v>
      </c>
      <c r="X153" s="21" t="s">
        <v>179</v>
      </c>
      <c r="Y153" s="21" t="s">
        <v>179</v>
      </c>
      <c r="Z153" s="21" t="s">
        <v>127</v>
      </c>
      <c r="AA153" s="21" t="s">
        <v>450</v>
      </c>
      <c r="AB153" s="21" t="s">
        <v>129</v>
      </c>
      <c r="AC153" s="21" t="s">
        <v>1567</v>
      </c>
      <c r="AD153" s="21" t="s">
        <v>132</v>
      </c>
      <c r="AE153" s="21" t="s">
        <v>133</v>
      </c>
      <c r="AF153" s="21" t="s">
        <v>135</v>
      </c>
      <c r="AG153" s="21" t="s">
        <v>135</v>
      </c>
      <c r="AH153" s="21" t="s">
        <v>135</v>
      </c>
      <c r="AI153" s="21" t="s">
        <v>135</v>
      </c>
    </row>
    <row r="154" spans="1:36" ht="15.75" customHeight="1" x14ac:dyDescent="0.3">
      <c r="A154" s="21">
        <v>2025</v>
      </c>
      <c r="B154" s="22">
        <v>45676.357156944447</v>
      </c>
      <c r="C154" s="21" t="s">
        <v>183</v>
      </c>
      <c r="D154" s="21" t="s">
        <v>183</v>
      </c>
      <c r="E154" s="21" t="s">
        <v>183</v>
      </c>
      <c r="F154" s="21" t="s">
        <v>183</v>
      </c>
      <c r="G154" s="21" t="s">
        <v>93</v>
      </c>
      <c r="H154" s="21" t="s">
        <v>1568</v>
      </c>
      <c r="I154" s="21" t="s">
        <v>1569</v>
      </c>
      <c r="J154" s="21" t="s">
        <v>1570</v>
      </c>
      <c r="K154" s="21" t="e">
        <f t="shared" ca="1" si="0"/>
        <v>#NAME?</v>
      </c>
      <c r="L154" s="24">
        <v>1963</v>
      </c>
      <c r="N154" s="21" t="s">
        <v>111</v>
      </c>
      <c r="O154" s="21" t="s">
        <v>112</v>
      </c>
      <c r="P154" s="26">
        <v>8885561543</v>
      </c>
      <c r="Q154" s="26" t="e">
        <f t="shared" ca="1" si="1"/>
        <v>#NAME?</v>
      </c>
      <c r="R154" s="21" t="s">
        <v>188</v>
      </c>
      <c r="S154" s="21" t="s">
        <v>1571</v>
      </c>
      <c r="T154" s="21" t="s">
        <v>1571</v>
      </c>
      <c r="U154" s="21" t="s">
        <v>1572</v>
      </c>
      <c r="V154" s="21" t="s">
        <v>1572</v>
      </c>
      <c r="W154" s="21" t="s">
        <v>219</v>
      </c>
      <c r="X154" s="21" t="s">
        <v>1573</v>
      </c>
      <c r="Y154" s="21" t="s">
        <v>221</v>
      </c>
      <c r="Z154" s="21" t="s">
        <v>284</v>
      </c>
      <c r="AA154" s="21" t="s">
        <v>1574</v>
      </c>
      <c r="AB154" s="21" t="s">
        <v>129</v>
      </c>
      <c r="AC154" s="21" t="s">
        <v>1575</v>
      </c>
      <c r="AD154" s="21" t="s">
        <v>132</v>
      </c>
      <c r="AE154" s="21" t="s">
        <v>133</v>
      </c>
      <c r="AF154" s="21" t="s">
        <v>135</v>
      </c>
      <c r="AG154" s="21" t="s">
        <v>135</v>
      </c>
      <c r="AH154" s="21" t="s">
        <v>135</v>
      </c>
      <c r="AI154" s="21" t="s">
        <v>135</v>
      </c>
      <c r="AJ154" s="21" t="s">
        <v>1576</v>
      </c>
    </row>
    <row r="155" spans="1:36" ht="15.75" customHeight="1" x14ac:dyDescent="0.3">
      <c r="A155" s="21">
        <v>2025</v>
      </c>
      <c r="B155" s="22">
        <v>45676.912691273144</v>
      </c>
      <c r="C155" s="21" t="s">
        <v>183</v>
      </c>
      <c r="D155" s="21" t="s">
        <v>183</v>
      </c>
      <c r="E155" s="21" t="s">
        <v>183</v>
      </c>
      <c r="F155" s="21" t="s">
        <v>183</v>
      </c>
      <c r="G155" s="21" t="s">
        <v>93</v>
      </c>
      <c r="H155" s="21" t="s">
        <v>1577</v>
      </c>
      <c r="I155" s="21" t="s">
        <v>313</v>
      </c>
      <c r="J155" s="21" t="s">
        <v>1578</v>
      </c>
      <c r="K155" s="21" t="e">
        <f t="shared" ca="1" si="0"/>
        <v>#NAME?</v>
      </c>
      <c r="L155" s="24">
        <v>1987</v>
      </c>
      <c r="N155" s="21" t="s">
        <v>315</v>
      </c>
      <c r="O155" s="21" t="s">
        <v>316</v>
      </c>
      <c r="P155" s="26">
        <v>2487970532</v>
      </c>
      <c r="Q155" s="26" t="e">
        <f t="shared" ca="1" si="1"/>
        <v>#NAME?</v>
      </c>
      <c r="R155" s="21" t="s">
        <v>1324</v>
      </c>
      <c r="S155" s="21" t="s">
        <v>1579</v>
      </c>
      <c r="T155" s="21" t="s">
        <v>1579</v>
      </c>
      <c r="U155" s="21" t="s">
        <v>1580</v>
      </c>
      <c r="V155" s="21" t="s">
        <v>1580</v>
      </c>
      <c r="W155" s="21" t="s">
        <v>123</v>
      </c>
      <c r="X155" s="21" t="s">
        <v>179</v>
      </c>
      <c r="Y155" s="21" t="s">
        <v>707</v>
      </c>
      <c r="Z155" s="21" t="s">
        <v>127</v>
      </c>
      <c r="AA155" s="21" t="s">
        <v>1581</v>
      </c>
      <c r="AB155" s="21" t="s">
        <v>129</v>
      </c>
      <c r="AC155" s="21" t="s">
        <v>1582</v>
      </c>
      <c r="AD155" s="21" t="s">
        <v>287</v>
      </c>
      <c r="AE155" s="21" t="s">
        <v>133</v>
      </c>
      <c r="AF155" s="21" t="s">
        <v>135</v>
      </c>
      <c r="AG155" s="21" t="s">
        <v>135</v>
      </c>
      <c r="AH155" s="21" t="s">
        <v>135</v>
      </c>
      <c r="AI155" s="21" t="s">
        <v>135</v>
      </c>
    </row>
    <row r="156" spans="1:36" ht="15.75" customHeight="1" x14ac:dyDescent="0.3">
      <c r="A156" s="21">
        <v>2025</v>
      </c>
      <c r="B156" s="22">
        <v>45678.423867280093</v>
      </c>
      <c r="C156" s="21" t="s">
        <v>183</v>
      </c>
      <c r="D156" s="21" t="s">
        <v>183</v>
      </c>
      <c r="E156" s="21" t="s">
        <v>183</v>
      </c>
      <c r="F156" s="21" t="s">
        <v>183</v>
      </c>
      <c r="G156" s="21" t="s">
        <v>93</v>
      </c>
      <c r="H156" s="21" t="s">
        <v>1583</v>
      </c>
      <c r="I156" s="21" t="s">
        <v>1562</v>
      </c>
      <c r="J156" s="21" t="s">
        <v>1584</v>
      </c>
      <c r="K156" s="21" t="e">
        <f t="shared" ca="1" si="0"/>
        <v>#NAME?</v>
      </c>
      <c r="L156" s="24">
        <v>1990</v>
      </c>
      <c r="N156" s="21" t="s">
        <v>111</v>
      </c>
      <c r="O156" s="21" t="s">
        <v>112</v>
      </c>
      <c r="P156" s="26">
        <v>9848756299</v>
      </c>
      <c r="Q156" s="26" t="e">
        <f t="shared" ca="1" si="1"/>
        <v>#NAME?</v>
      </c>
      <c r="R156" s="21" t="s">
        <v>715</v>
      </c>
      <c r="S156" s="21" t="s">
        <v>1585</v>
      </c>
      <c r="T156" s="21" t="s">
        <v>1585</v>
      </c>
      <c r="U156" s="21" t="s">
        <v>1586</v>
      </c>
      <c r="V156" s="21" t="s">
        <v>1586</v>
      </c>
      <c r="W156" s="21" t="s">
        <v>706</v>
      </c>
      <c r="X156" s="21" t="s">
        <v>179</v>
      </c>
      <c r="Y156" s="21" t="s">
        <v>179</v>
      </c>
      <c r="Z156" s="21" t="s">
        <v>1584</v>
      </c>
      <c r="AA156" s="21" t="s">
        <v>1587</v>
      </c>
      <c r="AB156" s="21" t="s">
        <v>1423</v>
      </c>
      <c r="AC156" s="21" t="s">
        <v>1588</v>
      </c>
      <c r="AD156" s="21" t="s">
        <v>169</v>
      </c>
      <c r="AE156" s="21" t="s">
        <v>133</v>
      </c>
      <c r="AF156" s="21" t="s">
        <v>135</v>
      </c>
      <c r="AG156" s="21" t="s">
        <v>135</v>
      </c>
      <c r="AH156" s="21" t="s">
        <v>135</v>
      </c>
      <c r="AI156" s="21" t="s">
        <v>135</v>
      </c>
      <c r="AJ156" s="21" t="s">
        <v>1589</v>
      </c>
    </row>
    <row r="157" spans="1:36" ht="15.75" customHeight="1" x14ac:dyDescent="0.3">
      <c r="A157" s="21">
        <v>2025</v>
      </c>
      <c r="B157" s="22">
        <v>45678.969700995367</v>
      </c>
      <c r="C157" s="21" t="s">
        <v>183</v>
      </c>
      <c r="D157" s="21" t="s">
        <v>183</v>
      </c>
      <c r="E157" s="21" t="s">
        <v>183</v>
      </c>
      <c r="F157" s="21" t="s">
        <v>183</v>
      </c>
      <c r="G157" s="21" t="s">
        <v>93</v>
      </c>
      <c r="H157" s="21" t="s">
        <v>1590</v>
      </c>
      <c r="I157" s="21" t="s">
        <v>1591</v>
      </c>
      <c r="J157" s="21" t="s">
        <v>1592</v>
      </c>
      <c r="K157" s="21" t="e">
        <f t="shared" ca="1" si="0"/>
        <v>#NAME?</v>
      </c>
      <c r="L157" s="24">
        <v>1971</v>
      </c>
      <c r="N157" s="21" t="s">
        <v>315</v>
      </c>
      <c r="O157" s="21" t="s">
        <v>316</v>
      </c>
      <c r="P157" s="26">
        <v>7603053428</v>
      </c>
      <c r="Q157" s="26" t="e">
        <f t="shared" ca="1" si="1"/>
        <v>#NAME?</v>
      </c>
      <c r="R157" s="21" t="s">
        <v>1324</v>
      </c>
      <c r="S157" s="21" t="s">
        <v>1593</v>
      </c>
      <c r="T157" s="21" t="s">
        <v>1593</v>
      </c>
      <c r="U157" s="21" t="s">
        <v>1594</v>
      </c>
      <c r="V157" s="21" t="s">
        <v>1594</v>
      </c>
      <c r="W157" s="21" t="s">
        <v>328</v>
      </c>
      <c r="X157" s="21" t="s">
        <v>211</v>
      </c>
      <c r="Y157" s="21" t="s">
        <v>211</v>
      </c>
      <c r="Z157" s="21" t="s">
        <v>127</v>
      </c>
      <c r="AA157" s="21" t="s">
        <v>1595</v>
      </c>
      <c r="AB157" s="21" t="s">
        <v>129</v>
      </c>
      <c r="AC157" s="21" t="s">
        <v>1596</v>
      </c>
      <c r="AD157" s="21" t="s">
        <v>132</v>
      </c>
      <c r="AE157" s="21" t="s">
        <v>133</v>
      </c>
      <c r="AF157" s="21" t="s">
        <v>135</v>
      </c>
      <c r="AG157" s="21" t="s">
        <v>135</v>
      </c>
      <c r="AH157" s="21" t="s">
        <v>135</v>
      </c>
      <c r="AI157" s="21" t="s">
        <v>135</v>
      </c>
    </row>
    <row r="158" spans="1:36" ht="15.75" customHeight="1" x14ac:dyDescent="0.3">
      <c r="A158" s="21">
        <v>2025</v>
      </c>
      <c r="B158" s="22">
        <v>45681.910281030097</v>
      </c>
      <c r="C158" s="21" t="s">
        <v>183</v>
      </c>
      <c r="D158" s="21" t="s">
        <v>183</v>
      </c>
      <c r="E158" s="21" t="s">
        <v>183</v>
      </c>
      <c r="F158" s="21" t="s">
        <v>183</v>
      </c>
      <c r="G158" s="21" t="s">
        <v>93</v>
      </c>
      <c r="H158" s="21" t="s">
        <v>1597</v>
      </c>
      <c r="I158" s="21" t="s">
        <v>1598</v>
      </c>
      <c r="J158" s="21" t="s">
        <v>1599</v>
      </c>
      <c r="K158" s="21" t="e">
        <f t="shared" ca="1" si="0"/>
        <v>#NAME?</v>
      </c>
      <c r="L158" s="24">
        <v>1987</v>
      </c>
      <c r="N158" s="21" t="s">
        <v>402</v>
      </c>
      <c r="O158" s="21" t="s">
        <v>316</v>
      </c>
      <c r="P158" s="26">
        <v>5715998145</v>
      </c>
      <c r="Q158" s="26" t="e">
        <f t="shared" ca="1" si="1"/>
        <v>#NAME?</v>
      </c>
      <c r="R158" s="21" t="s">
        <v>1600</v>
      </c>
      <c r="S158" s="21" t="s">
        <v>1601</v>
      </c>
      <c r="T158" s="21" t="s">
        <v>1601</v>
      </c>
      <c r="U158" s="21" t="s">
        <v>1602</v>
      </c>
      <c r="V158" s="21" t="s">
        <v>1602</v>
      </c>
      <c r="W158" s="21" t="s">
        <v>191</v>
      </c>
      <c r="X158" s="21" t="s">
        <v>352</v>
      </c>
      <c r="Y158" s="21" t="s">
        <v>560</v>
      </c>
      <c r="Z158" s="21" t="s">
        <v>127</v>
      </c>
      <c r="AA158" s="21" t="s">
        <v>450</v>
      </c>
      <c r="AB158" s="21" t="s">
        <v>129</v>
      </c>
      <c r="AC158" s="21" t="s">
        <v>1603</v>
      </c>
      <c r="AD158" s="21" t="s">
        <v>132</v>
      </c>
      <c r="AE158" s="21" t="s">
        <v>133</v>
      </c>
      <c r="AF158" s="21" t="s">
        <v>135</v>
      </c>
      <c r="AG158" s="21" t="s">
        <v>135</v>
      </c>
      <c r="AH158" s="21" t="s">
        <v>135</v>
      </c>
      <c r="AI158" s="21" t="s">
        <v>135</v>
      </c>
    </row>
    <row r="159" spans="1:36" ht="15.75" customHeight="1" x14ac:dyDescent="0.3">
      <c r="A159" s="21">
        <v>2025</v>
      </c>
      <c r="B159" s="22">
        <v>45683.973721435184</v>
      </c>
      <c r="C159" s="21" t="s">
        <v>183</v>
      </c>
      <c r="D159" s="21" t="s">
        <v>183</v>
      </c>
      <c r="E159" s="21" t="s">
        <v>183</v>
      </c>
      <c r="F159" s="21" t="s">
        <v>183</v>
      </c>
      <c r="G159" s="21" t="s">
        <v>93</v>
      </c>
      <c r="H159" s="21" t="s">
        <v>1604</v>
      </c>
      <c r="I159" s="21" t="s">
        <v>937</v>
      </c>
      <c r="J159" s="21" t="s">
        <v>1605</v>
      </c>
      <c r="K159" s="21" t="e">
        <f t="shared" ca="1" si="0"/>
        <v>#NAME?</v>
      </c>
      <c r="L159" s="24">
        <v>1984</v>
      </c>
      <c r="N159" s="21" t="s">
        <v>474</v>
      </c>
      <c r="O159" s="21" t="s">
        <v>316</v>
      </c>
      <c r="P159" s="26">
        <v>6107724308</v>
      </c>
      <c r="Q159" s="26" t="e">
        <f t="shared" ca="1" si="1"/>
        <v>#NAME?</v>
      </c>
      <c r="R159" s="21" t="s">
        <v>1606</v>
      </c>
      <c r="S159" s="21" t="s">
        <v>1607</v>
      </c>
      <c r="T159" s="21" t="s">
        <v>1607</v>
      </c>
      <c r="U159" s="21" t="s">
        <v>1608</v>
      </c>
      <c r="V159" s="21" t="s">
        <v>1608</v>
      </c>
      <c r="W159" s="21" t="s">
        <v>488</v>
      </c>
      <c r="X159" s="21" t="s">
        <v>308</v>
      </c>
      <c r="Y159" s="21" t="s">
        <v>308</v>
      </c>
      <c r="Z159" s="21" t="s">
        <v>127</v>
      </c>
      <c r="AA159" s="21" t="s">
        <v>450</v>
      </c>
      <c r="AB159" s="21" t="s">
        <v>129</v>
      </c>
      <c r="AC159" s="21" t="s">
        <v>1609</v>
      </c>
      <c r="AD159" s="21" t="s">
        <v>132</v>
      </c>
      <c r="AE159" s="21" t="s">
        <v>133</v>
      </c>
      <c r="AF159" s="21" t="s">
        <v>135</v>
      </c>
      <c r="AG159" s="21" t="s">
        <v>135</v>
      </c>
      <c r="AH159" s="21" t="s">
        <v>135</v>
      </c>
      <c r="AI159" s="21" t="s">
        <v>135</v>
      </c>
    </row>
    <row r="160" spans="1:36" ht="15.75" customHeight="1" x14ac:dyDescent="0.3">
      <c r="A160" s="21">
        <v>2025</v>
      </c>
      <c r="B160" s="22">
        <v>45684.249933090279</v>
      </c>
      <c r="C160" s="21" t="s">
        <v>183</v>
      </c>
      <c r="D160" s="21" t="s">
        <v>183</v>
      </c>
      <c r="E160" s="21" t="s">
        <v>183</v>
      </c>
      <c r="F160" s="21" t="s">
        <v>183</v>
      </c>
      <c r="G160" s="21" t="s">
        <v>93</v>
      </c>
      <c r="H160" s="21" t="s">
        <v>1610</v>
      </c>
      <c r="I160" s="21" t="s">
        <v>1611</v>
      </c>
      <c r="J160" s="21" t="s">
        <v>1612</v>
      </c>
      <c r="K160" s="21" t="e">
        <f t="shared" ca="1" si="0"/>
        <v>#NAME?</v>
      </c>
      <c r="L160" s="24">
        <v>1987</v>
      </c>
      <c r="N160" s="21" t="s">
        <v>111</v>
      </c>
      <c r="O160" s="21" t="s">
        <v>112</v>
      </c>
      <c r="P160" s="26">
        <v>7799341219</v>
      </c>
      <c r="Q160" s="26" t="e">
        <f t="shared" ca="1" si="1"/>
        <v>#NAME?</v>
      </c>
      <c r="R160" s="21" t="s">
        <v>188</v>
      </c>
      <c r="S160" s="21" t="s">
        <v>1613</v>
      </c>
      <c r="T160" s="21" t="s">
        <v>1613</v>
      </c>
      <c r="U160" s="21" t="s">
        <v>1614</v>
      </c>
      <c r="V160" s="21" t="s">
        <v>1614</v>
      </c>
      <c r="W160" s="21" t="s">
        <v>219</v>
      </c>
      <c r="X160" s="21" t="s">
        <v>1615</v>
      </c>
      <c r="Y160" s="21" t="s">
        <v>537</v>
      </c>
      <c r="Z160" s="21" t="s">
        <v>127</v>
      </c>
      <c r="AA160" s="21" t="s">
        <v>1616</v>
      </c>
      <c r="AB160" s="21" t="s">
        <v>129</v>
      </c>
      <c r="AC160" s="21" t="s">
        <v>1617</v>
      </c>
      <c r="AD160" s="21" t="s">
        <v>132</v>
      </c>
      <c r="AE160" s="21" t="s">
        <v>133</v>
      </c>
      <c r="AF160" s="21" t="s">
        <v>135</v>
      </c>
      <c r="AG160" s="21" t="s">
        <v>135</v>
      </c>
      <c r="AH160" s="21" t="s">
        <v>135</v>
      </c>
      <c r="AI160" s="21" t="s">
        <v>135</v>
      </c>
      <c r="AJ160" s="21" t="s">
        <v>1618</v>
      </c>
    </row>
    <row r="161" spans="1:36" ht="15.75" customHeight="1" x14ac:dyDescent="0.3">
      <c r="A161" s="21">
        <v>2025</v>
      </c>
      <c r="B161" s="22">
        <v>45686.276279976853</v>
      </c>
      <c r="C161" s="21" t="s">
        <v>183</v>
      </c>
      <c r="D161" s="21" t="s">
        <v>183</v>
      </c>
      <c r="E161" s="21" t="s">
        <v>183</v>
      </c>
      <c r="F161" s="21" t="s">
        <v>183</v>
      </c>
      <c r="G161" s="21" t="s">
        <v>93</v>
      </c>
      <c r="H161" s="21" t="s">
        <v>1619</v>
      </c>
      <c r="I161" s="21" t="s">
        <v>750</v>
      </c>
      <c r="J161" s="21" t="s">
        <v>1620</v>
      </c>
      <c r="K161" s="21" t="e">
        <f t="shared" ca="1" si="0"/>
        <v>#NAME?</v>
      </c>
      <c r="L161" s="24">
        <v>1963</v>
      </c>
      <c r="N161" s="21" t="s">
        <v>111</v>
      </c>
      <c r="O161" s="21" t="s">
        <v>112</v>
      </c>
      <c r="P161" s="26">
        <v>9052220132</v>
      </c>
      <c r="Q161" s="26" t="e">
        <f t="shared" ca="1" si="1"/>
        <v>#NAME?</v>
      </c>
      <c r="R161" s="21" t="s">
        <v>118</v>
      </c>
      <c r="S161" s="21" t="s">
        <v>1621</v>
      </c>
      <c r="T161" s="21" t="s">
        <v>1621</v>
      </c>
      <c r="U161" s="21" t="s">
        <v>1622</v>
      </c>
      <c r="V161" s="21" t="s">
        <v>1622</v>
      </c>
      <c r="W161" s="21" t="s">
        <v>219</v>
      </c>
      <c r="X161" s="21" t="s">
        <v>1623</v>
      </c>
      <c r="Y161" s="21" t="s">
        <v>1624</v>
      </c>
      <c r="Z161" s="21" t="s">
        <v>127</v>
      </c>
      <c r="AA161" s="21" t="s">
        <v>1625</v>
      </c>
      <c r="AB161" s="21" t="s">
        <v>129</v>
      </c>
      <c r="AC161" s="21" t="s">
        <v>825</v>
      </c>
      <c r="AD161" s="21" t="s">
        <v>132</v>
      </c>
      <c r="AE161" s="21" t="s">
        <v>133</v>
      </c>
      <c r="AF161" s="21" t="s">
        <v>135</v>
      </c>
      <c r="AG161" s="21" t="s">
        <v>135</v>
      </c>
      <c r="AH161" s="21" t="s">
        <v>135</v>
      </c>
      <c r="AI161" s="21" t="s">
        <v>135</v>
      </c>
      <c r="AJ161" s="21" t="s">
        <v>725</v>
      </c>
    </row>
    <row r="162" spans="1:36" ht="15.75" customHeight="1" x14ac:dyDescent="0.3">
      <c r="A162" s="21">
        <v>2025</v>
      </c>
      <c r="B162" s="22">
        <v>45687.921364918977</v>
      </c>
      <c r="C162" s="21" t="s">
        <v>183</v>
      </c>
      <c r="D162" s="21" t="s">
        <v>183</v>
      </c>
      <c r="E162" s="21" t="s">
        <v>183</v>
      </c>
      <c r="F162" s="21" t="s">
        <v>183</v>
      </c>
      <c r="G162" s="21" t="s">
        <v>256</v>
      </c>
      <c r="H162" s="21" t="s">
        <v>1626</v>
      </c>
      <c r="I162" s="21" t="s">
        <v>1627</v>
      </c>
      <c r="J162" s="21" t="s">
        <v>1628</v>
      </c>
      <c r="K162" s="21" t="e">
        <f t="shared" ca="1" si="0"/>
        <v>#NAME?</v>
      </c>
      <c r="L162" s="24">
        <v>2012</v>
      </c>
      <c r="N162" s="21" t="s">
        <v>402</v>
      </c>
      <c r="O162" s="21" t="s">
        <v>316</v>
      </c>
      <c r="P162" s="26">
        <v>9394505050</v>
      </c>
      <c r="Q162" s="26" t="e">
        <f t="shared" ca="1" si="1"/>
        <v>#NAME?</v>
      </c>
      <c r="R162" s="21" t="s">
        <v>1629</v>
      </c>
      <c r="S162" s="21" t="s">
        <v>1630</v>
      </c>
      <c r="T162" s="21" t="s">
        <v>1630</v>
      </c>
      <c r="U162" s="21" t="s">
        <v>1631</v>
      </c>
      <c r="V162" s="21" t="s">
        <v>1631</v>
      </c>
      <c r="W162" s="21" t="s">
        <v>1633</v>
      </c>
      <c r="X162" s="21" t="s">
        <v>179</v>
      </c>
      <c r="Y162" s="21" t="s">
        <v>1634</v>
      </c>
      <c r="Z162" s="21" t="s">
        <v>1636</v>
      </c>
      <c r="AA162" s="21" t="s">
        <v>1637</v>
      </c>
      <c r="AB162" s="21" t="s">
        <v>408</v>
      </c>
      <c r="AC162" s="21" t="s">
        <v>1638</v>
      </c>
      <c r="AD162" s="21" t="s">
        <v>287</v>
      </c>
      <c r="AE162" s="21" t="s">
        <v>133</v>
      </c>
      <c r="AF162" s="21" t="s">
        <v>135</v>
      </c>
      <c r="AG162" s="21" t="s">
        <v>135</v>
      </c>
      <c r="AH162" s="21" t="s">
        <v>135</v>
      </c>
      <c r="AI162" s="21" t="s">
        <v>135</v>
      </c>
      <c r="AJ162" s="21" t="s">
        <v>1639</v>
      </c>
    </row>
    <row r="163" spans="1:36" ht="15.75" customHeight="1" x14ac:dyDescent="0.3">
      <c r="A163" s="21">
        <v>2025</v>
      </c>
      <c r="B163" s="22">
        <v>45688.844906921295</v>
      </c>
      <c r="C163" s="21" t="s">
        <v>183</v>
      </c>
      <c r="D163" s="21" t="s">
        <v>183</v>
      </c>
      <c r="E163" s="21" t="s">
        <v>183</v>
      </c>
      <c r="F163" s="21" t="s">
        <v>183</v>
      </c>
      <c r="G163" s="21" t="s">
        <v>256</v>
      </c>
      <c r="H163" s="21" t="s">
        <v>1640</v>
      </c>
      <c r="I163" s="21" t="s">
        <v>1641</v>
      </c>
      <c r="J163" s="21" t="s">
        <v>1642</v>
      </c>
      <c r="K163" s="21" t="e">
        <f t="shared" ca="1" si="0"/>
        <v>#NAME?</v>
      </c>
      <c r="L163" s="24">
        <v>2016</v>
      </c>
      <c r="N163" s="21" t="s">
        <v>402</v>
      </c>
      <c r="O163" s="21" t="s">
        <v>316</v>
      </c>
      <c r="P163" s="26">
        <v>3304610861</v>
      </c>
      <c r="Q163" s="26" t="e">
        <f t="shared" ca="1" si="1"/>
        <v>#NAME?</v>
      </c>
      <c r="R163" s="21" t="s">
        <v>1643</v>
      </c>
      <c r="S163" s="21" t="s">
        <v>1644</v>
      </c>
      <c r="T163" s="21" t="s">
        <v>1644</v>
      </c>
      <c r="U163" s="21" t="s">
        <v>1645</v>
      </c>
      <c r="V163" s="21" t="s">
        <v>1645</v>
      </c>
      <c r="W163" s="21" t="s">
        <v>307</v>
      </c>
      <c r="X163" s="21" t="s">
        <v>707</v>
      </c>
      <c r="Y163" s="21" t="s">
        <v>406</v>
      </c>
      <c r="Z163" s="21" t="s">
        <v>1646</v>
      </c>
      <c r="AA163" s="21" t="s">
        <v>1647</v>
      </c>
      <c r="AB163" s="21" t="s">
        <v>408</v>
      </c>
      <c r="AC163" s="21" t="s">
        <v>1648</v>
      </c>
      <c r="AD163" s="21" t="s">
        <v>132</v>
      </c>
      <c r="AE163" s="21" t="s">
        <v>133</v>
      </c>
      <c r="AF163" s="21" t="s">
        <v>135</v>
      </c>
      <c r="AG163" s="21" t="s">
        <v>135</v>
      </c>
      <c r="AH163" s="21" t="s">
        <v>135</v>
      </c>
      <c r="AI163" s="21" t="s">
        <v>135</v>
      </c>
    </row>
    <row r="164" spans="1:36" ht="15.75" customHeight="1" x14ac:dyDescent="0.3">
      <c r="A164" s="21">
        <v>2025</v>
      </c>
      <c r="B164" s="22">
        <v>45688.844990335652</v>
      </c>
      <c r="C164" s="21" t="s">
        <v>183</v>
      </c>
      <c r="D164" s="21" t="s">
        <v>183</v>
      </c>
      <c r="E164" s="21" t="s">
        <v>183</v>
      </c>
      <c r="F164" s="21" t="s">
        <v>183</v>
      </c>
      <c r="G164" s="21" t="s">
        <v>93</v>
      </c>
      <c r="H164" s="21" t="s">
        <v>1649</v>
      </c>
      <c r="I164" s="21" t="s">
        <v>1641</v>
      </c>
      <c r="J164" s="21" t="s">
        <v>862</v>
      </c>
      <c r="K164" s="21" t="e">
        <f t="shared" ca="1" si="0"/>
        <v>#NAME?</v>
      </c>
      <c r="L164" s="24">
        <v>1983</v>
      </c>
      <c r="N164" s="21" t="s">
        <v>402</v>
      </c>
      <c r="O164" s="21" t="s">
        <v>316</v>
      </c>
      <c r="P164" s="26">
        <v>3304610026</v>
      </c>
      <c r="Q164" s="26" t="e">
        <f t="shared" ca="1" si="1"/>
        <v>#NAME?</v>
      </c>
      <c r="R164" s="21" t="s">
        <v>1643</v>
      </c>
      <c r="S164" s="21" t="s">
        <v>1644</v>
      </c>
      <c r="T164" s="21" t="s">
        <v>1644</v>
      </c>
      <c r="U164" s="21" t="s">
        <v>1650</v>
      </c>
      <c r="V164" s="21" t="s">
        <v>1650</v>
      </c>
      <c r="W164" s="21" t="s">
        <v>307</v>
      </c>
      <c r="X164" s="21" t="s">
        <v>707</v>
      </c>
      <c r="Y164" s="21" t="s">
        <v>707</v>
      </c>
      <c r="Z164" s="21" t="s">
        <v>127</v>
      </c>
      <c r="AA164" s="21" t="s">
        <v>1651</v>
      </c>
      <c r="AB164" s="21" t="s">
        <v>129</v>
      </c>
      <c r="AC164" s="21" t="s">
        <v>1648</v>
      </c>
      <c r="AD164" s="21" t="s">
        <v>132</v>
      </c>
      <c r="AE164" s="21" t="s">
        <v>133</v>
      </c>
      <c r="AF164" s="21" t="s">
        <v>135</v>
      </c>
      <c r="AG164" s="21" t="s">
        <v>135</v>
      </c>
      <c r="AH164" s="21" t="s">
        <v>135</v>
      </c>
      <c r="AI164" s="21" t="s">
        <v>135</v>
      </c>
      <c r="AJ164" s="21" t="s">
        <v>1652</v>
      </c>
    </row>
    <row r="165" spans="1:36" ht="15.75" customHeight="1" x14ac:dyDescent="0.3">
      <c r="A165" s="21">
        <v>2025</v>
      </c>
      <c r="B165" s="22">
        <v>45690.658407037037</v>
      </c>
      <c r="C165" s="21" t="s">
        <v>183</v>
      </c>
      <c r="D165" s="21" t="s">
        <v>183</v>
      </c>
      <c r="E165" s="21" t="s">
        <v>183</v>
      </c>
      <c r="F165" s="21" t="s">
        <v>183</v>
      </c>
      <c r="G165" s="21" t="s">
        <v>256</v>
      </c>
      <c r="H165" s="21" t="s">
        <v>1653</v>
      </c>
      <c r="I165" s="21" t="s">
        <v>1654</v>
      </c>
      <c r="J165" s="21" t="s">
        <v>1655</v>
      </c>
      <c r="K165" s="21" t="e">
        <f t="shared" ca="1" si="0"/>
        <v>#NAME?</v>
      </c>
      <c r="L165" s="24">
        <v>2011</v>
      </c>
      <c r="M165" s="21">
        <v>2024</v>
      </c>
      <c r="N165" s="21" t="s">
        <v>315</v>
      </c>
      <c r="O165" s="21" t="s">
        <v>316</v>
      </c>
      <c r="P165" s="26">
        <v>3477527257</v>
      </c>
      <c r="Q165" s="26" t="e">
        <f t="shared" ca="1" si="1"/>
        <v>#NAME?</v>
      </c>
      <c r="R165" s="21" t="s">
        <v>1324</v>
      </c>
      <c r="S165" s="21" t="s">
        <v>1656</v>
      </c>
      <c r="T165" s="21" t="s">
        <v>1656</v>
      </c>
      <c r="U165" s="21" t="s">
        <v>1657</v>
      </c>
      <c r="V165" s="21" t="s">
        <v>1657</v>
      </c>
      <c r="W165" s="21" t="s">
        <v>488</v>
      </c>
      <c r="X165" s="21" t="s">
        <v>179</v>
      </c>
      <c r="Y165" s="21" t="s">
        <v>308</v>
      </c>
      <c r="Z165" s="21" t="s">
        <v>127</v>
      </c>
      <c r="AA165" s="21" t="s">
        <v>1658</v>
      </c>
      <c r="AB165" s="21" t="s">
        <v>129</v>
      </c>
      <c r="AC165" s="21" t="s">
        <v>1659</v>
      </c>
      <c r="AD165" s="21" t="s">
        <v>287</v>
      </c>
      <c r="AE165" s="21" t="s">
        <v>133</v>
      </c>
      <c r="AF165" s="21" t="s">
        <v>135</v>
      </c>
      <c r="AG165" s="21" t="s">
        <v>135</v>
      </c>
      <c r="AH165" s="21" t="s">
        <v>135</v>
      </c>
      <c r="AI165" s="21" t="s">
        <v>135</v>
      </c>
    </row>
    <row r="166" spans="1:36" ht="15.75" customHeight="1" x14ac:dyDescent="0.3">
      <c r="A166" s="21">
        <v>2025</v>
      </c>
      <c r="B166" s="22">
        <v>45690.666702245369</v>
      </c>
      <c r="C166" s="21" t="s">
        <v>183</v>
      </c>
      <c r="D166" s="21" t="s">
        <v>183</v>
      </c>
      <c r="E166" s="21" t="s">
        <v>183</v>
      </c>
      <c r="F166" s="21" t="s">
        <v>183</v>
      </c>
      <c r="G166" s="21" t="s">
        <v>93</v>
      </c>
      <c r="H166" s="21" t="s">
        <v>1660</v>
      </c>
      <c r="I166" s="21" t="s">
        <v>1654</v>
      </c>
      <c r="J166" s="21" t="s">
        <v>1661</v>
      </c>
      <c r="K166" s="21" t="e">
        <f t="shared" ca="1" si="0"/>
        <v>#NAME?</v>
      </c>
      <c r="L166" s="24">
        <v>1978</v>
      </c>
      <c r="N166" s="21" t="s">
        <v>315</v>
      </c>
      <c r="O166" s="21" t="s">
        <v>316</v>
      </c>
      <c r="P166" s="26">
        <v>3477527257</v>
      </c>
      <c r="Q166" s="26" t="e">
        <f t="shared" ca="1" si="1"/>
        <v>#NAME?</v>
      </c>
      <c r="R166" s="21" t="s">
        <v>1662</v>
      </c>
      <c r="S166" s="21" t="s">
        <v>1656</v>
      </c>
      <c r="T166" s="21" t="s">
        <v>1656</v>
      </c>
      <c r="U166" s="21" t="s">
        <v>1663</v>
      </c>
      <c r="V166" s="21" t="s">
        <v>1663</v>
      </c>
      <c r="W166" s="21" t="s">
        <v>266</v>
      </c>
      <c r="X166" s="21" t="s">
        <v>1664</v>
      </c>
      <c r="Y166" s="21" t="s">
        <v>1665</v>
      </c>
      <c r="Z166" s="21" t="s">
        <v>1666</v>
      </c>
      <c r="AA166" s="21" t="s">
        <v>450</v>
      </c>
      <c r="AB166" s="21" t="s">
        <v>129</v>
      </c>
      <c r="AC166" s="21" t="s">
        <v>1667</v>
      </c>
      <c r="AD166" s="21" t="s">
        <v>132</v>
      </c>
      <c r="AE166" s="21" t="s">
        <v>133</v>
      </c>
      <c r="AF166" s="21" t="s">
        <v>135</v>
      </c>
      <c r="AG166" s="21" t="s">
        <v>135</v>
      </c>
      <c r="AH166" s="21" t="s">
        <v>135</v>
      </c>
      <c r="AI166" s="21" t="s">
        <v>135</v>
      </c>
    </row>
    <row r="167" spans="1:36" ht="15.75" customHeight="1" x14ac:dyDescent="0.3">
      <c r="A167" s="21">
        <v>2025</v>
      </c>
      <c r="B167" s="22">
        <v>45693.460249224532</v>
      </c>
      <c r="C167" s="21" t="s">
        <v>183</v>
      </c>
      <c r="D167" s="21" t="s">
        <v>183</v>
      </c>
      <c r="E167" s="21" t="s">
        <v>183</v>
      </c>
      <c r="F167" s="21" t="s">
        <v>183</v>
      </c>
      <c r="G167" s="21" t="s">
        <v>93</v>
      </c>
      <c r="H167" s="21" t="s">
        <v>1668</v>
      </c>
      <c r="I167" s="21" t="s">
        <v>1669</v>
      </c>
      <c r="J167" s="21" t="s">
        <v>1670</v>
      </c>
      <c r="K167" s="21" t="e">
        <f t="shared" ca="1" si="0"/>
        <v>#NAME?</v>
      </c>
      <c r="L167" s="24">
        <v>1976</v>
      </c>
      <c r="N167" s="21" t="s">
        <v>315</v>
      </c>
      <c r="O167" s="21" t="s">
        <v>316</v>
      </c>
      <c r="P167" s="26">
        <v>2015190587</v>
      </c>
      <c r="Q167" s="26" t="e">
        <f t="shared" ca="1" si="1"/>
        <v>#NAME?</v>
      </c>
      <c r="R167" s="21" t="s">
        <v>1324</v>
      </c>
      <c r="S167" s="21" t="s">
        <v>1671</v>
      </c>
      <c r="T167" s="21" t="s">
        <v>1671</v>
      </c>
      <c r="U167" s="21" t="s">
        <v>1672</v>
      </c>
      <c r="V167" s="21" t="s">
        <v>1672</v>
      </c>
      <c r="W167" s="21" t="s">
        <v>1673</v>
      </c>
      <c r="X167" s="21" t="s">
        <v>220</v>
      </c>
      <c r="Y167" s="21" t="s">
        <v>1674</v>
      </c>
      <c r="Z167" s="21" t="s">
        <v>296</v>
      </c>
      <c r="AA167" s="21" t="s">
        <v>526</v>
      </c>
      <c r="AB167" s="21" t="s">
        <v>129</v>
      </c>
      <c r="AC167" s="21" t="s">
        <v>1675</v>
      </c>
      <c r="AD167" s="21" t="s">
        <v>132</v>
      </c>
      <c r="AE167" s="21" t="s">
        <v>133</v>
      </c>
      <c r="AF167" s="21" t="s">
        <v>135</v>
      </c>
      <c r="AG167" s="21" t="s">
        <v>135</v>
      </c>
      <c r="AH167" s="21" t="s">
        <v>135</v>
      </c>
      <c r="AI167" s="21" t="s">
        <v>135</v>
      </c>
    </row>
    <row r="168" spans="1:36" ht="15.75" customHeight="1" x14ac:dyDescent="0.3">
      <c r="A168" s="21">
        <v>2025</v>
      </c>
      <c r="B168" s="22">
        <v>45693.483024537039</v>
      </c>
      <c r="C168" s="21" t="s">
        <v>183</v>
      </c>
      <c r="D168" s="21" t="s">
        <v>183</v>
      </c>
      <c r="E168" s="21" t="s">
        <v>183</v>
      </c>
      <c r="F168" s="21" t="s">
        <v>183</v>
      </c>
      <c r="G168" s="21" t="s">
        <v>93</v>
      </c>
      <c r="H168" s="21" t="s">
        <v>1676</v>
      </c>
      <c r="I168" s="21" t="s">
        <v>891</v>
      </c>
      <c r="J168" s="21" t="s">
        <v>1677</v>
      </c>
      <c r="K168" s="21" t="e">
        <f t="shared" ca="1" si="0"/>
        <v>#NAME?</v>
      </c>
      <c r="L168" s="24">
        <v>1984</v>
      </c>
      <c r="N168" s="21" t="s">
        <v>111</v>
      </c>
      <c r="O168" s="21" t="s">
        <v>112</v>
      </c>
      <c r="P168" s="26">
        <v>9492639965</v>
      </c>
      <c r="Q168" s="26" t="e">
        <f t="shared" ca="1" si="1"/>
        <v>#NAME?</v>
      </c>
      <c r="R168" s="21" t="s">
        <v>1536</v>
      </c>
      <c r="S168" s="21" t="s">
        <v>1678</v>
      </c>
      <c r="T168" s="21" t="s">
        <v>1678</v>
      </c>
      <c r="U168" s="21" t="s">
        <v>1679</v>
      </c>
      <c r="V168" s="21" t="s">
        <v>1679</v>
      </c>
      <c r="W168" s="21" t="s">
        <v>1074</v>
      </c>
      <c r="X168" s="21" t="s">
        <v>308</v>
      </c>
      <c r="Y168" s="21" t="s">
        <v>211</v>
      </c>
      <c r="Z168" s="21" t="s">
        <v>127</v>
      </c>
      <c r="AA168" s="21" t="s">
        <v>968</v>
      </c>
      <c r="AB168" s="21" t="s">
        <v>129</v>
      </c>
      <c r="AC168" s="21" t="s">
        <v>1680</v>
      </c>
      <c r="AD168" s="21" t="s">
        <v>287</v>
      </c>
      <c r="AE168" s="21" t="s">
        <v>133</v>
      </c>
      <c r="AF168" s="21" t="s">
        <v>135</v>
      </c>
      <c r="AG168" s="21" t="s">
        <v>135</v>
      </c>
      <c r="AH168" s="21" t="s">
        <v>135</v>
      </c>
      <c r="AI168" s="21" t="s">
        <v>135</v>
      </c>
    </row>
    <row r="169" spans="1:36" ht="15.75" customHeight="1" x14ac:dyDescent="0.3">
      <c r="A169" s="21">
        <v>2025</v>
      </c>
      <c r="B169" s="22">
        <v>45694.026606273153</v>
      </c>
      <c r="C169" s="21" t="s">
        <v>183</v>
      </c>
      <c r="D169" s="21" t="s">
        <v>183</v>
      </c>
      <c r="E169" s="21" t="s">
        <v>183</v>
      </c>
      <c r="F169" s="21" t="s">
        <v>183</v>
      </c>
      <c r="G169" s="21" t="s">
        <v>93</v>
      </c>
      <c r="H169" s="21" t="s">
        <v>1681</v>
      </c>
      <c r="I169" s="21" t="s">
        <v>1682</v>
      </c>
      <c r="J169" s="21" t="s">
        <v>1683</v>
      </c>
      <c r="K169" s="21" t="e">
        <f t="shared" ca="1" si="0"/>
        <v>#NAME?</v>
      </c>
      <c r="L169" s="24">
        <v>1952</v>
      </c>
      <c r="N169" s="21" t="s">
        <v>111</v>
      </c>
      <c r="O169" s="21" t="s">
        <v>112</v>
      </c>
      <c r="P169" s="26">
        <v>8297184888</v>
      </c>
      <c r="Q169" s="26" t="e">
        <f t="shared" ca="1" si="1"/>
        <v>#NAME?</v>
      </c>
      <c r="R169" s="21" t="s">
        <v>188</v>
      </c>
      <c r="S169" s="21" t="s">
        <v>1684</v>
      </c>
      <c r="T169" s="21" t="s">
        <v>1684</v>
      </c>
      <c r="U169" s="21" t="s">
        <v>1685</v>
      </c>
      <c r="V169" s="21" t="s">
        <v>1685</v>
      </c>
      <c r="W169" s="21" t="s">
        <v>328</v>
      </c>
      <c r="X169" s="21" t="s">
        <v>1686</v>
      </c>
      <c r="Y169" s="21" t="s">
        <v>1687</v>
      </c>
      <c r="Z169" s="21" t="s">
        <v>127</v>
      </c>
      <c r="AA169" s="21" t="s">
        <v>1688</v>
      </c>
      <c r="AB169" s="21" t="s">
        <v>129</v>
      </c>
      <c r="AC169" s="21" t="s">
        <v>1689</v>
      </c>
      <c r="AD169" s="21" t="s">
        <v>132</v>
      </c>
      <c r="AE169" s="21" t="s">
        <v>133</v>
      </c>
      <c r="AF169" s="21" t="s">
        <v>135</v>
      </c>
      <c r="AG169" s="21" t="s">
        <v>135</v>
      </c>
      <c r="AH169" s="21" t="s">
        <v>135</v>
      </c>
      <c r="AI169" s="21" t="s">
        <v>135</v>
      </c>
      <c r="AJ169" s="21" t="s">
        <v>1690</v>
      </c>
    </row>
    <row r="170" spans="1:36" ht="15.75" customHeight="1" x14ac:dyDescent="0.3">
      <c r="A170" s="21">
        <v>2025</v>
      </c>
      <c r="B170" s="22">
        <v>45694.808091250001</v>
      </c>
      <c r="C170" s="21" t="s">
        <v>183</v>
      </c>
      <c r="D170" s="21" t="s">
        <v>183</v>
      </c>
      <c r="E170" s="21" t="s">
        <v>183</v>
      </c>
      <c r="F170" s="21" t="s">
        <v>183</v>
      </c>
      <c r="G170" s="21" t="s">
        <v>93</v>
      </c>
      <c r="H170" s="21" t="s">
        <v>1691</v>
      </c>
      <c r="I170" s="21" t="s">
        <v>1692</v>
      </c>
      <c r="J170" s="21" t="s">
        <v>1693</v>
      </c>
      <c r="K170" s="21" t="e">
        <f t="shared" ca="1" si="0"/>
        <v>#NAME?</v>
      </c>
      <c r="L170" s="24">
        <v>1989</v>
      </c>
      <c r="N170" s="21" t="s">
        <v>474</v>
      </c>
      <c r="O170" s="21" t="s">
        <v>316</v>
      </c>
      <c r="P170" s="26">
        <v>5717236981</v>
      </c>
      <c r="Q170" s="26" t="e">
        <f t="shared" ca="1" si="1"/>
        <v>#NAME?</v>
      </c>
      <c r="R170" s="21" t="s">
        <v>1694</v>
      </c>
      <c r="S170" s="21" t="s">
        <v>1695</v>
      </c>
      <c r="T170" s="21" t="s">
        <v>1695</v>
      </c>
      <c r="U170" s="21" t="s">
        <v>1696</v>
      </c>
      <c r="V170" s="21" t="s">
        <v>1696</v>
      </c>
      <c r="W170" s="21" t="s">
        <v>1697</v>
      </c>
      <c r="X170" s="21" t="s">
        <v>179</v>
      </c>
      <c r="Y170" s="21" t="s">
        <v>179</v>
      </c>
      <c r="Z170" s="21" t="s">
        <v>127</v>
      </c>
      <c r="AA170" s="21" t="s">
        <v>450</v>
      </c>
      <c r="AB170" s="21" t="s">
        <v>129</v>
      </c>
      <c r="AC170" s="21" t="s">
        <v>1698</v>
      </c>
      <c r="AD170" s="21" t="s">
        <v>169</v>
      </c>
      <c r="AE170" s="21" t="s">
        <v>133</v>
      </c>
      <c r="AF170" s="21" t="s">
        <v>135</v>
      </c>
      <c r="AG170" s="21" t="s">
        <v>135</v>
      </c>
      <c r="AH170" s="21" t="s">
        <v>135</v>
      </c>
      <c r="AI170" s="21" t="s">
        <v>135</v>
      </c>
    </row>
    <row r="171" spans="1:36" ht="15.75" customHeight="1" x14ac:dyDescent="0.3">
      <c r="A171" s="21">
        <v>2025</v>
      </c>
      <c r="B171" s="22">
        <v>45695.389252199078</v>
      </c>
      <c r="C171" s="21" t="s">
        <v>183</v>
      </c>
      <c r="D171" s="21" t="s">
        <v>183</v>
      </c>
      <c r="E171" s="21" t="s">
        <v>183</v>
      </c>
      <c r="F171" s="21" t="s">
        <v>183</v>
      </c>
      <c r="G171" s="21" t="s">
        <v>93</v>
      </c>
      <c r="H171" s="21" t="s">
        <v>1699</v>
      </c>
      <c r="I171" s="21" t="s">
        <v>1700</v>
      </c>
      <c r="J171" s="21" t="s">
        <v>1701</v>
      </c>
      <c r="K171" s="21" t="e">
        <f t="shared" ca="1" si="0"/>
        <v>#NAME?</v>
      </c>
      <c r="L171" s="24">
        <v>1976</v>
      </c>
      <c r="N171" s="21" t="s">
        <v>402</v>
      </c>
      <c r="O171" s="21" t="s">
        <v>316</v>
      </c>
      <c r="P171" s="26">
        <v>2016027812</v>
      </c>
      <c r="Q171" s="26" t="e">
        <f t="shared" ca="1" si="1"/>
        <v>#NAME?</v>
      </c>
      <c r="R171" s="21" t="s">
        <v>1702</v>
      </c>
      <c r="S171" s="21" t="s">
        <v>1703</v>
      </c>
      <c r="T171" s="21" t="s">
        <v>1703</v>
      </c>
      <c r="U171" s="21" t="s">
        <v>1704</v>
      </c>
      <c r="V171" s="21" t="s">
        <v>1704</v>
      </c>
      <c r="W171" s="21" t="s">
        <v>319</v>
      </c>
      <c r="X171" s="21" t="s">
        <v>1705</v>
      </c>
      <c r="Y171" s="21" t="s">
        <v>1706</v>
      </c>
      <c r="Z171" s="21" t="s">
        <v>127</v>
      </c>
      <c r="AA171" s="21" t="s">
        <v>1707</v>
      </c>
      <c r="AB171" s="21" t="s">
        <v>129</v>
      </c>
      <c r="AC171" s="21" t="s">
        <v>1708</v>
      </c>
      <c r="AD171" s="21" t="s">
        <v>169</v>
      </c>
      <c r="AE171" s="21" t="s">
        <v>133</v>
      </c>
      <c r="AF171" s="21" t="s">
        <v>135</v>
      </c>
      <c r="AG171" s="21" t="s">
        <v>135</v>
      </c>
      <c r="AH171" s="21" t="s">
        <v>135</v>
      </c>
      <c r="AI171" s="21" t="s">
        <v>135</v>
      </c>
    </row>
    <row r="172" spans="1:36" ht="15.75" customHeight="1" x14ac:dyDescent="0.3">
      <c r="A172" s="21">
        <v>2025</v>
      </c>
      <c r="B172" s="22">
        <v>45695.606325763889</v>
      </c>
      <c r="C172" s="21" t="s">
        <v>183</v>
      </c>
      <c r="D172" s="21" t="s">
        <v>183</v>
      </c>
      <c r="E172" s="21" t="s">
        <v>183</v>
      </c>
      <c r="F172" s="21" t="s">
        <v>183</v>
      </c>
      <c r="G172" s="21" t="s">
        <v>93</v>
      </c>
      <c r="H172" s="21" t="s">
        <v>1710</v>
      </c>
      <c r="I172" s="21" t="s">
        <v>1711</v>
      </c>
      <c r="J172" s="21" t="s">
        <v>1713</v>
      </c>
      <c r="K172" s="21" t="e">
        <f t="shared" ca="1" si="0"/>
        <v>#NAME?</v>
      </c>
      <c r="L172" s="24">
        <v>1974</v>
      </c>
      <c r="N172" s="21" t="s">
        <v>315</v>
      </c>
      <c r="O172" s="21" t="s">
        <v>316</v>
      </c>
      <c r="P172" s="26">
        <v>6504549003</v>
      </c>
      <c r="Q172" s="26" t="e">
        <f t="shared" ca="1" si="1"/>
        <v>#NAME?</v>
      </c>
      <c r="R172" s="21" t="s">
        <v>1714</v>
      </c>
      <c r="S172" s="21" t="s">
        <v>1715</v>
      </c>
      <c r="T172" s="21" t="s">
        <v>1715</v>
      </c>
      <c r="U172" s="21" t="s">
        <v>1716</v>
      </c>
      <c r="V172" s="21" t="s">
        <v>1716</v>
      </c>
      <c r="W172" s="21" t="s">
        <v>307</v>
      </c>
      <c r="X172" s="21" t="s">
        <v>506</v>
      </c>
      <c r="Y172" s="21" t="s">
        <v>1717</v>
      </c>
      <c r="Z172" s="21" t="s">
        <v>127</v>
      </c>
      <c r="AA172" s="21" t="s">
        <v>691</v>
      </c>
      <c r="AB172" s="21" t="s">
        <v>129</v>
      </c>
      <c r="AC172" s="21" t="s">
        <v>1718</v>
      </c>
      <c r="AD172" s="21" t="s">
        <v>169</v>
      </c>
      <c r="AE172" s="21" t="s">
        <v>133</v>
      </c>
      <c r="AF172" s="21" t="s">
        <v>135</v>
      </c>
      <c r="AG172" s="21" t="s">
        <v>135</v>
      </c>
      <c r="AH172" s="21" t="s">
        <v>135</v>
      </c>
      <c r="AI172" s="21" t="s">
        <v>135</v>
      </c>
    </row>
    <row r="173" spans="1:36" ht="15.75" customHeight="1" x14ac:dyDescent="0.3">
      <c r="A173" s="21">
        <v>2025</v>
      </c>
      <c r="B173" s="22">
        <v>45696.380952106483</v>
      </c>
      <c r="C173" s="21" t="s">
        <v>183</v>
      </c>
      <c r="D173" s="21" t="s">
        <v>183</v>
      </c>
      <c r="E173" s="21" t="s">
        <v>183</v>
      </c>
      <c r="F173" s="21" t="s">
        <v>183</v>
      </c>
      <c r="G173" s="21" t="s">
        <v>93</v>
      </c>
      <c r="H173" s="21" t="s">
        <v>1719</v>
      </c>
      <c r="I173" s="21" t="s">
        <v>1720</v>
      </c>
      <c r="J173" s="21" t="s">
        <v>1721</v>
      </c>
      <c r="K173" s="21" t="e">
        <f t="shared" ca="1" si="0"/>
        <v>#NAME?</v>
      </c>
      <c r="L173" s="24">
        <v>1960</v>
      </c>
      <c r="N173" s="21" t="s">
        <v>111</v>
      </c>
      <c r="O173" s="21" t="s">
        <v>112</v>
      </c>
      <c r="P173" s="26">
        <v>8978416077</v>
      </c>
      <c r="Q173" s="26" t="e">
        <f t="shared" ca="1" si="1"/>
        <v>#NAME?</v>
      </c>
      <c r="R173" s="21" t="s">
        <v>1722</v>
      </c>
      <c r="S173" s="21" t="s">
        <v>1723</v>
      </c>
      <c r="T173" s="21" t="s">
        <v>1723</v>
      </c>
      <c r="U173" s="21" t="s">
        <v>1724</v>
      </c>
      <c r="V173" s="21" t="s">
        <v>1724</v>
      </c>
      <c r="W173" s="21" t="s">
        <v>123</v>
      </c>
      <c r="X173" s="21" t="s">
        <v>1725</v>
      </c>
      <c r="Y173" s="21" t="s">
        <v>1725</v>
      </c>
      <c r="Z173" s="21" t="s">
        <v>127</v>
      </c>
      <c r="AA173" s="21" t="s">
        <v>1726</v>
      </c>
      <c r="AB173" s="21" t="s">
        <v>129</v>
      </c>
      <c r="AC173" s="21" t="s">
        <v>1727</v>
      </c>
      <c r="AD173" s="21" t="s">
        <v>287</v>
      </c>
      <c r="AE173" s="21" t="s">
        <v>133</v>
      </c>
      <c r="AF173" s="21" t="s">
        <v>135</v>
      </c>
      <c r="AG173" s="21" t="s">
        <v>135</v>
      </c>
      <c r="AH173" s="21" t="s">
        <v>135</v>
      </c>
      <c r="AI173" s="21" t="s">
        <v>135</v>
      </c>
      <c r="AJ173" s="21" t="s">
        <v>1728</v>
      </c>
    </row>
    <row r="174" spans="1:36" ht="15.75" customHeight="1" x14ac:dyDescent="0.3">
      <c r="A174" s="21">
        <v>2025</v>
      </c>
      <c r="B174" s="22">
        <v>45697.015242534719</v>
      </c>
      <c r="C174" s="21" t="s">
        <v>183</v>
      </c>
      <c r="D174" s="21" t="s">
        <v>183</v>
      </c>
      <c r="E174" s="21" t="s">
        <v>183</v>
      </c>
      <c r="F174" s="21" t="s">
        <v>183</v>
      </c>
      <c r="G174" s="21" t="s">
        <v>93</v>
      </c>
      <c r="H174" s="21" t="s">
        <v>1729</v>
      </c>
      <c r="I174" s="21" t="s">
        <v>1730</v>
      </c>
      <c r="J174" s="21" t="s">
        <v>1731</v>
      </c>
      <c r="K174" s="21" t="e">
        <f t="shared" ca="1" si="0"/>
        <v>#NAME?</v>
      </c>
      <c r="L174" s="24">
        <v>2005</v>
      </c>
      <c r="N174" s="21" t="s">
        <v>474</v>
      </c>
      <c r="O174" s="21" t="s">
        <v>316</v>
      </c>
      <c r="P174" s="26">
        <v>5037086589</v>
      </c>
      <c r="Q174" s="26" t="e">
        <f t="shared" ca="1" si="1"/>
        <v>#NAME?</v>
      </c>
      <c r="R174" s="21" t="s">
        <v>1732</v>
      </c>
      <c r="S174" s="21" t="s">
        <v>1733</v>
      </c>
      <c r="T174" s="21" t="s">
        <v>1733</v>
      </c>
      <c r="U174" s="21" t="s">
        <v>1734</v>
      </c>
      <c r="V174" s="21" t="s">
        <v>1734</v>
      </c>
      <c r="W174" s="21" t="s">
        <v>307</v>
      </c>
      <c r="X174" s="21" t="s">
        <v>1735</v>
      </c>
      <c r="Y174" s="21" t="s">
        <v>406</v>
      </c>
      <c r="Z174" s="21" t="s">
        <v>127</v>
      </c>
      <c r="AA174" s="21" t="s">
        <v>1194</v>
      </c>
      <c r="AB174" s="21" t="s">
        <v>129</v>
      </c>
      <c r="AC174" s="21" t="s">
        <v>1736</v>
      </c>
      <c r="AD174" s="21" t="s">
        <v>132</v>
      </c>
      <c r="AE174" s="21" t="s">
        <v>133</v>
      </c>
      <c r="AF174" s="21" t="s">
        <v>135</v>
      </c>
      <c r="AG174" s="21" t="s">
        <v>135</v>
      </c>
      <c r="AH174" s="21" t="s">
        <v>135</v>
      </c>
      <c r="AI174" s="21" t="s">
        <v>135</v>
      </c>
      <c r="AJ174" s="21" t="s">
        <v>1737</v>
      </c>
    </row>
    <row r="175" spans="1:36" ht="15.75" customHeight="1" x14ac:dyDescent="0.3">
      <c r="A175" s="21">
        <v>2025</v>
      </c>
      <c r="B175" s="22">
        <v>45698.74152758102</v>
      </c>
      <c r="C175" s="21" t="s">
        <v>183</v>
      </c>
      <c r="D175" s="21" t="s">
        <v>183</v>
      </c>
      <c r="E175" s="21" t="s">
        <v>183</v>
      </c>
      <c r="F175" s="21" t="s">
        <v>183</v>
      </c>
      <c r="G175" s="21" t="s">
        <v>93</v>
      </c>
      <c r="H175" s="21" t="s">
        <v>1738</v>
      </c>
      <c r="I175" s="21" t="s">
        <v>1115</v>
      </c>
      <c r="J175" s="21" t="s">
        <v>1739</v>
      </c>
      <c r="K175" s="21" t="e">
        <f t="shared" ca="1" si="0"/>
        <v>#NAME?</v>
      </c>
      <c r="L175" s="24">
        <v>1977</v>
      </c>
      <c r="N175" s="21" t="s">
        <v>402</v>
      </c>
      <c r="O175" s="21" t="s">
        <v>316</v>
      </c>
      <c r="P175" s="26">
        <v>6104573193</v>
      </c>
      <c r="Q175" s="26" t="e">
        <f t="shared" ca="1" si="1"/>
        <v>#NAME?</v>
      </c>
      <c r="R175" s="21" t="s">
        <v>1481</v>
      </c>
      <c r="S175" s="21" t="s">
        <v>1740</v>
      </c>
      <c r="T175" s="21" t="s">
        <v>1740</v>
      </c>
      <c r="U175" s="21" t="s">
        <v>1741</v>
      </c>
      <c r="V175" s="21" t="s">
        <v>1741</v>
      </c>
      <c r="W175" s="21" t="s">
        <v>1742</v>
      </c>
      <c r="X175" s="21" t="s">
        <v>352</v>
      </c>
      <c r="Y175" s="21" t="s">
        <v>1743</v>
      </c>
      <c r="Z175" s="21" t="s">
        <v>127</v>
      </c>
      <c r="AA175" s="21" t="s">
        <v>1707</v>
      </c>
      <c r="AB175" s="21" t="s">
        <v>129</v>
      </c>
      <c r="AC175" s="21" t="s">
        <v>1744</v>
      </c>
      <c r="AD175" s="21" t="s">
        <v>169</v>
      </c>
      <c r="AE175" s="21" t="s">
        <v>133</v>
      </c>
      <c r="AF175" s="21" t="s">
        <v>135</v>
      </c>
      <c r="AG175" s="21" t="s">
        <v>135</v>
      </c>
      <c r="AH175" s="21" t="s">
        <v>135</v>
      </c>
      <c r="AI175" s="21" t="s">
        <v>135</v>
      </c>
      <c r="AJ175" s="21" t="s">
        <v>1745</v>
      </c>
    </row>
    <row r="176" spans="1:36" ht="15.75" customHeight="1" x14ac:dyDescent="0.3">
      <c r="A176" s="21">
        <v>2025</v>
      </c>
      <c r="B176" s="22">
        <v>45699.153391747685</v>
      </c>
      <c r="C176" s="21" t="s">
        <v>183</v>
      </c>
      <c r="D176" s="21" t="s">
        <v>183</v>
      </c>
      <c r="E176" s="21" t="s">
        <v>183</v>
      </c>
      <c r="F176" s="21" t="s">
        <v>183</v>
      </c>
      <c r="G176" s="21" t="s">
        <v>93</v>
      </c>
      <c r="H176" s="21" t="s">
        <v>1746</v>
      </c>
      <c r="I176" s="21" t="s">
        <v>1747</v>
      </c>
      <c r="J176" s="21" t="s">
        <v>281</v>
      </c>
      <c r="K176" s="21" t="e">
        <f t="shared" ca="1" si="0"/>
        <v>#NAME?</v>
      </c>
      <c r="L176" s="24">
        <v>1985</v>
      </c>
      <c r="N176" s="21" t="s">
        <v>111</v>
      </c>
      <c r="O176" s="21" t="s">
        <v>112</v>
      </c>
      <c r="P176" s="26">
        <v>9849835650</v>
      </c>
      <c r="Q176" s="26" t="e">
        <f t="shared" ca="1" si="1"/>
        <v>#NAME?</v>
      </c>
      <c r="R176" s="21" t="s">
        <v>118</v>
      </c>
      <c r="S176" s="21" t="s">
        <v>1748</v>
      </c>
      <c r="T176" s="21" t="s">
        <v>1748</v>
      </c>
      <c r="U176" s="21" t="s">
        <v>1749</v>
      </c>
      <c r="V176" s="21" t="s">
        <v>1749</v>
      </c>
      <c r="W176" s="21" t="s">
        <v>266</v>
      </c>
      <c r="X176" s="21" t="s">
        <v>1573</v>
      </c>
      <c r="Y176" s="21" t="s">
        <v>221</v>
      </c>
      <c r="Z176" s="21" t="s">
        <v>127</v>
      </c>
      <c r="AA176" s="21" t="s">
        <v>285</v>
      </c>
      <c r="AB176" s="21" t="s">
        <v>129</v>
      </c>
      <c r="AC176" s="21" t="s">
        <v>1750</v>
      </c>
      <c r="AD176" s="21" t="s">
        <v>169</v>
      </c>
      <c r="AE176" s="21" t="s">
        <v>133</v>
      </c>
      <c r="AF176" s="21" t="s">
        <v>135</v>
      </c>
      <c r="AG176" s="21" t="s">
        <v>135</v>
      </c>
      <c r="AH176" s="21" t="s">
        <v>135</v>
      </c>
      <c r="AI176" s="21" t="s">
        <v>135</v>
      </c>
      <c r="AJ176" s="21" t="s">
        <v>1751</v>
      </c>
    </row>
    <row r="177" spans="1:36" ht="15.75" customHeight="1" x14ac:dyDescent="0.3">
      <c r="A177" s="21">
        <v>2025</v>
      </c>
      <c r="B177" s="22">
        <v>45699.324656111115</v>
      </c>
      <c r="C177" s="21" t="s">
        <v>183</v>
      </c>
      <c r="D177" s="21" t="s">
        <v>183</v>
      </c>
      <c r="E177" s="21" t="s">
        <v>183</v>
      </c>
      <c r="F177" s="21" t="s">
        <v>183</v>
      </c>
      <c r="G177" s="21" t="s">
        <v>93</v>
      </c>
      <c r="H177" s="21" t="s">
        <v>1752</v>
      </c>
      <c r="I177" s="21" t="s">
        <v>1747</v>
      </c>
      <c r="J177" s="21" t="s">
        <v>1397</v>
      </c>
      <c r="K177" s="21" t="e">
        <f t="shared" ca="1" si="0"/>
        <v>#NAME?</v>
      </c>
      <c r="L177" s="24">
        <v>1957</v>
      </c>
      <c r="N177" s="21" t="s">
        <v>111</v>
      </c>
      <c r="O177" s="21" t="s">
        <v>112</v>
      </c>
      <c r="P177" s="26">
        <v>9849844215</v>
      </c>
      <c r="Q177" s="26" t="e">
        <f t="shared" ca="1" si="1"/>
        <v>#NAME?</v>
      </c>
      <c r="R177" s="21" t="s">
        <v>188</v>
      </c>
      <c r="S177" s="21" t="s">
        <v>1753</v>
      </c>
      <c r="T177" s="21" t="s">
        <v>1753</v>
      </c>
      <c r="U177" s="21" t="s">
        <v>1754</v>
      </c>
      <c r="V177" s="21" t="s">
        <v>1754</v>
      </c>
      <c r="W177" s="21" t="s">
        <v>219</v>
      </c>
      <c r="X177" s="21" t="s">
        <v>1145</v>
      </c>
      <c r="Y177" s="21" t="s">
        <v>1146</v>
      </c>
      <c r="Z177" s="21" t="s">
        <v>127</v>
      </c>
      <c r="AA177" s="21" t="s">
        <v>1755</v>
      </c>
      <c r="AB177" s="21" t="s">
        <v>129</v>
      </c>
      <c r="AC177" s="21" t="s">
        <v>1756</v>
      </c>
      <c r="AD177" s="21" t="s">
        <v>287</v>
      </c>
      <c r="AE177" s="21" t="s">
        <v>133</v>
      </c>
      <c r="AF177" s="21" t="s">
        <v>135</v>
      </c>
      <c r="AG177" s="21" t="s">
        <v>135</v>
      </c>
      <c r="AH177" s="21" t="s">
        <v>135</v>
      </c>
      <c r="AI177" s="21" t="s">
        <v>135</v>
      </c>
    </row>
    <row r="178" spans="1:36" ht="15.75" customHeight="1" x14ac:dyDescent="0.3">
      <c r="A178" s="21">
        <v>2025</v>
      </c>
      <c r="B178" s="22">
        <v>45703.078180729164</v>
      </c>
      <c r="C178" s="21" t="s">
        <v>183</v>
      </c>
      <c r="D178" s="21" t="s">
        <v>183</v>
      </c>
      <c r="E178" s="21" t="s">
        <v>183</v>
      </c>
      <c r="F178" s="21" t="s">
        <v>183</v>
      </c>
      <c r="G178" s="21" t="s">
        <v>93</v>
      </c>
      <c r="H178" s="21" t="s">
        <v>1757</v>
      </c>
      <c r="I178" s="21" t="s">
        <v>1758</v>
      </c>
      <c r="J178" s="21" t="s">
        <v>1759</v>
      </c>
      <c r="K178" s="21" t="e">
        <f t="shared" ca="1" si="0"/>
        <v>#NAME?</v>
      </c>
      <c r="L178" s="24">
        <v>1969</v>
      </c>
      <c r="N178" s="21" t="s">
        <v>111</v>
      </c>
      <c r="O178" s="21" t="s">
        <v>112</v>
      </c>
      <c r="P178" s="26">
        <v>9972045006</v>
      </c>
      <c r="Q178" s="26" t="e">
        <f t="shared" ca="1" si="1"/>
        <v>#NAME?</v>
      </c>
      <c r="R178" s="21" t="s">
        <v>551</v>
      </c>
      <c r="S178" s="21" t="s">
        <v>1760</v>
      </c>
      <c r="T178" s="21" t="s">
        <v>1760</v>
      </c>
      <c r="U178" s="21" t="s">
        <v>1761</v>
      </c>
      <c r="V178" s="21" t="s">
        <v>1761</v>
      </c>
      <c r="W178" s="21" t="s">
        <v>488</v>
      </c>
      <c r="X178" s="21" t="s">
        <v>211</v>
      </c>
      <c r="Y178" s="21" t="s">
        <v>1762</v>
      </c>
      <c r="Z178" s="21" t="s">
        <v>127</v>
      </c>
      <c r="AA178" s="21" t="s">
        <v>1763</v>
      </c>
      <c r="AB178" s="21" t="s">
        <v>129</v>
      </c>
      <c r="AC178" s="21" t="s">
        <v>1764</v>
      </c>
      <c r="AD178" s="21" t="s">
        <v>287</v>
      </c>
      <c r="AE178" s="21" t="s">
        <v>133</v>
      </c>
      <c r="AF178" s="21" t="s">
        <v>135</v>
      </c>
      <c r="AG178" s="21" t="s">
        <v>135</v>
      </c>
      <c r="AH178" s="21" t="s">
        <v>135</v>
      </c>
      <c r="AI178" s="21" t="s">
        <v>135</v>
      </c>
    </row>
    <row r="179" spans="1:36" ht="15.75" customHeight="1" x14ac:dyDescent="0.3">
      <c r="A179" s="21">
        <v>2025</v>
      </c>
      <c r="B179" s="22">
        <v>45710.117908101849</v>
      </c>
      <c r="C179" s="21" t="s">
        <v>183</v>
      </c>
      <c r="D179" s="21" t="s">
        <v>183</v>
      </c>
      <c r="E179" s="21" t="s">
        <v>183</v>
      </c>
      <c r="F179" s="21" t="s">
        <v>183</v>
      </c>
      <c r="G179" s="21" t="s">
        <v>93</v>
      </c>
      <c r="H179" s="21" t="s">
        <v>1765</v>
      </c>
      <c r="I179" s="21" t="s">
        <v>1766</v>
      </c>
      <c r="J179" s="21" t="s">
        <v>1767</v>
      </c>
      <c r="K179" s="21" t="e">
        <f t="shared" ca="1" si="0"/>
        <v>#NAME?</v>
      </c>
      <c r="L179" s="24">
        <v>1981</v>
      </c>
      <c r="N179" s="21" t="s">
        <v>111</v>
      </c>
      <c r="O179" s="21" t="s">
        <v>112</v>
      </c>
      <c r="P179" s="26">
        <v>9966331188</v>
      </c>
      <c r="Q179" s="26" t="e">
        <f t="shared" ca="1" si="1"/>
        <v>#NAME?</v>
      </c>
      <c r="R179" s="21" t="s">
        <v>1768</v>
      </c>
      <c r="S179" s="21" t="s">
        <v>1769</v>
      </c>
      <c r="T179" s="21" t="s">
        <v>1769</v>
      </c>
      <c r="U179" s="21" t="s">
        <v>1770</v>
      </c>
      <c r="V179" s="21" t="s">
        <v>1770</v>
      </c>
      <c r="W179" s="21" t="s">
        <v>1771</v>
      </c>
      <c r="X179" s="21" t="s">
        <v>1292</v>
      </c>
      <c r="Y179" s="21" t="s">
        <v>1292</v>
      </c>
      <c r="Z179" s="21" t="s">
        <v>127</v>
      </c>
      <c r="AA179" s="21" t="s">
        <v>1772</v>
      </c>
      <c r="AB179" s="21" t="s">
        <v>129</v>
      </c>
      <c r="AC179" s="21" t="s">
        <v>1773</v>
      </c>
      <c r="AD179" s="21" t="s">
        <v>287</v>
      </c>
      <c r="AE179" s="21" t="s">
        <v>133</v>
      </c>
      <c r="AF179" s="21" t="s">
        <v>135</v>
      </c>
      <c r="AG179" s="21" t="s">
        <v>135</v>
      </c>
      <c r="AH179" s="21" t="s">
        <v>135</v>
      </c>
      <c r="AI179" s="21" t="s">
        <v>135</v>
      </c>
      <c r="AJ179" s="21" t="s">
        <v>1775</v>
      </c>
    </row>
    <row r="180" spans="1:36" ht="15.75" customHeight="1" x14ac:dyDescent="0.3">
      <c r="A180" s="21">
        <v>2025</v>
      </c>
      <c r="B180" s="22">
        <v>45714.663668900466</v>
      </c>
      <c r="C180" s="21" t="s">
        <v>183</v>
      </c>
      <c r="D180" s="21" t="s">
        <v>183</v>
      </c>
      <c r="E180" s="21" t="s">
        <v>183</v>
      </c>
      <c r="F180" s="21" t="s">
        <v>183</v>
      </c>
      <c r="G180" s="21" t="s">
        <v>93</v>
      </c>
      <c r="H180" s="21" t="s">
        <v>1777</v>
      </c>
      <c r="I180" s="21" t="s">
        <v>1778</v>
      </c>
      <c r="J180" s="21" t="s">
        <v>1779</v>
      </c>
      <c r="K180" s="21" t="e">
        <f t="shared" ca="1" si="0"/>
        <v>#NAME?</v>
      </c>
      <c r="L180" s="24">
        <v>1982</v>
      </c>
      <c r="N180" s="21" t="s">
        <v>402</v>
      </c>
      <c r="O180" s="21" t="s">
        <v>316</v>
      </c>
      <c r="P180" s="26">
        <v>9495734021</v>
      </c>
      <c r="Q180" s="26" t="e">
        <f t="shared" ca="1" si="1"/>
        <v>#NAME?</v>
      </c>
      <c r="R180" s="21" t="s">
        <v>1780</v>
      </c>
      <c r="S180" s="21" t="s">
        <v>1781</v>
      </c>
      <c r="T180" s="21" t="s">
        <v>1781</v>
      </c>
      <c r="U180" s="21" t="s">
        <v>1782</v>
      </c>
      <c r="V180" s="21" t="s">
        <v>1782</v>
      </c>
      <c r="W180" s="21" t="s">
        <v>307</v>
      </c>
      <c r="X180" s="21" t="s">
        <v>179</v>
      </c>
      <c r="Y180" s="21" t="s">
        <v>179</v>
      </c>
      <c r="Z180" s="21" t="s">
        <v>127</v>
      </c>
      <c r="AA180" s="21" t="s">
        <v>450</v>
      </c>
      <c r="AB180" s="21" t="s">
        <v>129</v>
      </c>
      <c r="AC180" s="21" t="s">
        <v>1783</v>
      </c>
      <c r="AD180" s="21" t="s">
        <v>287</v>
      </c>
      <c r="AE180" s="21" t="s">
        <v>133</v>
      </c>
      <c r="AF180" s="21" t="s">
        <v>135</v>
      </c>
      <c r="AG180" s="21" t="s">
        <v>135</v>
      </c>
      <c r="AH180" s="21" t="s">
        <v>135</v>
      </c>
      <c r="AI180" s="21" t="s">
        <v>135</v>
      </c>
    </row>
    <row r="181" spans="1:36" ht="15.75" customHeight="1" x14ac:dyDescent="0.3">
      <c r="A181" s="21">
        <v>2025</v>
      </c>
      <c r="B181" s="22">
        <v>45719.344919988427</v>
      </c>
      <c r="C181" s="21" t="s">
        <v>183</v>
      </c>
      <c r="D181" s="21" t="s">
        <v>183</v>
      </c>
      <c r="E181" s="21" t="s">
        <v>183</v>
      </c>
      <c r="F181" s="21" t="s">
        <v>183</v>
      </c>
      <c r="G181" s="21" t="s">
        <v>93</v>
      </c>
      <c r="H181" s="21" t="s">
        <v>1784</v>
      </c>
      <c r="I181" s="21" t="s">
        <v>1785</v>
      </c>
      <c r="J181" s="21" t="s">
        <v>1786</v>
      </c>
      <c r="K181" s="21" t="e">
        <f t="shared" ca="1" si="0"/>
        <v>#NAME?</v>
      </c>
      <c r="L181" s="24">
        <v>1983</v>
      </c>
      <c r="N181" s="21" t="s">
        <v>315</v>
      </c>
      <c r="O181" s="21" t="s">
        <v>316</v>
      </c>
      <c r="P181" s="26">
        <v>5129152285</v>
      </c>
      <c r="Q181" s="26" t="e">
        <f t="shared" ca="1" si="1"/>
        <v>#NAME?</v>
      </c>
      <c r="R181" s="21" t="s">
        <v>521</v>
      </c>
      <c r="S181" s="21" t="s">
        <v>1787</v>
      </c>
      <c r="T181" s="21" t="s">
        <v>1788</v>
      </c>
      <c r="U181" s="21" t="s">
        <v>1789</v>
      </c>
      <c r="V181" s="21" t="s">
        <v>1789</v>
      </c>
      <c r="W181" s="21" t="s">
        <v>307</v>
      </c>
      <c r="X181" s="21" t="s">
        <v>308</v>
      </c>
      <c r="Y181" s="21" t="s">
        <v>1790</v>
      </c>
      <c r="Z181" s="21" t="s">
        <v>127</v>
      </c>
      <c r="AA181" s="21" t="s">
        <v>866</v>
      </c>
      <c r="AB181" s="21" t="s">
        <v>129</v>
      </c>
      <c r="AC181" s="21" t="s">
        <v>1791</v>
      </c>
      <c r="AD181" s="21" t="s">
        <v>132</v>
      </c>
      <c r="AE181" s="21" t="s">
        <v>133</v>
      </c>
      <c r="AF181" s="21" t="s">
        <v>135</v>
      </c>
      <c r="AG181" s="21" t="s">
        <v>135</v>
      </c>
      <c r="AH181" s="21" t="s">
        <v>135</v>
      </c>
      <c r="AI181" s="21" t="s">
        <v>135</v>
      </c>
      <c r="AJ181" s="21" t="s">
        <v>1792</v>
      </c>
    </row>
    <row r="182" spans="1:36" ht="15.75" customHeight="1" x14ac:dyDescent="0.3">
      <c r="A182" s="21">
        <v>2025</v>
      </c>
      <c r="B182" s="22">
        <v>45727.226684201392</v>
      </c>
      <c r="C182" s="21" t="s">
        <v>183</v>
      </c>
      <c r="D182" s="21" t="s">
        <v>183</v>
      </c>
      <c r="E182" s="21" t="s">
        <v>183</v>
      </c>
      <c r="F182" s="21" t="s">
        <v>183</v>
      </c>
      <c r="G182" s="21" t="s">
        <v>93</v>
      </c>
      <c r="H182" s="21" t="s">
        <v>1793</v>
      </c>
      <c r="I182" s="21" t="s">
        <v>695</v>
      </c>
      <c r="J182" s="21" t="s">
        <v>1776</v>
      </c>
      <c r="K182" s="21" t="e">
        <f t="shared" ca="1" si="0"/>
        <v>#NAME?</v>
      </c>
      <c r="L182" s="24">
        <v>2002</v>
      </c>
      <c r="N182" s="21" t="s">
        <v>111</v>
      </c>
      <c r="O182" s="21" t="s">
        <v>112</v>
      </c>
      <c r="P182" s="26">
        <v>8143544484</v>
      </c>
      <c r="Q182" s="26" t="e">
        <f t="shared" ca="1" si="1"/>
        <v>#NAME?</v>
      </c>
      <c r="R182" s="21" t="s">
        <v>188</v>
      </c>
      <c r="S182" s="21" t="s">
        <v>1413</v>
      </c>
      <c r="T182" s="21" t="s">
        <v>1413</v>
      </c>
      <c r="U182" s="21" t="s">
        <v>1794</v>
      </c>
      <c r="V182" s="21" t="s">
        <v>1794</v>
      </c>
      <c r="W182" s="21" t="s">
        <v>219</v>
      </c>
      <c r="X182" s="21" t="s">
        <v>1795</v>
      </c>
      <c r="Y182" s="21" t="s">
        <v>1145</v>
      </c>
      <c r="Z182" s="21" t="s">
        <v>127</v>
      </c>
      <c r="AA182" s="21" t="s">
        <v>396</v>
      </c>
      <c r="AB182" s="21" t="s">
        <v>129</v>
      </c>
      <c r="AC182" s="21" t="s">
        <v>1796</v>
      </c>
      <c r="AD182" s="21" t="s">
        <v>132</v>
      </c>
      <c r="AE182" s="21" t="s">
        <v>133</v>
      </c>
      <c r="AF182" s="21" t="s">
        <v>135</v>
      </c>
      <c r="AG182" s="21" t="s">
        <v>135</v>
      </c>
      <c r="AH182" s="21" t="s">
        <v>135</v>
      </c>
      <c r="AI182" s="21" t="s">
        <v>135</v>
      </c>
    </row>
    <row r="183" spans="1:36" ht="15.75" customHeight="1" x14ac:dyDescent="0.3">
      <c r="A183" s="21">
        <v>2025</v>
      </c>
      <c r="B183" s="22">
        <v>45735.413369282411</v>
      </c>
      <c r="C183" s="21" t="s">
        <v>183</v>
      </c>
      <c r="D183" s="21" t="s">
        <v>183</v>
      </c>
      <c r="E183" s="21" t="s">
        <v>183</v>
      </c>
      <c r="F183" s="21" t="s">
        <v>183</v>
      </c>
      <c r="G183" s="21" t="s">
        <v>256</v>
      </c>
      <c r="H183" s="21" t="s">
        <v>1797</v>
      </c>
      <c r="I183" s="21" t="s">
        <v>787</v>
      </c>
      <c r="J183" s="21" t="s">
        <v>791</v>
      </c>
      <c r="K183" s="21" t="e">
        <f t="shared" ca="1" si="0"/>
        <v>#NAME?</v>
      </c>
      <c r="L183" s="24">
        <v>2012</v>
      </c>
      <c r="N183" s="21" t="s">
        <v>111</v>
      </c>
      <c r="O183" s="21" t="s">
        <v>112</v>
      </c>
      <c r="P183" s="26">
        <v>9441346181</v>
      </c>
      <c r="Q183" s="26" t="e">
        <f t="shared" ca="1" si="1"/>
        <v>#NAME?</v>
      </c>
      <c r="R183" s="21" t="s">
        <v>118</v>
      </c>
      <c r="S183" s="21" t="s">
        <v>1798</v>
      </c>
      <c r="T183" s="21" t="s">
        <v>1798</v>
      </c>
      <c r="U183" s="21" t="s">
        <v>1799</v>
      </c>
      <c r="V183" s="21" t="s">
        <v>1799</v>
      </c>
      <c r="W183" s="21" t="s">
        <v>1800</v>
      </c>
      <c r="X183" s="21" t="s">
        <v>1801</v>
      </c>
      <c r="Y183" s="21" t="s">
        <v>220</v>
      </c>
      <c r="Z183" s="21" t="s">
        <v>1802</v>
      </c>
      <c r="AA183" s="21" t="s">
        <v>1803</v>
      </c>
      <c r="AB183" s="21" t="s">
        <v>1423</v>
      </c>
      <c r="AC183" s="21" t="s">
        <v>1804</v>
      </c>
      <c r="AD183" s="21" t="s">
        <v>287</v>
      </c>
      <c r="AE183" s="21" t="s">
        <v>133</v>
      </c>
      <c r="AF183" s="21" t="s">
        <v>135</v>
      </c>
      <c r="AG183" s="21" t="s">
        <v>135</v>
      </c>
      <c r="AH183" s="21" t="s">
        <v>135</v>
      </c>
      <c r="AI183" s="21" t="s">
        <v>135</v>
      </c>
      <c r="AJ183" s="21" t="s">
        <v>1805</v>
      </c>
    </row>
    <row r="184" spans="1:36" ht="15.75" customHeight="1" x14ac:dyDescent="0.3">
      <c r="A184" s="21">
        <v>2025</v>
      </c>
      <c r="B184" s="22">
        <v>45739.257855115742</v>
      </c>
      <c r="C184" s="21" t="s">
        <v>183</v>
      </c>
      <c r="D184" s="21" t="s">
        <v>183</v>
      </c>
      <c r="E184" s="21" t="s">
        <v>183</v>
      </c>
      <c r="F184" s="21" t="s">
        <v>183</v>
      </c>
      <c r="G184" s="21" t="s">
        <v>93</v>
      </c>
      <c r="H184" s="21" t="s">
        <v>1806</v>
      </c>
      <c r="I184" s="21" t="s">
        <v>1807</v>
      </c>
      <c r="J184" s="21" t="s">
        <v>1808</v>
      </c>
      <c r="K184" s="21" t="e">
        <f t="shared" ca="1" si="0"/>
        <v>#NAME?</v>
      </c>
      <c r="L184" s="24">
        <v>1990</v>
      </c>
      <c r="N184" s="21" t="s">
        <v>111</v>
      </c>
      <c r="O184" s="21" t="s">
        <v>112</v>
      </c>
      <c r="P184" s="26">
        <v>9966227376</v>
      </c>
      <c r="Q184" s="26" t="e">
        <f t="shared" ca="1" si="1"/>
        <v>#NAME?</v>
      </c>
      <c r="R184" s="21" t="s">
        <v>188</v>
      </c>
      <c r="S184" s="21" t="s">
        <v>1809</v>
      </c>
      <c r="T184" s="21" t="s">
        <v>1809</v>
      </c>
      <c r="U184" s="21" t="s">
        <v>1810</v>
      </c>
      <c r="V184" s="21" t="s">
        <v>1810</v>
      </c>
      <c r="W184" s="21" t="s">
        <v>123</v>
      </c>
      <c r="X184" s="21" t="s">
        <v>211</v>
      </c>
      <c r="Y184" s="21" t="s">
        <v>211</v>
      </c>
      <c r="Z184" s="21" t="s">
        <v>127</v>
      </c>
      <c r="AA184" s="21" t="s">
        <v>572</v>
      </c>
      <c r="AB184" s="21" t="s">
        <v>129</v>
      </c>
      <c r="AC184" s="21" t="s">
        <v>1811</v>
      </c>
      <c r="AD184" s="21" t="s">
        <v>132</v>
      </c>
      <c r="AE184" s="21" t="s">
        <v>133</v>
      </c>
      <c r="AF184" s="21" t="s">
        <v>135</v>
      </c>
      <c r="AG184" s="21" t="s">
        <v>135</v>
      </c>
      <c r="AH184" s="21" t="s">
        <v>135</v>
      </c>
      <c r="AI184" s="21" t="s">
        <v>135</v>
      </c>
    </row>
    <row r="185" spans="1:36" ht="15.75" customHeight="1" x14ac:dyDescent="0.3">
      <c r="A185" s="21">
        <v>2025</v>
      </c>
      <c r="B185" s="22">
        <v>45742.991558622685</v>
      </c>
      <c r="C185" s="21" t="s">
        <v>183</v>
      </c>
      <c r="D185" s="21" t="s">
        <v>183</v>
      </c>
      <c r="E185" s="21" t="s">
        <v>183</v>
      </c>
      <c r="F185" s="21" t="s">
        <v>183</v>
      </c>
      <c r="G185" s="21" t="s">
        <v>93</v>
      </c>
      <c r="H185" s="21" t="s">
        <v>1812</v>
      </c>
      <c r="I185" s="21" t="s">
        <v>1813</v>
      </c>
      <c r="J185" s="21" t="s">
        <v>1814</v>
      </c>
      <c r="K185" s="21" t="e">
        <f t="shared" ca="1" si="0"/>
        <v>#NAME?</v>
      </c>
      <c r="L185" s="24">
        <v>1981</v>
      </c>
      <c r="N185" s="21" t="s">
        <v>111</v>
      </c>
      <c r="O185" s="21" t="s">
        <v>112</v>
      </c>
      <c r="P185" s="26">
        <v>9966011130</v>
      </c>
      <c r="Q185" s="26" t="e">
        <f t="shared" ca="1" si="1"/>
        <v>#NAME?</v>
      </c>
      <c r="R185" s="21" t="s">
        <v>118</v>
      </c>
      <c r="S185" s="21" t="s">
        <v>1815</v>
      </c>
      <c r="T185" s="21" t="s">
        <v>1815</v>
      </c>
      <c r="U185" s="21" t="s">
        <v>1816</v>
      </c>
      <c r="V185" s="21" t="s">
        <v>1816</v>
      </c>
      <c r="W185" s="21" t="s">
        <v>219</v>
      </c>
      <c r="X185" s="21" t="s">
        <v>308</v>
      </c>
      <c r="Y185" s="21" t="s">
        <v>536</v>
      </c>
      <c r="Z185" s="21" t="s">
        <v>284</v>
      </c>
      <c r="AA185" s="21" t="s">
        <v>1817</v>
      </c>
      <c r="AB185" s="21" t="s">
        <v>129</v>
      </c>
      <c r="AC185" s="21" t="s">
        <v>1818</v>
      </c>
      <c r="AD185" s="21" t="s">
        <v>287</v>
      </c>
      <c r="AE185" s="21" t="s">
        <v>133</v>
      </c>
      <c r="AF185" s="21" t="s">
        <v>135</v>
      </c>
      <c r="AG185" s="21" t="s">
        <v>135</v>
      </c>
      <c r="AH185" s="21" t="s">
        <v>135</v>
      </c>
      <c r="AI185" s="21" t="s">
        <v>135</v>
      </c>
    </row>
    <row r="186" spans="1:36" ht="15.75" customHeight="1" x14ac:dyDescent="0.3">
      <c r="A186" s="21">
        <v>2025</v>
      </c>
      <c r="B186" s="22">
        <v>45743.810854687501</v>
      </c>
      <c r="C186" s="21" t="s">
        <v>183</v>
      </c>
      <c r="D186" s="21" t="s">
        <v>183</v>
      </c>
      <c r="E186" s="21" t="s">
        <v>183</v>
      </c>
      <c r="F186" s="21" t="s">
        <v>183</v>
      </c>
      <c r="G186" s="21" t="s">
        <v>93</v>
      </c>
      <c r="H186" s="21" t="s">
        <v>1819</v>
      </c>
      <c r="I186" s="21" t="s">
        <v>1820</v>
      </c>
      <c r="J186" s="21" t="s">
        <v>1821</v>
      </c>
      <c r="K186" s="21" t="e">
        <f t="shared" ca="1" si="0"/>
        <v>#NAME?</v>
      </c>
      <c r="L186" s="24">
        <v>1984</v>
      </c>
      <c r="M186" s="21">
        <v>1993</v>
      </c>
      <c r="N186" s="21" t="s">
        <v>315</v>
      </c>
      <c r="O186" s="21" t="s">
        <v>316</v>
      </c>
      <c r="P186" s="26">
        <v>5104093850</v>
      </c>
      <c r="Q186" s="26" t="e">
        <f t="shared" ca="1" si="1"/>
        <v>#NAME?</v>
      </c>
      <c r="R186" s="21" t="s">
        <v>1822</v>
      </c>
      <c r="S186" s="21" t="s">
        <v>1823</v>
      </c>
      <c r="T186" s="21" t="s">
        <v>1823</v>
      </c>
      <c r="U186" s="21" t="s">
        <v>1824</v>
      </c>
      <c r="V186" s="21" t="s">
        <v>1824</v>
      </c>
      <c r="W186" s="21" t="s">
        <v>1825</v>
      </c>
      <c r="X186" s="21" t="s">
        <v>1826</v>
      </c>
      <c r="Y186" s="21" t="s">
        <v>1826</v>
      </c>
      <c r="Z186" s="21" t="s">
        <v>127</v>
      </c>
      <c r="AA186" s="21" t="s">
        <v>1827</v>
      </c>
      <c r="AB186" s="21" t="s">
        <v>129</v>
      </c>
      <c r="AC186" s="21" t="s">
        <v>1828</v>
      </c>
      <c r="AD186" s="21" t="s">
        <v>169</v>
      </c>
      <c r="AE186" s="21" t="s">
        <v>133</v>
      </c>
      <c r="AF186" s="21" t="s">
        <v>135</v>
      </c>
      <c r="AG186" s="21" t="s">
        <v>135</v>
      </c>
      <c r="AH186" s="21" t="s">
        <v>135</v>
      </c>
      <c r="AI186" s="21" t="s">
        <v>135</v>
      </c>
    </row>
    <row r="187" spans="1:36" ht="15.75" customHeight="1" x14ac:dyDescent="0.3">
      <c r="A187" s="21">
        <v>2025</v>
      </c>
      <c r="B187" s="22">
        <v>45744.110399594909</v>
      </c>
      <c r="C187" s="21" t="s">
        <v>183</v>
      </c>
      <c r="D187" s="21" t="s">
        <v>183</v>
      </c>
      <c r="E187" s="21" t="s">
        <v>183</v>
      </c>
      <c r="F187" s="21" t="s">
        <v>183</v>
      </c>
      <c r="G187" s="21" t="s">
        <v>93</v>
      </c>
      <c r="H187" s="21" t="s">
        <v>1829</v>
      </c>
      <c r="I187" s="21" t="s">
        <v>1830</v>
      </c>
      <c r="J187" s="21" t="s">
        <v>1831</v>
      </c>
      <c r="K187" s="21" t="e">
        <f t="shared" ca="1" si="0"/>
        <v>#NAME?</v>
      </c>
      <c r="L187" s="24">
        <v>1962</v>
      </c>
      <c r="M187" s="21">
        <v>1980</v>
      </c>
      <c r="N187" s="21" t="s">
        <v>111</v>
      </c>
      <c r="O187" s="21" t="s">
        <v>112</v>
      </c>
      <c r="P187" s="26">
        <v>9440365322</v>
      </c>
      <c r="Q187" s="26" t="e">
        <f t="shared" ca="1" si="1"/>
        <v>#NAME?</v>
      </c>
      <c r="R187" s="21" t="s">
        <v>1832</v>
      </c>
      <c r="S187" s="21" t="s">
        <v>1833</v>
      </c>
      <c r="T187" s="21" t="s">
        <v>1833</v>
      </c>
      <c r="U187" s="21" t="s">
        <v>425</v>
      </c>
      <c r="V187" s="21" t="s">
        <v>425</v>
      </c>
      <c r="W187" s="21" t="s">
        <v>219</v>
      </c>
      <c r="X187" s="21" t="s">
        <v>478</v>
      </c>
      <c r="Y187" s="21" t="s">
        <v>478</v>
      </c>
      <c r="Z187" s="21" t="s">
        <v>127</v>
      </c>
      <c r="AA187" s="21" t="s">
        <v>1834</v>
      </c>
      <c r="AB187" s="21" t="s">
        <v>129</v>
      </c>
      <c r="AC187" s="21" t="s">
        <v>1835</v>
      </c>
      <c r="AD187" s="21" t="s">
        <v>169</v>
      </c>
      <c r="AE187" s="21" t="s">
        <v>133</v>
      </c>
      <c r="AF187" s="21" t="s">
        <v>135</v>
      </c>
      <c r="AG187" s="21" t="s">
        <v>135</v>
      </c>
      <c r="AH187" s="21" t="s">
        <v>135</v>
      </c>
      <c r="AI187" s="21" t="s">
        <v>135</v>
      </c>
      <c r="AJ187" s="21" t="s">
        <v>1836</v>
      </c>
    </row>
    <row r="188" spans="1:36" ht="15.75" customHeight="1" x14ac:dyDescent="0.3">
      <c r="A188" s="21">
        <v>2025</v>
      </c>
      <c r="B188" s="22">
        <v>45746.296196006944</v>
      </c>
      <c r="C188" s="21" t="s">
        <v>183</v>
      </c>
      <c r="D188" s="21" t="s">
        <v>183</v>
      </c>
      <c r="E188" s="21" t="s">
        <v>183</v>
      </c>
      <c r="F188" s="21" t="s">
        <v>183</v>
      </c>
      <c r="G188" s="21" t="s">
        <v>93</v>
      </c>
      <c r="H188" s="21" t="s">
        <v>1837</v>
      </c>
      <c r="I188" s="21" t="s">
        <v>1838</v>
      </c>
      <c r="J188" s="21" t="s">
        <v>1839</v>
      </c>
      <c r="K188" s="21" t="e">
        <f t="shared" ca="1" si="0"/>
        <v>#NAME?</v>
      </c>
      <c r="L188" s="24">
        <v>1986</v>
      </c>
      <c r="M188" s="21">
        <v>2003</v>
      </c>
      <c r="N188" s="21" t="s">
        <v>111</v>
      </c>
      <c r="O188" s="21" t="s">
        <v>112</v>
      </c>
      <c r="P188" s="26">
        <v>9951753976</v>
      </c>
      <c r="Q188" s="26" t="e">
        <f t="shared" ca="1" si="1"/>
        <v>#NAME?</v>
      </c>
      <c r="R188" s="21" t="s">
        <v>1840</v>
      </c>
      <c r="S188" s="21" t="s">
        <v>1841</v>
      </c>
      <c r="T188" s="21" t="s">
        <v>1841</v>
      </c>
      <c r="U188" s="21" t="s">
        <v>1842</v>
      </c>
      <c r="V188" s="21" t="s">
        <v>1842</v>
      </c>
      <c r="W188" s="21" t="s">
        <v>1673</v>
      </c>
      <c r="X188" s="21" t="s">
        <v>1844</v>
      </c>
      <c r="Y188" s="21" t="s">
        <v>1845</v>
      </c>
      <c r="Z188" s="21" t="s">
        <v>284</v>
      </c>
      <c r="AA188" s="21" t="s">
        <v>1847</v>
      </c>
      <c r="AB188" s="21" t="s">
        <v>563</v>
      </c>
      <c r="AC188" s="21" t="s">
        <v>1849</v>
      </c>
      <c r="AD188" s="21" t="s">
        <v>132</v>
      </c>
      <c r="AE188" s="21" t="s">
        <v>133</v>
      </c>
      <c r="AF188" s="21" t="s">
        <v>135</v>
      </c>
      <c r="AG188" s="21" t="s">
        <v>135</v>
      </c>
      <c r="AH188" s="21" t="s">
        <v>135</v>
      </c>
      <c r="AI188" s="21" t="s">
        <v>135</v>
      </c>
    </row>
    <row r="189" spans="1:36" ht="15.75" customHeight="1" x14ac:dyDescent="0.3">
      <c r="A189" s="21">
        <v>2025</v>
      </c>
      <c r="B189" s="22">
        <v>45746.894568645832</v>
      </c>
      <c r="C189" s="21" t="s">
        <v>183</v>
      </c>
      <c r="D189" s="21" t="s">
        <v>183</v>
      </c>
      <c r="E189" s="21" t="s">
        <v>183</v>
      </c>
      <c r="F189" s="21" t="s">
        <v>183</v>
      </c>
      <c r="G189" s="21" t="s">
        <v>256</v>
      </c>
      <c r="H189" s="21" t="s">
        <v>1837</v>
      </c>
      <c r="I189" s="21" t="s">
        <v>1838</v>
      </c>
      <c r="J189" s="21" t="s">
        <v>1850</v>
      </c>
      <c r="K189" s="21" t="e">
        <f t="shared" ca="1" si="0"/>
        <v>#NAME?</v>
      </c>
      <c r="L189" s="24">
        <v>2014</v>
      </c>
      <c r="M189" s="21">
        <v>2025</v>
      </c>
      <c r="N189" s="21" t="s">
        <v>111</v>
      </c>
      <c r="O189" s="21" t="s">
        <v>112</v>
      </c>
      <c r="P189" s="26">
        <v>9951753976</v>
      </c>
      <c r="Q189" s="26" t="e">
        <f t="shared" ca="1" si="1"/>
        <v>#NAME?</v>
      </c>
      <c r="R189" s="21" t="s">
        <v>1840</v>
      </c>
      <c r="S189" s="21" t="s">
        <v>1851</v>
      </c>
      <c r="T189" s="21" t="s">
        <v>1851</v>
      </c>
      <c r="U189" s="21" t="s">
        <v>1852</v>
      </c>
      <c r="V189" s="21" t="s">
        <v>1852</v>
      </c>
      <c r="W189" s="21" t="s">
        <v>1853</v>
      </c>
      <c r="X189" s="21" t="s">
        <v>221</v>
      </c>
      <c r="Y189" s="21" t="s">
        <v>221</v>
      </c>
      <c r="Z189" s="21" t="s">
        <v>1854</v>
      </c>
      <c r="AA189" s="21" t="s">
        <v>1855</v>
      </c>
      <c r="AB189" s="21" t="s">
        <v>408</v>
      </c>
      <c r="AC189" s="21" t="s">
        <v>1856</v>
      </c>
      <c r="AD189" s="21" t="s">
        <v>287</v>
      </c>
      <c r="AE189" s="21" t="s">
        <v>133</v>
      </c>
      <c r="AF189" s="21" t="s">
        <v>135</v>
      </c>
      <c r="AG189" s="21" t="s">
        <v>135</v>
      </c>
      <c r="AH189" s="21" t="s">
        <v>135</v>
      </c>
      <c r="AI189" s="21" t="s">
        <v>135</v>
      </c>
      <c r="AJ189" s="21" t="s">
        <v>90</v>
      </c>
    </row>
    <row r="190" spans="1:36" ht="15.75" customHeight="1" x14ac:dyDescent="0.3">
      <c r="A190" s="21">
        <v>2025</v>
      </c>
      <c r="B190" s="22">
        <v>45747.145320729163</v>
      </c>
      <c r="C190" s="21" t="s">
        <v>183</v>
      </c>
      <c r="D190" s="21" t="s">
        <v>183</v>
      </c>
      <c r="E190" s="21" t="s">
        <v>183</v>
      </c>
      <c r="F190" s="21" t="s">
        <v>183</v>
      </c>
      <c r="G190" s="21" t="s">
        <v>93</v>
      </c>
      <c r="H190" s="21" t="s">
        <v>1857</v>
      </c>
      <c r="I190" s="21" t="s">
        <v>716</v>
      </c>
      <c r="J190" s="21" t="s">
        <v>1858</v>
      </c>
      <c r="K190" s="21" t="e">
        <f t="shared" ca="1" si="0"/>
        <v>#NAME?</v>
      </c>
      <c r="L190" s="24">
        <v>1977</v>
      </c>
      <c r="M190" s="21">
        <v>2003</v>
      </c>
      <c r="N190" s="21" t="s">
        <v>111</v>
      </c>
      <c r="O190" s="21" t="s">
        <v>112</v>
      </c>
      <c r="P190" s="26">
        <v>9000988326</v>
      </c>
      <c r="Q190" s="26" t="e">
        <f t="shared" ca="1" si="1"/>
        <v>#NAME?</v>
      </c>
      <c r="R190" s="21" t="s">
        <v>118</v>
      </c>
      <c r="S190" s="21" t="s">
        <v>1859</v>
      </c>
      <c r="T190" s="21" t="s">
        <v>1859</v>
      </c>
      <c r="U190" s="21" t="s">
        <v>1860</v>
      </c>
      <c r="V190" s="21" t="s">
        <v>1860</v>
      </c>
      <c r="W190" s="21" t="s">
        <v>1074</v>
      </c>
      <c r="X190" s="21" t="s">
        <v>267</v>
      </c>
      <c r="Y190" s="21" t="s">
        <v>267</v>
      </c>
      <c r="Z190" s="21" t="s">
        <v>127</v>
      </c>
      <c r="AA190" s="21" t="s">
        <v>608</v>
      </c>
      <c r="AB190" s="21" t="s">
        <v>129</v>
      </c>
      <c r="AC190" s="21" t="s">
        <v>1861</v>
      </c>
      <c r="AD190" s="21" t="s">
        <v>169</v>
      </c>
      <c r="AE190" s="21" t="s">
        <v>133</v>
      </c>
      <c r="AF190" s="21" t="s">
        <v>686</v>
      </c>
      <c r="AG190" s="21" t="s">
        <v>135</v>
      </c>
      <c r="AH190" s="21" t="s">
        <v>135</v>
      </c>
      <c r="AI190" s="21" t="s">
        <v>135</v>
      </c>
    </row>
    <row r="191" spans="1:36" ht="15.75" customHeight="1" x14ac:dyDescent="0.3">
      <c r="A191" s="21">
        <v>2025</v>
      </c>
      <c r="B191" s="22">
        <v>45748.060603368052</v>
      </c>
      <c r="C191" s="21" t="s">
        <v>183</v>
      </c>
      <c r="D191" s="21" t="s">
        <v>183</v>
      </c>
      <c r="E191" s="21" t="s">
        <v>183</v>
      </c>
      <c r="F191" s="21" t="s">
        <v>183</v>
      </c>
      <c r="G191" s="21" t="s">
        <v>93</v>
      </c>
      <c r="H191" s="21" t="s">
        <v>1862</v>
      </c>
      <c r="I191" s="21" t="s">
        <v>1863</v>
      </c>
      <c r="J191" s="21" t="s">
        <v>1864</v>
      </c>
      <c r="K191" s="21" t="e">
        <f t="shared" ca="1" si="0"/>
        <v>#NAME?</v>
      </c>
      <c r="L191" s="24">
        <v>1987</v>
      </c>
      <c r="M191" s="21">
        <v>1999</v>
      </c>
      <c r="N191" s="21" t="s">
        <v>111</v>
      </c>
      <c r="O191" s="21" t="s">
        <v>112</v>
      </c>
      <c r="P191" s="26">
        <v>9441592219</v>
      </c>
      <c r="Q191" s="26" t="e">
        <f t="shared" ca="1" si="1"/>
        <v>#NAME?</v>
      </c>
      <c r="R191" s="21" t="s">
        <v>188</v>
      </c>
      <c r="S191" s="21" t="s">
        <v>127</v>
      </c>
      <c r="T191" s="21" t="s">
        <v>127</v>
      </c>
      <c r="U191" s="21" t="s">
        <v>1865</v>
      </c>
      <c r="V191" s="21" t="s">
        <v>1865</v>
      </c>
      <c r="W191" s="21" t="s">
        <v>123</v>
      </c>
      <c r="X191" s="21" t="s">
        <v>1866</v>
      </c>
      <c r="Y191" s="21" t="s">
        <v>707</v>
      </c>
      <c r="Z191" s="21" t="s">
        <v>127</v>
      </c>
      <c r="AA191" s="21" t="s">
        <v>1867</v>
      </c>
      <c r="AB191" s="21" t="s">
        <v>129</v>
      </c>
      <c r="AC191" s="21" t="s">
        <v>1868</v>
      </c>
      <c r="AD191" s="21" t="s">
        <v>287</v>
      </c>
      <c r="AE191" s="21" t="s">
        <v>133</v>
      </c>
      <c r="AF191" s="21" t="s">
        <v>686</v>
      </c>
      <c r="AG191" s="21" t="s">
        <v>135</v>
      </c>
      <c r="AH191" s="21" t="s">
        <v>135</v>
      </c>
      <c r="AI191" s="21" t="s">
        <v>135</v>
      </c>
    </row>
    <row r="192" spans="1:36" ht="15.75" customHeight="1" x14ac:dyDescent="0.3">
      <c r="A192" s="21">
        <v>2025</v>
      </c>
      <c r="B192" s="22">
        <v>45748.440506886574</v>
      </c>
      <c r="C192" s="21" t="s">
        <v>183</v>
      </c>
      <c r="D192" s="21" t="s">
        <v>183</v>
      </c>
      <c r="E192" s="21" t="s">
        <v>183</v>
      </c>
      <c r="F192" s="21" t="s">
        <v>183</v>
      </c>
      <c r="G192" s="21" t="s">
        <v>93</v>
      </c>
      <c r="H192" s="21" t="s">
        <v>1869</v>
      </c>
      <c r="I192" s="21" t="s">
        <v>1001</v>
      </c>
      <c r="J192" s="21" t="s">
        <v>1870</v>
      </c>
      <c r="K192" s="21" t="e">
        <f t="shared" ca="1" si="0"/>
        <v>#NAME?</v>
      </c>
      <c r="L192" s="24">
        <v>1987</v>
      </c>
      <c r="M192" s="21">
        <v>2004</v>
      </c>
      <c r="N192" s="21" t="s">
        <v>111</v>
      </c>
      <c r="O192" s="21" t="s">
        <v>112</v>
      </c>
      <c r="P192" s="26">
        <v>9963446073</v>
      </c>
      <c r="Q192" s="26" t="e">
        <f t="shared" ca="1" si="1"/>
        <v>#NAME?</v>
      </c>
      <c r="R192" s="21" t="s">
        <v>664</v>
      </c>
      <c r="S192" s="21" t="s">
        <v>1871</v>
      </c>
      <c r="T192" s="21" t="s">
        <v>1871</v>
      </c>
      <c r="U192" s="21" t="s">
        <v>1872</v>
      </c>
      <c r="V192" s="21" t="s">
        <v>1872</v>
      </c>
      <c r="W192" s="21" t="s">
        <v>394</v>
      </c>
      <c r="X192" s="21" t="s">
        <v>1873</v>
      </c>
      <c r="Y192" s="21" t="s">
        <v>1873</v>
      </c>
      <c r="Z192" s="21" t="s">
        <v>127</v>
      </c>
      <c r="AA192" s="21" t="s">
        <v>1874</v>
      </c>
      <c r="AB192" s="21" t="s">
        <v>129</v>
      </c>
      <c r="AC192" s="21" t="s">
        <v>1069</v>
      </c>
      <c r="AD192" s="21" t="s">
        <v>132</v>
      </c>
      <c r="AE192" s="21" t="s">
        <v>133</v>
      </c>
      <c r="AF192" s="21" t="s">
        <v>135</v>
      </c>
      <c r="AG192" s="21" t="s">
        <v>135</v>
      </c>
      <c r="AH192" s="21" t="s">
        <v>135</v>
      </c>
      <c r="AI192" s="21" t="s">
        <v>135</v>
      </c>
      <c r="AJ192" s="21" t="s">
        <v>1875</v>
      </c>
    </row>
    <row r="193" spans="1:36" ht="15.75" customHeight="1" x14ac:dyDescent="0.3">
      <c r="A193" s="21">
        <v>2025</v>
      </c>
      <c r="B193" s="22">
        <v>45748.909065532411</v>
      </c>
      <c r="C193" s="21" t="s">
        <v>183</v>
      </c>
      <c r="D193" s="21" t="s">
        <v>183</v>
      </c>
      <c r="E193" s="21" t="s">
        <v>183</v>
      </c>
      <c r="F193" s="21" t="s">
        <v>183</v>
      </c>
      <c r="G193" s="21" t="s">
        <v>93</v>
      </c>
      <c r="H193" s="21" t="s">
        <v>1876</v>
      </c>
      <c r="I193" s="21" t="s">
        <v>1877</v>
      </c>
      <c r="J193" s="21" t="s">
        <v>1878</v>
      </c>
      <c r="K193" s="21" t="e">
        <f t="shared" ca="1" si="0"/>
        <v>#NAME?</v>
      </c>
      <c r="L193" s="24">
        <v>1985</v>
      </c>
      <c r="M193" s="21">
        <v>2008</v>
      </c>
      <c r="N193" s="21" t="s">
        <v>111</v>
      </c>
      <c r="O193" s="21" t="s">
        <v>112</v>
      </c>
      <c r="P193" s="26">
        <v>9177056656</v>
      </c>
      <c r="Q193" s="26" t="e">
        <f t="shared" ca="1" si="1"/>
        <v>#NAME?</v>
      </c>
      <c r="R193" s="21" t="s">
        <v>1879</v>
      </c>
      <c r="S193" s="21" t="s">
        <v>284</v>
      </c>
      <c r="T193" s="21" t="s">
        <v>284</v>
      </c>
      <c r="U193" s="21" t="s">
        <v>1880</v>
      </c>
      <c r="V193" s="21" t="s">
        <v>1880</v>
      </c>
      <c r="W193" s="21" t="s">
        <v>266</v>
      </c>
      <c r="X193" s="21" t="s">
        <v>1881</v>
      </c>
      <c r="Y193" s="21" t="s">
        <v>1882</v>
      </c>
      <c r="Z193" s="21" t="s">
        <v>127</v>
      </c>
      <c r="AA193" s="21" t="s">
        <v>727</v>
      </c>
      <c r="AB193" s="21" t="s">
        <v>129</v>
      </c>
      <c r="AC193" s="21" t="s">
        <v>1883</v>
      </c>
      <c r="AD193" s="21" t="s">
        <v>169</v>
      </c>
      <c r="AE193" s="21" t="s">
        <v>133</v>
      </c>
      <c r="AF193" s="21" t="s">
        <v>135</v>
      </c>
      <c r="AG193" s="21" t="s">
        <v>135</v>
      </c>
      <c r="AH193" s="21" t="s">
        <v>135</v>
      </c>
      <c r="AI193" s="21" t="s">
        <v>135</v>
      </c>
    </row>
    <row r="194" spans="1:36" ht="15.75" customHeight="1" x14ac:dyDescent="0.3">
      <c r="A194" s="21">
        <v>2025</v>
      </c>
      <c r="B194" s="22">
        <v>45750.37569980324</v>
      </c>
      <c r="C194" s="21" t="s">
        <v>183</v>
      </c>
      <c r="D194" s="21" t="s">
        <v>183</v>
      </c>
      <c r="E194" s="21" t="s">
        <v>183</v>
      </c>
      <c r="F194" s="21" t="s">
        <v>183</v>
      </c>
      <c r="G194" s="21" t="s">
        <v>93</v>
      </c>
      <c r="H194" s="21" t="s">
        <v>1884</v>
      </c>
      <c r="I194" s="21" t="s">
        <v>1885</v>
      </c>
      <c r="J194" s="21" t="s">
        <v>1886</v>
      </c>
      <c r="K194" s="21" t="e">
        <f t="shared" ca="1" si="0"/>
        <v>#NAME?</v>
      </c>
      <c r="L194" s="24">
        <v>1995</v>
      </c>
      <c r="M194" s="21">
        <v>2011</v>
      </c>
      <c r="N194" s="21" t="s">
        <v>111</v>
      </c>
      <c r="O194" s="21" t="s">
        <v>112</v>
      </c>
      <c r="P194" s="26">
        <v>7416333164</v>
      </c>
      <c r="Q194" s="26" t="e">
        <f t="shared" ca="1" si="1"/>
        <v>#NAME?</v>
      </c>
      <c r="R194" s="21" t="s">
        <v>188</v>
      </c>
      <c r="S194" s="21" t="s">
        <v>1887</v>
      </c>
      <c r="T194" s="21" t="s">
        <v>1887</v>
      </c>
      <c r="U194" s="21" t="s">
        <v>1888</v>
      </c>
      <c r="V194" s="21" t="s">
        <v>1888</v>
      </c>
      <c r="W194" s="21" t="s">
        <v>1408</v>
      </c>
      <c r="X194" s="21" t="s">
        <v>352</v>
      </c>
      <c r="Y194" s="21" t="s">
        <v>352</v>
      </c>
      <c r="Z194" s="21" t="s">
        <v>1889</v>
      </c>
      <c r="AA194" s="21" t="s">
        <v>1890</v>
      </c>
      <c r="AB194" s="21" t="s">
        <v>129</v>
      </c>
      <c r="AC194" s="21" t="s">
        <v>1891</v>
      </c>
      <c r="AD194" s="21" t="s">
        <v>169</v>
      </c>
      <c r="AE194" s="21" t="s">
        <v>133</v>
      </c>
      <c r="AF194" s="21" t="s">
        <v>135</v>
      </c>
      <c r="AG194" s="21" t="s">
        <v>135</v>
      </c>
      <c r="AH194" s="21" t="s">
        <v>135</v>
      </c>
      <c r="AI194" s="21" t="s">
        <v>135</v>
      </c>
    </row>
    <row r="195" spans="1:36" ht="15.75" customHeight="1" x14ac:dyDescent="0.3">
      <c r="A195" s="21">
        <v>2025</v>
      </c>
      <c r="B195" s="22">
        <v>45754.356124270838</v>
      </c>
      <c r="C195" s="21" t="s">
        <v>183</v>
      </c>
      <c r="D195" s="21" t="s">
        <v>183</v>
      </c>
      <c r="E195" s="21" t="s">
        <v>183</v>
      </c>
      <c r="F195" s="21" t="s">
        <v>183</v>
      </c>
      <c r="G195" s="21" t="s">
        <v>93</v>
      </c>
      <c r="H195" s="21" t="s">
        <v>1892</v>
      </c>
      <c r="I195" s="21" t="s">
        <v>1893</v>
      </c>
      <c r="J195" s="21" t="s">
        <v>1894</v>
      </c>
      <c r="K195" s="21" t="e">
        <f t="shared" ca="1" si="0"/>
        <v>#NAME?</v>
      </c>
      <c r="L195" s="24">
        <v>1992</v>
      </c>
      <c r="M195" s="21">
        <v>2016</v>
      </c>
      <c r="N195" s="21" t="s">
        <v>111</v>
      </c>
      <c r="O195" s="21" t="s">
        <v>112</v>
      </c>
      <c r="P195" s="26">
        <v>6383404144</v>
      </c>
      <c r="Q195" s="26" t="e">
        <f t="shared" ca="1" si="1"/>
        <v>#NAME?</v>
      </c>
      <c r="R195" s="21" t="s">
        <v>188</v>
      </c>
      <c r="S195" s="21" t="s">
        <v>1895</v>
      </c>
      <c r="T195" s="21" t="s">
        <v>1895</v>
      </c>
      <c r="U195" s="21" t="s">
        <v>1896</v>
      </c>
      <c r="V195" s="21" t="s">
        <v>1896</v>
      </c>
      <c r="W195" s="21" t="s">
        <v>219</v>
      </c>
      <c r="X195" s="21" t="s">
        <v>1897</v>
      </c>
      <c r="Y195" s="21" t="s">
        <v>179</v>
      </c>
      <c r="Z195" s="21" t="s">
        <v>127</v>
      </c>
      <c r="AA195" s="21" t="s">
        <v>1898</v>
      </c>
      <c r="AB195" s="21" t="s">
        <v>129</v>
      </c>
      <c r="AC195" s="21" t="s">
        <v>1899</v>
      </c>
      <c r="AD195" s="21" t="s">
        <v>287</v>
      </c>
      <c r="AE195" s="21" t="s">
        <v>332</v>
      </c>
      <c r="AF195" s="21" t="s">
        <v>135</v>
      </c>
      <c r="AG195" s="21" t="s">
        <v>135</v>
      </c>
      <c r="AH195" s="21" t="s">
        <v>135</v>
      </c>
      <c r="AI195" s="21" t="s">
        <v>135</v>
      </c>
    </row>
    <row r="196" spans="1:36" ht="15.75" customHeight="1" x14ac:dyDescent="0.3">
      <c r="A196" s="21">
        <v>2025</v>
      </c>
      <c r="B196" s="22">
        <v>45754.370592465275</v>
      </c>
      <c r="C196" s="21" t="s">
        <v>183</v>
      </c>
      <c r="D196" s="21" t="s">
        <v>183</v>
      </c>
      <c r="E196" s="21" t="s">
        <v>183</v>
      </c>
      <c r="F196" s="21" t="s">
        <v>183</v>
      </c>
      <c r="G196" s="21" t="s">
        <v>93</v>
      </c>
      <c r="H196" s="21" t="s">
        <v>1900</v>
      </c>
      <c r="I196" s="21" t="s">
        <v>1901</v>
      </c>
      <c r="J196" s="21" t="s">
        <v>1902</v>
      </c>
      <c r="K196" s="21" t="e">
        <f t="shared" ca="1" si="0"/>
        <v>#NAME?</v>
      </c>
      <c r="L196" s="24">
        <v>1990</v>
      </c>
      <c r="M196" s="21">
        <v>2006</v>
      </c>
      <c r="N196" s="21" t="s">
        <v>111</v>
      </c>
      <c r="O196" s="21" t="s">
        <v>112</v>
      </c>
      <c r="P196" s="26">
        <v>9618836050</v>
      </c>
      <c r="Q196" s="26" t="e">
        <f t="shared" ca="1" si="1"/>
        <v>#NAME?</v>
      </c>
      <c r="R196" s="21" t="s">
        <v>188</v>
      </c>
      <c r="S196" s="21" t="s">
        <v>1903</v>
      </c>
      <c r="T196" s="21" t="s">
        <v>1903</v>
      </c>
      <c r="U196" s="21" t="s">
        <v>1904</v>
      </c>
      <c r="V196" s="21" t="s">
        <v>1904</v>
      </c>
      <c r="W196" s="21" t="s">
        <v>307</v>
      </c>
      <c r="X196" s="21" t="s">
        <v>308</v>
      </c>
      <c r="Y196" s="21" t="s">
        <v>308</v>
      </c>
      <c r="Z196" s="21" t="s">
        <v>127</v>
      </c>
      <c r="AA196" s="21" t="s">
        <v>450</v>
      </c>
      <c r="AB196" s="21" t="s">
        <v>129</v>
      </c>
      <c r="AC196" s="21" t="s">
        <v>1905</v>
      </c>
      <c r="AD196" s="21" t="s">
        <v>132</v>
      </c>
      <c r="AE196" s="21" t="s">
        <v>133</v>
      </c>
      <c r="AF196" s="21" t="s">
        <v>135</v>
      </c>
      <c r="AG196" s="21" t="s">
        <v>135</v>
      </c>
      <c r="AH196" s="21" t="s">
        <v>135</v>
      </c>
      <c r="AI196" s="21" t="s">
        <v>135</v>
      </c>
      <c r="AJ196" s="21" t="s">
        <v>1906</v>
      </c>
    </row>
    <row r="197" spans="1:36" ht="15.75" customHeight="1" x14ac:dyDescent="0.3">
      <c r="A197" s="21">
        <v>2025</v>
      </c>
      <c r="B197" s="22">
        <v>45754.939961851851</v>
      </c>
      <c r="C197" s="21" t="s">
        <v>183</v>
      </c>
      <c r="D197" s="21" t="s">
        <v>183</v>
      </c>
      <c r="E197" s="21" t="s">
        <v>183</v>
      </c>
      <c r="F197" s="21" t="s">
        <v>183</v>
      </c>
      <c r="G197" s="21" t="s">
        <v>93</v>
      </c>
      <c r="H197" s="21" t="s">
        <v>1907</v>
      </c>
      <c r="I197" s="21" t="s">
        <v>1908</v>
      </c>
      <c r="J197" s="21" t="s">
        <v>1909</v>
      </c>
      <c r="K197" s="21" t="e">
        <f t="shared" ca="1" si="0"/>
        <v>#NAME?</v>
      </c>
      <c r="L197" s="24">
        <v>1960</v>
      </c>
      <c r="M197" s="21">
        <v>1993</v>
      </c>
      <c r="N197" s="21" t="s">
        <v>111</v>
      </c>
      <c r="O197" s="21" t="s">
        <v>112</v>
      </c>
      <c r="P197" s="26">
        <v>7382073028</v>
      </c>
      <c r="Q197" s="26" t="e">
        <f t="shared" ca="1" si="1"/>
        <v>#NAME?</v>
      </c>
      <c r="R197" s="21" t="s">
        <v>188</v>
      </c>
      <c r="S197" s="21" t="s">
        <v>1910</v>
      </c>
      <c r="T197" s="21" t="s">
        <v>1910</v>
      </c>
      <c r="U197" s="21" t="s">
        <v>1911</v>
      </c>
      <c r="V197" s="21" t="s">
        <v>1911</v>
      </c>
      <c r="W197" s="21" t="s">
        <v>1912</v>
      </c>
      <c r="X197" s="21" t="s">
        <v>1913</v>
      </c>
      <c r="Y197" s="21" t="s">
        <v>1913</v>
      </c>
      <c r="Z197" s="21" t="s">
        <v>1915</v>
      </c>
      <c r="AA197" s="21" t="s">
        <v>1916</v>
      </c>
      <c r="AB197" s="21" t="s">
        <v>129</v>
      </c>
      <c r="AC197" s="21" t="s">
        <v>1918</v>
      </c>
      <c r="AD197" s="21" t="s">
        <v>132</v>
      </c>
      <c r="AE197" s="21" t="s">
        <v>133</v>
      </c>
      <c r="AF197" s="21" t="s">
        <v>135</v>
      </c>
      <c r="AG197" s="21" t="s">
        <v>135</v>
      </c>
      <c r="AH197" s="21" t="s">
        <v>135</v>
      </c>
      <c r="AI197" s="21" t="s">
        <v>135</v>
      </c>
      <c r="AJ197" s="21" t="s">
        <v>1919</v>
      </c>
    </row>
    <row r="198" spans="1:36" ht="15.75" customHeight="1" x14ac:dyDescent="0.3">
      <c r="A198" s="21">
        <v>2025</v>
      </c>
      <c r="B198" s="22">
        <v>45754.991223194447</v>
      </c>
      <c r="C198" s="21" t="s">
        <v>183</v>
      </c>
      <c r="D198" s="21" t="s">
        <v>183</v>
      </c>
      <c r="E198" s="21" t="s">
        <v>183</v>
      </c>
      <c r="F198" s="21" t="s">
        <v>183</v>
      </c>
      <c r="G198" s="21" t="s">
        <v>93</v>
      </c>
      <c r="H198" s="21" t="s">
        <v>1920</v>
      </c>
      <c r="I198" s="21" t="s">
        <v>1908</v>
      </c>
      <c r="J198" s="21" t="s">
        <v>1921</v>
      </c>
      <c r="K198" s="21" t="e">
        <f t="shared" ca="1" si="0"/>
        <v>#NAME?</v>
      </c>
      <c r="L198" s="24">
        <v>1995</v>
      </c>
      <c r="M198" s="21">
        <v>2025</v>
      </c>
      <c r="N198" s="21" t="s">
        <v>111</v>
      </c>
      <c r="O198" s="21" t="s">
        <v>112</v>
      </c>
      <c r="P198" s="26">
        <v>9154883909</v>
      </c>
      <c r="Q198" s="26" t="e">
        <f t="shared" ca="1" si="1"/>
        <v>#NAME?</v>
      </c>
      <c r="R198" s="21" t="s">
        <v>1922</v>
      </c>
      <c r="S198" s="21" t="s">
        <v>1910</v>
      </c>
      <c r="T198" s="21" t="s">
        <v>1910</v>
      </c>
      <c r="U198" s="21" t="s">
        <v>1923</v>
      </c>
      <c r="V198" s="21" t="s">
        <v>1923</v>
      </c>
      <c r="W198" s="21" t="s">
        <v>1924</v>
      </c>
      <c r="X198" s="21" t="s">
        <v>192</v>
      </c>
      <c r="Y198" s="21" t="s">
        <v>192</v>
      </c>
      <c r="Z198" s="21" t="s">
        <v>127</v>
      </c>
      <c r="AA198" s="21" t="s">
        <v>1127</v>
      </c>
      <c r="AB198" s="21" t="s">
        <v>129</v>
      </c>
      <c r="AC198" s="21" t="s">
        <v>1925</v>
      </c>
      <c r="AD198" s="21" t="s">
        <v>169</v>
      </c>
      <c r="AE198" s="21" t="s">
        <v>133</v>
      </c>
      <c r="AF198" s="21" t="s">
        <v>135</v>
      </c>
      <c r="AG198" s="21" t="s">
        <v>135</v>
      </c>
      <c r="AH198" s="21" t="s">
        <v>135</v>
      </c>
      <c r="AI198" s="21" t="s">
        <v>135</v>
      </c>
    </row>
    <row r="199" spans="1:36" ht="15.75" customHeight="1" x14ac:dyDescent="0.3">
      <c r="A199" s="21">
        <v>2025</v>
      </c>
      <c r="B199" s="22">
        <v>45756.847445590276</v>
      </c>
      <c r="C199" s="21" t="s">
        <v>183</v>
      </c>
      <c r="D199" s="21" t="s">
        <v>183</v>
      </c>
      <c r="E199" s="21" t="s">
        <v>183</v>
      </c>
      <c r="F199" s="21" t="s">
        <v>183</v>
      </c>
      <c r="G199" s="21" t="s">
        <v>93</v>
      </c>
      <c r="H199" s="21" t="s">
        <v>1926</v>
      </c>
      <c r="I199" s="21" t="s">
        <v>1927</v>
      </c>
      <c r="J199" s="21" t="s">
        <v>1928</v>
      </c>
      <c r="K199" s="21" t="e">
        <f t="shared" ca="1" si="0"/>
        <v>#NAME?</v>
      </c>
      <c r="L199" s="24">
        <v>1959</v>
      </c>
      <c r="M199" s="21">
        <v>1991</v>
      </c>
      <c r="N199" s="21" t="s">
        <v>111</v>
      </c>
      <c r="O199" s="21" t="s">
        <v>112</v>
      </c>
      <c r="P199" s="26">
        <v>9177141449</v>
      </c>
      <c r="Q199" s="26" t="e">
        <f t="shared" ca="1" si="1"/>
        <v>#NAME?</v>
      </c>
      <c r="R199" s="21" t="s">
        <v>188</v>
      </c>
      <c r="S199" s="21" t="s">
        <v>1929</v>
      </c>
      <c r="T199" s="21" t="s">
        <v>1929</v>
      </c>
      <c r="U199" s="21" t="s">
        <v>1930</v>
      </c>
      <c r="V199" s="21" t="s">
        <v>1930</v>
      </c>
      <c r="W199" s="21" t="s">
        <v>706</v>
      </c>
      <c r="X199" s="21" t="s">
        <v>1931</v>
      </c>
      <c r="Y199" s="21" t="s">
        <v>1932</v>
      </c>
      <c r="Z199" s="21" t="s">
        <v>284</v>
      </c>
      <c r="AA199" s="21" t="s">
        <v>1933</v>
      </c>
      <c r="AB199" s="21" t="s">
        <v>129</v>
      </c>
      <c r="AC199" s="21" t="s">
        <v>1934</v>
      </c>
      <c r="AD199" s="21" t="s">
        <v>132</v>
      </c>
      <c r="AE199" s="21" t="s">
        <v>133</v>
      </c>
      <c r="AF199" s="21" t="s">
        <v>135</v>
      </c>
      <c r="AG199" s="21" t="s">
        <v>135</v>
      </c>
      <c r="AH199" s="21" t="s">
        <v>135</v>
      </c>
      <c r="AI199" s="21" t="s">
        <v>135</v>
      </c>
    </row>
    <row r="200" spans="1:36" ht="15.75" customHeight="1" x14ac:dyDescent="0.3">
      <c r="A200" s="21">
        <v>2025</v>
      </c>
      <c r="B200" s="22">
        <v>45756.886886655091</v>
      </c>
      <c r="C200" s="21" t="s">
        <v>183</v>
      </c>
      <c r="D200" s="21" t="s">
        <v>183</v>
      </c>
      <c r="E200" s="21" t="s">
        <v>183</v>
      </c>
      <c r="F200" s="21" t="s">
        <v>183</v>
      </c>
      <c r="G200" s="21" t="s">
        <v>256</v>
      </c>
      <c r="H200" s="21" t="s">
        <v>1935</v>
      </c>
      <c r="I200" s="21" t="s">
        <v>1936</v>
      </c>
      <c r="J200" s="21" t="s">
        <v>1937</v>
      </c>
      <c r="K200" s="21" t="e">
        <f t="shared" ca="1" si="0"/>
        <v>#NAME?</v>
      </c>
      <c r="L200" s="24">
        <v>2015</v>
      </c>
      <c r="M200" s="21">
        <v>2022</v>
      </c>
      <c r="N200" s="21" t="s">
        <v>111</v>
      </c>
      <c r="O200" s="21" t="s">
        <v>112</v>
      </c>
      <c r="P200" s="26">
        <v>7729950624</v>
      </c>
      <c r="Q200" s="26" t="e">
        <f t="shared" ca="1" si="1"/>
        <v>#NAME?</v>
      </c>
      <c r="R200" s="21" t="s">
        <v>118</v>
      </c>
      <c r="S200" s="21" t="s">
        <v>292</v>
      </c>
      <c r="T200" s="21" t="s">
        <v>292</v>
      </c>
      <c r="U200" s="21" t="s">
        <v>1938</v>
      </c>
      <c r="V200" s="21" t="s">
        <v>1938</v>
      </c>
      <c r="W200" s="21" t="s">
        <v>219</v>
      </c>
      <c r="X200" s="21" t="s">
        <v>178</v>
      </c>
      <c r="Y200" s="21" t="s">
        <v>178</v>
      </c>
      <c r="Z200" s="21" t="s">
        <v>1939</v>
      </c>
      <c r="AA200" s="21" t="s">
        <v>1940</v>
      </c>
      <c r="AB200" s="21" t="s">
        <v>408</v>
      </c>
      <c r="AC200" s="21" t="s">
        <v>1941</v>
      </c>
      <c r="AD200" s="21" t="s">
        <v>287</v>
      </c>
      <c r="AE200" s="21" t="s">
        <v>133</v>
      </c>
      <c r="AF200" s="21" t="s">
        <v>135</v>
      </c>
      <c r="AG200" s="21" t="s">
        <v>135</v>
      </c>
      <c r="AH200" s="21" t="s">
        <v>135</v>
      </c>
      <c r="AI200" s="21" t="s">
        <v>135</v>
      </c>
      <c r="AJ200" s="21" t="s">
        <v>1942</v>
      </c>
    </row>
    <row r="201" spans="1:36" ht="15.75" customHeight="1" x14ac:dyDescent="0.3">
      <c r="A201" s="21">
        <v>2025</v>
      </c>
      <c r="B201" s="22">
        <v>45756.967981064816</v>
      </c>
      <c r="C201" s="21" t="s">
        <v>183</v>
      </c>
      <c r="D201" s="21" t="s">
        <v>183</v>
      </c>
      <c r="E201" s="21" t="s">
        <v>183</v>
      </c>
      <c r="F201" s="21" t="s">
        <v>183</v>
      </c>
      <c r="G201" s="21" t="s">
        <v>93</v>
      </c>
      <c r="H201" s="21" t="s">
        <v>1943</v>
      </c>
      <c r="I201" s="21" t="s">
        <v>1944</v>
      </c>
      <c r="J201" s="21" t="s">
        <v>1945</v>
      </c>
      <c r="K201" s="21" t="e">
        <f t="shared" ca="1" si="0"/>
        <v>#NAME?</v>
      </c>
      <c r="L201" s="24">
        <v>1982</v>
      </c>
      <c r="M201" s="21">
        <v>2002</v>
      </c>
      <c r="N201" s="21" t="s">
        <v>111</v>
      </c>
      <c r="O201" s="21" t="s">
        <v>112</v>
      </c>
      <c r="P201" s="26">
        <v>9849639880</v>
      </c>
      <c r="Q201" s="26" t="e">
        <f t="shared" ca="1" si="1"/>
        <v>#NAME?</v>
      </c>
      <c r="R201" s="21" t="s">
        <v>188</v>
      </c>
      <c r="S201" s="21" t="s">
        <v>1946</v>
      </c>
      <c r="T201" s="21" t="s">
        <v>1946</v>
      </c>
      <c r="U201" s="21" t="s">
        <v>1947</v>
      </c>
      <c r="V201" s="21" t="s">
        <v>1947</v>
      </c>
      <c r="W201" s="21" t="s">
        <v>307</v>
      </c>
      <c r="X201" s="21" t="s">
        <v>1948</v>
      </c>
      <c r="Y201" s="21" t="s">
        <v>1949</v>
      </c>
      <c r="Z201" s="21" t="s">
        <v>127</v>
      </c>
      <c r="AA201" s="21" t="s">
        <v>1950</v>
      </c>
      <c r="AB201" s="21" t="s">
        <v>129</v>
      </c>
      <c r="AC201" s="21" t="s">
        <v>1951</v>
      </c>
      <c r="AD201" s="21" t="s">
        <v>287</v>
      </c>
      <c r="AE201" s="21" t="s">
        <v>133</v>
      </c>
      <c r="AF201" s="21" t="s">
        <v>135</v>
      </c>
      <c r="AG201" s="21" t="s">
        <v>135</v>
      </c>
      <c r="AH201" s="21" t="s">
        <v>135</v>
      </c>
      <c r="AI201" s="21" t="s">
        <v>135</v>
      </c>
      <c r="AJ201" s="21" t="s">
        <v>1952</v>
      </c>
    </row>
    <row r="202" spans="1:36" ht="15.75" customHeight="1" x14ac:dyDescent="0.3">
      <c r="A202" s="21">
        <v>2025</v>
      </c>
      <c r="B202" s="22">
        <v>45757.08881645833</v>
      </c>
      <c r="C202" s="21" t="s">
        <v>183</v>
      </c>
      <c r="D202" s="21" t="s">
        <v>183</v>
      </c>
      <c r="E202" s="21" t="s">
        <v>183</v>
      </c>
      <c r="F202" s="21" t="s">
        <v>183</v>
      </c>
      <c r="G202" s="21" t="s">
        <v>93</v>
      </c>
      <c r="H202" s="21" t="s">
        <v>1953</v>
      </c>
      <c r="I202" s="21" t="s">
        <v>1954</v>
      </c>
      <c r="J202" s="21" t="s">
        <v>643</v>
      </c>
      <c r="K202" s="21" t="e">
        <f t="shared" ca="1" si="0"/>
        <v>#NAME?</v>
      </c>
      <c r="L202" s="24">
        <v>1965</v>
      </c>
      <c r="M202" s="21">
        <v>1985</v>
      </c>
      <c r="N202" s="21" t="s">
        <v>315</v>
      </c>
      <c r="O202" s="21" t="s">
        <v>316</v>
      </c>
      <c r="P202" s="26">
        <v>2103671288</v>
      </c>
      <c r="Q202" s="26" t="e">
        <f t="shared" ca="1" si="1"/>
        <v>#NAME?</v>
      </c>
      <c r="R202" s="21" t="s">
        <v>1955</v>
      </c>
      <c r="S202" s="21" t="s">
        <v>1956</v>
      </c>
      <c r="T202" s="21" t="s">
        <v>1956</v>
      </c>
      <c r="U202" s="21" t="s">
        <v>1957</v>
      </c>
      <c r="V202" s="21" t="s">
        <v>1957</v>
      </c>
      <c r="W202" s="21" t="s">
        <v>307</v>
      </c>
      <c r="X202" s="21" t="s">
        <v>352</v>
      </c>
      <c r="Y202" s="21" t="s">
        <v>352</v>
      </c>
      <c r="Z202" s="21" t="s">
        <v>127</v>
      </c>
      <c r="AA202" s="21" t="s">
        <v>1958</v>
      </c>
      <c r="AB202" s="21" t="s">
        <v>129</v>
      </c>
      <c r="AC202" s="21" t="s">
        <v>1959</v>
      </c>
      <c r="AD202" s="21" t="s">
        <v>287</v>
      </c>
      <c r="AE202" s="21" t="s">
        <v>133</v>
      </c>
      <c r="AF202" s="21" t="s">
        <v>135</v>
      </c>
      <c r="AG202" s="21" t="s">
        <v>135</v>
      </c>
      <c r="AH202" s="21" t="s">
        <v>135</v>
      </c>
      <c r="AI202" s="21" t="s">
        <v>135</v>
      </c>
    </row>
    <row r="203" spans="1:36" ht="15.75" customHeight="1" x14ac:dyDescent="0.3">
      <c r="A203" s="21">
        <v>2025</v>
      </c>
      <c r="B203" s="22">
        <v>45759.277837569447</v>
      </c>
      <c r="C203" s="21" t="s">
        <v>183</v>
      </c>
      <c r="D203" s="21" t="s">
        <v>183</v>
      </c>
      <c r="E203" s="21" t="s">
        <v>183</v>
      </c>
      <c r="F203" s="21" t="s">
        <v>183</v>
      </c>
      <c r="G203" s="21" t="s">
        <v>93</v>
      </c>
      <c r="H203" s="51" t="s">
        <v>1960</v>
      </c>
      <c r="I203" s="21" t="s">
        <v>1961</v>
      </c>
      <c r="J203" s="21" t="s">
        <v>1962</v>
      </c>
      <c r="K203" s="21" t="e">
        <f t="shared" ca="1" si="0"/>
        <v>#NAME?</v>
      </c>
      <c r="L203" s="24">
        <v>1991</v>
      </c>
      <c r="M203" s="21">
        <v>2014</v>
      </c>
      <c r="N203" s="21" t="s">
        <v>111</v>
      </c>
      <c r="O203" s="21" t="s">
        <v>112</v>
      </c>
      <c r="P203" s="26">
        <v>9700952526</v>
      </c>
      <c r="Q203" s="26" t="e">
        <f t="shared" ca="1" si="1"/>
        <v>#NAME?</v>
      </c>
      <c r="R203" s="21" t="s">
        <v>724</v>
      </c>
      <c r="S203" s="21" t="s">
        <v>1963</v>
      </c>
      <c r="T203" s="21" t="s">
        <v>1963</v>
      </c>
      <c r="U203" s="21" t="s">
        <v>1964</v>
      </c>
      <c r="V203" s="21" t="s">
        <v>1964</v>
      </c>
      <c r="W203" s="21" t="s">
        <v>219</v>
      </c>
      <c r="X203" s="21" t="s">
        <v>179</v>
      </c>
      <c r="Y203" s="21" t="s">
        <v>179</v>
      </c>
      <c r="Z203" s="21" t="s">
        <v>582</v>
      </c>
      <c r="AA203" s="21" t="s">
        <v>1965</v>
      </c>
      <c r="AB203" s="21" t="s">
        <v>129</v>
      </c>
      <c r="AC203" s="21" t="s">
        <v>1966</v>
      </c>
      <c r="AD203" s="21" t="s">
        <v>287</v>
      </c>
      <c r="AE203" s="21" t="s">
        <v>332</v>
      </c>
      <c r="AF203" s="21" t="s">
        <v>686</v>
      </c>
      <c r="AG203" s="21" t="s">
        <v>135</v>
      </c>
      <c r="AH203" s="21" t="s">
        <v>135</v>
      </c>
      <c r="AI203" s="21" t="s">
        <v>135</v>
      </c>
      <c r="AJ203" s="21" t="s">
        <v>1967</v>
      </c>
    </row>
    <row r="204" spans="1:36" ht="15.75" customHeight="1" x14ac:dyDescent="0.3">
      <c r="A204" s="21">
        <v>2025</v>
      </c>
      <c r="B204" s="22">
        <v>45760.088429525465</v>
      </c>
      <c r="C204" s="21" t="s">
        <v>183</v>
      </c>
      <c r="D204" s="21" t="s">
        <v>183</v>
      </c>
      <c r="E204" s="21" t="s">
        <v>183</v>
      </c>
      <c r="F204" s="21" t="s">
        <v>183</v>
      </c>
      <c r="G204" s="21" t="s">
        <v>93</v>
      </c>
      <c r="H204" s="21" t="s">
        <v>1968</v>
      </c>
      <c r="I204" s="21" t="s">
        <v>1969</v>
      </c>
      <c r="J204" s="21" t="s">
        <v>1970</v>
      </c>
      <c r="K204" s="21" t="e">
        <f t="shared" ca="1" si="0"/>
        <v>#NAME?</v>
      </c>
      <c r="L204" s="24">
        <v>1973</v>
      </c>
      <c r="M204" s="21">
        <v>1983</v>
      </c>
      <c r="N204" s="21" t="s">
        <v>111</v>
      </c>
      <c r="O204" s="21" t="s">
        <v>112</v>
      </c>
      <c r="P204" s="26">
        <v>9972072498</v>
      </c>
      <c r="Q204" s="26" t="e">
        <f t="shared" ca="1" si="1"/>
        <v>#NAME?</v>
      </c>
      <c r="R204" s="21" t="s">
        <v>595</v>
      </c>
      <c r="S204" s="21" t="s">
        <v>1971</v>
      </c>
      <c r="T204" s="21" t="s">
        <v>1971</v>
      </c>
      <c r="U204" s="21" t="s">
        <v>1972</v>
      </c>
      <c r="V204" s="21" t="s">
        <v>1972</v>
      </c>
      <c r="W204" s="21" t="s">
        <v>1973</v>
      </c>
      <c r="X204" s="21" t="s">
        <v>352</v>
      </c>
      <c r="Y204" s="21" t="s">
        <v>352</v>
      </c>
      <c r="Z204" s="21" t="s">
        <v>127</v>
      </c>
      <c r="AA204" s="21" t="s">
        <v>608</v>
      </c>
      <c r="AB204" s="21" t="s">
        <v>129</v>
      </c>
      <c r="AC204" s="21" t="s">
        <v>1974</v>
      </c>
      <c r="AD204" s="21" t="s">
        <v>169</v>
      </c>
      <c r="AE204" s="21" t="s">
        <v>133</v>
      </c>
      <c r="AF204" s="21" t="s">
        <v>135</v>
      </c>
      <c r="AG204" s="21" t="s">
        <v>135</v>
      </c>
      <c r="AH204" s="21" t="s">
        <v>135</v>
      </c>
      <c r="AI204" s="21" t="s">
        <v>135</v>
      </c>
    </row>
    <row r="205" spans="1:36" ht="15.75" customHeight="1" x14ac:dyDescent="0.3">
      <c r="A205" s="21">
        <v>2025</v>
      </c>
      <c r="B205" s="22">
        <v>45762.495900381946</v>
      </c>
      <c r="C205" s="21" t="s">
        <v>183</v>
      </c>
      <c r="D205" s="21" t="s">
        <v>183</v>
      </c>
      <c r="E205" s="21" t="s">
        <v>183</v>
      </c>
      <c r="F205" s="21" t="s">
        <v>183</v>
      </c>
      <c r="G205" s="21" t="s">
        <v>93</v>
      </c>
      <c r="H205" s="21" t="s">
        <v>1975</v>
      </c>
      <c r="I205" s="21" t="s">
        <v>1976</v>
      </c>
      <c r="J205" s="21" t="s">
        <v>1977</v>
      </c>
      <c r="K205" s="21" t="e">
        <f t="shared" ca="1" si="0"/>
        <v>#NAME?</v>
      </c>
      <c r="L205" s="24">
        <v>1988</v>
      </c>
      <c r="M205" s="21">
        <v>2007</v>
      </c>
      <c r="N205" s="21" t="s">
        <v>111</v>
      </c>
      <c r="O205" s="21" t="s">
        <v>112</v>
      </c>
      <c r="P205" s="26">
        <v>9885342593</v>
      </c>
      <c r="Q205" s="26" t="e">
        <f t="shared" ca="1" si="1"/>
        <v>#NAME?</v>
      </c>
      <c r="R205" s="21" t="s">
        <v>188</v>
      </c>
      <c r="S205" s="21" t="s">
        <v>1980</v>
      </c>
      <c r="T205" s="21" t="s">
        <v>1980</v>
      </c>
      <c r="U205" s="21" t="s">
        <v>1981</v>
      </c>
      <c r="V205" s="21" t="s">
        <v>1981</v>
      </c>
      <c r="W205" s="21" t="s">
        <v>1982</v>
      </c>
      <c r="X205" s="21" t="s">
        <v>1983</v>
      </c>
      <c r="Y205" s="21" t="s">
        <v>179</v>
      </c>
      <c r="Z205" s="21" t="s">
        <v>1984</v>
      </c>
      <c r="AA205" s="21" t="s">
        <v>1985</v>
      </c>
      <c r="AB205" s="21" t="s">
        <v>129</v>
      </c>
      <c r="AC205" s="21" t="s">
        <v>1986</v>
      </c>
      <c r="AD205" s="21" t="s">
        <v>169</v>
      </c>
      <c r="AE205" s="21" t="s">
        <v>133</v>
      </c>
      <c r="AF205" s="21" t="s">
        <v>135</v>
      </c>
      <c r="AG205" s="21" t="s">
        <v>135</v>
      </c>
      <c r="AH205" s="21" t="s">
        <v>135</v>
      </c>
      <c r="AI205" s="21" t="s">
        <v>135</v>
      </c>
    </row>
    <row r="206" spans="1:36" ht="15.75" customHeight="1" x14ac:dyDescent="0.3">
      <c r="A206" s="21">
        <v>2025</v>
      </c>
      <c r="B206" s="22">
        <v>45762.499138449071</v>
      </c>
      <c r="C206" s="21" t="s">
        <v>183</v>
      </c>
      <c r="D206" s="21" t="s">
        <v>183</v>
      </c>
      <c r="E206" s="21" t="s">
        <v>183</v>
      </c>
      <c r="F206" s="21" t="s">
        <v>183</v>
      </c>
      <c r="G206" s="21" t="s">
        <v>93</v>
      </c>
      <c r="H206" s="21" t="s">
        <v>1987</v>
      </c>
      <c r="I206" s="21" t="s">
        <v>1988</v>
      </c>
      <c r="J206" s="21" t="s">
        <v>1989</v>
      </c>
      <c r="K206" s="21" t="e">
        <f t="shared" ca="1" si="0"/>
        <v>#NAME?</v>
      </c>
      <c r="L206" s="24">
        <v>1964</v>
      </c>
      <c r="M206" s="21">
        <v>1987</v>
      </c>
      <c r="N206" s="21" t="s">
        <v>111</v>
      </c>
      <c r="O206" s="21" t="s">
        <v>112</v>
      </c>
      <c r="P206" s="26">
        <v>9701556907</v>
      </c>
      <c r="Q206" s="26" t="e">
        <f t="shared" ca="1" si="1"/>
        <v>#NAME?</v>
      </c>
      <c r="R206" s="21" t="s">
        <v>188</v>
      </c>
      <c r="S206" s="21" t="s">
        <v>1990</v>
      </c>
      <c r="T206" s="21" t="s">
        <v>1990</v>
      </c>
      <c r="U206" s="21" t="s">
        <v>1991</v>
      </c>
      <c r="V206" s="21" t="s">
        <v>1991</v>
      </c>
      <c r="W206" s="21" t="s">
        <v>307</v>
      </c>
      <c r="X206" s="21" t="s">
        <v>179</v>
      </c>
      <c r="Y206" s="21" t="s">
        <v>1992</v>
      </c>
      <c r="Z206" s="21" t="s">
        <v>1993</v>
      </c>
      <c r="AA206" s="21" t="s">
        <v>1994</v>
      </c>
      <c r="AB206" s="21" t="s">
        <v>129</v>
      </c>
      <c r="AC206" s="21" t="s">
        <v>1995</v>
      </c>
      <c r="AD206" s="21" t="s">
        <v>169</v>
      </c>
      <c r="AE206" s="21" t="s">
        <v>133</v>
      </c>
      <c r="AF206" s="21" t="s">
        <v>135</v>
      </c>
      <c r="AG206" s="21" t="s">
        <v>135</v>
      </c>
      <c r="AH206" s="21" t="s">
        <v>135</v>
      </c>
      <c r="AI206" s="21" t="s">
        <v>135</v>
      </c>
      <c r="AJ206" s="21" t="s">
        <v>1996</v>
      </c>
    </row>
    <row r="207" spans="1:36" ht="15.75" customHeight="1" x14ac:dyDescent="0.3">
      <c r="A207" s="21">
        <v>2025</v>
      </c>
      <c r="B207" s="22">
        <v>45765.047296041666</v>
      </c>
      <c r="C207" s="21" t="s">
        <v>183</v>
      </c>
      <c r="D207" s="21" t="s">
        <v>183</v>
      </c>
      <c r="E207" s="21" t="s">
        <v>183</v>
      </c>
      <c r="F207" s="21" t="s">
        <v>183</v>
      </c>
      <c r="G207" s="21" t="s">
        <v>256</v>
      </c>
      <c r="H207" s="21" t="s">
        <v>1997</v>
      </c>
      <c r="I207" s="21" t="s">
        <v>1303</v>
      </c>
      <c r="J207" s="21" t="s">
        <v>1998</v>
      </c>
      <c r="K207" s="21" t="e">
        <f t="shared" ca="1" si="0"/>
        <v>#NAME?</v>
      </c>
      <c r="L207" s="24">
        <v>2010</v>
      </c>
      <c r="M207" s="21">
        <v>2020</v>
      </c>
      <c r="N207" s="21" t="s">
        <v>111</v>
      </c>
      <c r="O207" s="21" t="s">
        <v>112</v>
      </c>
      <c r="P207" s="26">
        <v>9885084141</v>
      </c>
      <c r="Q207" s="26" t="e">
        <f t="shared" ca="1" si="1"/>
        <v>#NAME?</v>
      </c>
      <c r="R207" s="21" t="s">
        <v>1999</v>
      </c>
      <c r="S207" s="21" t="s">
        <v>2000</v>
      </c>
      <c r="T207" s="21" t="s">
        <v>2000</v>
      </c>
      <c r="U207" s="21" t="s">
        <v>2001</v>
      </c>
      <c r="V207" s="21" t="s">
        <v>2001</v>
      </c>
      <c r="W207" s="21" t="s">
        <v>2002</v>
      </c>
      <c r="X207" s="21" t="s">
        <v>630</v>
      </c>
      <c r="Y207" s="21" t="s">
        <v>630</v>
      </c>
      <c r="Z207" s="21" t="s">
        <v>2003</v>
      </c>
      <c r="AA207" s="21" t="s">
        <v>2004</v>
      </c>
      <c r="AB207" s="21" t="s">
        <v>129</v>
      </c>
      <c r="AC207" s="21" t="s">
        <v>2005</v>
      </c>
      <c r="AD207" s="21" t="s">
        <v>132</v>
      </c>
      <c r="AE207" s="21" t="s">
        <v>133</v>
      </c>
      <c r="AF207" s="21" t="s">
        <v>135</v>
      </c>
      <c r="AG207" s="21" t="s">
        <v>135</v>
      </c>
      <c r="AH207" s="21" t="s">
        <v>135</v>
      </c>
      <c r="AI207" s="21" t="s">
        <v>135</v>
      </c>
    </row>
    <row r="208" spans="1:36" ht="15.75" customHeight="1" x14ac:dyDescent="0.3">
      <c r="A208" s="21">
        <v>2025</v>
      </c>
      <c r="B208" s="22">
        <v>45765.435588749999</v>
      </c>
      <c r="C208" s="21" t="s">
        <v>183</v>
      </c>
      <c r="D208" s="21" t="s">
        <v>183</v>
      </c>
      <c r="E208" s="21" t="s">
        <v>183</v>
      </c>
      <c r="F208" s="21" t="s">
        <v>183</v>
      </c>
      <c r="G208" s="21" t="s">
        <v>256</v>
      </c>
      <c r="H208" s="21" t="s">
        <v>2006</v>
      </c>
      <c r="I208" s="21" t="s">
        <v>1303</v>
      </c>
      <c r="J208" s="21" t="s">
        <v>2007</v>
      </c>
      <c r="K208" s="21" t="e">
        <f t="shared" ca="1" si="0"/>
        <v>#NAME?</v>
      </c>
      <c r="L208" s="24">
        <v>2014</v>
      </c>
      <c r="M208" s="21">
        <v>2023</v>
      </c>
      <c r="N208" s="21" t="s">
        <v>111</v>
      </c>
      <c r="O208" s="21" t="s">
        <v>112</v>
      </c>
      <c r="P208" s="26">
        <v>9885084141</v>
      </c>
      <c r="Q208" s="26" t="e">
        <f t="shared" ca="1" si="1"/>
        <v>#NAME?</v>
      </c>
      <c r="R208" s="21" t="s">
        <v>2008</v>
      </c>
      <c r="S208" s="21" t="s">
        <v>2009</v>
      </c>
      <c r="T208" s="21" t="s">
        <v>2009</v>
      </c>
      <c r="U208" s="21" t="s">
        <v>2010</v>
      </c>
      <c r="V208" s="21" t="s">
        <v>2010</v>
      </c>
      <c r="W208" s="21" t="s">
        <v>2011</v>
      </c>
      <c r="X208" s="21" t="s">
        <v>2012</v>
      </c>
      <c r="Y208" s="21" t="s">
        <v>2012</v>
      </c>
      <c r="Z208" s="21" t="s">
        <v>2013</v>
      </c>
      <c r="AA208" s="21" t="s">
        <v>2004</v>
      </c>
      <c r="AB208" s="21" t="s">
        <v>129</v>
      </c>
      <c r="AC208" s="21" t="s">
        <v>2005</v>
      </c>
      <c r="AD208" s="21" t="s">
        <v>132</v>
      </c>
      <c r="AE208" s="21" t="s">
        <v>133</v>
      </c>
      <c r="AF208" s="21" t="s">
        <v>135</v>
      </c>
      <c r="AG208" s="21" t="s">
        <v>135</v>
      </c>
      <c r="AH208" s="21" t="s">
        <v>135</v>
      </c>
      <c r="AI208" s="21" t="s">
        <v>135</v>
      </c>
      <c r="AJ208" s="21" t="s">
        <v>2014</v>
      </c>
    </row>
    <row r="209" spans="1:36" ht="15.75" customHeight="1" x14ac:dyDescent="0.3">
      <c r="A209" s="21">
        <v>2025</v>
      </c>
      <c r="B209" s="22">
        <v>45768.78933417824</v>
      </c>
      <c r="C209" s="21" t="s">
        <v>183</v>
      </c>
      <c r="D209" s="21" t="s">
        <v>183</v>
      </c>
      <c r="E209" s="21" t="s">
        <v>183</v>
      </c>
      <c r="F209" s="21" t="s">
        <v>183</v>
      </c>
      <c r="G209" s="21" t="s">
        <v>93</v>
      </c>
      <c r="H209" s="21" t="s">
        <v>2015</v>
      </c>
      <c r="I209" s="21" t="s">
        <v>2016</v>
      </c>
      <c r="J209" s="21" t="s">
        <v>1443</v>
      </c>
      <c r="K209" s="21" t="e">
        <f t="shared" ca="1" si="0"/>
        <v>#NAME?</v>
      </c>
      <c r="L209" s="24">
        <v>1972</v>
      </c>
      <c r="M209" s="21">
        <v>1983</v>
      </c>
      <c r="N209" s="21" t="s">
        <v>315</v>
      </c>
      <c r="O209" s="21" t="s">
        <v>316</v>
      </c>
      <c r="P209" s="26">
        <v>2258029920</v>
      </c>
      <c r="Q209" s="26" t="e">
        <f t="shared" ca="1" si="1"/>
        <v>#NAME?</v>
      </c>
      <c r="R209" s="21" t="s">
        <v>752</v>
      </c>
      <c r="S209" s="21" t="s">
        <v>2017</v>
      </c>
      <c r="T209" s="21" t="s">
        <v>2017</v>
      </c>
      <c r="U209" s="21" t="s">
        <v>2018</v>
      </c>
      <c r="V209" s="21" t="s">
        <v>2018</v>
      </c>
      <c r="W209" s="21" t="s">
        <v>328</v>
      </c>
      <c r="X209" s="21" t="s">
        <v>2019</v>
      </c>
      <c r="Y209" s="21" t="s">
        <v>2020</v>
      </c>
      <c r="Z209" s="21" t="s">
        <v>284</v>
      </c>
      <c r="AA209" s="21" t="s">
        <v>2021</v>
      </c>
      <c r="AB209" s="21" t="s">
        <v>129</v>
      </c>
      <c r="AC209" s="21" t="s">
        <v>2022</v>
      </c>
      <c r="AD209" s="21" t="s">
        <v>287</v>
      </c>
      <c r="AE209" s="21" t="s">
        <v>133</v>
      </c>
      <c r="AF209" s="21" t="s">
        <v>135</v>
      </c>
      <c r="AG209" s="21" t="s">
        <v>135</v>
      </c>
      <c r="AH209" s="21" t="s">
        <v>135</v>
      </c>
      <c r="AI209" s="21" t="s">
        <v>135</v>
      </c>
    </row>
    <row r="210" spans="1:36" ht="15.75" customHeight="1" x14ac:dyDescent="0.3">
      <c r="A210" s="21">
        <v>2025</v>
      </c>
      <c r="B210" s="22">
        <v>45770.891835960647</v>
      </c>
      <c r="C210" s="21" t="s">
        <v>183</v>
      </c>
      <c r="D210" s="21" t="s">
        <v>183</v>
      </c>
      <c r="E210" s="21" t="s">
        <v>183</v>
      </c>
      <c r="F210" s="21" t="s">
        <v>183</v>
      </c>
      <c r="G210" s="21" t="s">
        <v>93</v>
      </c>
      <c r="H210" s="21" t="s">
        <v>2023</v>
      </c>
      <c r="I210" s="21" t="s">
        <v>2024</v>
      </c>
      <c r="J210" s="138" t="s">
        <v>7134</v>
      </c>
      <c r="K210" s="21" t="e">
        <f t="shared" ca="1" si="0"/>
        <v>#NAME?</v>
      </c>
      <c r="L210" s="24">
        <v>1989</v>
      </c>
      <c r="M210" s="21">
        <v>2017</v>
      </c>
      <c r="N210" s="21" t="s">
        <v>402</v>
      </c>
      <c r="O210" s="21" t="s">
        <v>316</v>
      </c>
      <c r="P210" s="26">
        <v>2267501386</v>
      </c>
      <c r="Q210" s="26" t="e">
        <f t="shared" ca="1" si="1"/>
        <v>#NAME?</v>
      </c>
      <c r="R210" s="21" t="s">
        <v>2025</v>
      </c>
      <c r="S210" s="21" t="s">
        <v>2026</v>
      </c>
      <c r="T210" s="21" t="s">
        <v>2026</v>
      </c>
      <c r="U210" s="21" t="s">
        <v>2027</v>
      </c>
      <c r="V210" s="21" t="s">
        <v>2027</v>
      </c>
      <c r="W210" s="21" t="s">
        <v>951</v>
      </c>
      <c r="X210" s="21" t="s">
        <v>179</v>
      </c>
      <c r="Y210" s="21" t="s">
        <v>2028</v>
      </c>
      <c r="Z210" s="21" t="s">
        <v>127</v>
      </c>
      <c r="AA210" s="21" t="s">
        <v>297</v>
      </c>
      <c r="AB210" s="21" t="s">
        <v>129</v>
      </c>
      <c r="AC210" s="21" t="s">
        <v>2029</v>
      </c>
      <c r="AD210" s="21" t="s">
        <v>287</v>
      </c>
      <c r="AE210" s="21" t="s">
        <v>332</v>
      </c>
      <c r="AF210" s="21" t="s">
        <v>135</v>
      </c>
      <c r="AG210" s="21" t="s">
        <v>135</v>
      </c>
      <c r="AH210" s="21" t="s">
        <v>135</v>
      </c>
      <c r="AI210" s="21" t="s">
        <v>135</v>
      </c>
    </row>
    <row r="211" spans="1:36" ht="15.75" customHeight="1" x14ac:dyDescent="0.3">
      <c r="A211" s="21">
        <v>2025</v>
      </c>
      <c r="B211" s="22">
        <v>45771.488000509256</v>
      </c>
      <c r="C211" s="21" t="s">
        <v>183</v>
      </c>
      <c r="D211" s="21" t="s">
        <v>183</v>
      </c>
      <c r="E211" s="21" t="s">
        <v>183</v>
      </c>
      <c r="F211" s="21" t="s">
        <v>183</v>
      </c>
      <c r="G211" s="21" t="s">
        <v>93</v>
      </c>
      <c r="H211" s="21" t="s">
        <v>2030</v>
      </c>
      <c r="I211" s="21" t="s">
        <v>356</v>
      </c>
      <c r="J211" s="21" t="s">
        <v>1331</v>
      </c>
      <c r="K211" s="21" t="e">
        <f t="shared" ca="1" si="0"/>
        <v>#NAME?</v>
      </c>
      <c r="L211" s="24">
        <v>1966</v>
      </c>
      <c r="M211" s="21">
        <v>1996</v>
      </c>
      <c r="N211" s="21" t="s">
        <v>111</v>
      </c>
      <c r="O211" s="21" t="s">
        <v>112</v>
      </c>
      <c r="P211" s="26">
        <v>9849406522</v>
      </c>
      <c r="Q211" s="26" t="e">
        <f t="shared" ca="1" si="1"/>
        <v>#NAME?</v>
      </c>
      <c r="R211" s="21" t="s">
        <v>118</v>
      </c>
      <c r="S211" s="21" t="s">
        <v>2031</v>
      </c>
      <c r="T211" s="21" t="s">
        <v>2031</v>
      </c>
      <c r="U211" s="21" t="s">
        <v>2032</v>
      </c>
      <c r="V211" s="21" t="s">
        <v>2032</v>
      </c>
      <c r="W211" s="21" t="s">
        <v>2033</v>
      </c>
      <c r="X211" s="21" t="s">
        <v>220</v>
      </c>
      <c r="Y211" s="21" t="s">
        <v>536</v>
      </c>
      <c r="Z211" s="21" t="s">
        <v>127</v>
      </c>
      <c r="AA211" s="21" t="s">
        <v>1127</v>
      </c>
      <c r="AB211" s="21" t="s">
        <v>129</v>
      </c>
      <c r="AC211" s="21" t="s">
        <v>2034</v>
      </c>
      <c r="AD211" s="21" t="s">
        <v>132</v>
      </c>
      <c r="AE211" s="21" t="s">
        <v>133</v>
      </c>
      <c r="AF211" s="21" t="s">
        <v>135</v>
      </c>
      <c r="AG211" s="21" t="s">
        <v>135</v>
      </c>
      <c r="AH211" s="21" t="s">
        <v>135</v>
      </c>
      <c r="AI211" s="21" t="s">
        <v>135</v>
      </c>
    </row>
    <row r="212" spans="1:36" ht="15.75" customHeight="1" x14ac:dyDescent="0.3">
      <c r="A212" s="21">
        <v>2025</v>
      </c>
      <c r="B212" s="22">
        <v>45774.599484120372</v>
      </c>
      <c r="C212" s="21" t="s">
        <v>183</v>
      </c>
      <c r="D212" s="21" t="s">
        <v>183</v>
      </c>
      <c r="E212" s="21" t="s">
        <v>183</v>
      </c>
      <c r="F212" s="21" t="s">
        <v>183</v>
      </c>
      <c r="G212" s="21" t="s">
        <v>93</v>
      </c>
      <c r="H212" s="21" t="s">
        <v>2035</v>
      </c>
      <c r="I212" s="21" t="s">
        <v>2036</v>
      </c>
      <c r="J212" s="21" t="s">
        <v>2037</v>
      </c>
      <c r="K212" s="21" t="e">
        <f t="shared" ca="1" si="0"/>
        <v>#NAME?</v>
      </c>
      <c r="L212" s="24">
        <v>1983</v>
      </c>
      <c r="M212" s="21">
        <v>2001</v>
      </c>
      <c r="N212" s="21" t="s">
        <v>474</v>
      </c>
      <c r="O212" s="21" t="s">
        <v>316</v>
      </c>
      <c r="P212" s="26">
        <v>6024278458</v>
      </c>
      <c r="Q212" s="26" t="e">
        <f t="shared" ca="1" si="1"/>
        <v>#NAME?</v>
      </c>
      <c r="R212" s="21" t="s">
        <v>2038</v>
      </c>
      <c r="S212" s="21" t="s">
        <v>2039</v>
      </c>
      <c r="T212" s="21" t="s">
        <v>2039</v>
      </c>
      <c r="U212" s="21" t="s">
        <v>2040</v>
      </c>
      <c r="V212" s="21" t="s">
        <v>2040</v>
      </c>
      <c r="W212" s="21" t="s">
        <v>319</v>
      </c>
      <c r="X212" s="21" t="s">
        <v>2041</v>
      </c>
      <c r="Y212" s="21" t="s">
        <v>2041</v>
      </c>
      <c r="Z212" s="21" t="s">
        <v>127</v>
      </c>
      <c r="AA212" s="21" t="s">
        <v>1890</v>
      </c>
      <c r="AB212" s="21" t="s">
        <v>129</v>
      </c>
      <c r="AC212" s="21" t="s">
        <v>2042</v>
      </c>
      <c r="AD212" s="21" t="s">
        <v>132</v>
      </c>
      <c r="AE212" s="21" t="s">
        <v>133</v>
      </c>
      <c r="AF212" s="21" t="s">
        <v>135</v>
      </c>
      <c r="AG212" s="21" t="s">
        <v>135</v>
      </c>
      <c r="AH212" s="21" t="s">
        <v>135</v>
      </c>
      <c r="AI212" s="21" t="s">
        <v>135</v>
      </c>
    </row>
    <row r="213" spans="1:36" ht="15.75" customHeight="1" x14ac:dyDescent="0.3">
      <c r="A213" s="21">
        <v>2025</v>
      </c>
      <c r="B213" s="22">
        <v>45780.684186226848</v>
      </c>
      <c r="C213" s="21" t="s">
        <v>183</v>
      </c>
      <c r="D213" s="21" t="s">
        <v>183</v>
      </c>
      <c r="E213" s="21" t="s">
        <v>183</v>
      </c>
      <c r="F213" s="21" t="s">
        <v>183</v>
      </c>
      <c r="G213" s="21" t="s">
        <v>93</v>
      </c>
      <c r="H213" s="21" t="s">
        <v>2043</v>
      </c>
      <c r="I213" s="21" t="s">
        <v>2044</v>
      </c>
      <c r="J213" s="21" t="s">
        <v>2045</v>
      </c>
      <c r="K213" s="21" t="e">
        <f t="shared" ca="1" si="0"/>
        <v>#NAME?</v>
      </c>
      <c r="L213" s="24">
        <v>1966</v>
      </c>
      <c r="M213" s="21">
        <v>1997</v>
      </c>
      <c r="N213" s="21" t="s">
        <v>402</v>
      </c>
      <c r="O213" s="21" t="s">
        <v>316</v>
      </c>
      <c r="P213" s="26">
        <v>7187725867</v>
      </c>
      <c r="Q213" s="26" t="e">
        <f t="shared" ca="1" si="1"/>
        <v>#NAME?</v>
      </c>
      <c r="R213" s="21" t="s">
        <v>2046</v>
      </c>
      <c r="S213" s="21" t="s">
        <v>1593</v>
      </c>
      <c r="T213" s="21" t="s">
        <v>1593</v>
      </c>
      <c r="U213" s="21" t="s">
        <v>2047</v>
      </c>
      <c r="V213" s="21" t="s">
        <v>2047</v>
      </c>
      <c r="W213" s="21" t="s">
        <v>307</v>
      </c>
      <c r="X213" s="21" t="s">
        <v>2048</v>
      </c>
      <c r="Y213" s="21" t="s">
        <v>2049</v>
      </c>
      <c r="Z213" s="21" t="s">
        <v>127</v>
      </c>
      <c r="AA213" s="21" t="s">
        <v>2050</v>
      </c>
      <c r="AB213" s="21" t="s">
        <v>129</v>
      </c>
      <c r="AC213" s="21" t="s">
        <v>2051</v>
      </c>
      <c r="AD213" s="21" t="s">
        <v>169</v>
      </c>
      <c r="AE213" s="21" t="s">
        <v>133</v>
      </c>
      <c r="AF213" s="21" t="s">
        <v>135</v>
      </c>
      <c r="AG213" s="21" t="s">
        <v>135</v>
      </c>
      <c r="AH213" s="21" t="s">
        <v>135</v>
      </c>
      <c r="AI213" s="21" t="s">
        <v>135</v>
      </c>
      <c r="AJ213" s="21" t="s">
        <v>2052</v>
      </c>
    </row>
    <row r="214" spans="1:36" ht="15.75" customHeight="1" x14ac:dyDescent="0.3">
      <c r="A214" s="21">
        <v>2025</v>
      </c>
      <c r="B214" s="22">
        <v>45784.5320803125</v>
      </c>
      <c r="C214" s="21" t="s">
        <v>183</v>
      </c>
      <c r="D214" s="21" t="s">
        <v>183</v>
      </c>
      <c r="E214" s="21" t="s">
        <v>183</v>
      </c>
      <c r="F214" s="21" t="s">
        <v>90</v>
      </c>
      <c r="G214" s="21" t="s">
        <v>256</v>
      </c>
      <c r="H214" s="21" t="s">
        <v>2053</v>
      </c>
      <c r="I214" s="21" t="s">
        <v>2054</v>
      </c>
      <c r="J214" s="21" t="s">
        <v>2055</v>
      </c>
      <c r="K214" s="21" t="e">
        <f t="shared" ca="1" si="0"/>
        <v>#NAME?</v>
      </c>
      <c r="L214" s="24">
        <v>2011</v>
      </c>
      <c r="M214" s="21">
        <v>2019</v>
      </c>
      <c r="N214" s="21" t="s">
        <v>111</v>
      </c>
      <c r="O214" s="21" t="s">
        <v>112</v>
      </c>
      <c r="P214" s="26">
        <v>8919347387</v>
      </c>
      <c r="Q214" s="26" t="e">
        <f t="shared" ca="1" si="1"/>
        <v>#NAME?</v>
      </c>
      <c r="R214" s="21" t="s">
        <v>724</v>
      </c>
      <c r="S214" s="21" t="s">
        <v>2056</v>
      </c>
      <c r="T214" s="21" t="s">
        <v>2056</v>
      </c>
      <c r="U214" s="21" t="s">
        <v>2057</v>
      </c>
      <c r="V214" s="21" t="s">
        <v>2057</v>
      </c>
      <c r="W214" s="21" t="s">
        <v>219</v>
      </c>
      <c r="X214" s="21" t="s">
        <v>179</v>
      </c>
      <c r="Y214" s="21" t="s">
        <v>179</v>
      </c>
      <c r="Z214" s="21" t="s">
        <v>2058</v>
      </c>
      <c r="AA214" s="21" t="s">
        <v>2059</v>
      </c>
      <c r="AB214" s="21" t="s">
        <v>269</v>
      </c>
      <c r="AC214" s="21" t="s">
        <v>2060</v>
      </c>
      <c r="AD214" s="21" t="s">
        <v>169</v>
      </c>
      <c r="AE214" s="21" t="s">
        <v>133</v>
      </c>
      <c r="AF214" s="21" t="s">
        <v>135</v>
      </c>
      <c r="AG214" s="21" t="s">
        <v>135</v>
      </c>
      <c r="AH214" s="21" t="s">
        <v>135</v>
      </c>
      <c r="AI214" s="21" t="s">
        <v>135</v>
      </c>
      <c r="AJ214" s="21" t="s">
        <v>2061</v>
      </c>
    </row>
    <row r="215" spans="1:36" ht="15.75" customHeight="1" x14ac:dyDescent="0.3">
      <c r="A215" s="21">
        <v>2025</v>
      </c>
      <c r="B215" s="22">
        <v>45802.187291296301</v>
      </c>
      <c r="C215" s="21" t="s">
        <v>183</v>
      </c>
      <c r="D215" s="21" t="s">
        <v>183</v>
      </c>
      <c r="E215" s="21" t="s">
        <v>183</v>
      </c>
      <c r="F215" s="21" t="s">
        <v>183</v>
      </c>
      <c r="G215" s="21" t="s">
        <v>93</v>
      </c>
      <c r="H215" s="21" t="s">
        <v>2064</v>
      </c>
      <c r="I215" s="21" t="s">
        <v>2065</v>
      </c>
      <c r="J215" s="21" t="s">
        <v>2066</v>
      </c>
      <c r="K215" s="21" t="e">
        <f t="shared" ca="1" si="0"/>
        <v>#NAME?</v>
      </c>
      <c r="L215" s="24">
        <v>1980</v>
      </c>
      <c r="M215" s="21">
        <v>1992</v>
      </c>
      <c r="N215" s="21" t="s">
        <v>111</v>
      </c>
      <c r="O215" s="21" t="s">
        <v>112</v>
      </c>
      <c r="P215" s="26">
        <v>8099933996</v>
      </c>
      <c r="Q215" s="26" t="e">
        <f t="shared" ca="1" si="1"/>
        <v>#NAME?</v>
      </c>
      <c r="R215" s="21" t="s">
        <v>118</v>
      </c>
      <c r="S215" s="21" t="s">
        <v>2067</v>
      </c>
      <c r="T215" s="21" t="s">
        <v>2067</v>
      </c>
      <c r="U215" s="21" t="s">
        <v>2068</v>
      </c>
      <c r="V215" s="21" t="s">
        <v>2068</v>
      </c>
      <c r="W215" s="21" t="s">
        <v>706</v>
      </c>
      <c r="X215" s="21" t="s">
        <v>2069</v>
      </c>
      <c r="Y215" s="21" t="s">
        <v>220</v>
      </c>
      <c r="Z215" s="21" t="s">
        <v>284</v>
      </c>
      <c r="AA215" s="21" t="s">
        <v>2070</v>
      </c>
      <c r="AB215" s="21" t="s">
        <v>129</v>
      </c>
      <c r="AC215" s="21" t="s">
        <v>2071</v>
      </c>
      <c r="AD215" s="21" t="s">
        <v>287</v>
      </c>
      <c r="AE215" s="21" t="s">
        <v>133</v>
      </c>
      <c r="AF215" s="21" t="s">
        <v>135</v>
      </c>
      <c r="AG215" s="21" t="s">
        <v>135</v>
      </c>
      <c r="AH215" s="21" t="s">
        <v>135</v>
      </c>
      <c r="AI215" s="21" t="s">
        <v>135</v>
      </c>
      <c r="AJ215" s="21" t="s">
        <v>2072</v>
      </c>
    </row>
    <row r="216" spans="1:36" ht="15.75" customHeight="1" x14ac:dyDescent="0.3">
      <c r="A216" s="21">
        <v>2025</v>
      </c>
      <c r="B216" s="22">
        <v>45807.837536620369</v>
      </c>
      <c r="C216" s="21" t="s">
        <v>183</v>
      </c>
      <c r="D216" s="21" t="s">
        <v>183</v>
      </c>
      <c r="E216" s="21" t="s">
        <v>183</v>
      </c>
      <c r="F216" s="21" t="s">
        <v>90</v>
      </c>
      <c r="G216" s="21" t="s">
        <v>93</v>
      </c>
      <c r="H216" s="21" t="s">
        <v>2073</v>
      </c>
      <c r="I216" s="21" t="s">
        <v>2074</v>
      </c>
      <c r="J216" s="21" t="s">
        <v>2075</v>
      </c>
      <c r="K216" s="21" t="e">
        <f t="shared" ca="1" si="0"/>
        <v>#NAME?</v>
      </c>
      <c r="L216" s="24">
        <v>1991</v>
      </c>
      <c r="M216" s="21">
        <v>2021</v>
      </c>
      <c r="N216" s="21" t="s">
        <v>111</v>
      </c>
      <c r="O216" s="21" t="s">
        <v>112</v>
      </c>
      <c r="P216" s="26">
        <v>9159565952</v>
      </c>
      <c r="Q216" s="26" t="e">
        <f t="shared" ca="1" si="1"/>
        <v>#NAME?</v>
      </c>
      <c r="R216" s="21" t="s">
        <v>551</v>
      </c>
      <c r="S216" s="21" t="s">
        <v>2076</v>
      </c>
      <c r="T216" s="21" t="s">
        <v>2076</v>
      </c>
      <c r="U216" s="21" t="s">
        <v>2077</v>
      </c>
      <c r="V216" s="21" t="s">
        <v>2077</v>
      </c>
      <c r="W216" s="21" t="s">
        <v>191</v>
      </c>
      <c r="X216" s="21" t="s">
        <v>2078</v>
      </c>
      <c r="Y216" s="21" t="s">
        <v>1093</v>
      </c>
      <c r="Z216" s="21" t="s">
        <v>127</v>
      </c>
      <c r="AA216" s="21" t="s">
        <v>2079</v>
      </c>
      <c r="AB216" s="21" t="s">
        <v>129</v>
      </c>
      <c r="AC216" s="21" t="s">
        <v>2080</v>
      </c>
      <c r="AD216" s="21" t="s">
        <v>132</v>
      </c>
      <c r="AE216" s="21" t="s">
        <v>133</v>
      </c>
      <c r="AF216" s="21" t="s">
        <v>135</v>
      </c>
      <c r="AG216" s="21" t="s">
        <v>135</v>
      </c>
      <c r="AH216" s="21" t="s">
        <v>135</v>
      </c>
      <c r="AI216" s="21" t="s">
        <v>135</v>
      </c>
    </row>
    <row r="217" spans="1:36" ht="15.75" customHeight="1" x14ac:dyDescent="0.3">
      <c r="A217" s="21">
        <v>2025</v>
      </c>
      <c r="B217" s="22">
        <v>45808.372232222224</v>
      </c>
      <c r="C217" s="21" t="s">
        <v>183</v>
      </c>
      <c r="D217" s="21" t="s">
        <v>183</v>
      </c>
      <c r="E217" s="21" t="s">
        <v>183</v>
      </c>
      <c r="F217" s="21" t="s">
        <v>183</v>
      </c>
      <c r="G217" s="21" t="s">
        <v>93</v>
      </c>
      <c r="H217" s="21" t="s">
        <v>2081</v>
      </c>
      <c r="I217" s="21" t="s">
        <v>2082</v>
      </c>
      <c r="J217" s="21" t="s">
        <v>2083</v>
      </c>
      <c r="K217" s="21" t="e">
        <f t="shared" ca="1" si="0"/>
        <v>#NAME?</v>
      </c>
      <c r="L217" s="24">
        <v>1989</v>
      </c>
      <c r="M217" s="21">
        <v>2003</v>
      </c>
      <c r="N217" s="21" t="s">
        <v>315</v>
      </c>
      <c r="O217" s="21" t="s">
        <v>316</v>
      </c>
      <c r="P217" s="26">
        <v>7327899460</v>
      </c>
      <c r="Q217" s="26" t="e">
        <f t="shared" ca="1" si="1"/>
        <v>#NAME?</v>
      </c>
      <c r="R217" s="21" t="s">
        <v>521</v>
      </c>
      <c r="S217" s="21" t="s">
        <v>2084</v>
      </c>
      <c r="T217" s="21" t="s">
        <v>2084</v>
      </c>
      <c r="U217" s="21" t="s">
        <v>2085</v>
      </c>
      <c r="V217" s="21" t="s">
        <v>2085</v>
      </c>
      <c r="W217" s="21" t="s">
        <v>229</v>
      </c>
      <c r="X217" s="21" t="s">
        <v>616</v>
      </c>
      <c r="Y217" s="21" t="s">
        <v>2086</v>
      </c>
      <c r="Z217" s="21" t="s">
        <v>127</v>
      </c>
      <c r="AA217" s="21" t="s">
        <v>1890</v>
      </c>
      <c r="AB217" s="21" t="s">
        <v>129</v>
      </c>
      <c r="AC217" s="21" t="s">
        <v>2087</v>
      </c>
      <c r="AD217" s="21" t="s">
        <v>169</v>
      </c>
      <c r="AE217" s="21" t="s">
        <v>133</v>
      </c>
      <c r="AF217" s="21" t="s">
        <v>135</v>
      </c>
      <c r="AG217" s="21" t="s">
        <v>135</v>
      </c>
      <c r="AH217" s="21" t="s">
        <v>135</v>
      </c>
      <c r="AI217" s="21" t="s">
        <v>135</v>
      </c>
    </row>
    <row r="218" spans="1:36" ht="15.75" customHeight="1" x14ac:dyDescent="0.3">
      <c r="A218" s="21">
        <v>2025</v>
      </c>
      <c r="B218" s="22">
        <v>45810.912160277774</v>
      </c>
      <c r="C218" s="21" t="s">
        <v>183</v>
      </c>
      <c r="D218" s="21" t="s">
        <v>183</v>
      </c>
      <c r="E218" s="21" t="s">
        <v>183</v>
      </c>
      <c r="F218" s="21" t="s">
        <v>183</v>
      </c>
      <c r="G218" s="21" t="s">
        <v>256</v>
      </c>
      <c r="H218" s="21" t="s">
        <v>2088</v>
      </c>
      <c r="I218" s="21" t="s">
        <v>2089</v>
      </c>
      <c r="J218" s="21" t="s">
        <v>2090</v>
      </c>
      <c r="K218" s="21" t="e">
        <f t="shared" ca="1" si="0"/>
        <v>#NAME?</v>
      </c>
      <c r="L218" s="24">
        <v>2014</v>
      </c>
      <c r="M218" s="21">
        <v>2025</v>
      </c>
      <c r="N218" s="21" t="s">
        <v>111</v>
      </c>
      <c r="O218" s="21" t="s">
        <v>112</v>
      </c>
      <c r="P218" s="26">
        <v>8500937686</v>
      </c>
      <c r="Q218" s="26" t="e">
        <f t="shared" ca="1" si="1"/>
        <v>#NAME?</v>
      </c>
      <c r="R218" s="21" t="s">
        <v>1526</v>
      </c>
      <c r="S218" s="21" t="s">
        <v>2091</v>
      </c>
      <c r="T218" s="21" t="s">
        <v>2091</v>
      </c>
      <c r="U218" s="21" t="s">
        <v>2092</v>
      </c>
      <c r="V218" s="21" t="s">
        <v>2092</v>
      </c>
      <c r="W218" s="21" t="s">
        <v>307</v>
      </c>
      <c r="X218" s="21" t="s">
        <v>536</v>
      </c>
      <c r="Y218" s="21" t="s">
        <v>1067</v>
      </c>
      <c r="Z218" s="21" t="s">
        <v>2093</v>
      </c>
      <c r="AA218" s="21" t="s">
        <v>2094</v>
      </c>
      <c r="AB218" s="21" t="s">
        <v>269</v>
      </c>
      <c r="AC218" s="21" t="s">
        <v>2095</v>
      </c>
      <c r="AD218" s="21" t="s">
        <v>132</v>
      </c>
      <c r="AE218" s="21" t="s">
        <v>332</v>
      </c>
      <c r="AF218" s="21" t="s">
        <v>135</v>
      </c>
      <c r="AG218" s="21" t="s">
        <v>135</v>
      </c>
      <c r="AH218" s="21" t="s">
        <v>135</v>
      </c>
      <c r="AI218" s="21" t="s">
        <v>135</v>
      </c>
    </row>
    <row r="219" spans="1:36" ht="15.75" customHeight="1" x14ac:dyDescent="0.3">
      <c r="A219" s="21">
        <v>2025</v>
      </c>
      <c r="B219" s="22">
        <v>45812.691724849537</v>
      </c>
      <c r="C219" s="21" t="s">
        <v>183</v>
      </c>
      <c r="D219" s="21" t="s">
        <v>183</v>
      </c>
      <c r="E219" s="21" t="s">
        <v>183</v>
      </c>
      <c r="F219" s="21" t="s">
        <v>183</v>
      </c>
      <c r="G219" s="21" t="s">
        <v>256</v>
      </c>
      <c r="H219" s="21" t="s">
        <v>2096</v>
      </c>
      <c r="I219" s="21" t="s">
        <v>437</v>
      </c>
      <c r="J219" s="21" t="s">
        <v>439</v>
      </c>
      <c r="K219" s="21" t="e">
        <f t="shared" ca="1" si="0"/>
        <v>#NAME?</v>
      </c>
      <c r="L219" s="24">
        <v>2011</v>
      </c>
      <c r="M219" s="21">
        <v>2023</v>
      </c>
      <c r="N219" s="21" t="s">
        <v>315</v>
      </c>
      <c r="O219" s="21" t="s">
        <v>316</v>
      </c>
      <c r="P219" s="26">
        <v>7147913258</v>
      </c>
      <c r="Q219" s="26" t="e">
        <f t="shared" ca="1" si="1"/>
        <v>#NAME?</v>
      </c>
      <c r="R219" s="21" t="s">
        <v>1297</v>
      </c>
      <c r="S219" s="21" t="s">
        <v>2097</v>
      </c>
      <c r="T219" s="21" t="s">
        <v>2097</v>
      </c>
      <c r="U219" s="21" t="s">
        <v>2098</v>
      </c>
      <c r="V219" s="21" t="s">
        <v>2098</v>
      </c>
      <c r="W219" s="21" t="s">
        <v>266</v>
      </c>
      <c r="X219" s="21" t="s">
        <v>2099</v>
      </c>
      <c r="Y219" s="21" t="s">
        <v>406</v>
      </c>
      <c r="Z219" s="21" t="s">
        <v>127</v>
      </c>
      <c r="AA219" s="21" t="s">
        <v>2100</v>
      </c>
      <c r="AB219" s="21" t="s">
        <v>129</v>
      </c>
      <c r="AC219" s="21" t="s">
        <v>2101</v>
      </c>
      <c r="AD219" s="21" t="s">
        <v>287</v>
      </c>
      <c r="AE219" s="21" t="s">
        <v>133</v>
      </c>
      <c r="AF219" s="21" t="s">
        <v>135</v>
      </c>
      <c r="AG219" s="21" t="s">
        <v>135</v>
      </c>
      <c r="AH219" s="21" t="s">
        <v>135</v>
      </c>
      <c r="AI219" s="21" t="s">
        <v>135</v>
      </c>
    </row>
    <row r="220" spans="1:36" ht="15.75" customHeight="1" x14ac:dyDescent="0.3">
      <c r="A220" s="21">
        <v>2025</v>
      </c>
      <c r="B220" s="22">
        <v>45814.572128587963</v>
      </c>
      <c r="C220" s="21" t="s">
        <v>183</v>
      </c>
      <c r="D220" s="21" t="s">
        <v>183</v>
      </c>
      <c r="E220" s="21" t="s">
        <v>183</v>
      </c>
      <c r="F220" s="21" t="s">
        <v>183</v>
      </c>
      <c r="G220" s="21" t="s">
        <v>93</v>
      </c>
      <c r="H220" s="21" t="s">
        <v>2102</v>
      </c>
      <c r="I220" s="21" t="s">
        <v>2103</v>
      </c>
      <c r="J220" s="21" t="s">
        <v>46</v>
      </c>
      <c r="K220" s="21" t="e">
        <f t="shared" ca="1" si="0"/>
        <v>#NAME?</v>
      </c>
      <c r="L220" s="24">
        <v>2001</v>
      </c>
      <c r="M220" s="21">
        <v>2015</v>
      </c>
      <c r="N220" s="21" t="s">
        <v>111</v>
      </c>
      <c r="O220" s="21" t="s">
        <v>112</v>
      </c>
      <c r="P220" s="26">
        <v>7995894636</v>
      </c>
      <c r="Q220" s="26" t="e">
        <f t="shared" ca="1" si="1"/>
        <v>#NAME?</v>
      </c>
      <c r="R220" s="21" t="s">
        <v>118</v>
      </c>
      <c r="S220" s="21" t="s">
        <v>2104</v>
      </c>
      <c r="T220" s="21" t="s">
        <v>2104</v>
      </c>
      <c r="U220" s="21" t="s">
        <v>2105</v>
      </c>
      <c r="V220" s="21" t="s">
        <v>2105</v>
      </c>
      <c r="W220" s="21" t="s">
        <v>219</v>
      </c>
      <c r="X220" s="21" t="s">
        <v>536</v>
      </c>
      <c r="Y220" s="21" t="s">
        <v>2048</v>
      </c>
      <c r="Z220" s="21" t="s">
        <v>127</v>
      </c>
      <c r="AA220" s="21" t="s">
        <v>2106</v>
      </c>
      <c r="AB220" s="21" t="s">
        <v>129</v>
      </c>
      <c r="AC220" s="21" t="s">
        <v>2107</v>
      </c>
      <c r="AD220" s="21" t="s">
        <v>169</v>
      </c>
      <c r="AE220" s="21" t="s">
        <v>133</v>
      </c>
      <c r="AF220" s="21" t="s">
        <v>135</v>
      </c>
      <c r="AG220" s="21" t="s">
        <v>135</v>
      </c>
      <c r="AH220" s="21" t="s">
        <v>135</v>
      </c>
      <c r="AI220" s="21" t="s">
        <v>135</v>
      </c>
    </row>
    <row r="221" spans="1:36" ht="15.75" customHeight="1" x14ac:dyDescent="0.3">
      <c r="A221" s="21">
        <v>2025</v>
      </c>
      <c r="B221" s="22">
        <v>45815.643475729172</v>
      </c>
      <c r="C221" s="21" t="s">
        <v>183</v>
      </c>
      <c r="D221" s="21" t="s">
        <v>183</v>
      </c>
      <c r="E221" s="21" t="s">
        <v>183</v>
      </c>
      <c r="F221" s="21" t="s">
        <v>183</v>
      </c>
      <c r="G221" s="21" t="s">
        <v>256</v>
      </c>
      <c r="H221" s="21" t="s">
        <v>2108</v>
      </c>
      <c r="I221" s="21" t="s">
        <v>916</v>
      </c>
      <c r="J221" s="21" t="s">
        <v>917</v>
      </c>
      <c r="K221" s="21" t="e">
        <f t="shared" ca="1" si="0"/>
        <v>#NAME?</v>
      </c>
      <c r="L221" s="24">
        <v>2010</v>
      </c>
      <c r="M221" s="21">
        <v>2022</v>
      </c>
      <c r="N221" s="21" t="s">
        <v>315</v>
      </c>
      <c r="O221" s="21" t="s">
        <v>316</v>
      </c>
      <c r="P221" s="26">
        <v>3182434371</v>
      </c>
      <c r="Q221" s="26" t="e">
        <f t="shared" ca="1" si="1"/>
        <v>#NAME?</v>
      </c>
      <c r="R221" s="21" t="s">
        <v>1501</v>
      </c>
      <c r="S221" s="21" t="s">
        <v>2109</v>
      </c>
      <c r="T221" s="21" t="s">
        <v>2109</v>
      </c>
      <c r="U221" s="21" t="s">
        <v>2110</v>
      </c>
      <c r="V221" s="21" t="s">
        <v>2110</v>
      </c>
      <c r="W221" s="21" t="s">
        <v>307</v>
      </c>
      <c r="X221" s="21" t="s">
        <v>267</v>
      </c>
      <c r="Y221" s="21" t="s">
        <v>2111</v>
      </c>
      <c r="Z221" s="21" t="s">
        <v>127</v>
      </c>
      <c r="AA221" s="21" t="s">
        <v>2094</v>
      </c>
      <c r="AB221" s="21" t="s">
        <v>269</v>
      </c>
      <c r="AC221" s="21" t="s">
        <v>2112</v>
      </c>
      <c r="AD221" s="21" t="s">
        <v>287</v>
      </c>
      <c r="AE221" s="21" t="s">
        <v>133</v>
      </c>
      <c r="AF221" s="21" t="s">
        <v>135</v>
      </c>
      <c r="AG221" s="21" t="s">
        <v>135</v>
      </c>
      <c r="AH221" s="21" t="s">
        <v>135</v>
      </c>
      <c r="AI221" s="21" t="s">
        <v>135</v>
      </c>
    </row>
    <row r="222" spans="1:36" ht="15.75" customHeight="1" x14ac:dyDescent="0.3">
      <c r="A222" s="21">
        <v>2025</v>
      </c>
      <c r="B222" s="22">
        <v>45815.645387870369</v>
      </c>
      <c r="C222" s="21" t="s">
        <v>183</v>
      </c>
      <c r="D222" s="21" t="s">
        <v>183</v>
      </c>
      <c r="E222" s="21" t="s">
        <v>183</v>
      </c>
      <c r="F222" s="21" t="s">
        <v>183</v>
      </c>
      <c r="G222" s="21" t="s">
        <v>256</v>
      </c>
      <c r="H222" s="21" t="s">
        <v>2108</v>
      </c>
      <c r="I222" s="21" t="s">
        <v>916</v>
      </c>
      <c r="J222" s="21" t="s">
        <v>974</v>
      </c>
      <c r="K222" s="21" t="e">
        <f t="shared" ca="1" si="0"/>
        <v>#NAME?</v>
      </c>
      <c r="L222" s="24">
        <v>2014</v>
      </c>
      <c r="M222" s="21">
        <v>2023</v>
      </c>
      <c r="N222" s="21" t="s">
        <v>315</v>
      </c>
      <c r="O222" s="21" t="s">
        <v>316</v>
      </c>
      <c r="P222" s="26">
        <v>3182434371</v>
      </c>
      <c r="Q222" s="26" t="e">
        <f t="shared" ca="1" si="1"/>
        <v>#NAME?</v>
      </c>
      <c r="R222" s="21" t="s">
        <v>1501</v>
      </c>
      <c r="S222" s="21" t="s">
        <v>2109</v>
      </c>
      <c r="T222" s="21" t="s">
        <v>2109</v>
      </c>
      <c r="U222" s="21" t="s">
        <v>2110</v>
      </c>
      <c r="V222" s="21" t="s">
        <v>2110</v>
      </c>
      <c r="W222" s="21" t="s">
        <v>319</v>
      </c>
      <c r="X222" s="21" t="s">
        <v>267</v>
      </c>
      <c r="Y222" s="21" t="s">
        <v>2111</v>
      </c>
      <c r="Z222" s="21" t="s">
        <v>2114</v>
      </c>
      <c r="AA222" s="21" t="s">
        <v>2100</v>
      </c>
      <c r="AB222" s="21" t="s">
        <v>269</v>
      </c>
      <c r="AC222" s="21" t="s">
        <v>2116</v>
      </c>
      <c r="AD222" s="21" t="s">
        <v>287</v>
      </c>
      <c r="AE222" s="21" t="s">
        <v>133</v>
      </c>
      <c r="AF222" s="21" t="s">
        <v>135</v>
      </c>
      <c r="AG222" s="21" t="s">
        <v>135</v>
      </c>
      <c r="AH222" s="21" t="s">
        <v>135</v>
      </c>
      <c r="AI222" s="21" t="s">
        <v>135</v>
      </c>
    </row>
    <row r="223" spans="1:36" ht="15.75" customHeight="1" x14ac:dyDescent="0.3">
      <c r="A223" s="21">
        <v>2025</v>
      </c>
      <c r="B223" s="22">
        <v>45816.383764664351</v>
      </c>
      <c r="C223" s="21" t="s">
        <v>183</v>
      </c>
      <c r="D223" s="21" t="s">
        <v>183</v>
      </c>
      <c r="E223" s="21" t="s">
        <v>183</v>
      </c>
      <c r="F223" s="21" t="s">
        <v>183</v>
      </c>
      <c r="G223" s="21" t="s">
        <v>93</v>
      </c>
      <c r="H223" s="21" t="s">
        <v>2108</v>
      </c>
      <c r="I223" s="21" t="s">
        <v>916</v>
      </c>
      <c r="J223" s="21" t="s">
        <v>2117</v>
      </c>
      <c r="K223" s="21" t="e">
        <f t="shared" ca="1" si="0"/>
        <v>#NAME?</v>
      </c>
      <c r="L223" s="24">
        <v>1976</v>
      </c>
      <c r="M223" s="21">
        <v>1998</v>
      </c>
      <c r="N223" s="21" t="s">
        <v>315</v>
      </c>
      <c r="O223" s="21" t="s">
        <v>316</v>
      </c>
      <c r="P223" s="26">
        <v>3182434371</v>
      </c>
      <c r="Q223" s="26" t="e">
        <f t="shared" ca="1" si="1"/>
        <v>#NAME?</v>
      </c>
      <c r="R223" s="21" t="s">
        <v>1501</v>
      </c>
      <c r="S223" s="21" t="s">
        <v>2109</v>
      </c>
      <c r="T223" s="21" t="s">
        <v>2109</v>
      </c>
      <c r="U223" s="21" t="s">
        <v>2118</v>
      </c>
      <c r="V223" s="21" t="s">
        <v>2118</v>
      </c>
      <c r="W223" s="21" t="s">
        <v>319</v>
      </c>
      <c r="X223" s="21" t="s">
        <v>1347</v>
      </c>
      <c r="Y223" s="21" t="s">
        <v>1347</v>
      </c>
      <c r="Z223" s="21" t="s">
        <v>2119</v>
      </c>
      <c r="AA223" s="21" t="s">
        <v>1127</v>
      </c>
      <c r="AB223" s="21" t="s">
        <v>269</v>
      </c>
      <c r="AC223" s="21" t="s">
        <v>2120</v>
      </c>
      <c r="AD223" s="21" t="s">
        <v>287</v>
      </c>
      <c r="AE223" s="21" t="s">
        <v>133</v>
      </c>
      <c r="AF223" s="21" t="s">
        <v>135</v>
      </c>
      <c r="AG223" s="21" t="s">
        <v>135</v>
      </c>
      <c r="AH223" s="21" t="s">
        <v>135</v>
      </c>
      <c r="AI223" s="21" t="s">
        <v>135</v>
      </c>
    </row>
    <row r="224" spans="1:36" ht="15.75" customHeight="1" x14ac:dyDescent="0.3">
      <c r="A224" s="21">
        <v>2025</v>
      </c>
      <c r="B224" s="22">
        <v>45823.483077488425</v>
      </c>
      <c r="C224" s="21" t="s">
        <v>183</v>
      </c>
      <c r="D224" s="21" t="s">
        <v>183</v>
      </c>
      <c r="E224" s="21" t="s">
        <v>183</v>
      </c>
      <c r="F224" s="21" t="s">
        <v>183</v>
      </c>
      <c r="G224" s="21" t="s">
        <v>256</v>
      </c>
      <c r="H224" s="21" t="s">
        <v>2121</v>
      </c>
      <c r="I224" s="21" t="s">
        <v>2122</v>
      </c>
      <c r="J224" s="21" t="s">
        <v>2123</v>
      </c>
      <c r="K224" s="21" t="e">
        <f t="shared" ca="1" si="0"/>
        <v>#NAME?</v>
      </c>
      <c r="L224" s="24">
        <v>2016</v>
      </c>
      <c r="M224" s="21">
        <v>2025</v>
      </c>
      <c r="N224" s="21" t="s">
        <v>111</v>
      </c>
      <c r="O224" s="21" t="s">
        <v>112</v>
      </c>
      <c r="P224" s="26">
        <v>8886022113</v>
      </c>
      <c r="Q224" s="26" t="e">
        <f t="shared" ca="1" si="1"/>
        <v>#NAME?</v>
      </c>
      <c r="R224" s="21" t="s">
        <v>118</v>
      </c>
      <c r="S224" s="21" t="s">
        <v>2124</v>
      </c>
      <c r="T224" s="21" t="s">
        <v>2124</v>
      </c>
      <c r="U224" s="21" t="s">
        <v>2125</v>
      </c>
      <c r="V224" s="21" t="s">
        <v>2125</v>
      </c>
      <c r="W224" s="21" t="s">
        <v>1924</v>
      </c>
      <c r="X224" s="21" t="s">
        <v>192</v>
      </c>
      <c r="Y224" s="21" t="s">
        <v>192</v>
      </c>
      <c r="Z224" s="21" t="s">
        <v>2126</v>
      </c>
      <c r="AA224" s="21" t="s">
        <v>2127</v>
      </c>
      <c r="AB224" s="21" t="s">
        <v>2128</v>
      </c>
      <c r="AC224" s="21" t="s">
        <v>2129</v>
      </c>
      <c r="AD224" s="21" t="s">
        <v>287</v>
      </c>
      <c r="AE224" s="21" t="s">
        <v>133</v>
      </c>
      <c r="AF224" s="21" t="s">
        <v>135</v>
      </c>
      <c r="AG224" s="21" t="s">
        <v>135</v>
      </c>
      <c r="AH224" s="21" t="s">
        <v>135</v>
      </c>
      <c r="AI224" s="21" t="s">
        <v>135</v>
      </c>
      <c r="AJ224" s="21" t="s">
        <v>2130</v>
      </c>
    </row>
    <row r="225" spans="1:36" ht="15.75" customHeight="1" x14ac:dyDescent="0.3">
      <c r="A225" s="21">
        <v>2025</v>
      </c>
      <c r="B225" s="22">
        <v>45830.296965868052</v>
      </c>
      <c r="C225" s="21" t="s">
        <v>183</v>
      </c>
      <c r="D225" s="21" t="s">
        <v>183</v>
      </c>
      <c r="E225" s="21" t="s">
        <v>183</v>
      </c>
      <c r="F225" s="21" t="s">
        <v>183</v>
      </c>
      <c r="G225" s="21" t="s">
        <v>93</v>
      </c>
      <c r="H225" s="21" t="s">
        <v>2131</v>
      </c>
      <c r="I225" s="21" t="s">
        <v>2132</v>
      </c>
      <c r="J225" s="21" t="s">
        <v>2133</v>
      </c>
      <c r="K225" s="21" t="e">
        <f t="shared" ca="1" si="0"/>
        <v>#NAME?</v>
      </c>
      <c r="L225" s="24">
        <v>2008</v>
      </c>
      <c r="M225" s="21">
        <v>2018</v>
      </c>
      <c r="N225" s="21" t="s">
        <v>111</v>
      </c>
      <c r="O225" s="21" t="s">
        <v>112</v>
      </c>
      <c r="P225" s="26">
        <v>9381583342</v>
      </c>
      <c r="Q225" s="26" t="e">
        <f t="shared" ca="1" si="1"/>
        <v>#NAME?</v>
      </c>
      <c r="R225" s="21" t="s">
        <v>188</v>
      </c>
      <c r="S225" s="21" t="s">
        <v>284</v>
      </c>
      <c r="T225" s="21" t="s">
        <v>284</v>
      </c>
      <c r="U225" s="21" t="s">
        <v>766</v>
      </c>
      <c r="V225" s="21" t="s">
        <v>766</v>
      </c>
      <c r="W225" s="21" t="s">
        <v>1973</v>
      </c>
      <c r="X225" s="21" t="s">
        <v>2134</v>
      </c>
      <c r="Y225" s="21" t="s">
        <v>2134</v>
      </c>
      <c r="Z225" s="21" t="s">
        <v>284</v>
      </c>
      <c r="AA225" s="21" t="s">
        <v>2135</v>
      </c>
      <c r="AB225" s="21" t="s">
        <v>129</v>
      </c>
      <c r="AC225" s="21" t="s">
        <v>2136</v>
      </c>
      <c r="AD225" s="21" t="s">
        <v>132</v>
      </c>
      <c r="AE225" s="21" t="s">
        <v>133</v>
      </c>
      <c r="AF225" s="21" t="s">
        <v>135</v>
      </c>
      <c r="AG225" s="21" t="s">
        <v>135</v>
      </c>
      <c r="AH225" s="21" t="s">
        <v>135</v>
      </c>
      <c r="AI225" s="21" t="s">
        <v>135</v>
      </c>
    </row>
    <row r="226" spans="1:36" ht="15.75" customHeight="1" x14ac:dyDescent="0.3">
      <c r="A226" s="21">
        <v>2025</v>
      </c>
      <c r="B226" s="22">
        <v>45830.95689184028</v>
      </c>
      <c r="C226" s="21" t="s">
        <v>183</v>
      </c>
      <c r="D226" s="21" t="s">
        <v>183</v>
      </c>
      <c r="E226" s="21" t="s">
        <v>183</v>
      </c>
      <c r="F226" s="21" t="s">
        <v>183</v>
      </c>
      <c r="G226" s="21" t="s">
        <v>93</v>
      </c>
      <c r="H226" s="21" t="s">
        <v>2137</v>
      </c>
      <c r="I226" s="21" t="s">
        <v>2138</v>
      </c>
      <c r="J226" s="21" t="s">
        <v>1331</v>
      </c>
      <c r="K226" s="21" t="e">
        <f t="shared" ca="1" si="0"/>
        <v>#NAME?</v>
      </c>
      <c r="L226" s="24">
        <v>1963</v>
      </c>
      <c r="M226" s="21">
        <v>1984</v>
      </c>
      <c r="N226" s="21" t="s">
        <v>111</v>
      </c>
      <c r="O226" s="21" t="s">
        <v>112</v>
      </c>
      <c r="P226" s="26">
        <v>9441465399</v>
      </c>
      <c r="Q226" s="26" t="e">
        <f t="shared" ca="1" si="1"/>
        <v>#NAME?</v>
      </c>
      <c r="R226" s="21" t="s">
        <v>2139</v>
      </c>
      <c r="S226" s="21" t="s">
        <v>2140</v>
      </c>
      <c r="T226" s="21" t="s">
        <v>2140</v>
      </c>
      <c r="U226" s="21" t="s">
        <v>2141</v>
      </c>
      <c r="V226" s="21" t="s">
        <v>2141</v>
      </c>
      <c r="W226" s="21" t="s">
        <v>162</v>
      </c>
      <c r="X226" s="21" t="s">
        <v>2142</v>
      </c>
      <c r="Y226" s="21" t="s">
        <v>2143</v>
      </c>
      <c r="Z226" s="21" t="s">
        <v>284</v>
      </c>
      <c r="AA226" s="21" t="s">
        <v>2144</v>
      </c>
      <c r="AB226" s="21" t="s">
        <v>129</v>
      </c>
      <c r="AC226" s="21" t="s">
        <v>2145</v>
      </c>
      <c r="AD226" s="21" t="s">
        <v>287</v>
      </c>
      <c r="AE226" s="21" t="s">
        <v>133</v>
      </c>
      <c r="AF226" s="21" t="s">
        <v>135</v>
      </c>
      <c r="AG226" s="21" t="s">
        <v>135</v>
      </c>
      <c r="AH226" s="21" t="s">
        <v>135</v>
      </c>
      <c r="AI226" s="21" t="s">
        <v>135</v>
      </c>
      <c r="AJ226" s="21" t="s">
        <v>2146</v>
      </c>
    </row>
    <row r="227" spans="1:36" ht="15.75" customHeight="1" x14ac:dyDescent="0.3">
      <c r="A227" s="21">
        <v>2025</v>
      </c>
      <c r="B227" s="22">
        <v>45831.131701643521</v>
      </c>
      <c r="C227" s="21" t="s">
        <v>183</v>
      </c>
      <c r="D227" s="21" t="s">
        <v>183</v>
      </c>
      <c r="E227" s="21" t="s">
        <v>183</v>
      </c>
      <c r="F227" s="21" t="s">
        <v>183</v>
      </c>
      <c r="G227" s="21" t="s">
        <v>93</v>
      </c>
      <c r="H227" s="21" t="s">
        <v>2147</v>
      </c>
      <c r="I227" s="21" t="s">
        <v>2148</v>
      </c>
      <c r="J227" s="21" t="s">
        <v>2149</v>
      </c>
      <c r="K227" s="21" t="e">
        <f t="shared" ca="1" si="0"/>
        <v>#NAME?</v>
      </c>
      <c r="L227" s="24">
        <v>1964</v>
      </c>
      <c r="M227" s="21">
        <v>1986</v>
      </c>
      <c r="N227" s="21" t="s">
        <v>111</v>
      </c>
      <c r="O227" s="21" t="s">
        <v>112</v>
      </c>
      <c r="P227" s="26">
        <v>9490645737</v>
      </c>
      <c r="Q227" s="26" t="e">
        <f t="shared" ca="1" si="1"/>
        <v>#NAME?</v>
      </c>
      <c r="R227" s="21" t="s">
        <v>485</v>
      </c>
      <c r="S227" s="21" t="s">
        <v>2150</v>
      </c>
      <c r="T227" s="21" t="s">
        <v>2150</v>
      </c>
      <c r="U227" s="21" t="s">
        <v>2151</v>
      </c>
      <c r="V227" s="21" t="s">
        <v>2151</v>
      </c>
      <c r="W227" s="21" t="s">
        <v>2152</v>
      </c>
      <c r="X227" s="21" t="s">
        <v>2153</v>
      </c>
      <c r="Y227" s="21" t="s">
        <v>2154</v>
      </c>
      <c r="Z227" s="21" t="s">
        <v>2155</v>
      </c>
      <c r="AA227" s="21" t="s">
        <v>2156</v>
      </c>
      <c r="AB227" s="21" t="s">
        <v>129</v>
      </c>
      <c r="AC227" s="21" t="s">
        <v>2157</v>
      </c>
      <c r="AD227" s="21" t="s">
        <v>132</v>
      </c>
      <c r="AE227" s="21" t="s">
        <v>133</v>
      </c>
      <c r="AF227" s="21" t="s">
        <v>135</v>
      </c>
      <c r="AG227" s="21" t="s">
        <v>135</v>
      </c>
      <c r="AH227" s="21" t="s">
        <v>135</v>
      </c>
      <c r="AI227" s="21" t="s">
        <v>135</v>
      </c>
      <c r="AJ227" s="21" t="s">
        <v>2158</v>
      </c>
    </row>
    <row r="228" spans="1:36" ht="15.75" customHeight="1" x14ac:dyDescent="0.3">
      <c r="A228" s="21">
        <v>2025</v>
      </c>
      <c r="B228" s="22">
        <v>45837.119697812501</v>
      </c>
      <c r="C228" s="21" t="s">
        <v>183</v>
      </c>
      <c r="D228" s="21" t="s">
        <v>183</v>
      </c>
      <c r="E228" s="21" t="s">
        <v>183</v>
      </c>
      <c r="F228" s="21" t="s">
        <v>183</v>
      </c>
      <c r="G228" s="21" t="s">
        <v>93</v>
      </c>
      <c r="H228" s="21" t="s">
        <v>2159</v>
      </c>
      <c r="I228" s="21" t="s">
        <v>982</v>
      </c>
      <c r="J228" s="21" t="s">
        <v>2160</v>
      </c>
      <c r="K228" s="21" t="e">
        <f t="shared" ca="1" si="0"/>
        <v>#NAME?</v>
      </c>
      <c r="L228" s="24">
        <v>1987</v>
      </c>
      <c r="M228" s="21">
        <v>2010</v>
      </c>
      <c r="N228" s="21" t="s">
        <v>111</v>
      </c>
      <c r="O228" s="21" t="s">
        <v>112</v>
      </c>
      <c r="P228" s="26">
        <v>9177393167</v>
      </c>
      <c r="Q228" s="26" t="e">
        <f t="shared" ca="1" si="1"/>
        <v>#NAME?</v>
      </c>
      <c r="R228" s="21" t="s">
        <v>118</v>
      </c>
      <c r="S228" s="21" t="s">
        <v>2161</v>
      </c>
      <c r="T228" s="21" t="s">
        <v>2161</v>
      </c>
      <c r="U228" s="21" t="s">
        <v>2162</v>
      </c>
      <c r="V228" s="21" t="s">
        <v>2162</v>
      </c>
      <c r="W228" s="21" t="s">
        <v>328</v>
      </c>
      <c r="X228" s="21" t="s">
        <v>1235</v>
      </c>
      <c r="Y228" s="21" t="s">
        <v>2163</v>
      </c>
      <c r="Z228" s="21" t="s">
        <v>2164</v>
      </c>
      <c r="AA228" s="21" t="s">
        <v>2165</v>
      </c>
      <c r="AB228" s="21" t="s">
        <v>129</v>
      </c>
      <c r="AC228" s="21" t="s">
        <v>2166</v>
      </c>
      <c r="AD228" s="21" t="s">
        <v>132</v>
      </c>
      <c r="AE228" s="21" t="s">
        <v>133</v>
      </c>
      <c r="AF228" s="21" t="s">
        <v>135</v>
      </c>
      <c r="AG228" s="21" t="s">
        <v>135</v>
      </c>
      <c r="AH228" s="21" t="s">
        <v>135</v>
      </c>
      <c r="AI228" s="21" t="s">
        <v>135</v>
      </c>
    </row>
    <row r="229" spans="1:36" ht="15.75" customHeight="1" x14ac:dyDescent="0.3">
      <c r="A229" s="21">
        <v>2025</v>
      </c>
      <c r="B229" s="22">
        <v>45843.394902083332</v>
      </c>
      <c r="C229" s="21" t="s">
        <v>183</v>
      </c>
      <c r="D229" s="21" t="s">
        <v>183</v>
      </c>
      <c r="E229" s="21" t="s">
        <v>183</v>
      </c>
      <c r="F229" s="21" t="s">
        <v>183</v>
      </c>
      <c r="G229" s="21" t="s">
        <v>93</v>
      </c>
      <c r="H229" s="21" t="s">
        <v>2167</v>
      </c>
      <c r="I229" s="21" t="s">
        <v>1774</v>
      </c>
      <c r="J229" s="21" t="s">
        <v>2168</v>
      </c>
      <c r="K229" s="21" t="e">
        <f t="shared" ca="1" si="0"/>
        <v>#NAME?</v>
      </c>
      <c r="L229" s="24">
        <v>1984</v>
      </c>
      <c r="M229" s="21">
        <v>2004</v>
      </c>
      <c r="N229" s="21" t="s">
        <v>315</v>
      </c>
      <c r="O229" s="21" t="s">
        <v>316</v>
      </c>
      <c r="P229" s="26">
        <v>8609048328</v>
      </c>
      <c r="Q229" s="26" t="e">
        <f t="shared" ca="1" si="1"/>
        <v>#NAME?</v>
      </c>
      <c r="R229" s="21" t="s">
        <v>1324</v>
      </c>
      <c r="S229" s="21" t="s">
        <v>2169</v>
      </c>
      <c r="T229" s="21" t="s">
        <v>2169</v>
      </c>
      <c r="U229" s="21" t="s">
        <v>2170</v>
      </c>
      <c r="V229" s="21" t="s">
        <v>2170</v>
      </c>
      <c r="W229" s="21" t="s">
        <v>307</v>
      </c>
      <c r="X229" s="21" t="s">
        <v>2171</v>
      </c>
      <c r="Y229" s="21" t="s">
        <v>2172</v>
      </c>
      <c r="Z229" s="21" t="s">
        <v>284</v>
      </c>
      <c r="AA229" s="21" t="s">
        <v>450</v>
      </c>
      <c r="AB229" s="21" t="s">
        <v>129</v>
      </c>
      <c r="AC229" s="21" t="s">
        <v>2173</v>
      </c>
      <c r="AD229" s="21" t="s">
        <v>132</v>
      </c>
      <c r="AE229" s="21" t="s">
        <v>133</v>
      </c>
      <c r="AF229" s="21" t="s">
        <v>135</v>
      </c>
      <c r="AG229" s="21" t="s">
        <v>135</v>
      </c>
      <c r="AH229" s="21" t="s">
        <v>135</v>
      </c>
      <c r="AI229" s="21" t="s">
        <v>135</v>
      </c>
    </row>
    <row r="230" spans="1:36" ht="15.75" customHeight="1" x14ac:dyDescent="0.3">
      <c r="A230" s="21">
        <v>2025</v>
      </c>
      <c r="B230" s="22">
        <v>45846.969994050931</v>
      </c>
      <c r="C230" s="21" t="s">
        <v>183</v>
      </c>
      <c r="D230" s="21" t="s">
        <v>183</v>
      </c>
      <c r="E230" s="21" t="s">
        <v>183</v>
      </c>
      <c r="F230" s="21" t="s">
        <v>183</v>
      </c>
      <c r="G230" s="21" t="s">
        <v>93</v>
      </c>
      <c r="H230" s="21" t="s">
        <v>2174</v>
      </c>
      <c r="I230" s="21" t="s">
        <v>2175</v>
      </c>
      <c r="J230" s="21" t="s">
        <v>2176</v>
      </c>
      <c r="K230" s="21" t="e">
        <f t="shared" ca="1" si="0"/>
        <v>#NAME?</v>
      </c>
      <c r="L230" s="24">
        <v>1971</v>
      </c>
      <c r="M230" s="21">
        <v>1997</v>
      </c>
      <c r="N230" s="21" t="s">
        <v>315</v>
      </c>
      <c r="O230" s="21" t="s">
        <v>316</v>
      </c>
      <c r="P230" s="26">
        <v>3314017624</v>
      </c>
      <c r="Q230" s="26" t="e">
        <f t="shared" ca="1" si="1"/>
        <v>#NAME?</v>
      </c>
      <c r="R230" s="21" t="s">
        <v>2177</v>
      </c>
      <c r="S230" s="21" t="s">
        <v>2178</v>
      </c>
      <c r="T230" s="21" t="s">
        <v>2178</v>
      </c>
      <c r="U230" s="21" t="s">
        <v>2179</v>
      </c>
      <c r="V230" s="21" t="s">
        <v>2179</v>
      </c>
      <c r="W230" s="21" t="s">
        <v>219</v>
      </c>
      <c r="X230" s="21" t="s">
        <v>1882</v>
      </c>
      <c r="Y230" s="21" t="s">
        <v>1882</v>
      </c>
      <c r="Z230" s="21" t="s">
        <v>284</v>
      </c>
      <c r="AA230" s="21" t="s">
        <v>285</v>
      </c>
      <c r="AB230" s="21" t="s">
        <v>129</v>
      </c>
      <c r="AC230" s="21" t="s">
        <v>2180</v>
      </c>
      <c r="AD230" s="21" t="s">
        <v>132</v>
      </c>
      <c r="AE230" s="21" t="s">
        <v>133</v>
      </c>
      <c r="AF230" s="21" t="s">
        <v>135</v>
      </c>
      <c r="AG230" s="21" t="s">
        <v>135</v>
      </c>
      <c r="AH230" s="21" t="s">
        <v>135</v>
      </c>
      <c r="AI230" s="21" t="s">
        <v>135</v>
      </c>
      <c r="AJ230" s="21" t="s">
        <v>2181</v>
      </c>
    </row>
    <row r="231" spans="1:36" ht="15.75" customHeight="1" x14ac:dyDescent="0.3">
      <c r="A231" s="21">
        <v>2025</v>
      </c>
      <c r="B231" s="22">
        <v>45857.872332858795</v>
      </c>
      <c r="C231" s="21" t="s">
        <v>183</v>
      </c>
      <c r="D231" s="21" t="s">
        <v>183</v>
      </c>
      <c r="E231" s="21" t="s">
        <v>183</v>
      </c>
      <c r="F231" s="21" t="s">
        <v>183</v>
      </c>
      <c r="G231" s="21" t="s">
        <v>93</v>
      </c>
      <c r="H231" s="21" t="s">
        <v>2184</v>
      </c>
      <c r="I231" s="21" t="s">
        <v>2185</v>
      </c>
      <c r="J231" s="21" t="s">
        <v>2186</v>
      </c>
      <c r="K231" s="21" t="e">
        <f t="shared" ca="1" si="0"/>
        <v>#NAME?</v>
      </c>
      <c r="L231" s="24">
        <v>1954</v>
      </c>
      <c r="M231" s="21">
        <v>1972</v>
      </c>
      <c r="N231" s="21" t="s">
        <v>402</v>
      </c>
      <c r="O231" s="21" t="s">
        <v>316</v>
      </c>
      <c r="P231" s="26">
        <v>8452481946</v>
      </c>
      <c r="Q231" s="26" t="e">
        <f t="shared" ca="1" si="1"/>
        <v>#NAME?</v>
      </c>
      <c r="R231" s="21" t="s">
        <v>1702</v>
      </c>
      <c r="S231" s="21" t="s">
        <v>127</v>
      </c>
      <c r="T231" s="21" t="s">
        <v>127</v>
      </c>
      <c r="U231" s="21" t="s">
        <v>2187</v>
      </c>
      <c r="V231" s="21" t="s">
        <v>2187</v>
      </c>
      <c r="W231" s="21" t="s">
        <v>307</v>
      </c>
      <c r="X231" s="21" t="s">
        <v>211</v>
      </c>
      <c r="Y231" s="21" t="s">
        <v>211</v>
      </c>
      <c r="Z231" s="21" t="s">
        <v>127</v>
      </c>
      <c r="AA231" s="21" t="s">
        <v>2188</v>
      </c>
      <c r="AB231" s="21" t="s">
        <v>129</v>
      </c>
      <c r="AC231" s="21" t="s">
        <v>2189</v>
      </c>
      <c r="AD231" s="21" t="s">
        <v>132</v>
      </c>
      <c r="AE231" s="21" t="s">
        <v>133</v>
      </c>
      <c r="AF231" s="21" t="s">
        <v>135</v>
      </c>
      <c r="AG231" s="21" t="s">
        <v>135</v>
      </c>
      <c r="AH231" s="21" t="s">
        <v>135</v>
      </c>
      <c r="AI231" s="21" t="s">
        <v>135</v>
      </c>
    </row>
    <row r="232" spans="1:36" ht="15.75" customHeight="1" x14ac:dyDescent="0.3">
      <c r="A232" s="21">
        <v>2025</v>
      </c>
      <c r="B232" s="22">
        <v>45863.318169398146</v>
      </c>
      <c r="C232" s="21" t="s">
        <v>183</v>
      </c>
      <c r="D232" s="21" t="s">
        <v>183</v>
      </c>
      <c r="E232" s="21" t="s">
        <v>183</v>
      </c>
      <c r="F232" s="21" t="s">
        <v>183</v>
      </c>
      <c r="G232" s="21" t="s">
        <v>256</v>
      </c>
      <c r="H232" s="21" t="s">
        <v>2190</v>
      </c>
      <c r="I232" s="21" t="s">
        <v>624</v>
      </c>
      <c r="J232" s="21" t="s">
        <v>625</v>
      </c>
      <c r="K232" s="21" t="e">
        <f t="shared" ca="1" si="0"/>
        <v>#NAME?</v>
      </c>
      <c r="L232" s="24">
        <v>2016</v>
      </c>
      <c r="M232" s="21">
        <v>2025</v>
      </c>
      <c r="N232" s="21" t="s">
        <v>111</v>
      </c>
      <c r="O232" s="21" t="s">
        <v>112</v>
      </c>
      <c r="P232" s="26">
        <v>9840573053</v>
      </c>
      <c r="Q232" s="26" t="e">
        <f t="shared" ca="1" si="1"/>
        <v>#NAME?</v>
      </c>
      <c r="R232" s="21" t="s">
        <v>2191</v>
      </c>
      <c r="S232" s="21" t="s">
        <v>2192</v>
      </c>
      <c r="T232" s="21" t="s">
        <v>2193</v>
      </c>
      <c r="U232" s="21" t="s">
        <v>2194</v>
      </c>
      <c r="V232" s="21" t="s">
        <v>2194</v>
      </c>
      <c r="W232" s="21" t="s">
        <v>319</v>
      </c>
      <c r="X232" s="21" t="s">
        <v>179</v>
      </c>
      <c r="Y232" s="21" t="s">
        <v>2195</v>
      </c>
      <c r="Z232" s="21" t="s">
        <v>2196</v>
      </c>
      <c r="AA232" s="21" t="s">
        <v>396</v>
      </c>
      <c r="AB232" s="21" t="s">
        <v>269</v>
      </c>
      <c r="AC232" s="21" t="s">
        <v>2197</v>
      </c>
      <c r="AD232" s="21" t="s">
        <v>287</v>
      </c>
      <c r="AE232" s="21" t="s">
        <v>133</v>
      </c>
      <c r="AF232" s="21" t="s">
        <v>135</v>
      </c>
      <c r="AG232" s="21" t="s">
        <v>135</v>
      </c>
      <c r="AH232" s="21" t="s">
        <v>135</v>
      </c>
      <c r="AI232" s="21" t="s">
        <v>135</v>
      </c>
    </row>
    <row r="233" spans="1:36" ht="15.75" customHeight="1" x14ac:dyDescent="0.3">
      <c r="A233" s="21">
        <v>2025</v>
      </c>
      <c r="B233" s="22">
        <v>45863.330430671296</v>
      </c>
      <c r="C233" s="21" t="s">
        <v>183</v>
      </c>
      <c r="D233" s="21" t="s">
        <v>183</v>
      </c>
      <c r="E233" s="21" t="s">
        <v>183</v>
      </c>
      <c r="F233" s="21" t="s">
        <v>183</v>
      </c>
      <c r="G233" s="21" t="s">
        <v>93</v>
      </c>
      <c r="H233" s="21" t="s">
        <v>2198</v>
      </c>
      <c r="I233" s="21" t="s">
        <v>2199</v>
      </c>
      <c r="J233" s="21" t="s">
        <v>1858</v>
      </c>
      <c r="K233" s="21" t="e">
        <f t="shared" ca="1" si="0"/>
        <v>#NAME?</v>
      </c>
      <c r="L233" s="24">
        <v>1991</v>
      </c>
      <c r="M233" s="21">
        <v>2003</v>
      </c>
      <c r="N233" s="21" t="s">
        <v>111</v>
      </c>
      <c r="O233" s="21" t="s">
        <v>112</v>
      </c>
      <c r="P233" s="26">
        <v>9840893389</v>
      </c>
      <c r="Q233" s="26" t="e">
        <f t="shared" ca="1" si="1"/>
        <v>#NAME?</v>
      </c>
      <c r="R233" s="21" t="s">
        <v>188</v>
      </c>
      <c r="S233" s="21" t="s">
        <v>2200</v>
      </c>
      <c r="T233" s="21" t="s">
        <v>2200</v>
      </c>
      <c r="U233" s="21" t="s">
        <v>2201</v>
      </c>
      <c r="V233" s="21" t="s">
        <v>2201</v>
      </c>
      <c r="W233" s="21" t="s">
        <v>488</v>
      </c>
      <c r="X233" s="21" t="s">
        <v>2202</v>
      </c>
      <c r="Y233" s="21" t="s">
        <v>2202</v>
      </c>
      <c r="Z233" s="21" t="s">
        <v>127</v>
      </c>
      <c r="AA233" s="21" t="s">
        <v>2203</v>
      </c>
      <c r="AB233" s="21" t="s">
        <v>129</v>
      </c>
      <c r="AC233" s="21" t="s">
        <v>2204</v>
      </c>
      <c r="AD233" s="21" t="s">
        <v>287</v>
      </c>
      <c r="AE233" s="21" t="s">
        <v>133</v>
      </c>
      <c r="AF233" s="21" t="s">
        <v>686</v>
      </c>
      <c r="AG233" s="21" t="s">
        <v>135</v>
      </c>
      <c r="AH233" s="21" t="s">
        <v>135</v>
      </c>
      <c r="AI233" s="21" t="s">
        <v>135</v>
      </c>
    </row>
    <row r="234" spans="1:36" ht="15.75" customHeight="1" x14ac:dyDescent="0.3">
      <c r="A234" s="21">
        <v>2025</v>
      </c>
      <c r="B234" s="22">
        <v>45864.097723217594</v>
      </c>
      <c r="C234" s="21" t="s">
        <v>183</v>
      </c>
      <c r="D234" s="21" t="s">
        <v>183</v>
      </c>
      <c r="E234" s="21" t="s">
        <v>183</v>
      </c>
      <c r="F234" s="21" t="s">
        <v>183</v>
      </c>
      <c r="G234" s="21" t="s">
        <v>93</v>
      </c>
      <c r="H234" s="21" t="s">
        <v>2205</v>
      </c>
      <c r="I234" s="21" t="s">
        <v>2206</v>
      </c>
      <c r="J234" s="21" t="s">
        <v>2207</v>
      </c>
      <c r="K234" s="21" t="e">
        <f t="shared" ca="1" si="0"/>
        <v>#NAME?</v>
      </c>
      <c r="L234" s="24">
        <v>1961</v>
      </c>
      <c r="M234" s="21">
        <v>1981</v>
      </c>
      <c r="N234" s="21" t="s">
        <v>111</v>
      </c>
      <c r="O234" s="21" t="s">
        <v>112</v>
      </c>
      <c r="P234" s="26">
        <v>9490988255</v>
      </c>
      <c r="Q234" s="26" t="e">
        <f t="shared" ca="1" si="1"/>
        <v>#NAME?</v>
      </c>
      <c r="R234" s="21" t="s">
        <v>118</v>
      </c>
      <c r="S234" s="21" t="s">
        <v>2208</v>
      </c>
      <c r="T234" s="21" t="s">
        <v>2208</v>
      </c>
      <c r="U234" s="21" t="s">
        <v>2209</v>
      </c>
      <c r="V234" s="21" t="s">
        <v>2209</v>
      </c>
      <c r="W234" s="21" t="s">
        <v>328</v>
      </c>
      <c r="X234" s="21" t="s">
        <v>1235</v>
      </c>
      <c r="Y234" s="21" t="s">
        <v>2210</v>
      </c>
      <c r="Z234" s="21" t="s">
        <v>296</v>
      </c>
      <c r="AA234" s="21" t="s">
        <v>2211</v>
      </c>
      <c r="AB234" s="21" t="s">
        <v>129</v>
      </c>
      <c r="AC234" s="21" t="s">
        <v>2212</v>
      </c>
      <c r="AD234" s="21" t="s">
        <v>132</v>
      </c>
      <c r="AE234" s="21" t="s">
        <v>133</v>
      </c>
      <c r="AF234" s="21" t="s">
        <v>135</v>
      </c>
      <c r="AG234" s="21" t="s">
        <v>135</v>
      </c>
      <c r="AH234" s="21" t="s">
        <v>135</v>
      </c>
      <c r="AI234" s="21" t="s">
        <v>135</v>
      </c>
      <c r="AJ234" s="21" t="s">
        <v>2213</v>
      </c>
    </row>
    <row r="235" spans="1:36" ht="15.75" customHeight="1" x14ac:dyDescent="0.3">
      <c r="A235" s="21">
        <v>2025</v>
      </c>
      <c r="B235" s="22">
        <v>45864.41701686343</v>
      </c>
      <c r="C235" s="21" t="s">
        <v>183</v>
      </c>
      <c r="D235" s="21" t="s">
        <v>183</v>
      </c>
      <c r="E235" s="21" t="s">
        <v>183</v>
      </c>
      <c r="F235" s="21" t="s">
        <v>183</v>
      </c>
      <c r="G235" s="21" t="s">
        <v>93</v>
      </c>
      <c r="H235" s="21" t="s">
        <v>2214</v>
      </c>
      <c r="I235" s="21" t="s">
        <v>2215</v>
      </c>
      <c r="J235" s="21" t="s">
        <v>2216</v>
      </c>
      <c r="K235" s="21" t="e">
        <f t="shared" ca="1" si="0"/>
        <v>#NAME?</v>
      </c>
      <c r="L235" s="24">
        <v>1971</v>
      </c>
      <c r="M235" s="21">
        <v>1993</v>
      </c>
      <c r="N235" s="21" t="s">
        <v>111</v>
      </c>
      <c r="O235" s="21" t="s">
        <v>112</v>
      </c>
      <c r="P235" s="26">
        <v>9989688654</v>
      </c>
      <c r="Q235" s="26" t="e">
        <f t="shared" ca="1" si="1"/>
        <v>#NAME?</v>
      </c>
      <c r="R235" s="21" t="s">
        <v>551</v>
      </c>
      <c r="S235" s="21" t="s">
        <v>1298</v>
      </c>
      <c r="T235" s="21" t="s">
        <v>1298</v>
      </c>
      <c r="U235" s="21" t="s">
        <v>2217</v>
      </c>
      <c r="V235" s="21" t="s">
        <v>2217</v>
      </c>
      <c r="W235" s="21" t="s">
        <v>488</v>
      </c>
      <c r="X235" s="21" t="s">
        <v>179</v>
      </c>
      <c r="Y235" s="21" t="s">
        <v>1520</v>
      </c>
      <c r="Z235" s="21" t="s">
        <v>127</v>
      </c>
      <c r="AA235" s="21" t="s">
        <v>450</v>
      </c>
      <c r="AB235" s="21" t="s">
        <v>129</v>
      </c>
      <c r="AC235" s="21" t="s">
        <v>2218</v>
      </c>
      <c r="AD235" s="21" t="s">
        <v>132</v>
      </c>
      <c r="AE235" s="21" t="s">
        <v>332</v>
      </c>
      <c r="AF235" s="21" t="s">
        <v>135</v>
      </c>
      <c r="AG235" s="21" t="s">
        <v>135</v>
      </c>
      <c r="AH235" s="21" t="s">
        <v>135</v>
      </c>
      <c r="AI235" s="21" t="s">
        <v>135</v>
      </c>
    </row>
    <row r="236" spans="1:36" ht="15.75" customHeight="1" x14ac:dyDescent="0.3">
      <c r="A236" s="21">
        <v>2025</v>
      </c>
      <c r="B236" s="22">
        <v>45866.254765833335</v>
      </c>
      <c r="C236" s="21" t="s">
        <v>183</v>
      </c>
      <c r="D236" s="21" t="s">
        <v>183</v>
      </c>
      <c r="E236" s="21" t="s">
        <v>183</v>
      </c>
      <c r="F236" s="21" t="s">
        <v>183</v>
      </c>
      <c r="G236" s="21" t="s">
        <v>93</v>
      </c>
      <c r="H236" s="21" t="s">
        <v>2219</v>
      </c>
      <c r="I236" s="21" t="s">
        <v>2220</v>
      </c>
      <c r="J236" s="21" t="s">
        <v>2221</v>
      </c>
      <c r="K236" s="21" t="e">
        <f t="shared" ca="1" si="0"/>
        <v>#NAME?</v>
      </c>
      <c r="L236" s="24">
        <v>1979</v>
      </c>
      <c r="M236" s="21">
        <v>1998</v>
      </c>
      <c r="N236" s="21" t="s">
        <v>474</v>
      </c>
      <c r="O236" s="21" t="s">
        <v>316</v>
      </c>
      <c r="P236" s="26">
        <v>3053222060</v>
      </c>
      <c r="Q236" s="26" t="e">
        <f t="shared" ca="1" si="1"/>
        <v>#NAME?</v>
      </c>
      <c r="R236" s="21" t="s">
        <v>1606</v>
      </c>
      <c r="S236" s="21" t="s">
        <v>2222</v>
      </c>
      <c r="T236" s="21" t="s">
        <v>2223</v>
      </c>
      <c r="U236" s="21" t="s">
        <v>2224</v>
      </c>
      <c r="V236" s="21" t="s">
        <v>2224</v>
      </c>
      <c r="W236" s="21" t="s">
        <v>1800</v>
      </c>
      <c r="X236" s="21" t="s">
        <v>536</v>
      </c>
      <c r="Y236" s="21" t="s">
        <v>2225</v>
      </c>
      <c r="Z236" s="21" t="s">
        <v>127</v>
      </c>
      <c r="AA236" s="21" t="s">
        <v>2226</v>
      </c>
      <c r="AB236" s="21" t="s">
        <v>129</v>
      </c>
      <c r="AC236" s="21" t="s">
        <v>2227</v>
      </c>
      <c r="AD236" s="21" t="s">
        <v>132</v>
      </c>
      <c r="AE236" s="21" t="s">
        <v>133</v>
      </c>
      <c r="AF236" s="21" t="s">
        <v>135</v>
      </c>
      <c r="AG236" s="21" t="s">
        <v>135</v>
      </c>
      <c r="AH236" s="21" t="s">
        <v>135</v>
      </c>
      <c r="AI236" s="21" t="s">
        <v>135</v>
      </c>
      <c r="AJ236" s="21" t="s">
        <v>2228</v>
      </c>
    </row>
    <row r="237" spans="1:36" ht="15.75" customHeight="1" x14ac:dyDescent="0.3">
      <c r="A237" s="21">
        <v>2025</v>
      </c>
      <c r="B237" s="22">
        <v>45866.313998923608</v>
      </c>
      <c r="C237" s="21" t="s">
        <v>183</v>
      </c>
      <c r="D237" s="21" t="s">
        <v>183</v>
      </c>
      <c r="E237" s="21" t="s">
        <v>183</v>
      </c>
      <c r="F237" s="21" t="s">
        <v>183</v>
      </c>
      <c r="G237" s="21" t="s">
        <v>93</v>
      </c>
      <c r="H237" s="21" t="s">
        <v>2229</v>
      </c>
      <c r="I237" s="21" t="s">
        <v>2230</v>
      </c>
      <c r="J237" s="21" t="s">
        <v>2231</v>
      </c>
      <c r="K237" s="21" t="e">
        <f t="shared" ca="1" si="0"/>
        <v>#NAME?</v>
      </c>
      <c r="L237" s="24">
        <v>1962</v>
      </c>
      <c r="M237" s="21">
        <v>1989</v>
      </c>
      <c r="N237" s="21" t="s">
        <v>111</v>
      </c>
      <c r="O237" s="21" t="s">
        <v>112</v>
      </c>
      <c r="P237" s="26">
        <v>9491382756</v>
      </c>
      <c r="Q237" s="26" t="e">
        <f t="shared" ca="1" si="1"/>
        <v>#NAME?</v>
      </c>
      <c r="R237" s="21" t="s">
        <v>118</v>
      </c>
      <c r="S237" s="21" t="s">
        <v>2232</v>
      </c>
      <c r="T237" s="21" t="s">
        <v>2232</v>
      </c>
      <c r="U237" s="21" t="s">
        <v>2233</v>
      </c>
      <c r="V237" s="21" t="s">
        <v>2233</v>
      </c>
      <c r="W237" s="21" t="s">
        <v>1800</v>
      </c>
      <c r="X237" s="21" t="s">
        <v>2234</v>
      </c>
      <c r="Y237" s="21" t="s">
        <v>220</v>
      </c>
      <c r="Z237" s="21" t="s">
        <v>127</v>
      </c>
      <c r="AA237" s="21" t="s">
        <v>1319</v>
      </c>
      <c r="AB237" s="21" t="s">
        <v>129</v>
      </c>
      <c r="AC237" s="21" t="s">
        <v>2235</v>
      </c>
      <c r="AD237" s="21" t="s">
        <v>132</v>
      </c>
      <c r="AE237" s="21" t="s">
        <v>133</v>
      </c>
      <c r="AF237" s="21" t="s">
        <v>135</v>
      </c>
      <c r="AG237" s="21" t="s">
        <v>135</v>
      </c>
      <c r="AH237" s="21" t="s">
        <v>135</v>
      </c>
      <c r="AI237" s="21" t="s">
        <v>135</v>
      </c>
    </row>
    <row r="238" spans="1:36" ht="15.75" customHeight="1" x14ac:dyDescent="0.3">
      <c r="A238" s="21">
        <v>2025</v>
      </c>
      <c r="B238" s="22">
        <v>45868.487904699075</v>
      </c>
      <c r="C238" s="21" t="s">
        <v>183</v>
      </c>
      <c r="D238" s="21" t="s">
        <v>183</v>
      </c>
      <c r="E238" s="21" t="s">
        <v>183</v>
      </c>
      <c r="F238" s="21" t="s">
        <v>183</v>
      </c>
      <c r="G238" s="21" t="s">
        <v>93</v>
      </c>
      <c r="H238" s="21" t="s">
        <v>2237</v>
      </c>
      <c r="I238" s="21" t="s">
        <v>2238</v>
      </c>
      <c r="J238" s="21" t="s">
        <v>2239</v>
      </c>
      <c r="K238" s="21" t="e">
        <f t="shared" ca="1" si="0"/>
        <v>#NAME?</v>
      </c>
      <c r="L238" s="24">
        <v>1955</v>
      </c>
      <c r="M238" s="21">
        <v>1975</v>
      </c>
      <c r="N238" s="21" t="s">
        <v>111</v>
      </c>
      <c r="O238" s="21" t="s">
        <v>112</v>
      </c>
      <c r="P238" s="26">
        <v>9985165833</v>
      </c>
      <c r="Q238" s="26" t="e">
        <f t="shared" ca="1" si="1"/>
        <v>#NAME?</v>
      </c>
      <c r="R238" s="21" t="s">
        <v>188</v>
      </c>
      <c r="S238" s="21" t="s">
        <v>2240</v>
      </c>
      <c r="T238" s="21" t="s">
        <v>2241</v>
      </c>
      <c r="U238" s="21" t="s">
        <v>2242</v>
      </c>
      <c r="V238" s="21" t="s">
        <v>2242</v>
      </c>
      <c r="W238" s="21" t="s">
        <v>319</v>
      </c>
      <c r="X238" s="21" t="s">
        <v>179</v>
      </c>
      <c r="Y238" s="21" t="s">
        <v>179</v>
      </c>
      <c r="Z238" s="21" t="s">
        <v>127</v>
      </c>
      <c r="AA238" s="21" t="s">
        <v>1119</v>
      </c>
      <c r="AB238" s="21" t="s">
        <v>129</v>
      </c>
      <c r="AC238" s="21" t="s">
        <v>2243</v>
      </c>
      <c r="AD238" s="21" t="s">
        <v>132</v>
      </c>
      <c r="AE238" s="21" t="s">
        <v>133</v>
      </c>
      <c r="AF238" s="21" t="s">
        <v>135</v>
      </c>
      <c r="AG238" s="21" t="s">
        <v>135</v>
      </c>
      <c r="AH238" s="21" t="s">
        <v>135</v>
      </c>
      <c r="AI238" s="21" t="s">
        <v>135</v>
      </c>
      <c r="AJ238" s="21" t="s">
        <v>1560</v>
      </c>
    </row>
    <row r="239" spans="1:36" ht="15.75" customHeight="1" x14ac:dyDescent="0.3">
      <c r="A239" s="21">
        <v>2025</v>
      </c>
      <c r="B239" s="22">
        <v>45868.525945231479</v>
      </c>
      <c r="C239" s="21" t="s">
        <v>183</v>
      </c>
      <c r="D239" s="21" t="s">
        <v>183</v>
      </c>
      <c r="E239" s="21" t="s">
        <v>183</v>
      </c>
      <c r="F239" s="21" t="s">
        <v>183</v>
      </c>
      <c r="G239" s="21" t="s">
        <v>256</v>
      </c>
      <c r="H239" s="21" t="s">
        <v>2244</v>
      </c>
      <c r="I239" s="21" t="s">
        <v>519</v>
      </c>
      <c r="J239" s="21" t="s">
        <v>1914</v>
      </c>
      <c r="K239" s="21" t="e">
        <f t="shared" ca="1" si="0"/>
        <v>#NAME?</v>
      </c>
      <c r="L239" s="24">
        <v>2014</v>
      </c>
      <c r="M239" s="21">
        <v>2025</v>
      </c>
      <c r="N239" s="21" t="s">
        <v>315</v>
      </c>
      <c r="O239" s="21" t="s">
        <v>316</v>
      </c>
      <c r="P239" s="26">
        <v>4805932217</v>
      </c>
      <c r="Q239" s="26" t="e">
        <f t="shared" ca="1" si="1"/>
        <v>#NAME?</v>
      </c>
      <c r="R239" s="21" t="s">
        <v>521</v>
      </c>
      <c r="S239" s="21" t="s">
        <v>2245</v>
      </c>
      <c r="T239" s="21" t="s">
        <v>2245</v>
      </c>
      <c r="U239" s="21" t="s">
        <v>2246</v>
      </c>
      <c r="V239" s="21" t="s">
        <v>2246</v>
      </c>
      <c r="W239" s="21" t="s">
        <v>319</v>
      </c>
      <c r="X239" s="21" t="s">
        <v>2247</v>
      </c>
      <c r="Y239" s="21" t="s">
        <v>2248</v>
      </c>
      <c r="Z239" s="21" t="s">
        <v>2249</v>
      </c>
      <c r="AA239" s="21" t="s">
        <v>2250</v>
      </c>
      <c r="AB239" s="21" t="s">
        <v>2251</v>
      </c>
      <c r="AC239" s="21" t="s">
        <v>2252</v>
      </c>
      <c r="AD239" s="21" t="s">
        <v>287</v>
      </c>
      <c r="AE239" s="21" t="s">
        <v>133</v>
      </c>
      <c r="AF239" s="21" t="s">
        <v>135</v>
      </c>
      <c r="AG239" s="21" t="s">
        <v>135</v>
      </c>
      <c r="AH239" s="21" t="s">
        <v>135</v>
      </c>
      <c r="AI239" s="21" t="s">
        <v>135</v>
      </c>
    </row>
    <row r="240" spans="1:36" ht="15.75" customHeight="1" x14ac:dyDescent="0.3">
      <c r="A240" s="21">
        <v>2025</v>
      </c>
      <c r="B240" s="22">
        <v>45868.58030400463</v>
      </c>
      <c r="C240" s="21" t="s">
        <v>183</v>
      </c>
      <c r="D240" s="21" t="s">
        <v>183</v>
      </c>
      <c r="E240" s="21" t="s">
        <v>183</v>
      </c>
      <c r="F240" s="21" t="s">
        <v>183</v>
      </c>
      <c r="G240" s="21" t="s">
        <v>256</v>
      </c>
      <c r="H240" s="21" t="s">
        <v>2253</v>
      </c>
      <c r="I240" s="21" t="s">
        <v>2254</v>
      </c>
      <c r="J240" s="21" t="s">
        <v>2255</v>
      </c>
      <c r="K240" s="21" t="e">
        <f t="shared" ca="1" si="0"/>
        <v>#NAME?</v>
      </c>
      <c r="L240" s="24">
        <v>2017</v>
      </c>
      <c r="M240" s="21">
        <v>2025</v>
      </c>
      <c r="N240" s="21" t="s">
        <v>474</v>
      </c>
      <c r="O240" s="21" t="s">
        <v>316</v>
      </c>
      <c r="P240" s="26">
        <v>7076907281</v>
      </c>
      <c r="Q240" s="26" t="e">
        <f t="shared" ca="1" si="1"/>
        <v>#NAME?</v>
      </c>
      <c r="R240" s="21" t="s">
        <v>1324</v>
      </c>
      <c r="S240" s="21" t="s">
        <v>2256</v>
      </c>
      <c r="T240" s="21" t="s">
        <v>2257</v>
      </c>
      <c r="U240" s="21" t="s">
        <v>2258</v>
      </c>
      <c r="V240" s="21" t="s">
        <v>2258</v>
      </c>
      <c r="W240" s="21" t="s">
        <v>251</v>
      </c>
      <c r="X240" s="21" t="s">
        <v>581</v>
      </c>
      <c r="Y240" s="21" t="s">
        <v>1067</v>
      </c>
      <c r="Z240" s="21" t="s">
        <v>2259</v>
      </c>
      <c r="AA240" s="21" t="s">
        <v>2260</v>
      </c>
      <c r="AB240" s="21" t="s">
        <v>269</v>
      </c>
      <c r="AC240" s="21" t="s">
        <v>1069</v>
      </c>
      <c r="AD240" s="21" t="s">
        <v>132</v>
      </c>
      <c r="AE240" s="21" t="s">
        <v>133</v>
      </c>
      <c r="AF240" s="21" t="s">
        <v>135</v>
      </c>
      <c r="AG240" s="21" t="s">
        <v>135</v>
      </c>
      <c r="AH240" s="21" t="s">
        <v>135</v>
      </c>
      <c r="AI240" s="21" t="s">
        <v>135</v>
      </c>
    </row>
    <row r="241" spans="1:36" ht="15.75" customHeight="1" x14ac:dyDescent="0.3">
      <c r="A241" s="21">
        <v>2025</v>
      </c>
      <c r="B241" s="22">
        <v>45868.983425486113</v>
      </c>
      <c r="C241" s="21" t="s">
        <v>183</v>
      </c>
      <c r="D241" s="21" t="s">
        <v>183</v>
      </c>
      <c r="E241" s="21" t="s">
        <v>183</v>
      </c>
      <c r="F241" s="21" t="s">
        <v>183</v>
      </c>
      <c r="G241" s="21" t="s">
        <v>93</v>
      </c>
      <c r="H241" s="21" t="s">
        <v>2261</v>
      </c>
      <c r="I241" s="21" t="s">
        <v>2262</v>
      </c>
      <c r="J241" s="21" t="s">
        <v>2263</v>
      </c>
      <c r="K241" s="21" t="e">
        <f t="shared" ca="1" si="0"/>
        <v>#NAME?</v>
      </c>
      <c r="L241" s="24">
        <v>1978</v>
      </c>
      <c r="M241" s="21">
        <v>1982</v>
      </c>
      <c r="N241" s="21" t="s">
        <v>315</v>
      </c>
      <c r="O241" s="21" t="s">
        <v>112</v>
      </c>
      <c r="P241" s="26">
        <v>9194510149</v>
      </c>
      <c r="Q241" s="26" t="e">
        <f t="shared" ca="1" si="1"/>
        <v>#NAME?</v>
      </c>
      <c r="R241" s="21" t="s">
        <v>521</v>
      </c>
      <c r="S241" s="21" t="s">
        <v>2264</v>
      </c>
      <c r="T241" s="21" t="s">
        <v>2265</v>
      </c>
      <c r="U241" s="21" t="s">
        <v>2266</v>
      </c>
      <c r="V241" s="21" t="s">
        <v>2266</v>
      </c>
      <c r="W241" s="21" t="s">
        <v>177</v>
      </c>
      <c r="X241" s="21" t="s">
        <v>2267</v>
      </c>
      <c r="Y241" s="21" t="s">
        <v>2268</v>
      </c>
      <c r="Z241" s="21" t="s">
        <v>127</v>
      </c>
      <c r="AA241" s="21" t="s">
        <v>450</v>
      </c>
      <c r="AB241" s="21" t="s">
        <v>129</v>
      </c>
      <c r="AC241" s="21" t="s">
        <v>2269</v>
      </c>
      <c r="AD241" s="21" t="s">
        <v>287</v>
      </c>
      <c r="AE241" s="21" t="s">
        <v>133</v>
      </c>
      <c r="AF241" s="21" t="s">
        <v>135</v>
      </c>
      <c r="AG241" s="21" t="s">
        <v>135</v>
      </c>
      <c r="AH241" s="21" t="s">
        <v>135</v>
      </c>
      <c r="AI241" s="21" t="s">
        <v>135</v>
      </c>
    </row>
    <row r="242" spans="1:36" ht="15.75" customHeight="1" x14ac:dyDescent="0.3">
      <c r="A242" s="21">
        <v>2025</v>
      </c>
      <c r="B242" s="22">
        <v>45869.096073530091</v>
      </c>
      <c r="C242" s="21" t="s">
        <v>183</v>
      </c>
      <c r="D242" s="21" t="s">
        <v>183</v>
      </c>
      <c r="E242" s="21" t="s">
        <v>183</v>
      </c>
      <c r="F242" s="21" t="s">
        <v>183</v>
      </c>
      <c r="G242" s="21" t="s">
        <v>93</v>
      </c>
      <c r="H242" s="21" t="s">
        <v>2270</v>
      </c>
      <c r="I242" s="21" t="s">
        <v>1692</v>
      </c>
      <c r="J242" s="21" t="s">
        <v>2271</v>
      </c>
      <c r="K242" s="21" t="e">
        <f t="shared" ca="1" si="0"/>
        <v>#NAME?</v>
      </c>
      <c r="L242" s="24">
        <v>1989</v>
      </c>
      <c r="M242" s="21">
        <v>2002</v>
      </c>
      <c r="N242" s="21" t="s">
        <v>111</v>
      </c>
      <c r="O242" s="21" t="s">
        <v>112</v>
      </c>
      <c r="P242" s="26">
        <v>9908866584</v>
      </c>
      <c r="Q242" s="26" t="e">
        <f t="shared" ca="1" si="1"/>
        <v>#NAME?</v>
      </c>
      <c r="R242" s="21" t="s">
        <v>118</v>
      </c>
      <c r="S242" s="21" t="s">
        <v>2272</v>
      </c>
      <c r="T242" s="21" t="s">
        <v>2273</v>
      </c>
      <c r="U242" s="21" t="s">
        <v>2274</v>
      </c>
      <c r="V242" s="21" t="s">
        <v>2274</v>
      </c>
      <c r="W242" s="21" t="s">
        <v>219</v>
      </c>
      <c r="X242" s="21" t="s">
        <v>2275</v>
      </c>
      <c r="Y242" s="21" t="s">
        <v>996</v>
      </c>
      <c r="Z242" s="21" t="s">
        <v>127</v>
      </c>
      <c r="AA242" s="21" t="s">
        <v>285</v>
      </c>
      <c r="AB242" s="21" t="s">
        <v>129</v>
      </c>
      <c r="AC242" s="21" t="s">
        <v>2276</v>
      </c>
      <c r="AD242" s="21" t="s">
        <v>132</v>
      </c>
      <c r="AE242" s="21" t="s">
        <v>133</v>
      </c>
      <c r="AF242" s="21" t="s">
        <v>135</v>
      </c>
      <c r="AG242" s="21" t="s">
        <v>135</v>
      </c>
      <c r="AH242" s="21" t="s">
        <v>135</v>
      </c>
      <c r="AI242" s="21" t="s">
        <v>135</v>
      </c>
    </row>
    <row r="243" spans="1:36" ht="15.75" customHeight="1" x14ac:dyDescent="0.3">
      <c r="A243" s="21">
        <v>2025</v>
      </c>
      <c r="B243" s="22">
        <v>45869.163144421298</v>
      </c>
      <c r="C243" s="21" t="s">
        <v>183</v>
      </c>
      <c r="D243" s="21" t="s">
        <v>183</v>
      </c>
      <c r="E243" s="21" t="s">
        <v>183</v>
      </c>
      <c r="F243" s="21" t="s">
        <v>183</v>
      </c>
      <c r="G243" s="21" t="s">
        <v>93</v>
      </c>
      <c r="H243" s="21" t="s">
        <v>2277</v>
      </c>
      <c r="I243" s="21" t="s">
        <v>2278</v>
      </c>
      <c r="J243" s="21" t="s">
        <v>2279</v>
      </c>
      <c r="K243" s="21" t="e">
        <f t="shared" ca="1" si="0"/>
        <v>#NAME?</v>
      </c>
      <c r="L243" s="24">
        <v>1972</v>
      </c>
      <c r="M243" s="21">
        <v>1995</v>
      </c>
      <c r="N243" s="21" t="s">
        <v>111</v>
      </c>
      <c r="O243" s="21" t="s">
        <v>112</v>
      </c>
      <c r="P243" s="26">
        <v>7095689760</v>
      </c>
      <c r="Q243" s="26" t="e">
        <f t="shared" ca="1" si="1"/>
        <v>#NAME?</v>
      </c>
      <c r="R243" s="21" t="s">
        <v>188</v>
      </c>
      <c r="S243" s="21" t="s">
        <v>2280</v>
      </c>
      <c r="T243" s="21" t="s">
        <v>2281</v>
      </c>
      <c r="U243" s="21" t="s">
        <v>2282</v>
      </c>
      <c r="V243" s="21" t="s">
        <v>2282</v>
      </c>
      <c r="W243" s="21" t="s">
        <v>307</v>
      </c>
      <c r="X243" s="21" t="s">
        <v>2283</v>
      </c>
      <c r="Y243" s="21" t="s">
        <v>2283</v>
      </c>
      <c r="Z243" s="21" t="s">
        <v>127</v>
      </c>
      <c r="AA243" s="21" t="s">
        <v>608</v>
      </c>
      <c r="AB243" s="21" t="s">
        <v>129</v>
      </c>
      <c r="AC243" s="21" t="s">
        <v>2284</v>
      </c>
      <c r="AD243" s="21" t="s">
        <v>132</v>
      </c>
      <c r="AE243" s="21" t="s">
        <v>133</v>
      </c>
      <c r="AF243" s="21" t="s">
        <v>135</v>
      </c>
      <c r="AG243" s="21" t="s">
        <v>135</v>
      </c>
      <c r="AH243" s="21" t="s">
        <v>135</v>
      </c>
      <c r="AI243" s="21" t="s">
        <v>135</v>
      </c>
      <c r="AJ243" s="21" t="s">
        <v>2285</v>
      </c>
    </row>
    <row r="244" spans="1:36" ht="15.75" customHeight="1" x14ac:dyDescent="0.3">
      <c r="A244" s="21">
        <v>2025</v>
      </c>
      <c r="B244" s="22">
        <v>45869.951704618055</v>
      </c>
      <c r="C244" s="21" t="s">
        <v>183</v>
      </c>
      <c r="D244" s="21" t="s">
        <v>183</v>
      </c>
      <c r="E244" s="21" t="s">
        <v>183</v>
      </c>
      <c r="F244" s="21" t="s">
        <v>183</v>
      </c>
      <c r="G244" s="21" t="s">
        <v>93</v>
      </c>
      <c r="H244" s="21" t="s">
        <v>2286</v>
      </c>
      <c r="I244" s="21" t="s">
        <v>204</v>
      </c>
      <c r="J244" s="21" t="s">
        <v>2287</v>
      </c>
      <c r="K244" s="21" t="e">
        <f t="shared" ca="1" si="0"/>
        <v>#NAME?</v>
      </c>
      <c r="L244" s="24">
        <v>1990</v>
      </c>
      <c r="M244" s="21">
        <v>2002</v>
      </c>
      <c r="N244" s="21" t="s">
        <v>111</v>
      </c>
      <c r="O244" s="21" t="s">
        <v>112</v>
      </c>
      <c r="P244" s="26">
        <v>7013703136</v>
      </c>
      <c r="Q244" s="26" t="e">
        <f t="shared" ca="1" si="1"/>
        <v>#NAME?</v>
      </c>
      <c r="R244" s="21" t="s">
        <v>118</v>
      </c>
      <c r="S244" s="21" t="s">
        <v>2288</v>
      </c>
      <c r="T244" s="21" t="s">
        <v>2289</v>
      </c>
      <c r="U244" s="21" t="s">
        <v>2290</v>
      </c>
      <c r="V244" s="21" t="s">
        <v>2290</v>
      </c>
      <c r="W244" s="21" t="s">
        <v>307</v>
      </c>
      <c r="X244" s="21" t="s">
        <v>329</v>
      </c>
      <c r="Y244" s="21" t="s">
        <v>220</v>
      </c>
      <c r="Z244" s="21" t="s">
        <v>127</v>
      </c>
      <c r="AA244" s="21" t="s">
        <v>2291</v>
      </c>
      <c r="AB244" s="21" t="s">
        <v>129</v>
      </c>
      <c r="AC244" s="21" t="s">
        <v>2292</v>
      </c>
      <c r="AD244" s="21" t="s">
        <v>287</v>
      </c>
      <c r="AE244" s="21" t="s">
        <v>133</v>
      </c>
      <c r="AF244" s="21" t="s">
        <v>135</v>
      </c>
      <c r="AG244" s="21" t="s">
        <v>135</v>
      </c>
      <c r="AH244" s="21" t="s">
        <v>135</v>
      </c>
      <c r="AI244" s="21" t="s">
        <v>135</v>
      </c>
      <c r="AJ244" s="21" t="s">
        <v>2293</v>
      </c>
    </row>
    <row r="245" spans="1:36" ht="15.75" customHeight="1" x14ac:dyDescent="0.3">
      <c r="A245" s="21">
        <v>2025</v>
      </c>
      <c r="B245" s="22">
        <v>45870.198415694445</v>
      </c>
      <c r="C245" s="21" t="s">
        <v>183</v>
      </c>
      <c r="D245" s="21" t="s">
        <v>183</v>
      </c>
      <c r="E245" s="21" t="s">
        <v>183</v>
      </c>
      <c r="F245" s="21" t="s">
        <v>90</v>
      </c>
      <c r="G245" s="21" t="s">
        <v>93</v>
      </c>
      <c r="H245" s="21" t="s">
        <v>2294</v>
      </c>
      <c r="I245" s="21" t="s">
        <v>2295</v>
      </c>
      <c r="J245" s="21" t="s">
        <v>2296</v>
      </c>
      <c r="K245" s="21" t="e">
        <f t="shared" ca="1" si="0"/>
        <v>#NAME?</v>
      </c>
      <c r="L245" s="24">
        <v>1987</v>
      </c>
      <c r="M245" s="21">
        <v>2011</v>
      </c>
      <c r="N245" s="21" t="s">
        <v>111</v>
      </c>
      <c r="O245" s="21" t="s">
        <v>112</v>
      </c>
      <c r="P245" s="26">
        <v>8978973823</v>
      </c>
      <c r="Q245" s="26" t="e">
        <f t="shared" ca="1" si="1"/>
        <v>#NAME?</v>
      </c>
      <c r="R245" s="21" t="s">
        <v>118</v>
      </c>
      <c r="S245" s="21">
        <v>7013703136</v>
      </c>
      <c r="T245" s="21">
        <v>7013703136</v>
      </c>
      <c r="U245" s="21" t="s">
        <v>2299</v>
      </c>
      <c r="V245" s="21" t="s">
        <v>2299</v>
      </c>
      <c r="W245" s="21" t="s">
        <v>219</v>
      </c>
      <c r="X245" s="21" t="s">
        <v>179</v>
      </c>
      <c r="Y245" s="21" t="s">
        <v>1145</v>
      </c>
      <c r="Z245" s="21" t="s">
        <v>127</v>
      </c>
      <c r="AA245" s="21" t="s">
        <v>2300</v>
      </c>
      <c r="AB245" s="21" t="s">
        <v>129</v>
      </c>
      <c r="AC245" s="21" t="s">
        <v>2301</v>
      </c>
      <c r="AD245" s="21" t="s">
        <v>132</v>
      </c>
      <c r="AE245" s="21" t="s">
        <v>133</v>
      </c>
      <c r="AF245" s="21" t="s">
        <v>135</v>
      </c>
      <c r="AG245" s="21" t="s">
        <v>135</v>
      </c>
      <c r="AH245" s="21" t="s">
        <v>135</v>
      </c>
      <c r="AI245" s="21" t="s">
        <v>135</v>
      </c>
      <c r="AJ245" s="21" t="s">
        <v>2302</v>
      </c>
    </row>
    <row r="246" spans="1:36" ht="15.75" customHeight="1" x14ac:dyDescent="0.3">
      <c r="A246" s="21">
        <v>2025</v>
      </c>
      <c r="B246" s="22">
        <v>45870.379964074076</v>
      </c>
      <c r="C246" s="21" t="s">
        <v>183</v>
      </c>
      <c r="D246" s="21" t="s">
        <v>183</v>
      </c>
      <c r="E246" s="21" t="s">
        <v>183</v>
      </c>
      <c r="F246" s="21" t="s">
        <v>183</v>
      </c>
      <c r="G246" s="21" t="s">
        <v>93</v>
      </c>
      <c r="H246" s="21" t="s">
        <v>2303</v>
      </c>
      <c r="I246" s="21" t="s">
        <v>634</v>
      </c>
      <c r="J246" s="21" t="s">
        <v>2304</v>
      </c>
      <c r="K246" s="21" t="e">
        <f t="shared" ca="1" si="0"/>
        <v>#NAME?</v>
      </c>
      <c r="L246" s="24">
        <v>1982</v>
      </c>
      <c r="M246" s="21">
        <v>2007</v>
      </c>
      <c r="N246" s="21" t="s">
        <v>111</v>
      </c>
      <c r="O246" s="21" t="s">
        <v>112</v>
      </c>
      <c r="P246" s="26">
        <v>9966016096</v>
      </c>
      <c r="Q246" s="26" t="e">
        <f t="shared" ca="1" si="1"/>
        <v>#NAME?</v>
      </c>
      <c r="R246" s="21" t="s">
        <v>992</v>
      </c>
      <c r="S246" s="21" t="s">
        <v>2305</v>
      </c>
      <c r="T246" s="21" t="s">
        <v>2306</v>
      </c>
      <c r="U246" s="21" t="s">
        <v>2307</v>
      </c>
      <c r="V246" s="21" t="s">
        <v>2307</v>
      </c>
      <c r="W246" s="21" t="s">
        <v>706</v>
      </c>
      <c r="X246" s="21" t="s">
        <v>2308</v>
      </c>
      <c r="Y246" s="21" t="s">
        <v>1634</v>
      </c>
      <c r="Z246" s="21" t="s">
        <v>2309</v>
      </c>
      <c r="AA246" s="21" t="s">
        <v>2310</v>
      </c>
      <c r="AB246" s="21" t="s">
        <v>269</v>
      </c>
      <c r="AC246" s="21" t="s">
        <v>2311</v>
      </c>
      <c r="AD246" s="21" t="s">
        <v>132</v>
      </c>
      <c r="AE246" s="21" t="s">
        <v>133</v>
      </c>
      <c r="AF246" s="21" t="s">
        <v>135</v>
      </c>
      <c r="AG246" s="21" t="s">
        <v>135</v>
      </c>
      <c r="AH246" s="21" t="s">
        <v>135</v>
      </c>
      <c r="AI246" s="21" t="s">
        <v>135</v>
      </c>
      <c r="AJ246" s="21" t="s">
        <v>2312</v>
      </c>
    </row>
    <row r="247" spans="1:36" ht="15.75" customHeight="1" x14ac:dyDescent="0.3">
      <c r="A247" s="21">
        <v>2025</v>
      </c>
      <c r="B247" s="22">
        <v>45870.522656932866</v>
      </c>
      <c r="C247" s="21" t="s">
        <v>183</v>
      </c>
      <c r="D247" s="21" t="s">
        <v>183</v>
      </c>
      <c r="E247" s="21" t="s">
        <v>183</v>
      </c>
      <c r="F247" s="21" t="s">
        <v>183</v>
      </c>
      <c r="G247" s="21" t="s">
        <v>93</v>
      </c>
      <c r="H247" s="21" t="s">
        <v>2313</v>
      </c>
      <c r="I247" s="21" t="s">
        <v>2314</v>
      </c>
      <c r="J247" s="21" t="s">
        <v>187</v>
      </c>
      <c r="K247" s="21" t="e">
        <f t="shared" ca="1" si="0"/>
        <v>#NAME?</v>
      </c>
      <c r="L247" s="24">
        <v>1988</v>
      </c>
      <c r="M247" s="21">
        <v>2017</v>
      </c>
      <c r="N247" s="21" t="s">
        <v>402</v>
      </c>
      <c r="O247" s="21" t="s">
        <v>316</v>
      </c>
      <c r="P247" s="26">
        <v>5178947513</v>
      </c>
      <c r="Q247" s="26" t="e">
        <f t="shared" ca="1" si="1"/>
        <v>#NAME?</v>
      </c>
      <c r="R247" s="21" t="s">
        <v>2315</v>
      </c>
      <c r="S247" s="21" t="s">
        <v>2316</v>
      </c>
      <c r="T247" s="21" t="s">
        <v>2316</v>
      </c>
      <c r="U247" s="21" t="s">
        <v>2317</v>
      </c>
      <c r="V247" s="21" t="s">
        <v>2317</v>
      </c>
      <c r="W247" s="21" t="s">
        <v>307</v>
      </c>
      <c r="X247" s="21" t="s">
        <v>352</v>
      </c>
      <c r="Y247" s="21" t="s">
        <v>352</v>
      </c>
      <c r="Z247" s="21" t="s">
        <v>127</v>
      </c>
      <c r="AA247" s="21" t="s">
        <v>450</v>
      </c>
      <c r="AB247" s="21" t="s">
        <v>129</v>
      </c>
      <c r="AC247" s="21" t="s">
        <v>2318</v>
      </c>
      <c r="AD247" s="21" t="s">
        <v>287</v>
      </c>
      <c r="AE247" s="21" t="s">
        <v>133</v>
      </c>
      <c r="AF247" s="21" t="s">
        <v>135</v>
      </c>
      <c r="AG247" s="21" t="s">
        <v>135</v>
      </c>
      <c r="AH247" s="21" t="s">
        <v>135</v>
      </c>
      <c r="AI247" s="21" t="s">
        <v>135</v>
      </c>
    </row>
    <row r="248" spans="1:36" ht="15.75" customHeight="1" x14ac:dyDescent="0.3">
      <c r="A248" s="21">
        <v>2025</v>
      </c>
      <c r="B248" s="22">
        <v>45870.975989837963</v>
      </c>
      <c r="C248" s="21" t="s">
        <v>183</v>
      </c>
      <c r="D248" s="21" t="s">
        <v>183</v>
      </c>
      <c r="E248" s="21" t="s">
        <v>183</v>
      </c>
      <c r="F248" s="21" t="s">
        <v>183</v>
      </c>
      <c r="G248" s="21" t="s">
        <v>93</v>
      </c>
      <c r="H248" s="21" t="s">
        <v>2319</v>
      </c>
      <c r="I248" s="21" t="s">
        <v>2320</v>
      </c>
      <c r="J248" s="21" t="s">
        <v>2321</v>
      </c>
      <c r="K248" s="21" t="e">
        <f t="shared" ca="1" si="0"/>
        <v>#NAME?</v>
      </c>
      <c r="L248" s="24">
        <v>1994</v>
      </c>
      <c r="M248" s="21">
        <v>2019</v>
      </c>
      <c r="N248" s="21" t="s">
        <v>111</v>
      </c>
      <c r="O248" s="21" t="s">
        <v>112</v>
      </c>
      <c r="P248" s="26">
        <v>6262282808</v>
      </c>
      <c r="Q248" s="26" t="e">
        <f t="shared" ca="1" si="1"/>
        <v>#NAME?</v>
      </c>
      <c r="R248" s="21" t="s">
        <v>664</v>
      </c>
      <c r="S248" s="21" t="s">
        <v>2322</v>
      </c>
      <c r="T248" s="21" t="s">
        <v>2323</v>
      </c>
      <c r="U248" s="21" t="s">
        <v>2324</v>
      </c>
      <c r="V248" s="21" t="s">
        <v>2324</v>
      </c>
      <c r="W248" s="21" t="s">
        <v>307</v>
      </c>
      <c r="X248" s="21" t="s">
        <v>2325</v>
      </c>
      <c r="Y248" s="21" t="s">
        <v>352</v>
      </c>
      <c r="Z248" s="21" t="s">
        <v>127</v>
      </c>
      <c r="AA248" s="21" t="s">
        <v>2326</v>
      </c>
      <c r="AB248" s="21" t="s">
        <v>129</v>
      </c>
      <c r="AC248" s="21" t="s">
        <v>2327</v>
      </c>
      <c r="AD248" s="21" t="s">
        <v>132</v>
      </c>
      <c r="AE248" s="21" t="s">
        <v>133</v>
      </c>
      <c r="AF248" s="21" t="s">
        <v>135</v>
      </c>
      <c r="AG248" s="21" t="s">
        <v>135</v>
      </c>
      <c r="AH248" s="21" t="s">
        <v>135</v>
      </c>
      <c r="AI248" s="21" t="s">
        <v>135</v>
      </c>
    </row>
    <row r="249" spans="1:36" ht="15.75" customHeight="1" x14ac:dyDescent="0.3">
      <c r="A249" s="21">
        <v>2025</v>
      </c>
      <c r="B249" s="22">
        <v>45871.536059652775</v>
      </c>
      <c r="C249" s="21" t="s">
        <v>183</v>
      </c>
      <c r="D249" s="21" t="s">
        <v>183</v>
      </c>
      <c r="E249" s="21" t="s">
        <v>183</v>
      </c>
      <c r="F249" s="21" t="s">
        <v>183</v>
      </c>
      <c r="G249" s="21" t="s">
        <v>256</v>
      </c>
      <c r="H249" s="21" t="s">
        <v>2328</v>
      </c>
      <c r="I249" s="21" t="s">
        <v>1709</v>
      </c>
      <c r="J249" s="21" t="s">
        <v>1712</v>
      </c>
      <c r="K249" s="21" t="e">
        <f t="shared" ca="1" si="0"/>
        <v>#NAME?</v>
      </c>
      <c r="L249" s="24">
        <v>2014</v>
      </c>
      <c r="M249" s="21">
        <v>2023</v>
      </c>
      <c r="N249" s="21" t="s">
        <v>111</v>
      </c>
      <c r="O249" s="21" t="s">
        <v>112</v>
      </c>
      <c r="P249" s="26">
        <v>6305438951</v>
      </c>
      <c r="Q249" s="26" t="e">
        <f t="shared" ca="1" si="1"/>
        <v>#NAME?</v>
      </c>
      <c r="R249" s="21" t="s">
        <v>118</v>
      </c>
      <c r="S249" s="21" t="s">
        <v>2329</v>
      </c>
      <c r="T249" s="21" t="s">
        <v>2330</v>
      </c>
      <c r="U249" s="21" t="s">
        <v>2331</v>
      </c>
      <c r="V249" s="21" t="s">
        <v>2331</v>
      </c>
      <c r="W249" s="21" t="s">
        <v>219</v>
      </c>
      <c r="X249" s="21" t="s">
        <v>2332</v>
      </c>
      <c r="Y249" s="21" t="s">
        <v>2332</v>
      </c>
      <c r="Z249" s="21" t="s">
        <v>2333</v>
      </c>
      <c r="AA249" s="21" t="s">
        <v>2334</v>
      </c>
      <c r="AB249" s="21" t="s">
        <v>2251</v>
      </c>
      <c r="AC249" s="21" t="s">
        <v>1029</v>
      </c>
      <c r="AD249" s="21" t="s">
        <v>132</v>
      </c>
      <c r="AE249" s="21" t="s">
        <v>133</v>
      </c>
      <c r="AF249" s="21" t="s">
        <v>135</v>
      </c>
      <c r="AG249" s="21" t="s">
        <v>135</v>
      </c>
      <c r="AH249" s="21" t="s">
        <v>135</v>
      </c>
      <c r="AI249" s="21" t="s">
        <v>135</v>
      </c>
      <c r="AJ249" s="21" t="s">
        <v>2335</v>
      </c>
    </row>
    <row r="250" spans="1:36" ht="15.75" customHeight="1" x14ac:dyDescent="0.3">
      <c r="A250" s="21">
        <v>2025</v>
      </c>
      <c r="B250" s="22">
        <v>45871.837171087958</v>
      </c>
      <c r="C250" s="21" t="s">
        <v>183</v>
      </c>
      <c r="D250" s="21" t="s">
        <v>183</v>
      </c>
      <c r="E250" s="21" t="s">
        <v>183</v>
      </c>
      <c r="F250" s="21" t="s">
        <v>183</v>
      </c>
      <c r="G250" s="21" t="s">
        <v>93</v>
      </c>
      <c r="H250" s="21" t="s">
        <v>2336</v>
      </c>
      <c r="I250" s="21" t="s">
        <v>2337</v>
      </c>
      <c r="J250" s="21" t="s">
        <v>2338</v>
      </c>
      <c r="K250" s="21" t="e">
        <f t="shared" ca="1" si="0"/>
        <v>#NAME?</v>
      </c>
      <c r="L250" s="24">
        <v>1979</v>
      </c>
      <c r="M250" s="21">
        <v>1995</v>
      </c>
      <c r="N250" s="21" t="s">
        <v>402</v>
      </c>
      <c r="O250" s="21" t="s">
        <v>316</v>
      </c>
      <c r="P250" s="26">
        <v>7047247859</v>
      </c>
      <c r="Q250" s="26" t="e">
        <f t="shared" ca="1" si="1"/>
        <v>#NAME?</v>
      </c>
      <c r="R250" s="21" t="s">
        <v>2339</v>
      </c>
      <c r="S250" s="21" t="s">
        <v>127</v>
      </c>
      <c r="T250" s="21" t="s">
        <v>127</v>
      </c>
      <c r="U250" s="21" t="s">
        <v>2340</v>
      </c>
      <c r="V250" s="21" t="s">
        <v>2340</v>
      </c>
      <c r="W250" s="21" t="s">
        <v>191</v>
      </c>
      <c r="X250" s="21" t="s">
        <v>179</v>
      </c>
      <c r="Y250" s="21" t="s">
        <v>179</v>
      </c>
      <c r="Z250" s="21" t="s">
        <v>127</v>
      </c>
      <c r="AA250" s="21" t="s">
        <v>608</v>
      </c>
      <c r="AB250" s="21" t="s">
        <v>129</v>
      </c>
      <c r="AC250" s="21" t="s">
        <v>2341</v>
      </c>
      <c r="AD250" s="21" t="s">
        <v>287</v>
      </c>
      <c r="AE250" s="21" t="s">
        <v>133</v>
      </c>
      <c r="AF250" s="21" t="s">
        <v>135</v>
      </c>
      <c r="AG250" s="21" t="s">
        <v>135</v>
      </c>
      <c r="AH250" s="21" t="s">
        <v>135</v>
      </c>
      <c r="AI250" s="21" t="s">
        <v>135</v>
      </c>
    </row>
    <row r="251" spans="1:36" ht="15.75" customHeight="1" x14ac:dyDescent="0.3">
      <c r="A251" s="21">
        <v>2025</v>
      </c>
      <c r="B251" s="22">
        <v>45871.94952756945</v>
      </c>
      <c r="C251" s="21" t="s">
        <v>183</v>
      </c>
      <c r="D251" s="21" t="s">
        <v>183</v>
      </c>
      <c r="E251" s="21" t="s">
        <v>183</v>
      </c>
      <c r="F251" s="21" t="s">
        <v>183</v>
      </c>
      <c r="G251" s="21" t="s">
        <v>256</v>
      </c>
      <c r="H251" s="21" t="s">
        <v>2342</v>
      </c>
      <c r="I251" s="21" t="s">
        <v>982</v>
      </c>
      <c r="J251" s="21" t="s">
        <v>1197</v>
      </c>
      <c r="K251" s="21" t="e">
        <f t="shared" ca="1" si="0"/>
        <v>#NAME?</v>
      </c>
      <c r="L251" s="24">
        <v>2016</v>
      </c>
      <c r="M251" s="21">
        <v>2025</v>
      </c>
      <c r="N251" s="21" t="s">
        <v>111</v>
      </c>
      <c r="O251" s="21" t="s">
        <v>112</v>
      </c>
      <c r="P251" s="26">
        <v>9930904698</v>
      </c>
      <c r="Q251" s="26" t="e">
        <f t="shared" ca="1" si="1"/>
        <v>#NAME?</v>
      </c>
      <c r="R251" s="21" t="s">
        <v>358</v>
      </c>
      <c r="S251" s="21" t="s">
        <v>2343</v>
      </c>
      <c r="T251" s="21" t="s">
        <v>2344</v>
      </c>
      <c r="U251" s="21" t="s">
        <v>2345</v>
      </c>
      <c r="V251" s="21" t="s">
        <v>2345</v>
      </c>
      <c r="W251" s="21" t="s">
        <v>307</v>
      </c>
      <c r="X251" s="21" t="s">
        <v>467</v>
      </c>
      <c r="Y251" s="21" t="s">
        <v>467</v>
      </c>
      <c r="Z251" s="21" t="s">
        <v>2348</v>
      </c>
      <c r="AA251" s="21" t="s">
        <v>2349</v>
      </c>
      <c r="AB251" s="21" t="s">
        <v>2128</v>
      </c>
      <c r="AC251" s="21" t="s">
        <v>2350</v>
      </c>
      <c r="AD251" s="21" t="s">
        <v>132</v>
      </c>
      <c r="AE251" s="21" t="s">
        <v>133</v>
      </c>
      <c r="AF251" s="21" t="s">
        <v>135</v>
      </c>
      <c r="AG251" s="21" t="s">
        <v>135</v>
      </c>
      <c r="AH251" s="21" t="s">
        <v>135</v>
      </c>
      <c r="AI251" s="21" t="s">
        <v>135</v>
      </c>
    </row>
    <row r="252" spans="1:36" ht="15.75" customHeight="1" x14ac:dyDescent="0.3">
      <c r="A252" s="21">
        <v>2025</v>
      </c>
      <c r="B252" s="22">
        <v>45872.002375069445</v>
      </c>
      <c r="C252" s="21" t="s">
        <v>183</v>
      </c>
      <c r="D252" s="21" t="s">
        <v>183</v>
      </c>
      <c r="E252" s="21" t="s">
        <v>183</v>
      </c>
      <c r="F252" s="21" t="s">
        <v>183</v>
      </c>
      <c r="G252" s="21" t="s">
        <v>256</v>
      </c>
      <c r="H252" s="21" t="s">
        <v>2352</v>
      </c>
      <c r="I252" s="21" t="s">
        <v>857</v>
      </c>
      <c r="J252" s="21" t="s">
        <v>859</v>
      </c>
      <c r="K252" s="21" t="e">
        <f t="shared" ca="1" si="0"/>
        <v>#NAME?</v>
      </c>
      <c r="L252" s="24">
        <v>2014</v>
      </c>
      <c r="M252" s="21">
        <v>2025</v>
      </c>
      <c r="N252" s="21" t="s">
        <v>111</v>
      </c>
      <c r="O252" s="21" t="s">
        <v>112</v>
      </c>
      <c r="P252" s="26">
        <v>9052550010</v>
      </c>
      <c r="Q252" s="26" t="e">
        <f t="shared" ca="1" si="1"/>
        <v>#NAME?</v>
      </c>
      <c r="R252" s="21" t="s">
        <v>382</v>
      </c>
      <c r="S252" s="21" t="s">
        <v>2354</v>
      </c>
      <c r="T252" s="21" t="s">
        <v>2354</v>
      </c>
      <c r="U252" s="21" t="s">
        <v>2355</v>
      </c>
      <c r="V252" s="21" t="s">
        <v>2355</v>
      </c>
      <c r="W252" s="21" t="s">
        <v>307</v>
      </c>
      <c r="X252" s="21" t="s">
        <v>220</v>
      </c>
      <c r="Y252" s="21" t="s">
        <v>406</v>
      </c>
      <c r="Z252" s="21" t="s">
        <v>2356</v>
      </c>
      <c r="AA252" s="21" t="s">
        <v>2357</v>
      </c>
      <c r="AB252" s="21" t="s">
        <v>269</v>
      </c>
      <c r="AC252" s="21" t="s">
        <v>2358</v>
      </c>
      <c r="AD252" s="21" t="s">
        <v>287</v>
      </c>
      <c r="AE252" s="21" t="s">
        <v>332</v>
      </c>
      <c r="AF252" s="21" t="s">
        <v>135</v>
      </c>
      <c r="AG252" s="21" t="s">
        <v>135</v>
      </c>
      <c r="AH252" s="21" t="s">
        <v>135</v>
      </c>
      <c r="AI252" s="21" t="s">
        <v>135</v>
      </c>
      <c r="AJ252" s="21" t="s">
        <v>2359</v>
      </c>
    </row>
    <row r="253" spans="1:36" ht="15.75" customHeight="1" x14ac:dyDescent="0.3">
      <c r="A253" s="21">
        <v>2025</v>
      </c>
      <c r="B253" s="22">
        <v>45872.278955902773</v>
      </c>
      <c r="C253" s="21" t="s">
        <v>183</v>
      </c>
      <c r="D253" s="21" t="s">
        <v>183</v>
      </c>
      <c r="E253" s="21" t="s">
        <v>183</v>
      </c>
      <c r="F253" s="21" t="s">
        <v>183</v>
      </c>
      <c r="G253" s="21" t="s">
        <v>93</v>
      </c>
      <c r="H253" s="21" t="s">
        <v>2360</v>
      </c>
      <c r="I253" s="21" t="s">
        <v>2361</v>
      </c>
      <c r="J253" s="21" t="s">
        <v>2362</v>
      </c>
      <c r="K253" s="21" t="e">
        <f t="shared" ca="1" si="0"/>
        <v>#NAME?</v>
      </c>
      <c r="L253" s="24">
        <v>1964</v>
      </c>
      <c r="M253" s="21">
        <v>1984</v>
      </c>
      <c r="N253" s="21" t="s">
        <v>402</v>
      </c>
      <c r="O253" s="21" t="s">
        <v>316</v>
      </c>
      <c r="P253" s="26">
        <v>3023459014</v>
      </c>
      <c r="Q253" s="26" t="e">
        <f t="shared" ca="1" si="1"/>
        <v>#NAME?</v>
      </c>
      <c r="R253" s="21" t="s">
        <v>2363</v>
      </c>
      <c r="S253" s="21" t="s">
        <v>2364</v>
      </c>
      <c r="T253" s="21" t="s">
        <v>2364</v>
      </c>
      <c r="U253" s="21" t="s">
        <v>2365</v>
      </c>
      <c r="V253" s="21" t="s">
        <v>2365</v>
      </c>
      <c r="W253" s="21" t="s">
        <v>2366</v>
      </c>
      <c r="X253" s="21" t="s">
        <v>1093</v>
      </c>
      <c r="Y253" s="21" t="s">
        <v>2367</v>
      </c>
      <c r="Z253" s="21" t="s">
        <v>127</v>
      </c>
      <c r="AA253" s="21" t="s">
        <v>2368</v>
      </c>
      <c r="AB253" s="21" t="s">
        <v>129</v>
      </c>
      <c r="AC253" s="21" t="s">
        <v>2369</v>
      </c>
      <c r="AD253" s="21" t="s">
        <v>132</v>
      </c>
      <c r="AE253" s="21" t="s">
        <v>133</v>
      </c>
      <c r="AF253" s="21" t="s">
        <v>135</v>
      </c>
      <c r="AG253" s="21" t="s">
        <v>135</v>
      </c>
      <c r="AH253" s="21" t="s">
        <v>135</v>
      </c>
      <c r="AI253" s="21" t="s">
        <v>135</v>
      </c>
    </row>
    <row r="254" spans="1:36" ht="15.75" customHeight="1" x14ac:dyDescent="0.3">
      <c r="A254" s="21">
        <v>2025</v>
      </c>
      <c r="B254" s="22">
        <v>45872.34509826389</v>
      </c>
      <c r="C254" s="21" t="s">
        <v>183</v>
      </c>
      <c r="D254" s="21" t="s">
        <v>183</v>
      </c>
      <c r="E254" s="21" t="s">
        <v>183</v>
      </c>
      <c r="F254" s="21" t="s">
        <v>183</v>
      </c>
      <c r="G254" s="21" t="s">
        <v>93</v>
      </c>
      <c r="H254" s="21" t="s">
        <v>2370</v>
      </c>
      <c r="I254" s="21" t="s">
        <v>2371</v>
      </c>
      <c r="J254" s="21" t="s">
        <v>2372</v>
      </c>
      <c r="K254" s="21" t="e">
        <f t="shared" ca="1" si="0"/>
        <v>#NAME?</v>
      </c>
      <c r="L254" s="24">
        <v>1985</v>
      </c>
      <c r="M254" s="21">
        <v>2013</v>
      </c>
      <c r="N254" s="21" t="s">
        <v>315</v>
      </c>
      <c r="O254" s="21" t="s">
        <v>316</v>
      </c>
      <c r="P254" s="26">
        <v>7047759095</v>
      </c>
      <c r="Q254" s="26" t="e">
        <f t="shared" ca="1" si="1"/>
        <v>#NAME?</v>
      </c>
      <c r="R254" s="21" t="s">
        <v>1324</v>
      </c>
      <c r="S254" s="21" t="s">
        <v>2373</v>
      </c>
      <c r="T254" s="21" t="s">
        <v>2374</v>
      </c>
      <c r="U254" s="21" t="s">
        <v>2375</v>
      </c>
      <c r="V254" s="21" t="s">
        <v>2375</v>
      </c>
      <c r="W254" s="21" t="s">
        <v>2376</v>
      </c>
      <c r="X254" s="21" t="s">
        <v>308</v>
      </c>
      <c r="Y254" s="21" t="s">
        <v>308</v>
      </c>
      <c r="Z254" s="21" t="s">
        <v>127</v>
      </c>
      <c r="AA254" s="21" t="s">
        <v>450</v>
      </c>
      <c r="AB254" s="21" t="s">
        <v>129</v>
      </c>
      <c r="AC254" s="21" t="s">
        <v>2377</v>
      </c>
      <c r="AD254" s="21" t="s">
        <v>287</v>
      </c>
      <c r="AE254" s="21" t="s">
        <v>133</v>
      </c>
      <c r="AF254" s="21" t="s">
        <v>135</v>
      </c>
      <c r="AG254" s="21" t="s">
        <v>135</v>
      </c>
      <c r="AH254" s="21" t="s">
        <v>135</v>
      </c>
      <c r="AI254" s="21" t="s">
        <v>135</v>
      </c>
    </row>
    <row r="255" spans="1:36" ht="15.75" customHeight="1" x14ac:dyDescent="0.3">
      <c r="A255" s="21">
        <v>2025</v>
      </c>
      <c r="B255" s="22">
        <v>45872.464701354169</v>
      </c>
      <c r="C255" s="21" t="s">
        <v>183</v>
      </c>
      <c r="D255" s="21" t="s">
        <v>183</v>
      </c>
      <c r="E255" s="21" t="s">
        <v>183</v>
      </c>
      <c r="F255" s="21" t="s">
        <v>183</v>
      </c>
      <c r="G255" s="21" t="s">
        <v>93</v>
      </c>
      <c r="H255" s="21" t="s">
        <v>2378</v>
      </c>
      <c r="I255" s="21" t="s">
        <v>367</v>
      </c>
      <c r="J255" s="21" t="s">
        <v>2379</v>
      </c>
      <c r="K255" s="21" t="e">
        <f t="shared" ca="1" si="0"/>
        <v>#NAME?</v>
      </c>
      <c r="L255" s="24">
        <v>2002</v>
      </c>
      <c r="M255" s="21">
        <v>2018</v>
      </c>
      <c r="N255" s="21" t="s">
        <v>315</v>
      </c>
      <c r="O255" s="21" t="s">
        <v>316</v>
      </c>
      <c r="P255" s="26">
        <v>7328419201</v>
      </c>
      <c r="Q255" s="26" t="e">
        <f t="shared" ca="1" si="1"/>
        <v>#NAME?</v>
      </c>
      <c r="R255" s="21" t="s">
        <v>1324</v>
      </c>
      <c r="S255" s="21" t="s">
        <v>2380</v>
      </c>
      <c r="T255" s="21" t="s">
        <v>2381</v>
      </c>
      <c r="U255" s="21" t="s">
        <v>2382</v>
      </c>
      <c r="V255" s="21" t="s">
        <v>2382</v>
      </c>
      <c r="W255" s="21" t="s">
        <v>2383</v>
      </c>
      <c r="X255" s="21" t="s">
        <v>308</v>
      </c>
      <c r="Y255" s="21" t="s">
        <v>406</v>
      </c>
      <c r="Z255" s="21" t="s">
        <v>127</v>
      </c>
      <c r="AA255" s="21" t="s">
        <v>2384</v>
      </c>
      <c r="AB255" s="21" t="s">
        <v>129</v>
      </c>
      <c r="AC255" s="21" t="s">
        <v>2385</v>
      </c>
      <c r="AD255" s="21" t="s">
        <v>132</v>
      </c>
      <c r="AE255" s="21" t="s">
        <v>133</v>
      </c>
      <c r="AF255" s="21" t="s">
        <v>135</v>
      </c>
      <c r="AG255" s="21" t="s">
        <v>135</v>
      </c>
      <c r="AH255" s="21" t="s">
        <v>135</v>
      </c>
      <c r="AI255" s="21" t="s">
        <v>135</v>
      </c>
    </row>
    <row r="256" spans="1:36" ht="15.75" customHeight="1" x14ac:dyDescent="0.3">
      <c r="A256" s="21">
        <v>2025</v>
      </c>
      <c r="B256" s="22">
        <v>45872.909265671296</v>
      </c>
      <c r="C256" s="21" t="s">
        <v>183</v>
      </c>
      <c r="D256" s="21" t="s">
        <v>183</v>
      </c>
      <c r="E256" s="21" t="s">
        <v>183</v>
      </c>
      <c r="F256" s="21" t="s">
        <v>183</v>
      </c>
      <c r="G256" s="21" t="s">
        <v>256</v>
      </c>
      <c r="H256" s="21" t="s">
        <v>2386</v>
      </c>
      <c r="I256" s="21" t="s">
        <v>2387</v>
      </c>
      <c r="J256" s="21" t="s">
        <v>2388</v>
      </c>
      <c r="K256" s="21" t="e">
        <f t="shared" ca="1" si="0"/>
        <v>#NAME?</v>
      </c>
      <c r="L256" s="24">
        <v>2012</v>
      </c>
      <c r="M256" s="21">
        <v>2021</v>
      </c>
      <c r="N256" s="21" t="s">
        <v>474</v>
      </c>
      <c r="O256" s="21" t="s">
        <v>316</v>
      </c>
      <c r="P256" s="26">
        <v>3122598884</v>
      </c>
      <c r="Q256" s="26" t="e">
        <f t="shared" ca="1" si="1"/>
        <v>#NAME?</v>
      </c>
      <c r="R256" s="21" t="s">
        <v>2389</v>
      </c>
      <c r="S256" s="21" t="s">
        <v>2390</v>
      </c>
      <c r="T256" s="21" t="s">
        <v>2390</v>
      </c>
      <c r="U256" s="21" t="s">
        <v>2391</v>
      </c>
      <c r="V256" s="21" t="s">
        <v>2391</v>
      </c>
      <c r="W256" s="21" t="s">
        <v>2392</v>
      </c>
      <c r="X256" s="21" t="s">
        <v>2393</v>
      </c>
      <c r="Y256" s="21" t="s">
        <v>2393</v>
      </c>
      <c r="Z256" s="21" t="s">
        <v>2394</v>
      </c>
      <c r="AA256" s="21" t="s">
        <v>2395</v>
      </c>
      <c r="AB256" s="21" t="s">
        <v>269</v>
      </c>
      <c r="AC256" s="21" t="s">
        <v>2396</v>
      </c>
      <c r="AD256" s="21" t="s">
        <v>169</v>
      </c>
      <c r="AE256" s="21" t="s">
        <v>133</v>
      </c>
      <c r="AF256" s="21" t="s">
        <v>135</v>
      </c>
      <c r="AG256" s="21" t="s">
        <v>135</v>
      </c>
      <c r="AH256" s="21" t="s">
        <v>135</v>
      </c>
      <c r="AI256" s="21" t="s">
        <v>135</v>
      </c>
      <c r="AJ256" s="21" t="s">
        <v>2397</v>
      </c>
    </row>
    <row r="257" spans="1:36" ht="15.75" customHeight="1" x14ac:dyDescent="0.3">
      <c r="A257" s="21">
        <v>2025</v>
      </c>
      <c r="B257" s="22">
        <v>45872.913932037038</v>
      </c>
      <c r="C257" s="21" t="s">
        <v>183</v>
      </c>
      <c r="D257" s="21" t="s">
        <v>183</v>
      </c>
      <c r="E257" s="21" t="s">
        <v>183</v>
      </c>
      <c r="F257" s="21" t="s">
        <v>183</v>
      </c>
      <c r="G257" s="21" t="s">
        <v>93</v>
      </c>
      <c r="H257" s="21" t="s">
        <v>2386</v>
      </c>
      <c r="I257" s="21" t="s">
        <v>2387</v>
      </c>
      <c r="J257" s="21" t="s">
        <v>2398</v>
      </c>
      <c r="K257" s="21" t="e">
        <f t="shared" ref="K257:K511" ca="1" si="2">_xludf.TEXTJOIN(" ",TRUE,I257:J257)</f>
        <v>#NAME?</v>
      </c>
      <c r="L257" s="24">
        <v>2009</v>
      </c>
      <c r="M257" s="21">
        <v>2019</v>
      </c>
      <c r="N257" s="21" t="s">
        <v>474</v>
      </c>
      <c r="O257" s="21" t="s">
        <v>316</v>
      </c>
      <c r="P257" s="26">
        <v>3122598884</v>
      </c>
      <c r="Q257" s="26" t="e">
        <f t="shared" ca="1" si="1"/>
        <v>#NAME?</v>
      </c>
      <c r="R257" s="21" t="s">
        <v>2389</v>
      </c>
      <c r="S257" s="21" t="s">
        <v>2399</v>
      </c>
      <c r="T257" s="21" t="s">
        <v>2400</v>
      </c>
      <c r="U257" s="21" t="s">
        <v>2401</v>
      </c>
      <c r="V257" s="21" t="s">
        <v>2401</v>
      </c>
      <c r="W257" s="21" t="s">
        <v>884</v>
      </c>
      <c r="X257" s="21" t="s">
        <v>2402</v>
      </c>
      <c r="Y257" s="21" t="s">
        <v>2403</v>
      </c>
      <c r="Z257" s="21" t="s">
        <v>2394</v>
      </c>
      <c r="AA257" s="21" t="s">
        <v>2404</v>
      </c>
      <c r="AB257" s="21" t="s">
        <v>269</v>
      </c>
      <c r="AC257" s="21" t="s">
        <v>2405</v>
      </c>
      <c r="AD257" s="21" t="s">
        <v>169</v>
      </c>
      <c r="AE257" s="21" t="s">
        <v>133</v>
      </c>
      <c r="AF257" s="21" t="s">
        <v>135</v>
      </c>
      <c r="AG257" s="21" t="s">
        <v>135</v>
      </c>
      <c r="AH257" s="21" t="s">
        <v>135</v>
      </c>
      <c r="AI257" s="21" t="s">
        <v>135</v>
      </c>
      <c r="AJ257" s="21" t="s">
        <v>2406</v>
      </c>
    </row>
    <row r="258" spans="1:36" ht="15.75" customHeight="1" x14ac:dyDescent="0.3">
      <c r="A258" s="21">
        <v>2025</v>
      </c>
      <c r="B258" s="22">
        <v>45873.201254942134</v>
      </c>
      <c r="C258" s="21" t="s">
        <v>183</v>
      </c>
      <c r="D258" s="21" t="s">
        <v>183</v>
      </c>
      <c r="E258" s="21" t="s">
        <v>183</v>
      </c>
      <c r="F258" s="21" t="s">
        <v>183</v>
      </c>
      <c r="G258" s="21" t="s">
        <v>93</v>
      </c>
      <c r="H258" s="21" t="s">
        <v>2407</v>
      </c>
      <c r="I258" s="21" t="s">
        <v>143</v>
      </c>
      <c r="J258" s="21" t="s">
        <v>862</v>
      </c>
      <c r="K258" s="21" t="e">
        <f t="shared" ca="1" si="2"/>
        <v>#NAME?</v>
      </c>
      <c r="L258" s="24">
        <v>1981</v>
      </c>
      <c r="M258" s="21">
        <v>2007</v>
      </c>
      <c r="N258" s="21" t="s">
        <v>111</v>
      </c>
      <c r="O258" s="21" t="s">
        <v>112</v>
      </c>
      <c r="P258" s="26">
        <v>9704614600</v>
      </c>
      <c r="Q258" s="26" t="e">
        <f t="shared" ref="Q258:Q512" ca="1" si="3">P258&amp;"/"&amp;L258&amp;"/"&amp;K258</f>
        <v>#NAME?</v>
      </c>
      <c r="R258" s="21" t="s">
        <v>188</v>
      </c>
      <c r="S258" s="21" t="s">
        <v>2408</v>
      </c>
      <c r="T258" s="21" t="s">
        <v>2408</v>
      </c>
      <c r="U258" s="21" t="s">
        <v>2409</v>
      </c>
      <c r="V258" s="21" t="s">
        <v>2409</v>
      </c>
      <c r="W258" s="21" t="s">
        <v>219</v>
      </c>
      <c r="X258" s="21" t="s">
        <v>308</v>
      </c>
      <c r="Y258" s="21" t="s">
        <v>571</v>
      </c>
      <c r="Z258" s="21" t="s">
        <v>582</v>
      </c>
      <c r="AA258" s="21" t="s">
        <v>818</v>
      </c>
      <c r="AB258" s="21" t="s">
        <v>129</v>
      </c>
      <c r="AC258" s="21" t="s">
        <v>2410</v>
      </c>
      <c r="AD258" s="21" t="s">
        <v>287</v>
      </c>
      <c r="AE258" s="21" t="s">
        <v>133</v>
      </c>
      <c r="AF258" s="21" t="s">
        <v>135</v>
      </c>
      <c r="AG258" s="21" t="s">
        <v>135</v>
      </c>
      <c r="AH258" s="21" t="s">
        <v>135</v>
      </c>
      <c r="AI258" s="21" t="s">
        <v>135</v>
      </c>
    </row>
    <row r="259" spans="1:36" ht="15.75" customHeight="1" x14ac:dyDescent="0.3">
      <c r="A259" s="21">
        <v>2025</v>
      </c>
      <c r="B259" s="22">
        <v>45873.326148402775</v>
      </c>
      <c r="C259" s="21" t="s">
        <v>183</v>
      </c>
      <c r="D259" s="21" t="s">
        <v>183</v>
      </c>
      <c r="E259" s="21" t="s">
        <v>183</v>
      </c>
      <c r="F259" s="21" t="s">
        <v>2411</v>
      </c>
      <c r="G259" s="21" t="s">
        <v>256</v>
      </c>
      <c r="H259" s="21" t="s">
        <v>2412</v>
      </c>
      <c r="I259" s="21" t="s">
        <v>2413</v>
      </c>
      <c r="J259" s="21" t="s">
        <v>1296</v>
      </c>
      <c r="K259" s="21" t="e">
        <f t="shared" ca="1" si="2"/>
        <v>#NAME?</v>
      </c>
      <c r="L259" s="24">
        <v>2011</v>
      </c>
      <c r="M259" s="21">
        <v>2022</v>
      </c>
      <c r="N259" s="21" t="s">
        <v>111</v>
      </c>
      <c r="O259" s="21" t="s">
        <v>112</v>
      </c>
      <c r="P259" s="26">
        <v>7396771875</v>
      </c>
      <c r="Q259" s="26" t="e">
        <f t="shared" ca="1" si="3"/>
        <v>#NAME?</v>
      </c>
      <c r="R259" s="21" t="s">
        <v>118</v>
      </c>
      <c r="S259" s="21" t="s">
        <v>296</v>
      </c>
      <c r="T259" s="21" t="s">
        <v>296</v>
      </c>
      <c r="U259" s="21" t="s">
        <v>2414</v>
      </c>
      <c r="V259" s="21" t="s">
        <v>2414</v>
      </c>
      <c r="W259" s="21" t="s">
        <v>191</v>
      </c>
      <c r="X259" s="21" t="s">
        <v>178</v>
      </c>
      <c r="Y259" s="21" t="s">
        <v>178</v>
      </c>
      <c r="Z259" s="21" t="s">
        <v>2415</v>
      </c>
      <c r="AA259" s="21" t="s">
        <v>2416</v>
      </c>
      <c r="AB259" s="21" t="s">
        <v>129</v>
      </c>
      <c r="AC259" s="21" t="s">
        <v>2417</v>
      </c>
      <c r="AD259" s="21" t="s">
        <v>287</v>
      </c>
      <c r="AE259" s="21" t="s">
        <v>133</v>
      </c>
      <c r="AF259" s="21" t="s">
        <v>135</v>
      </c>
      <c r="AG259" s="21" t="s">
        <v>135</v>
      </c>
      <c r="AH259" s="21" t="s">
        <v>135</v>
      </c>
      <c r="AI259" s="21" t="s">
        <v>135</v>
      </c>
      <c r="AJ259" s="21" t="s">
        <v>2418</v>
      </c>
    </row>
    <row r="260" spans="1:36" ht="15.75" customHeight="1" x14ac:dyDescent="0.3">
      <c r="A260" s="21">
        <v>2025</v>
      </c>
      <c r="B260" s="22">
        <v>45873.679205474538</v>
      </c>
      <c r="C260" s="21" t="s">
        <v>183</v>
      </c>
      <c r="D260" s="21" t="s">
        <v>183</v>
      </c>
      <c r="E260" s="21" t="s">
        <v>183</v>
      </c>
      <c r="F260" s="21" t="s">
        <v>183</v>
      </c>
      <c r="G260" s="21" t="s">
        <v>93</v>
      </c>
      <c r="H260" s="21" t="s">
        <v>2419</v>
      </c>
      <c r="I260" s="21" t="s">
        <v>2420</v>
      </c>
      <c r="J260" s="21" t="s">
        <v>2421</v>
      </c>
      <c r="K260" s="21" t="e">
        <f t="shared" ca="1" si="2"/>
        <v>#NAME?</v>
      </c>
      <c r="L260" s="24">
        <v>1958</v>
      </c>
      <c r="M260" s="21">
        <v>30</v>
      </c>
      <c r="N260" s="21" t="s">
        <v>111</v>
      </c>
      <c r="O260" s="21" t="s">
        <v>112</v>
      </c>
      <c r="P260" s="26">
        <v>9959455005</v>
      </c>
      <c r="Q260" s="26" t="e">
        <f t="shared" ca="1" si="3"/>
        <v>#NAME?</v>
      </c>
      <c r="R260" s="21" t="s">
        <v>485</v>
      </c>
      <c r="S260" s="21" t="s">
        <v>2422</v>
      </c>
      <c r="T260" s="21" t="s">
        <v>2422</v>
      </c>
      <c r="U260" s="21" t="s">
        <v>2423</v>
      </c>
      <c r="V260" s="21" t="s">
        <v>2423</v>
      </c>
      <c r="W260" s="21" t="s">
        <v>307</v>
      </c>
      <c r="X260" s="21" t="s">
        <v>478</v>
      </c>
      <c r="Y260" s="21" t="s">
        <v>478</v>
      </c>
      <c r="Z260" s="21" t="s">
        <v>284</v>
      </c>
      <c r="AA260" s="21" t="s">
        <v>2424</v>
      </c>
      <c r="AB260" s="21" t="s">
        <v>129</v>
      </c>
      <c r="AC260" s="21" t="s">
        <v>2425</v>
      </c>
      <c r="AD260" s="21" t="s">
        <v>287</v>
      </c>
      <c r="AE260" s="21" t="s">
        <v>133</v>
      </c>
      <c r="AF260" s="21" t="s">
        <v>135</v>
      </c>
      <c r="AG260" s="21" t="s">
        <v>135</v>
      </c>
      <c r="AH260" s="21" t="s">
        <v>135</v>
      </c>
      <c r="AI260" s="21" t="s">
        <v>135</v>
      </c>
      <c r="AJ260" s="21" t="s">
        <v>2426</v>
      </c>
    </row>
    <row r="261" spans="1:36" ht="15.75" customHeight="1" x14ac:dyDescent="0.3">
      <c r="A261" s="21">
        <v>2025</v>
      </c>
      <c r="B261" s="22">
        <v>45874.485837384258</v>
      </c>
      <c r="C261" s="21" t="s">
        <v>183</v>
      </c>
      <c r="D261" s="21" t="s">
        <v>183</v>
      </c>
      <c r="E261" s="21" t="s">
        <v>183</v>
      </c>
      <c r="F261" s="21" t="s">
        <v>183</v>
      </c>
      <c r="G261" s="21" t="s">
        <v>256</v>
      </c>
      <c r="H261" s="21" t="s">
        <v>2427</v>
      </c>
      <c r="I261" s="21" t="s">
        <v>370</v>
      </c>
      <c r="J261" s="21" t="s">
        <v>371</v>
      </c>
      <c r="K261" s="21" t="e">
        <f t="shared" ca="1" si="2"/>
        <v>#NAME?</v>
      </c>
      <c r="L261" s="24">
        <v>2018</v>
      </c>
      <c r="M261" s="21">
        <v>2025</v>
      </c>
      <c r="N261" s="21" t="s">
        <v>111</v>
      </c>
      <c r="O261" s="21" t="s">
        <v>112</v>
      </c>
      <c r="P261" s="26">
        <v>9885600552</v>
      </c>
      <c r="Q261" s="26" t="e">
        <f t="shared" ca="1" si="3"/>
        <v>#NAME?</v>
      </c>
      <c r="R261" s="21" t="s">
        <v>118</v>
      </c>
      <c r="S261" s="21" t="s">
        <v>2428</v>
      </c>
      <c r="T261" s="21" t="s">
        <v>2429</v>
      </c>
      <c r="U261" s="21" t="s">
        <v>2430</v>
      </c>
      <c r="V261" s="21" t="s">
        <v>2430</v>
      </c>
      <c r="W261" s="21" t="s">
        <v>394</v>
      </c>
      <c r="X261" s="21" t="s">
        <v>707</v>
      </c>
      <c r="Y261" s="21" t="s">
        <v>406</v>
      </c>
      <c r="Z261" s="21" t="s">
        <v>2432</v>
      </c>
      <c r="AA261" s="21" t="s">
        <v>2434</v>
      </c>
      <c r="AB261" s="21" t="s">
        <v>269</v>
      </c>
      <c r="AC261" s="21" t="s">
        <v>2435</v>
      </c>
      <c r="AD261" s="21" t="s">
        <v>132</v>
      </c>
      <c r="AE261" s="21" t="s">
        <v>133</v>
      </c>
      <c r="AF261" s="21" t="s">
        <v>135</v>
      </c>
      <c r="AG261" s="21" t="s">
        <v>135</v>
      </c>
      <c r="AH261" s="21" t="s">
        <v>135</v>
      </c>
      <c r="AI261" s="21" t="s">
        <v>135</v>
      </c>
    </row>
    <row r="262" spans="1:36" ht="15.75" customHeight="1" x14ac:dyDescent="0.3">
      <c r="A262" s="21">
        <v>2025</v>
      </c>
      <c r="B262" s="22">
        <v>45875.24578809028</v>
      </c>
      <c r="C262" s="21" t="s">
        <v>183</v>
      </c>
      <c r="D262" s="21" t="s">
        <v>183</v>
      </c>
      <c r="E262" s="21" t="s">
        <v>183</v>
      </c>
      <c r="F262" s="21" t="s">
        <v>183</v>
      </c>
      <c r="G262" s="21" t="s">
        <v>93</v>
      </c>
      <c r="H262" s="21" t="s">
        <v>2436</v>
      </c>
      <c r="I262" s="21" t="s">
        <v>2437</v>
      </c>
      <c r="J262" s="138" t="s">
        <v>2438</v>
      </c>
      <c r="K262" s="21" t="e">
        <f t="shared" ca="1" si="2"/>
        <v>#NAME?</v>
      </c>
      <c r="L262" s="24">
        <v>1986</v>
      </c>
      <c r="M262" s="21">
        <v>2002</v>
      </c>
      <c r="N262" s="21" t="s">
        <v>111</v>
      </c>
      <c r="O262" s="21" t="s">
        <v>112</v>
      </c>
      <c r="P262" s="26">
        <v>9989741993</v>
      </c>
      <c r="Q262" s="26" t="e">
        <f t="shared" ca="1" si="3"/>
        <v>#NAME?</v>
      </c>
      <c r="R262" s="21" t="s">
        <v>118</v>
      </c>
      <c r="S262" s="21" t="s">
        <v>2439</v>
      </c>
      <c r="T262" s="21">
        <v>9849639880</v>
      </c>
      <c r="U262" s="21" t="s">
        <v>2440</v>
      </c>
      <c r="V262" s="21" t="s">
        <v>2441</v>
      </c>
      <c r="W262" s="21" t="s">
        <v>951</v>
      </c>
      <c r="X262" s="21" t="s">
        <v>581</v>
      </c>
      <c r="Y262" s="21" t="s">
        <v>2442</v>
      </c>
      <c r="Z262" s="21" t="s">
        <v>2443</v>
      </c>
      <c r="AA262" s="21" t="s">
        <v>2444</v>
      </c>
      <c r="AB262" s="21" t="s">
        <v>129</v>
      </c>
      <c r="AC262" s="21" t="s">
        <v>2445</v>
      </c>
      <c r="AD262" s="21" t="s">
        <v>132</v>
      </c>
      <c r="AE262" s="21" t="s">
        <v>133</v>
      </c>
      <c r="AF262" s="21" t="s">
        <v>135</v>
      </c>
      <c r="AG262" s="21" t="s">
        <v>135</v>
      </c>
      <c r="AH262" s="21" t="s">
        <v>135</v>
      </c>
      <c r="AI262" s="21" t="s">
        <v>135</v>
      </c>
    </row>
    <row r="263" spans="1:36" ht="15.75" customHeight="1" x14ac:dyDescent="0.3">
      <c r="A263" s="21">
        <v>2025</v>
      </c>
      <c r="B263" s="22">
        <v>45875.390565254631</v>
      </c>
      <c r="C263" s="21" t="s">
        <v>183</v>
      </c>
      <c r="D263" s="21" t="s">
        <v>183</v>
      </c>
      <c r="E263" s="21" t="s">
        <v>183</v>
      </c>
      <c r="F263" s="21" t="s">
        <v>183</v>
      </c>
      <c r="G263" s="21" t="s">
        <v>256</v>
      </c>
      <c r="H263" s="21" t="s">
        <v>2446</v>
      </c>
      <c r="I263" s="21" t="s">
        <v>531</v>
      </c>
      <c r="J263" s="21" t="s">
        <v>2447</v>
      </c>
      <c r="K263" s="21" t="e">
        <f t="shared" ca="1" si="2"/>
        <v>#NAME?</v>
      </c>
      <c r="L263" s="24">
        <v>2015</v>
      </c>
      <c r="M263" s="21">
        <v>2025</v>
      </c>
      <c r="N263" s="21" t="s">
        <v>315</v>
      </c>
      <c r="O263" s="21" t="s">
        <v>316</v>
      </c>
      <c r="P263" s="26">
        <v>2066587733</v>
      </c>
      <c r="Q263" s="26" t="e">
        <f t="shared" ca="1" si="3"/>
        <v>#NAME?</v>
      </c>
      <c r="R263" s="21" t="s">
        <v>1501</v>
      </c>
      <c r="S263" s="21" t="s">
        <v>2448</v>
      </c>
      <c r="T263" s="21">
        <v>5125992999</v>
      </c>
      <c r="U263" s="21" t="s">
        <v>127</v>
      </c>
      <c r="V263" s="21" t="s">
        <v>2449</v>
      </c>
      <c r="W263" s="21" t="s">
        <v>307</v>
      </c>
      <c r="X263" s="21" t="s">
        <v>308</v>
      </c>
      <c r="Y263" s="21" t="s">
        <v>571</v>
      </c>
      <c r="Z263" s="21" t="s">
        <v>2450</v>
      </c>
      <c r="AA263" s="21" t="s">
        <v>396</v>
      </c>
      <c r="AB263" s="21" t="s">
        <v>269</v>
      </c>
      <c r="AC263" s="21" t="s">
        <v>2451</v>
      </c>
      <c r="AD263" s="21" t="s">
        <v>132</v>
      </c>
      <c r="AE263" s="21" t="s">
        <v>133</v>
      </c>
      <c r="AF263" s="21" t="s">
        <v>135</v>
      </c>
      <c r="AG263" s="21" t="s">
        <v>135</v>
      </c>
      <c r="AH263" s="21" t="s">
        <v>135</v>
      </c>
      <c r="AI263" s="21" t="s">
        <v>135</v>
      </c>
    </row>
    <row r="264" spans="1:36" ht="15.75" customHeight="1" x14ac:dyDescent="0.3">
      <c r="A264" s="21">
        <v>2025</v>
      </c>
      <c r="B264" s="22">
        <v>45876.298858287038</v>
      </c>
      <c r="C264" s="21" t="s">
        <v>183</v>
      </c>
      <c r="D264" s="21" t="s">
        <v>183</v>
      </c>
      <c r="E264" s="21" t="s">
        <v>183</v>
      </c>
      <c r="F264" s="21" t="s">
        <v>183</v>
      </c>
      <c r="G264" s="21" t="s">
        <v>93</v>
      </c>
      <c r="H264" s="21" t="s">
        <v>2452</v>
      </c>
      <c r="I264" s="21" t="s">
        <v>2453</v>
      </c>
      <c r="J264" s="21" t="s">
        <v>2454</v>
      </c>
      <c r="K264" s="21" t="e">
        <f t="shared" ca="1" si="2"/>
        <v>#NAME?</v>
      </c>
      <c r="L264" s="24">
        <v>1985</v>
      </c>
      <c r="M264" s="21">
        <v>2003</v>
      </c>
      <c r="N264" s="21" t="s">
        <v>111</v>
      </c>
      <c r="O264" s="21" t="s">
        <v>112</v>
      </c>
      <c r="P264" s="26">
        <v>9966052462</v>
      </c>
      <c r="Q264" s="26" t="e">
        <f t="shared" ca="1" si="3"/>
        <v>#NAME?</v>
      </c>
      <c r="R264" s="21" t="s">
        <v>188</v>
      </c>
      <c r="S264" s="21" t="s">
        <v>2455</v>
      </c>
      <c r="T264" s="21">
        <v>9441975657</v>
      </c>
      <c r="U264" s="21" t="s">
        <v>127</v>
      </c>
      <c r="V264" s="21" t="s">
        <v>2456</v>
      </c>
      <c r="W264" s="21" t="s">
        <v>219</v>
      </c>
      <c r="X264" s="21" t="s">
        <v>308</v>
      </c>
      <c r="Y264" s="21" t="s">
        <v>536</v>
      </c>
      <c r="Z264" s="21" t="s">
        <v>127</v>
      </c>
      <c r="AA264" s="21" t="s">
        <v>2457</v>
      </c>
      <c r="AB264" s="21" t="s">
        <v>129</v>
      </c>
      <c r="AC264" s="21" t="s">
        <v>2458</v>
      </c>
      <c r="AD264" s="21" t="s">
        <v>132</v>
      </c>
      <c r="AE264" s="21" t="s">
        <v>133</v>
      </c>
      <c r="AF264" s="21" t="s">
        <v>135</v>
      </c>
      <c r="AG264" s="21" t="s">
        <v>135</v>
      </c>
      <c r="AH264" s="21" t="s">
        <v>135</v>
      </c>
      <c r="AI264" s="21" t="s">
        <v>135</v>
      </c>
      <c r="AJ264" s="21" t="s">
        <v>2459</v>
      </c>
    </row>
    <row r="265" spans="1:36" ht="15.75" customHeight="1" x14ac:dyDescent="0.3">
      <c r="A265" s="21">
        <v>2025</v>
      </c>
      <c r="B265" s="22">
        <v>45877.363698703703</v>
      </c>
      <c r="C265" s="21" t="s">
        <v>183</v>
      </c>
      <c r="D265" s="21" t="s">
        <v>183</v>
      </c>
      <c r="E265" s="21" t="s">
        <v>183</v>
      </c>
      <c r="F265" s="21" t="s">
        <v>183</v>
      </c>
      <c r="G265" s="21" t="s">
        <v>93</v>
      </c>
      <c r="H265" s="21" t="s">
        <v>2446</v>
      </c>
      <c r="I265" s="21" t="s">
        <v>531</v>
      </c>
      <c r="J265" s="21" t="s">
        <v>2460</v>
      </c>
      <c r="K265" s="21" t="e">
        <f t="shared" ca="1" si="2"/>
        <v>#NAME?</v>
      </c>
      <c r="L265" s="24">
        <v>1981</v>
      </c>
      <c r="M265" s="21">
        <v>2007</v>
      </c>
      <c r="N265" s="21" t="s">
        <v>315</v>
      </c>
      <c r="O265" s="21" t="s">
        <v>316</v>
      </c>
      <c r="P265" s="26">
        <v>2066587733</v>
      </c>
      <c r="Q265" s="26" t="e">
        <f t="shared" ca="1" si="3"/>
        <v>#NAME?</v>
      </c>
      <c r="R265" s="21" t="s">
        <v>2461</v>
      </c>
      <c r="S265" s="21" t="s">
        <v>2448</v>
      </c>
      <c r="T265" s="21">
        <v>5125992999</v>
      </c>
      <c r="U265" s="21" t="s">
        <v>2462</v>
      </c>
      <c r="V265" s="21" t="s">
        <v>127</v>
      </c>
      <c r="W265" s="21" t="s">
        <v>951</v>
      </c>
      <c r="X265" s="21" t="s">
        <v>2463</v>
      </c>
      <c r="Y265" s="21" t="s">
        <v>2463</v>
      </c>
      <c r="Z265" s="21" t="s">
        <v>127</v>
      </c>
      <c r="AA265" s="21" t="s">
        <v>2464</v>
      </c>
      <c r="AB265" s="21" t="s">
        <v>129</v>
      </c>
      <c r="AC265" s="21" t="s">
        <v>2465</v>
      </c>
      <c r="AD265" s="21" t="s">
        <v>132</v>
      </c>
      <c r="AE265" s="21" t="s">
        <v>133</v>
      </c>
      <c r="AF265" s="21" t="s">
        <v>135</v>
      </c>
      <c r="AG265" s="21" t="s">
        <v>135</v>
      </c>
      <c r="AH265" s="21" t="s">
        <v>135</v>
      </c>
      <c r="AI265" s="21" t="s">
        <v>135</v>
      </c>
    </row>
    <row r="266" spans="1:36" ht="15.75" customHeight="1" x14ac:dyDescent="0.3">
      <c r="A266" s="21">
        <v>2025</v>
      </c>
      <c r="B266" s="22">
        <v>45877.425720393519</v>
      </c>
      <c r="C266" s="21" t="s">
        <v>183</v>
      </c>
      <c r="D266" s="21" t="s">
        <v>183</v>
      </c>
      <c r="E266" s="21" t="s">
        <v>183</v>
      </c>
      <c r="F266" s="21" t="s">
        <v>183</v>
      </c>
      <c r="G266" s="21" t="s">
        <v>93</v>
      </c>
      <c r="H266" s="21" t="s">
        <v>2466</v>
      </c>
      <c r="I266" s="21" t="s">
        <v>1524</v>
      </c>
      <c r="J266" s="21" t="s">
        <v>2467</v>
      </c>
      <c r="K266" s="21" t="e">
        <f t="shared" ca="1" si="2"/>
        <v>#NAME?</v>
      </c>
      <c r="L266" s="24">
        <v>1975</v>
      </c>
      <c r="M266" s="21">
        <v>2008</v>
      </c>
      <c r="N266" s="21" t="s">
        <v>111</v>
      </c>
      <c r="O266" s="21" t="s">
        <v>112</v>
      </c>
      <c r="P266" s="26">
        <v>9618884192</v>
      </c>
      <c r="Q266" s="26" t="e">
        <f t="shared" ca="1" si="3"/>
        <v>#NAME?</v>
      </c>
      <c r="R266" s="21" t="s">
        <v>118</v>
      </c>
      <c r="S266" s="21" t="s">
        <v>2468</v>
      </c>
      <c r="T266" s="21" t="s">
        <v>2469</v>
      </c>
      <c r="U266" s="21" t="s">
        <v>2470</v>
      </c>
      <c r="V266" s="21" t="s">
        <v>284</v>
      </c>
      <c r="W266" s="21" t="s">
        <v>706</v>
      </c>
      <c r="X266" s="21" t="s">
        <v>467</v>
      </c>
      <c r="Y266" s="21" t="s">
        <v>536</v>
      </c>
      <c r="Z266" s="21" t="s">
        <v>284</v>
      </c>
      <c r="AA266" s="21" t="s">
        <v>2471</v>
      </c>
      <c r="AB266" s="21" t="s">
        <v>129</v>
      </c>
      <c r="AC266" s="21" t="s">
        <v>2472</v>
      </c>
      <c r="AD266" s="21" t="s">
        <v>132</v>
      </c>
      <c r="AE266" s="21" t="s">
        <v>133</v>
      </c>
      <c r="AF266" s="21" t="s">
        <v>135</v>
      </c>
      <c r="AG266" s="21" t="s">
        <v>135</v>
      </c>
      <c r="AH266" s="21" t="s">
        <v>135</v>
      </c>
      <c r="AI266" s="21" t="s">
        <v>135</v>
      </c>
      <c r="AJ266" s="21" t="s">
        <v>2473</v>
      </c>
    </row>
    <row r="267" spans="1:36" ht="15.75" customHeight="1" x14ac:dyDescent="0.3">
      <c r="A267" s="21">
        <v>2025</v>
      </c>
      <c r="B267" s="22">
        <v>45877.530548657407</v>
      </c>
      <c r="C267" s="21" t="s">
        <v>183</v>
      </c>
      <c r="D267" s="21" t="s">
        <v>183</v>
      </c>
      <c r="E267" s="21" t="s">
        <v>183</v>
      </c>
      <c r="F267" s="21" t="s">
        <v>183</v>
      </c>
      <c r="G267" s="21" t="s">
        <v>93</v>
      </c>
      <c r="H267" s="21" t="s">
        <v>2474</v>
      </c>
      <c r="I267" s="21" t="s">
        <v>2475</v>
      </c>
      <c r="J267" s="21" t="s">
        <v>2476</v>
      </c>
      <c r="K267" s="21" t="e">
        <f t="shared" ca="1" si="2"/>
        <v>#NAME?</v>
      </c>
      <c r="L267" s="24">
        <v>1958</v>
      </c>
      <c r="M267" s="21">
        <v>1978</v>
      </c>
      <c r="N267" s="21" t="s">
        <v>111</v>
      </c>
      <c r="O267" s="21" t="s">
        <v>112</v>
      </c>
      <c r="P267" s="26">
        <v>9963034201</v>
      </c>
      <c r="Q267" s="26" t="e">
        <f t="shared" ca="1" si="3"/>
        <v>#NAME?</v>
      </c>
      <c r="R267" s="21" t="s">
        <v>2477</v>
      </c>
      <c r="S267" s="21" t="s">
        <v>1859</v>
      </c>
      <c r="T267" s="21">
        <v>9441975657</v>
      </c>
      <c r="U267" s="21" t="s">
        <v>2478</v>
      </c>
      <c r="V267" s="21" t="s">
        <v>2479</v>
      </c>
      <c r="W267" s="21" t="s">
        <v>266</v>
      </c>
      <c r="X267" s="21" t="s">
        <v>581</v>
      </c>
      <c r="Y267" s="21" t="s">
        <v>581</v>
      </c>
      <c r="Z267" s="21" t="s">
        <v>2479</v>
      </c>
      <c r="AA267" s="21" t="s">
        <v>2480</v>
      </c>
      <c r="AB267" s="21" t="s">
        <v>129</v>
      </c>
      <c r="AC267" s="21" t="s">
        <v>2481</v>
      </c>
      <c r="AD267" s="21" t="s">
        <v>132</v>
      </c>
      <c r="AE267" s="21" t="s">
        <v>332</v>
      </c>
      <c r="AF267" s="21" t="s">
        <v>135</v>
      </c>
      <c r="AG267" s="21" t="s">
        <v>135</v>
      </c>
      <c r="AH267" s="21" t="s">
        <v>135</v>
      </c>
      <c r="AI267" s="21" t="s">
        <v>135</v>
      </c>
      <c r="AJ267" s="21" t="s">
        <v>2482</v>
      </c>
    </row>
    <row r="268" spans="1:36" ht="15.75" customHeight="1" x14ac:dyDescent="0.3">
      <c r="A268" s="21">
        <v>2025</v>
      </c>
      <c r="B268" s="22">
        <v>45878.053460821757</v>
      </c>
      <c r="C268" s="21" t="s">
        <v>183</v>
      </c>
      <c r="D268" s="21" t="s">
        <v>183</v>
      </c>
      <c r="E268" s="21" t="s">
        <v>183</v>
      </c>
      <c r="F268" s="21" t="s">
        <v>183</v>
      </c>
      <c r="G268" s="21" t="s">
        <v>93</v>
      </c>
      <c r="H268" s="21" t="s">
        <v>2483</v>
      </c>
      <c r="I268" s="21" t="s">
        <v>2484</v>
      </c>
      <c r="J268" s="21" t="s">
        <v>2485</v>
      </c>
      <c r="K268" s="21" t="e">
        <f t="shared" ca="1" si="2"/>
        <v>#NAME?</v>
      </c>
      <c r="L268" s="24">
        <v>1960</v>
      </c>
      <c r="M268" s="21">
        <v>1978</v>
      </c>
      <c r="N268" s="21" t="s">
        <v>111</v>
      </c>
      <c r="O268" s="21" t="s">
        <v>112</v>
      </c>
      <c r="P268" s="26">
        <v>9440225443</v>
      </c>
      <c r="Q268" s="26" t="e">
        <f t="shared" ca="1" si="3"/>
        <v>#NAME?</v>
      </c>
      <c r="R268" s="21" t="s">
        <v>188</v>
      </c>
      <c r="S268" s="21" t="s">
        <v>2486</v>
      </c>
      <c r="T268" s="21">
        <v>9490988255</v>
      </c>
      <c r="U268" s="21" t="s">
        <v>2487</v>
      </c>
      <c r="V268" s="21" t="s">
        <v>127</v>
      </c>
      <c r="W268" s="21" t="s">
        <v>162</v>
      </c>
      <c r="X268" s="21" t="s">
        <v>1453</v>
      </c>
      <c r="Y268" s="21" t="s">
        <v>1279</v>
      </c>
      <c r="Z268" s="21" t="s">
        <v>284</v>
      </c>
      <c r="AA268" s="21" t="s">
        <v>2488</v>
      </c>
      <c r="AB268" s="21" t="s">
        <v>129</v>
      </c>
      <c r="AC268" s="21" t="s">
        <v>2489</v>
      </c>
      <c r="AD268" s="21" t="s">
        <v>169</v>
      </c>
      <c r="AE268" s="21" t="s">
        <v>133</v>
      </c>
      <c r="AF268" s="21" t="s">
        <v>135</v>
      </c>
      <c r="AG268" s="21" t="s">
        <v>135</v>
      </c>
      <c r="AH268" s="21" t="s">
        <v>135</v>
      </c>
      <c r="AI268" s="21" t="s">
        <v>135</v>
      </c>
      <c r="AJ268" s="21" t="s">
        <v>2490</v>
      </c>
    </row>
    <row r="269" spans="1:36" ht="15.75" customHeight="1" x14ac:dyDescent="0.3">
      <c r="A269" s="21">
        <v>2025</v>
      </c>
      <c r="B269" s="22">
        <v>45878.082215335649</v>
      </c>
      <c r="C269" s="21" t="s">
        <v>183</v>
      </c>
      <c r="D269" s="21" t="s">
        <v>183</v>
      </c>
      <c r="E269" s="21" t="s">
        <v>183</v>
      </c>
      <c r="F269" s="21" t="s">
        <v>183</v>
      </c>
      <c r="G269" s="21" t="s">
        <v>93</v>
      </c>
      <c r="H269" s="21" t="s">
        <v>2491</v>
      </c>
      <c r="I269" s="21" t="s">
        <v>2492</v>
      </c>
      <c r="J269" s="21" t="s">
        <v>2493</v>
      </c>
      <c r="K269" s="21" t="e">
        <f t="shared" ca="1" si="2"/>
        <v>#NAME?</v>
      </c>
      <c r="L269" s="24">
        <v>1990</v>
      </c>
      <c r="M269" s="21">
        <v>2011</v>
      </c>
      <c r="N269" s="21" t="s">
        <v>111</v>
      </c>
      <c r="O269" s="21" t="s">
        <v>112</v>
      </c>
      <c r="P269" s="26">
        <v>8884090003</v>
      </c>
      <c r="Q269" s="26" t="e">
        <f t="shared" ca="1" si="3"/>
        <v>#NAME?</v>
      </c>
      <c r="R269" s="21" t="s">
        <v>551</v>
      </c>
      <c r="S269" s="21" t="s">
        <v>2494</v>
      </c>
      <c r="T269" s="21">
        <v>8074935865</v>
      </c>
      <c r="U269" s="21" t="s">
        <v>2495</v>
      </c>
      <c r="V269" s="21" t="s">
        <v>127</v>
      </c>
      <c r="W269" s="21" t="s">
        <v>307</v>
      </c>
      <c r="X269" s="21" t="s">
        <v>2496</v>
      </c>
      <c r="Y269" s="21" t="s">
        <v>2497</v>
      </c>
      <c r="Z269" s="21" t="s">
        <v>127</v>
      </c>
      <c r="AA269" s="21" t="s">
        <v>285</v>
      </c>
      <c r="AB269" s="21" t="s">
        <v>129</v>
      </c>
      <c r="AC269" s="21" t="s">
        <v>2498</v>
      </c>
      <c r="AD269" s="21" t="s">
        <v>132</v>
      </c>
      <c r="AE269" s="21" t="s">
        <v>133</v>
      </c>
      <c r="AF269" s="21" t="s">
        <v>135</v>
      </c>
      <c r="AG269" s="21" t="s">
        <v>135</v>
      </c>
      <c r="AH269" s="21" t="s">
        <v>135</v>
      </c>
      <c r="AI269" s="21" t="s">
        <v>135</v>
      </c>
    </row>
    <row r="270" spans="1:36" ht="15.75" customHeight="1" x14ac:dyDescent="0.3">
      <c r="A270" s="21">
        <v>2025</v>
      </c>
      <c r="B270" s="22">
        <v>45878.761410659718</v>
      </c>
      <c r="C270" s="21" t="s">
        <v>183</v>
      </c>
      <c r="D270" s="21" t="s">
        <v>183</v>
      </c>
      <c r="E270" s="21" t="s">
        <v>183</v>
      </c>
      <c r="F270" s="21" t="s">
        <v>183</v>
      </c>
      <c r="G270" s="21" t="s">
        <v>93</v>
      </c>
      <c r="H270" s="21" t="s">
        <v>2499</v>
      </c>
      <c r="I270" s="21" t="s">
        <v>2500</v>
      </c>
      <c r="J270" s="21" t="s">
        <v>281</v>
      </c>
      <c r="K270" s="21" t="e">
        <f t="shared" ca="1" si="2"/>
        <v>#NAME?</v>
      </c>
      <c r="L270" s="24">
        <v>1963</v>
      </c>
      <c r="M270" s="21">
        <v>1992</v>
      </c>
      <c r="N270" s="21" t="s">
        <v>260</v>
      </c>
      <c r="O270" s="21" t="s">
        <v>2502</v>
      </c>
      <c r="P270" s="26">
        <v>683024238</v>
      </c>
      <c r="Q270" s="26" t="e">
        <f t="shared" ca="1" si="3"/>
        <v>#NAME?</v>
      </c>
      <c r="R270" s="21" t="s">
        <v>2503</v>
      </c>
      <c r="S270" s="21" t="s">
        <v>2504</v>
      </c>
      <c r="T270" s="21" t="s">
        <v>2505</v>
      </c>
      <c r="U270" s="21" t="s">
        <v>2506</v>
      </c>
      <c r="V270" s="21" t="s">
        <v>127</v>
      </c>
      <c r="W270" s="21" t="s">
        <v>488</v>
      </c>
      <c r="X270" s="21" t="s">
        <v>2507</v>
      </c>
      <c r="Y270" s="21" t="s">
        <v>2508</v>
      </c>
      <c r="Z270" s="21" t="s">
        <v>127</v>
      </c>
      <c r="AA270" s="21" t="s">
        <v>2509</v>
      </c>
      <c r="AB270" s="21" t="s">
        <v>129</v>
      </c>
      <c r="AC270" s="21" t="s">
        <v>2510</v>
      </c>
      <c r="AD270" s="21" t="s">
        <v>287</v>
      </c>
      <c r="AE270" s="21" t="s">
        <v>133</v>
      </c>
      <c r="AF270" s="21" t="s">
        <v>135</v>
      </c>
      <c r="AG270" s="21" t="s">
        <v>135</v>
      </c>
      <c r="AH270" s="21" t="s">
        <v>135</v>
      </c>
      <c r="AI270" s="21" t="s">
        <v>135</v>
      </c>
      <c r="AJ270" s="21" t="s">
        <v>2511</v>
      </c>
    </row>
    <row r="271" spans="1:36" ht="15.75" customHeight="1" x14ac:dyDescent="0.3">
      <c r="A271" s="21">
        <v>2025</v>
      </c>
      <c r="B271" s="22">
        <v>45878.769513460647</v>
      </c>
      <c r="C271" s="21" t="s">
        <v>183</v>
      </c>
      <c r="D271" s="21" t="s">
        <v>183</v>
      </c>
      <c r="E271" s="21" t="s">
        <v>183</v>
      </c>
      <c r="F271" s="21" t="s">
        <v>183</v>
      </c>
      <c r="G271" s="21" t="s">
        <v>93</v>
      </c>
      <c r="H271" s="21" t="s">
        <v>2512</v>
      </c>
      <c r="I271" s="21" t="s">
        <v>2513</v>
      </c>
      <c r="J271" s="21" t="s">
        <v>2514</v>
      </c>
      <c r="K271" s="21" t="e">
        <f t="shared" ca="1" si="2"/>
        <v>#NAME?</v>
      </c>
      <c r="L271" s="24">
        <v>1984</v>
      </c>
      <c r="M271" s="21">
        <v>2015</v>
      </c>
      <c r="N271" s="21" t="s">
        <v>315</v>
      </c>
      <c r="O271" s="21" t="s">
        <v>316</v>
      </c>
      <c r="P271" s="26">
        <v>3467958613</v>
      </c>
      <c r="Q271" s="26" t="e">
        <f t="shared" ca="1" si="3"/>
        <v>#NAME?</v>
      </c>
      <c r="R271" s="21" t="s">
        <v>2515</v>
      </c>
      <c r="S271" s="21" t="s">
        <v>2516</v>
      </c>
      <c r="T271" s="21" t="s">
        <v>2517</v>
      </c>
      <c r="U271" s="21" t="s">
        <v>2518</v>
      </c>
      <c r="V271" s="21" t="s">
        <v>127</v>
      </c>
      <c r="W271" s="21" t="s">
        <v>2519</v>
      </c>
      <c r="X271" s="21" t="s">
        <v>1399</v>
      </c>
      <c r="Y271" s="21" t="s">
        <v>1399</v>
      </c>
      <c r="Z271" s="21" t="s">
        <v>284</v>
      </c>
      <c r="AA271" s="21" t="s">
        <v>818</v>
      </c>
      <c r="AB271" s="21" t="s">
        <v>129</v>
      </c>
      <c r="AC271" s="21" t="s">
        <v>2520</v>
      </c>
      <c r="AD271" s="21" t="s">
        <v>287</v>
      </c>
      <c r="AE271" s="21" t="s">
        <v>133</v>
      </c>
      <c r="AF271" s="21" t="s">
        <v>135</v>
      </c>
      <c r="AG271" s="21" t="s">
        <v>135</v>
      </c>
      <c r="AH271" s="21" t="s">
        <v>135</v>
      </c>
      <c r="AI271" s="21" t="s">
        <v>135</v>
      </c>
    </row>
    <row r="272" spans="1:36" ht="15.75" customHeight="1" x14ac:dyDescent="0.3">
      <c r="A272" s="21">
        <v>2025</v>
      </c>
      <c r="B272" s="22">
        <v>45878.847590844904</v>
      </c>
      <c r="C272" s="21" t="s">
        <v>183</v>
      </c>
      <c r="D272" s="21" t="s">
        <v>183</v>
      </c>
      <c r="E272" s="21" t="s">
        <v>183</v>
      </c>
      <c r="F272" s="21" t="s">
        <v>183</v>
      </c>
      <c r="G272" s="21" t="s">
        <v>93</v>
      </c>
      <c r="H272" s="21" t="s">
        <v>2521</v>
      </c>
      <c r="I272" s="21" t="s">
        <v>2522</v>
      </c>
      <c r="J272" s="21" t="s">
        <v>2523</v>
      </c>
      <c r="K272" s="21" t="e">
        <f t="shared" ca="1" si="2"/>
        <v>#NAME?</v>
      </c>
      <c r="L272" s="24">
        <v>1969</v>
      </c>
      <c r="M272" s="21">
        <v>1990</v>
      </c>
      <c r="N272" s="21" t="s">
        <v>402</v>
      </c>
      <c r="O272" s="21" t="s">
        <v>316</v>
      </c>
      <c r="P272" s="26">
        <v>3144984245</v>
      </c>
      <c r="Q272" s="26" t="e">
        <f t="shared" ca="1" si="3"/>
        <v>#NAME?</v>
      </c>
      <c r="R272" s="21" t="s">
        <v>2524</v>
      </c>
      <c r="S272" s="21" t="s">
        <v>2525</v>
      </c>
      <c r="T272" s="21" t="s">
        <v>2526</v>
      </c>
      <c r="U272" s="21" t="s">
        <v>2527</v>
      </c>
      <c r="V272" s="21" t="s">
        <v>127</v>
      </c>
      <c r="W272" s="21" t="s">
        <v>307</v>
      </c>
      <c r="X272" s="21" t="s">
        <v>211</v>
      </c>
      <c r="Y272" s="21" t="s">
        <v>211</v>
      </c>
      <c r="Z272" s="21" t="s">
        <v>127</v>
      </c>
      <c r="AA272" s="21" t="s">
        <v>2528</v>
      </c>
      <c r="AB272" s="21" t="s">
        <v>129</v>
      </c>
      <c r="AC272" s="21" t="s">
        <v>2529</v>
      </c>
      <c r="AD272" s="21" t="s">
        <v>132</v>
      </c>
      <c r="AE272" s="21" t="s">
        <v>133</v>
      </c>
      <c r="AF272" s="21" t="s">
        <v>135</v>
      </c>
      <c r="AG272" s="21" t="s">
        <v>135</v>
      </c>
      <c r="AH272" s="21" t="s">
        <v>135</v>
      </c>
      <c r="AI272" s="21" t="s">
        <v>135</v>
      </c>
      <c r="AJ272" s="21" t="s">
        <v>2530</v>
      </c>
    </row>
    <row r="273" spans="1:36" ht="15.75" customHeight="1" x14ac:dyDescent="0.3">
      <c r="A273" s="21">
        <v>2025</v>
      </c>
      <c r="B273" s="22">
        <v>45879.406079085646</v>
      </c>
      <c r="C273" s="21" t="s">
        <v>183</v>
      </c>
      <c r="D273" s="21" t="s">
        <v>183</v>
      </c>
      <c r="E273" s="21" t="s">
        <v>183</v>
      </c>
      <c r="F273" s="21" t="s">
        <v>183</v>
      </c>
      <c r="G273" s="21" t="s">
        <v>93</v>
      </c>
      <c r="H273" s="21" t="s">
        <v>2531</v>
      </c>
      <c r="I273" s="21" t="s">
        <v>1843</v>
      </c>
      <c r="J273" s="21" t="s">
        <v>1767</v>
      </c>
      <c r="K273" s="21" t="e">
        <f t="shared" ca="1" si="2"/>
        <v>#NAME?</v>
      </c>
      <c r="L273" s="24">
        <v>1990</v>
      </c>
      <c r="M273" s="21">
        <v>2000</v>
      </c>
      <c r="N273" s="21" t="s">
        <v>111</v>
      </c>
      <c r="O273" s="21" t="s">
        <v>112</v>
      </c>
      <c r="P273" s="26">
        <v>9849274950</v>
      </c>
      <c r="Q273" s="26" t="e">
        <f t="shared" ca="1" si="3"/>
        <v>#NAME?</v>
      </c>
      <c r="R273" s="21" t="s">
        <v>118</v>
      </c>
      <c r="S273" s="21" t="s">
        <v>2532</v>
      </c>
      <c r="T273" s="21">
        <v>9966011130</v>
      </c>
      <c r="U273" s="21" t="s">
        <v>2533</v>
      </c>
      <c r="V273" s="21" t="s">
        <v>296</v>
      </c>
      <c r="W273" s="21" t="s">
        <v>2534</v>
      </c>
      <c r="X273" s="21" t="s">
        <v>178</v>
      </c>
      <c r="Y273" s="21" t="s">
        <v>376</v>
      </c>
      <c r="Z273" s="21" t="s">
        <v>296</v>
      </c>
      <c r="AA273" s="21" t="s">
        <v>285</v>
      </c>
      <c r="AB273" s="21" t="s">
        <v>129</v>
      </c>
      <c r="AC273" s="21" t="s">
        <v>2535</v>
      </c>
      <c r="AD273" s="21" t="s">
        <v>287</v>
      </c>
      <c r="AE273" s="21" t="s">
        <v>133</v>
      </c>
      <c r="AF273" s="21" t="s">
        <v>135</v>
      </c>
      <c r="AG273" s="21" t="s">
        <v>135</v>
      </c>
      <c r="AH273" s="21" t="s">
        <v>135</v>
      </c>
      <c r="AI273" s="21" t="s">
        <v>135</v>
      </c>
    </row>
    <row r="274" spans="1:36" ht="15.75" customHeight="1" x14ac:dyDescent="0.3">
      <c r="A274" s="21">
        <v>2025</v>
      </c>
      <c r="B274" s="22">
        <v>45879.535159722218</v>
      </c>
      <c r="C274" s="21" t="s">
        <v>183</v>
      </c>
      <c r="D274" s="21" t="s">
        <v>183</v>
      </c>
      <c r="E274" s="21" t="s">
        <v>183</v>
      </c>
      <c r="F274" s="21" t="s">
        <v>183</v>
      </c>
      <c r="G274" s="21" t="s">
        <v>93</v>
      </c>
      <c r="H274" s="21" t="s">
        <v>2536</v>
      </c>
      <c r="I274" s="21" t="s">
        <v>2537</v>
      </c>
      <c r="J274" s="21" t="s">
        <v>2538</v>
      </c>
      <c r="K274" s="21" t="e">
        <f t="shared" ca="1" si="2"/>
        <v>#NAME?</v>
      </c>
      <c r="L274" s="24">
        <v>1980</v>
      </c>
      <c r="M274" s="21">
        <v>2001</v>
      </c>
      <c r="N274" s="21" t="s">
        <v>474</v>
      </c>
      <c r="O274" s="21" t="s">
        <v>316</v>
      </c>
      <c r="P274" s="26">
        <v>5035935055</v>
      </c>
      <c r="Q274" s="26" t="e">
        <f t="shared" ca="1" si="3"/>
        <v>#NAME?</v>
      </c>
      <c r="R274" s="21" t="s">
        <v>475</v>
      </c>
      <c r="S274" s="21" t="s">
        <v>2538</v>
      </c>
      <c r="T274" s="21">
        <v>5035935055</v>
      </c>
      <c r="U274" s="21" t="s">
        <v>2539</v>
      </c>
      <c r="V274" s="21" t="s">
        <v>2164</v>
      </c>
      <c r="W274" s="21" t="s">
        <v>328</v>
      </c>
      <c r="X274" s="21" t="s">
        <v>2540</v>
      </c>
      <c r="Y274" s="21" t="s">
        <v>2540</v>
      </c>
      <c r="Z274" s="21" t="s">
        <v>2164</v>
      </c>
      <c r="AA274" s="21" t="s">
        <v>2541</v>
      </c>
      <c r="AB274" s="21" t="s">
        <v>129</v>
      </c>
      <c r="AC274" s="21" t="s">
        <v>2542</v>
      </c>
      <c r="AD274" s="21" t="s">
        <v>169</v>
      </c>
      <c r="AE274" s="21" t="s">
        <v>133</v>
      </c>
      <c r="AF274" s="21" t="s">
        <v>135</v>
      </c>
      <c r="AG274" s="21" t="s">
        <v>135</v>
      </c>
      <c r="AH274" s="21" t="s">
        <v>135</v>
      </c>
      <c r="AI274" s="21" t="s">
        <v>135</v>
      </c>
    </row>
    <row r="275" spans="1:36" ht="15.75" customHeight="1" x14ac:dyDescent="0.3">
      <c r="A275" s="21">
        <v>2025</v>
      </c>
      <c r="B275" s="22">
        <v>45879.960743425923</v>
      </c>
      <c r="C275" s="21" t="s">
        <v>183</v>
      </c>
      <c r="D275" s="21" t="s">
        <v>183</v>
      </c>
      <c r="E275" s="21" t="s">
        <v>183</v>
      </c>
      <c r="F275" s="21" t="s">
        <v>183</v>
      </c>
      <c r="G275" s="21" t="s">
        <v>93</v>
      </c>
      <c r="H275" s="21" t="s">
        <v>2543</v>
      </c>
      <c r="I275" s="21" t="s">
        <v>2544</v>
      </c>
      <c r="J275" s="21" t="s">
        <v>2545</v>
      </c>
      <c r="K275" s="21" t="e">
        <f t="shared" ca="1" si="2"/>
        <v>#NAME?</v>
      </c>
      <c r="L275" s="24">
        <v>1975</v>
      </c>
      <c r="M275" s="21">
        <v>1995</v>
      </c>
      <c r="N275" s="21" t="s">
        <v>111</v>
      </c>
      <c r="O275" s="21" t="s">
        <v>112</v>
      </c>
      <c r="P275" s="26">
        <v>9866368486</v>
      </c>
      <c r="Q275" s="26" t="e">
        <f t="shared" ca="1" si="3"/>
        <v>#NAME?</v>
      </c>
      <c r="R275" s="21" t="s">
        <v>118</v>
      </c>
      <c r="S275" s="21" t="s">
        <v>2546</v>
      </c>
      <c r="T275" s="21">
        <v>9885888814</v>
      </c>
      <c r="U275" s="21" t="s">
        <v>2547</v>
      </c>
      <c r="V275" s="21" t="s">
        <v>582</v>
      </c>
      <c r="W275" s="21" t="s">
        <v>1973</v>
      </c>
      <c r="X275" s="21" t="s">
        <v>630</v>
      </c>
      <c r="Y275" s="21" t="s">
        <v>2548</v>
      </c>
      <c r="Z275" s="21" t="s">
        <v>582</v>
      </c>
      <c r="AA275" s="21" t="s">
        <v>2549</v>
      </c>
      <c r="AB275" s="21" t="s">
        <v>129</v>
      </c>
      <c r="AC275" s="21" t="s">
        <v>2550</v>
      </c>
      <c r="AD275" s="21" t="s">
        <v>132</v>
      </c>
      <c r="AE275" s="21" t="s">
        <v>133</v>
      </c>
      <c r="AF275" s="21" t="s">
        <v>135</v>
      </c>
      <c r="AG275" s="21" t="s">
        <v>135</v>
      </c>
      <c r="AH275" s="21" t="s">
        <v>135</v>
      </c>
      <c r="AI275" s="21" t="s">
        <v>135</v>
      </c>
    </row>
    <row r="276" spans="1:36" ht="15.75" customHeight="1" x14ac:dyDescent="0.3">
      <c r="A276" s="21">
        <v>2025</v>
      </c>
      <c r="B276" s="22">
        <v>45881.415443784717</v>
      </c>
      <c r="C276" s="21" t="s">
        <v>183</v>
      </c>
      <c r="D276" s="21" t="s">
        <v>183</v>
      </c>
      <c r="E276" s="21" t="s">
        <v>183</v>
      </c>
      <c r="F276" s="21" t="s">
        <v>183</v>
      </c>
      <c r="G276" s="21" t="s">
        <v>93</v>
      </c>
      <c r="H276" s="21" t="s">
        <v>2551</v>
      </c>
      <c r="I276" s="21" t="s">
        <v>2552</v>
      </c>
      <c r="J276" s="21" t="s">
        <v>2553</v>
      </c>
      <c r="K276" s="21" t="e">
        <f t="shared" ca="1" si="2"/>
        <v>#NAME?</v>
      </c>
      <c r="L276" s="24">
        <v>1973</v>
      </c>
      <c r="M276" s="21">
        <v>1986</v>
      </c>
      <c r="N276" s="21" t="s">
        <v>111</v>
      </c>
      <c r="O276" s="21" t="s">
        <v>112</v>
      </c>
      <c r="P276" s="26">
        <v>9963855574</v>
      </c>
      <c r="Q276" s="26" t="e">
        <f t="shared" ca="1" si="3"/>
        <v>#NAME?</v>
      </c>
      <c r="R276" s="21" t="s">
        <v>118</v>
      </c>
      <c r="S276" s="21" t="s">
        <v>2554</v>
      </c>
      <c r="T276" s="21">
        <v>9885888814</v>
      </c>
      <c r="U276" s="21" t="s">
        <v>2555</v>
      </c>
      <c r="V276" s="21" t="s">
        <v>1915</v>
      </c>
      <c r="W276" s="21" t="s">
        <v>884</v>
      </c>
      <c r="X276" s="21" t="s">
        <v>581</v>
      </c>
      <c r="Y276" s="21" t="s">
        <v>581</v>
      </c>
      <c r="Z276" s="21" t="s">
        <v>127</v>
      </c>
      <c r="AA276" s="21" t="s">
        <v>2556</v>
      </c>
      <c r="AB276" s="21" t="s">
        <v>129</v>
      </c>
      <c r="AC276" s="21" t="s">
        <v>2557</v>
      </c>
      <c r="AD276" s="21" t="s">
        <v>169</v>
      </c>
      <c r="AE276" s="21" t="s">
        <v>133</v>
      </c>
      <c r="AF276" s="21" t="s">
        <v>135</v>
      </c>
      <c r="AG276" s="21" t="s">
        <v>135</v>
      </c>
      <c r="AH276" s="21" t="s">
        <v>135</v>
      </c>
      <c r="AI276" s="21" t="s">
        <v>135</v>
      </c>
      <c r="AJ276" s="21" t="s">
        <v>2558</v>
      </c>
    </row>
    <row r="277" spans="1:36" ht="15.75" customHeight="1" x14ac:dyDescent="0.3">
      <c r="A277" s="21">
        <v>2025</v>
      </c>
      <c r="B277" s="22">
        <v>45881.477449027778</v>
      </c>
      <c r="C277" s="21" t="s">
        <v>183</v>
      </c>
      <c r="D277" s="21" t="s">
        <v>183</v>
      </c>
      <c r="E277" s="21" t="s">
        <v>183</v>
      </c>
      <c r="F277" s="21" t="s">
        <v>183</v>
      </c>
      <c r="G277" s="21" t="s">
        <v>93</v>
      </c>
      <c r="H277" s="21" t="s">
        <v>2559</v>
      </c>
      <c r="I277" s="21" t="s">
        <v>2522</v>
      </c>
      <c r="J277" s="21" t="s">
        <v>2560</v>
      </c>
      <c r="K277" s="21" t="e">
        <f t="shared" ca="1" si="2"/>
        <v>#NAME?</v>
      </c>
      <c r="L277" s="24">
        <v>1976</v>
      </c>
      <c r="M277" s="21">
        <v>1999</v>
      </c>
      <c r="N277" s="21" t="s">
        <v>474</v>
      </c>
      <c r="O277" s="21" t="s">
        <v>316</v>
      </c>
      <c r="P277" s="26">
        <v>6094685062</v>
      </c>
      <c r="Q277" s="26" t="e">
        <f t="shared" ca="1" si="3"/>
        <v>#NAME?</v>
      </c>
      <c r="R277" s="21" t="s">
        <v>2562</v>
      </c>
      <c r="S277" s="21" t="s">
        <v>2564</v>
      </c>
      <c r="T277" s="21">
        <v>4082014637</v>
      </c>
      <c r="U277" s="21" t="s">
        <v>2565</v>
      </c>
      <c r="V277" s="21" t="s">
        <v>127</v>
      </c>
      <c r="W277" s="21" t="s">
        <v>328</v>
      </c>
      <c r="X277" s="21" t="s">
        <v>1136</v>
      </c>
      <c r="Y277" s="21" t="s">
        <v>2566</v>
      </c>
      <c r="Z277" s="21" t="s">
        <v>127</v>
      </c>
      <c r="AA277" s="21" t="s">
        <v>2567</v>
      </c>
      <c r="AB277" s="21" t="s">
        <v>129</v>
      </c>
      <c r="AC277" s="21" t="s">
        <v>2568</v>
      </c>
      <c r="AD277" s="21" t="s">
        <v>169</v>
      </c>
      <c r="AE277" s="21" t="s">
        <v>133</v>
      </c>
      <c r="AF277" s="21" t="s">
        <v>135</v>
      </c>
      <c r="AG277" s="21" t="s">
        <v>135</v>
      </c>
      <c r="AH277" s="21" t="s">
        <v>135</v>
      </c>
      <c r="AI277" s="21" t="s">
        <v>135</v>
      </c>
    </row>
    <row r="278" spans="1:36" ht="15.75" customHeight="1" x14ac:dyDescent="0.3">
      <c r="A278" s="21">
        <v>2025</v>
      </c>
      <c r="B278" s="22">
        <v>45882.364166006941</v>
      </c>
      <c r="C278" s="21" t="s">
        <v>183</v>
      </c>
      <c r="D278" s="21" t="s">
        <v>183</v>
      </c>
      <c r="E278" s="21" t="s">
        <v>183</v>
      </c>
      <c r="F278" s="21" t="s">
        <v>183</v>
      </c>
      <c r="G278" s="21" t="s">
        <v>93</v>
      </c>
      <c r="H278" s="21" t="s">
        <v>2569</v>
      </c>
      <c r="I278" s="21" t="s">
        <v>2552</v>
      </c>
      <c r="J278" s="21" t="s">
        <v>2570</v>
      </c>
      <c r="K278" s="21" t="e">
        <f t="shared" ca="1" si="2"/>
        <v>#NAME?</v>
      </c>
      <c r="L278" s="24">
        <v>1965</v>
      </c>
      <c r="M278" s="21">
        <v>1988</v>
      </c>
      <c r="N278" s="21" t="s">
        <v>111</v>
      </c>
      <c r="O278" s="21" t="s">
        <v>112</v>
      </c>
      <c r="P278" s="26">
        <v>8790205061</v>
      </c>
      <c r="Q278" s="26" t="e">
        <f t="shared" ca="1" si="3"/>
        <v>#NAME?</v>
      </c>
      <c r="R278" s="21" t="s">
        <v>118</v>
      </c>
      <c r="S278" s="21" t="s">
        <v>2571</v>
      </c>
      <c r="T278" s="21">
        <v>9848344167</v>
      </c>
      <c r="U278" s="21" t="s">
        <v>2572</v>
      </c>
      <c r="V278" s="21" t="s">
        <v>127</v>
      </c>
      <c r="W278" s="21" t="s">
        <v>488</v>
      </c>
      <c r="X278" s="21" t="s">
        <v>536</v>
      </c>
      <c r="Y278" s="21" t="s">
        <v>536</v>
      </c>
      <c r="Z278" s="21" t="s">
        <v>127</v>
      </c>
      <c r="AA278" s="21" t="s">
        <v>2573</v>
      </c>
      <c r="AB278" s="21" t="s">
        <v>129</v>
      </c>
      <c r="AC278" s="21" t="s">
        <v>2574</v>
      </c>
      <c r="AD278" s="21" t="s">
        <v>132</v>
      </c>
      <c r="AE278" s="21" t="s">
        <v>133</v>
      </c>
      <c r="AF278" s="21" t="s">
        <v>135</v>
      </c>
      <c r="AG278" s="21" t="s">
        <v>135</v>
      </c>
      <c r="AH278" s="21" t="s">
        <v>135</v>
      </c>
      <c r="AI278" s="21" t="s">
        <v>135</v>
      </c>
    </row>
    <row r="279" spans="1:36" ht="15.75" customHeight="1" x14ac:dyDescent="0.3">
      <c r="A279" s="21">
        <v>2025</v>
      </c>
      <c r="B279" s="22">
        <v>45883.720617199069</v>
      </c>
      <c r="C279" s="21" t="s">
        <v>183</v>
      </c>
      <c r="D279" s="21" t="s">
        <v>183</v>
      </c>
      <c r="E279" s="21" t="s">
        <v>183</v>
      </c>
      <c r="F279" s="21" t="s">
        <v>183</v>
      </c>
      <c r="G279" s="21" t="s">
        <v>93</v>
      </c>
      <c r="H279" s="21" t="s">
        <v>2575</v>
      </c>
      <c r="I279" s="21" t="s">
        <v>370</v>
      </c>
      <c r="J279" s="21" t="s">
        <v>2576</v>
      </c>
      <c r="K279" s="21" t="e">
        <f t="shared" ca="1" si="2"/>
        <v>#NAME?</v>
      </c>
      <c r="L279" s="24">
        <v>2001</v>
      </c>
      <c r="M279" s="21">
        <v>2011</v>
      </c>
      <c r="N279" s="21" t="s">
        <v>315</v>
      </c>
      <c r="O279" s="21" t="s">
        <v>316</v>
      </c>
      <c r="P279" s="26">
        <v>5129683538</v>
      </c>
      <c r="Q279" s="26" t="e">
        <f t="shared" ca="1" si="3"/>
        <v>#NAME?</v>
      </c>
      <c r="R279" s="21" t="s">
        <v>521</v>
      </c>
      <c r="S279" s="21" t="s">
        <v>2577</v>
      </c>
      <c r="T279" s="21">
        <v>5126998557</v>
      </c>
      <c r="U279" s="21" t="s">
        <v>127</v>
      </c>
      <c r="V279" s="21" t="s">
        <v>2578</v>
      </c>
      <c r="W279" s="21" t="s">
        <v>488</v>
      </c>
      <c r="X279" s="21" t="s">
        <v>2579</v>
      </c>
      <c r="Y279" s="21" t="s">
        <v>2308</v>
      </c>
      <c r="Z279" s="21" t="s">
        <v>127</v>
      </c>
      <c r="AA279" s="21" t="s">
        <v>1581</v>
      </c>
      <c r="AB279" s="21" t="s">
        <v>129</v>
      </c>
      <c r="AC279" s="21" t="s">
        <v>2580</v>
      </c>
      <c r="AD279" s="21" t="s">
        <v>287</v>
      </c>
      <c r="AE279" s="21" t="s">
        <v>332</v>
      </c>
      <c r="AF279" s="21" t="s">
        <v>686</v>
      </c>
      <c r="AG279" s="21" t="s">
        <v>135</v>
      </c>
      <c r="AH279" s="21" t="s">
        <v>135</v>
      </c>
      <c r="AI279" s="21" t="s">
        <v>135</v>
      </c>
    </row>
    <row r="280" spans="1:36" ht="15.75" customHeight="1" x14ac:dyDescent="0.3">
      <c r="A280" s="21">
        <v>2025</v>
      </c>
      <c r="B280" s="22">
        <v>45884.154318379631</v>
      </c>
      <c r="C280" s="21" t="s">
        <v>183</v>
      </c>
      <c r="D280" s="21" t="s">
        <v>183</v>
      </c>
      <c r="E280" s="21" t="s">
        <v>183</v>
      </c>
      <c r="F280" s="21" t="s">
        <v>90</v>
      </c>
      <c r="G280" s="21" t="s">
        <v>256</v>
      </c>
      <c r="H280" s="21" t="s">
        <v>2581</v>
      </c>
      <c r="I280" s="21" t="s">
        <v>2582</v>
      </c>
      <c r="J280" s="21" t="s">
        <v>2583</v>
      </c>
      <c r="K280" s="21" t="e">
        <f t="shared" ca="1" si="2"/>
        <v>#NAME?</v>
      </c>
      <c r="L280" s="24">
        <v>2015</v>
      </c>
      <c r="M280" s="21">
        <v>2025</v>
      </c>
      <c r="N280" s="21" t="s">
        <v>111</v>
      </c>
      <c r="O280" s="21" t="s">
        <v>112</v>
      </c>
      <c r="P280" s="26">
        <v>9966552349</v>
      </c>
      <c r="Q280" s="26" t="e">
        <f t="shared" ca="1" si="3"/>
        <v>#NAME?</v>
      </c>
      <c r="R280" s="21" t="s">
        <v>2584</v>
      </c>
      <c r="S280" s="21" t="s">
        <v>2585</v>
      </c>
      <c r="T280" s="21" t="s">
        <v>2586</v>
      </c>
      <c r="U280" s="21" t="s">
        <v>127</v>
      </c>
      <c r="V280" s="21" t="s">
        <v>2587</v>
      </c>
      <c r="W280" s="21" t="s">
        <v>328</v>
      </c>
      <c r="X280" s="21" t="s">
        <v>267</v>
      </c>
      <c r="Y280" s="21" t="s">
        <v>267</v>
      </c>
      <c r="Z280" s="21" t="s">
        <v>2588</v>
      </c>
      <c r="AA280" s="21" t="s">
        <v>2589</v>
      </c>
      <c r="AB280" s="21" t="s">
        <v>2128</v>
      </c>
      <c r="AC280" s="21" t="s">
        <v>2590</v>
      </c>
      <c r="AD280" s="21" t="s">
        <v>132</v>
      </c>
      <c r="AE280" s="21" t="s">
        <v>133</v>
      </c>
      <c r="AF280" s="21" t="s">
        <v>135</v>
      </c>
      <c r="AG280" s="21" t="s">
        <v>135</v>
      </c>
      <c r="AH280" s="21" t="s">
        <v>135</v>
      </c>
      <c r="AI280" s="21" t="s">
        <v>135</v>
      </c>
    </row>
    <row r="281" spans="1:36" ht="15.75" customHeight="1" x14ac:dyDescent="0.3">
      <c r="A281" s="21">
        <v>2025</v>
      </c>
      <c r="B281" s="22">
        <v>45884.866257210648</v>
      </c>
      <c r="C281" s="21" t="s">
        <v>183</v>
      </c>
      <c r="D281" s="21" t="s">
        <v>183</v>
      </c>
      <c r="E281" s="21" t="s">
        <v>183</v>
      </c>
      <c r="F281" s="21" t="s">
        <v>183</v>
      </c>
      <c r="G281" s="21" t="s">
        <v>93</v>
      </c>
      <c r="H281" s="21" t="s">
        <v>2591</v>
      </c>
      <c r="I281" s="21" t="s">
        <v>622</v>
      </c>
      <c r="J281" s="21" t="s">
        <v>2592</v>
      </c>
      <c r="K281" s="21" t="e">
        <f t="shared" ca="1" si="2"/>
        <v>#NAME?</v>
      </c>
      <c r="L281" s="24">
        <v>1988</v>
      </c>
      <c r="M281" s="21">
        <v>2012</v>
      </c>
      <c r="N281" s="21" t="s">
        <v>111</v>
      </c>
      <c r="O281" s="21" t="s">
        <v>112</v>
      </c>
      <c r="P281" s="26">
        <v>8790998177</v>
      </c>
      <c r="Q281" s="26" t="e">
        <f t="shared" ca="1" si="3"/>
        <v>#NAME?</v>
      </c>
      <c r="R281" s="21" t="s">
        <v>118</v>
      </c>
      <c r="S281" s="21" t="s">
        <v>2593</v>
      </c>
      <c r="T281" s="21">
        <v>8790998177</v>
      </c>
      <c r="U281" s="21" t="s">
        <v>2594</v>
      </c>
      <c r="V281" s="21" t="s">
        <v>127</v>
      </c>
      <c r="W281" s="21" t="s">
        <v>307</v>
      </c>
      <c r="X281" s="21" t="s">
        <v>536</v>
      </c>
      <c r="Y281" s="21" t="s">
        <v>536</v>
      </c>
      <c r="Z281" s="21" t="s">
        <v>127</v>
      </c>
      <c r="AA281" s="21" t="s">
        <v>608</v>
      </c>
      <c r="AB281" s="21" t="s">
        <v>129</v>
      </c>
      <c r="AC281" s="21" t="s">
        <v>2595</v>
      </c>
      <c r="AD281" s="21" t="s">
        <v>132</v>
      </c>
      <c r="AE281" s="21" t="s">
        <v>133</v>
      </c>
      <c r="AF281" s="21" t="s">
        <v>135</v>
      </c>
      <c r="AG281" s="21" t="s">
        <v>135</v>
      </c>
      <c r="AH281" s="21" t="s">
        <v>135</v>
      </c>
      <c r="AI281" s="21" t="s">
        <v>135</v>
      </c>
      <c r="AJ281" s="21" t="s">
        <v>2596</v>
      </c>
    </row>
    <row r="282" spans="1:36" ht="15.75" customHeight="1" x14ac:dyDescent="0.3">
      <c r="A282" s="21">
        <v>2025</v>
      </c>
      <c r="B282" s="22">
        <v>45885.082353599537</v>
      </c>
      <c r="C282" s="21" t="s">
        <v>183</v>
      </c>
      <c r="D282" s="21" t="s">
        <v>183</v>
      </c>
      <c r="E282" s="21" t="s">
        <v>183</v>
      </c>
      <c r="F282" s="21" t="s">
        <v>183</v>
      </c>
      <c r="G282" s="21" t="s">
        <v>93</v>
      </c>
      <c r="H282" s="21" t="s">
        <v>2597</v>
      </c>
      <c r="I282" s="21" t="s">
        <v>201</v>
      </c>
      <c r="J282" s="21" t="s">
        <v>2598</v>
      </c>
      <c r="K282" s="21" t="e">
        <f t="shared" ca="1" si="2"/>
        <v>#NAME?</v>
      </c>
      <c r="L282" s="24">
        <v>1980</v>
      </c>
      <c r="M282" s="21">
        <v>1991</v>
      </c>
      <c r="N282" s="21" t="s">
        <v>111</v>
      </c>
      <c r="O282" s="21" t="s">
        <v>112</v>
      </c>
      <c r="P282" s="26">
        <v>9986458997</v>
      </c>
      <c r="Q282" s="26" t="e">
        <f t="shared" ca="1" si="3"/>
        <v>#NAME?</v>
      </c>
      <c r="R282" s="21" t="s">
        <v>664</v>
      </c>
      <c r="S282" s="21" t="s">
        <v>2599</v>
      </c>
      <c r="T282" s="21" t="s">
        <v>2600</v>
      </c>
      <c r="U282" s="21" t="s">
        <v>760</v>
      </c>
      <c r="V282" s="21" t="s">
        <v>127</v>
      </c>
      <c r="W282" s="21" t="s">
        <v>884</v>
      </c>
      <c r="X282" s="21" t="s">
        <v>352</v>
      </c>
      <c r="Y282" s="21" t="s">
        <v>467</v>
      </c>
      <c r="Z282" s="21" t="s">
        <v>127</v>
      </c>
      <c r="AA282" s="21" t="s">
        <v>608</v>
      </c>
      <c r="AB282" s="21" t="s">
        <v>129</v>
      </c>
      <c r="AC282" s="21" t="s">
        <v>2601</v>
      </c>
      <c r="AD282" s="21" t="s">
        <v>287</v>
      </c>
      <c r="AE282" s="21" t="s">
        <v>133</v>
      </c>
      <c r="AF282" s="21" t="s">
        <v>135</v>
      </c>
      <c r="AG282" s="21" t="s">
        <v>135</v>
      </c>
      <c r="AH282" s="21" t="s">
        <v>135</v>
      </c>
      <c r="AI282" s="21" t="s">
        <v>135</v>
      </c>
    </row>
    <row r="283" spans="1:36" ht="15.75" customHeight="1" x14ac:dyDescent="0.3">
      <c r="A283" s="21">
        <v>2025</v>
      </c>
      <c r="B283" s="22">
        <v>45885.086496770833</v>
      </c>
      <c r="C283" s="21" t="s">
        <v>183</v>
      </c>
      <c r="D283" s="21" t="s">
        <v>183</v>
      </c>
      <c r="E283" s="21" t="s">
        <v>183</v>
      </c>
      <c r="F283" s="21" t="s">
        <v>183</v>
      </c>
      <c r="G283" s="21" t="s">
        <v>256</v>
      </c>
      <c r="H283" s="21" t="s">
        <v>2597</v>
      </c>
      <c r="I283" s="21" t="s">
        <v>201</v>
      </c>
      <c r="J283" s="21" t="s">
        <v>203</v>
      </c>
      <c r="K283" s="21" t="e">
        <f t="shared" ca="1" si="2"/>
        <v>#NAME?</v>
      </c>
      <c r="L283" s="24">
        <v>2010</v>
      </c>
      <c r="M283" s="21">
        <v>2019</v>
      </c>
      <c r="N283" s="21" t="s">
        <v>111</v>
      </c>
      <c r="O283" s="21" t="s">
        <v>112</v>
      </c>
      <c r="P283" s="26">
        <v>9986458997</v>
      </c>
      <c r="Q283" s="26" t="e">
        <f t="shared" ca="1" si="3"/>
        <v>#NAME?</v>
      </c>
      <c r="R283" s="21" t="s">
        <v>595</v>
      </c>
      <c r="S283" s="21" t="s">
        <v>2599</v>
      </c>
      <c r="T283" s="21" t="s">
        <v>2600</v>
      </c>
      <c r="U283" s="21" t="s">
        <v>127</v>
      </c>
      <c r="V283" s="21" t="s">
        <v>2602</v>
      </c>
      <c r="W283" s="21" t="s">
        <v>488</v>
      </c>
      <c r="X283" s="21" t="s">
        <v>536</v>
      </c>
      <c r="Y283" s="21" t="s">
        <v>267</v>
      </c>
      <c r="Z283" s="21" t="s">
        <v>2603</v>
      </c>
      <c r="AA283" s="21" t="s">
        <v>2604</v>
      </c>
      <c r="AB283" s="21" t="s">
        <v>129</v>
      </c>
      <c r="AC283" s="21" t="s">
        <v>2605</v>
      </c>
      <c r="AD283" s="21" t="s">
        <v>287</v>
      </c>
      <c r="AE283" s="21" t="s">
        <v>133</v>
      </c>
      <c r="AF283" s="21" t="s">
        <v>135</v>
      </c>
      <c r="AG283" s="21" t="s">
        <v>135</v>
      </c>
      <c r="AH283" s="21" t="s">
        <v>135</v>
      </c>
      <c r="AI283" s="21" t="s">
        <v>135</v>
      </c>
    </row>
    <row r="284" spans="1:36" ht="15.75" customHeight="1" x14ac:dyDescent="0.3">
      <c r="A284" s="21">
        <v>2025</v>
      </c>
      <c r="B284" s="22">
        <v>45885.089801539347</v>
      </c>
      <c r="C284" s="21" t="s">
        <v>183</v>
      </c>
      <c r="D284" s="21" t="s">
        <v>183</v>
      </c>
      <c r="E284" s="21" t="s">
        <v>183</v>
      </c>
      <c r="F284" s="21" t="s">
        <v>183</v>
      </c>
      <c r="G284" s="21" t="s">
        <v>256</v>
      </c>
      <c r="H284" s="21" t="s">
        <v>2597</v>
      </c>
      <c r="I284" s="21" t="s">
        <v>201</v>
      </c>
      <c r="J284" s="21" t="s">
        <v>300</v>
      </c>
      <c r="K284" s="21" t="e">
        <f t="shared" ca="1" si="2"/>
        <v>#NAME?</v>
      </c>
      <c r="L284" s="24">
        <v>2012</v>
      </c>
      <c r="M284" s="21">
        <v>2022</v>
      </c>
      <c r="N284" s="21" t="s">
        <v>111</v>
      </c>
      <c r="O284" s="21" t="s">
        <v>112</v>
      </c>
      <c r="P284" s="26">
        <v>9986458997</v>
      </c>
      <c r="Q284" s="26" t="e">
        <f t="shared" ca="1" si="3"/>
        <v>#NAME?</v>
      </c>
      <c r="R284" s="21" t="s">
        <v>595</v>
      </c>
      <c r="S284" s="21" t="s">
        <v>2599</v>
      </c>
      <c r="T284" s="21" t="s">
        <v>2600</v>
      </c>
      <c r="U284" s="21" t="s">
        <v>127</v>
      </c>
      <c r="V284" s="21" t="s">
        <v>2602</v>
      </c>
      <c r="W284" s="21" t="s">
        <v>2608</v>
      </c>
      <c r="X284" s="21" t="s">
        <v>2609</v>
      </c>
      <c r="Y284" s="21" t="s">
        <v>267</v>
      </c>
      <c r="Z284" s="21" t="s">
        <v>2603</v>
      </c>
      <c r="AA284" s="21" t="s">
        <v>2604</v>
      </c>
      <c r="AB284" s="21" t="s">
        <v>129</v>
      </c>
      <c r="AC284" s="21" t="s">
        <v>2610</v>
      </c>
      <c r="AD284" s="21" t="s">
        <v>287</v>
      </c>
      <c r="AE284" s="21" t="s">
        <v>133</v>
      </c>
      <c r="AF284" s="21" t="s">
        <v>135</v>
      </c>
      <c r="AG284" s="21" t="s">
        <v>135</v>
      </c>
      <c r="AH284" s="21" t="s">
        <v>135</v>
      </c>
      <c r="AI284" s="21" t="s">
        <v>135</v>
      </c>
    </row>
    <row r="285" spans="1:36" ht="15.75" customHeight="1" x14ac:dyDescent="0.3">
      <c r="A285" s="21">
        <v>2025</v>
      </c>
      <c r="B285" s="22">
        <v>45885.16001806713</v>
      </c>
      <c r="C285" s="21" t="s">
        <v>183</v>
      </c>
      <c r="D285" s="21" t="s">
        <v>183</v>
      </c>
      <c r="E285" s="21" t="s">
        <v>183</v>
      </c>
      <c r="F285" s="21" t="s">
        <v>90</v>
      </c>
      <c r="G285" s="21" t="s">
        <v>256</v>
      </c>
      <c r="H285" s="21" t="s">
        <v>2611</v>
      </c>
      <c r="I285" s="21" t="s">
        <v>718</v>
      </c>
      <c r="J285" s="21" t="s">
        <v>2612</v>
      </c>
      <c r="K285" s="21" t="e">
        <f t="shared" ca="1" si="2"/>
        <v>#NAME?</v>
      </c>
      <c r="L285" s="24">
        <v>2012</v>
      </c>
      <c r="M285" s="21">
        <v>2018</v>
      </c>
      <c r="N285" s="21" t="s">
        <v>111</v>
      </c>
      <c r="O285" s="21" t="s">
        <v>112</v>
      </c>
      <c r="P285" s="26">
        <v>8977689592</v>
      </c>
      <c r="Q285" s="26" t="e">
        <f t="shared" ca="1" si="3"/>
        <v>#NAME?</v>
      </c>
      <c r="R285" s="21" t="s">
        <v>2477</v>
      </c>
      <c r="S285" s="21" t="s">
        <v>2613</v>
      </c>
      <c r="T285" s="21">
        <v>9441975657</v>
      </c>
      <c r="U285" s="21" t="s">
        <v>127</v>
      </c>
      <c r="V285" s="21" t="s">
        <v>2614</v>
      </c>
      <c r="W285" s="21" t="s">
        <v>488</v>
      </c>
      <c r="X285" s="21" t="s">
        <v>178</v>
      </c>
      <c r="Y285" s="21" t="s">
        <v>178</v>
      </c>
      <c r="Z285" s="21" t="s">
        <v>2615</v>
      </c>
      <c r="AA285" s="21" t="s">
        <v>2604</v>
      </c>
      <c r="AB285" s="21" t="s">
        <v>2128</v>
      </c>
      <c r="AC285" s="21" t="s">
        <v>2616</v>
      </c>
      <c r="AD285" s="21" t="s">
        <v>169</v>
      </c>
      <c r="AE285" s="21" t="s">
        <v>133</v>
      </c>
      <c r="AF285" s="21" t="s">
        <v>135</v>
      </c>
      <c r="AG285" s="21" t="s">
        <v>135</v>
      </c>
      <c r="AH285" s="21" t="s">
        <v>135</v>
      </c>
      <c r="AI285" s="21" t="s">
        <v>135</v>
      </c>
      <c r="AJ285" s="21" t="s">
        <v>2617</v>
      </c>
    </row>
    <row r="286" spans="1:36" ht="15.75" customHeight="1" x14ac:dyDescent="0.3">
      <c r="A286" s="21">
        <v>2025</v>
      </c>
      <c r="B286" s="22">
        <v>45886.282312002309</v>
      </c>
      <c r="C286" s="21" t="s">
        <v>183</v>
      </c>
      <c r="D286" s="21" t="s">
        <v>183</v>
      </c>
      <c r="E286" s="21" t="s">
        <v>183</v>
      </c>
      <c r="F286" s="21" t="s">
        <v>90</v>
      </c>
      <c r="G286" s="21" t="s">
        <v>93</v>
      </c>
      <c r="H286" s="21" t="s">
        <v>2618</v>
      </c>
      <c r="I286" s="21" t="s">
        <v>1199</v>
      </c>
      <c r="J286" s="21" t="s">
        <v>2619</v>
      </c>
      <c r="K286" s="21" t="e">
        <f t="shared" ca="1" si="2"/>
        <v>#NAME?</v>
      </c>
      <c r="L286" s="24">
        <v>1978</v>
      </c>
      <c r="M286" s="21">
        <v>2002</v>
      </c>
      <c r="N286" s="21" t="s">
        <v>111</v>
      </c>
      <c r="O286" s="21" t="s">
        <v>112</v>
      </c>
      <c r="P286" s="26">
        <v>9989615455</v>
      </c>
      <c r="Q286" s="26" t="e">
        <f t="shared" ca="1" si="3"/>
        <v>#NAME?</v>
      </c>
      <c r="R286" s="21" t="s">
        <v>2620</v>
      </c>
      <c r="S286" s="21" t="s">
        <v>2621</v>
      </c>
      <c r="T286" s="21" t="s">
        <v>2622</v>
      </c>
      <c r="U286" s="21" t="s">
        <v>2623</v>
      </c>
      <c r="V286" s="21" t="s">
        <v>127</v>
      </c>
      <c r="W286" s="21" t="s">
        <v>328</v>
      </c>
      <c r="X286" s="21" t="s">
        <v>221</v>
      </c>
      <c r="Y286" s="21" t="s">
        <v>2624</v>
      </c>
      <c r="Z286" s="21" t="s">
        <v>127</v>
      </c>
      <c r="AA286" s="21" t="s">
        <v>1147</v>
      </c>
      <c r="AB286" s="21" t="s">
        <v>129</v>
      </c>
      <c r="AC286" s="21" t="s">
        <v>2625</v>
      </c>
      <c r="AD286" s="21" t="s">
        <v>287</v>
      </c>
      <c r="AE286" s="21" t="s">
        <v>133</v>
      </c>
      <c r="AF286" s="21" t="s">
        <v>135</v>
      </c>
      <c r="AG286" s="21" t="s">
        <v>135</v>
      </c>
      <c r="AH286" s="21" t="s">
        <v>135</v>
      </c>
      <c r="AI286" s="21" t="s">
        <v>135</v>
      </c>
      <c r="AJ286" s="21" t="s">
        <v>2626</v>
      </c>
    </row>
    <row r="287" spans="1:36" ht="15.75" customHeight="1" x14ac:dyDescent="0.3">
      <c r="A287" s="21">
        <v>2025</v>
      </c>
      <c r="B287" s="22">
        <v>45887.090723958332</v>
      </c>
      <c r="C287" s="21" t="s">
        <v>183</v>
      </c>
      <c r="D287" s="21" t="s">
        <v>183</v>
      </c>
      <c r="E287" s="21" t="s">
        <v>183</v>
      </c>
      <c r="F287" s="21" t="s">
        <v>183</v>
      </c>
      <c r="G287" s="21" t="s">
        <v>93</v>
      </c>
      <c r="H287" s="21" t="s">
        <v>2627</v>
      </c>
      <c r="I287" s="21" t="s">
        <v>1282</v>
      </c>
      <c r="J287" s="21" t="s">
        <v>2628</v>
      </c>
      <c r="K287" s="21" t="e">
        <f t="shared" ca="1" si="2"/>
        <v>#NAME?</v>
      </c>
      <c r="L287" s="24">
        <v>1978</v>
      </c>
      <c r="M287" s="21">
        <v>2007</v>
      </c>
      <c r="N287" s="21" t="s">
        <v>474</v>
      </c>
      <c r="O287" s="21" t="s">
        <v>316</v>
      </c>
      <c r="P287" s="26">
        <v>5037188730</v>
      </c>
      <c r="Q287" s="26" t="e">
        <f t="shared" ca="1" si="3"/>
        <v>#NAME?</v>
      </c>
      <c r="R287" s="21" t="s">
        <v>475</v>
      </c>
      <c r="S287" s="21" t="s">
        <v>2629</v>
      </c>
      <c r="T287" s="21">
        <v>5035935055</v>
      </c>
      <c r="U287" s="21" t="s">
        <v>2630</v>
      </c>
      <c r="V287" s="21" t="s">
        <v>127</v>
      </c>
      <c r="W287" s="21" t="s">
        <v>251</v>
      </c>
      <c r="X287" s="21" t="s">
        <v>179</v>
      </c>
      <c r="Y287" s="21" t="s">
        <v>179</v>
      </c>
      <c r="Z287" s="21" t="s">
        <v>127</v>
      </c>
      <c r="AA287" s="21" t="s">
        <v>2631</v>
      </c>
      <c r="AB287" s="21" t="s">
        <v>129</v>
      </c>
      <c r="AC287" s="21" t="s">
        <v>2632</v>
      </c>
      <c r="AD287" s="21" t="s">
        <v>287</v>
      </c>
      <c r="AE287" s="21" t="s">
        <v>133</v>
      </c>
      <c r="AF287" s="21" t="s">
        <v>135</v>
      </c>
      <c r="AG287" s="21" t="s">
        <v>135</v>
      </c>
      <c r="AH287" s="21" t="s">
        <v>135</v>
      </c>
      <c r="AI287" s="21" t="s">
        <v>135</v>
      </c>
    </row>
    <row r="288" spans="1:36" ht="15.75" customHeight="1" x14ac:dyDescent="0.3">
      <c r="A288" s="21">
        <v>2025</v>
      </c>
      <c r="B288" s="22">
        <v>45887.300472951392</v>
      </c>
      <c r="C288" s="21" t="s">
        <v>183</v>
      </c>
      <c r="D288" s="21" t="s">
        <v>183</v>
      </c>
      <c r="E288" s="21" t="s">
        <v>183</v>
      </c>
      <c r="F288" s="21" t="s">
        <v>183</v>
      </c>
      <c r="G288" s="21" t="s">
        <v>256</v>
      </c>
      <c r="H288" s="21" t="s">
        <v>2412</v>
      </c>
      <c r="I288" s="21" t="s">
        <v>2633</v>
      </c>
      <c r="J288" s="21" t="s">
        <v>2634</v>
      </c>
      <c r="K288" s="21" t="e">
        <f t="shared" ca="1" si="2"/>
        <v>#NAME?</v>
      </c>
      <c r="L288" s="24">
        <v>2011</v>
      </c>
      <c r="M288" s="21">
        <v>2022</v>
      </c>
      <c r="N288" s="21" t="s">
        <v>111</v>
      </c>
      <c r="O288" s="21" t="s">
        <v>112</v>
      </c>
      <c r="P288" s="26">
        <v>9502066153</v>
      </c>
      <c r="Q288" s="26" t="e">
        <f t="shared" ca="1" si="3"/>
        <v>#NAME?</v>
      </c>
      <c r="R288" s="21" t="s">
        <v>118</v>
      </c>
      <c r="S288" s="21" t="s">
        <v>2635</v>
      </c>
      <c r="T288" s="21" t="s">
        <v>296</v>
      </c>
      <c r="U288" s="21" t="s">
        <v>296</v>
      </c>
      <c r="V288" s="21" t="s">
        <v>2636</v>
      </c>
      <c r="W288" s="21" t="s">
        <v>219</v>
      </c>
      <c r="X288" s="21" t="s">
        <v>178</v>
      </c>
      <c r="Y288" s="21" t="s">
        <v>1067</v>
      </c>
      <c r="Z288" s="21" t="s">
        <v>2637</v>
      </c>
      <c r="AA288" s="21" t="s">
        <v>2638</v>
      </c>
      <c r="AB288" s="21" t="s">
        <v>129</v>
      </c>
      <c r="AC288" s="21" t="s">
        <v>2639</v>
      </c>
      <c r="AD288" s="21" t="s">
        <v>287</v>
      </c>
      <c r="AE288" s="21" t="s">
        <v>133</v>
      </c>
      <c r="AF288" s="21" t="s">
        <v>135</v>
      </c>
      <c r="AG288" s="21" t="s">
        <v>135</v>
      </c>
      <c r="AH288" s="21" t="s">
        <v>135</v>
      </c>
      <c r="AI288" s="21" t="s">
        <v>135</v>
      </c>
      <c r="AJ288" s="21" t="s">
        <v>2640</v>
      </c>
    </row>
    <row r="289" spans="1:36" ht="15.75" customHeight="1" x14ac:dyDescent="0.3">
      <c r="A289" s="21">
        <v>2025</v>
      </c>
      <c r="B289" s="22">
        <v>45887.39309297454</v>
      </c>
      <c r="C289" s="21" t="s">
        <v>183</v>
      </c>
      <c r="D289" s="21" t="s">
        <v>183</v>
      </c>
      <c r="E289" s="21" t="s">
        <v>183</v>
      </c>
      <c r="F289" s="21" t="s">
        <v>183</v>
      </c>
      <c r="G289" s="21" t="s">
        <v>93</v>
      </c>
      <c r="H289" s="21" t="s">
        <v>2641</v>
      </c>
      <c r="I289" s="21" t="s">
        <v>2642</v>
      </c>
      <c r="J289" s="21" t="s">
        <v>2643</v>
      </c>
      <c r="K289" s="21" t="e">
        <f t="shared" ca="1" si="2"/>
        <v>#NAME?</v>
      </c>
      <c r="L289" s="24">
        <v>1974</v>
      </c>
      <c r="M289" s="21">
        <v>1997</v>
      </c>
      <c r="N289" s="21" t="s">
        <v>315</v>
      </c>
      <c r="O289" s="21" t="s">
        <v>316</v>
      </c>
      <c r="P289" s="26">
        <v>4694264289</v>
      </c>
      <c r="Q289" s="26" t="e">
        <f t="shared" ca="1" si="3"/>
        <v>#NAME?</v>
      </c>
      <c r="R289" s="21" t="s">
        <v>1324</v>
      </c>
      <c r="S289" s="21" t="s">
        <v>1715</v>
      </c>
      <c r="T289" s="21" t="s">
        <v>2644</v>
      </c>
      <c r="U289" s="21" t="s">
        <v>2645</v>
      </c>
      <c r="V289" s="21" t="s">
        <v>127</v>
      </c>
      <c r="W289" s="21" t="s">
        <v>488</v>
      </c>
      <c r="X289" s="21" t="s">
        <v>179</v>
      </c>
      <c r="Y289" s="21" t="s">
        <v>2646</v>
      </c>
      <c r="Z289" s="21" t="s">
        <v>127</v>
      </c>
      <c r="AA289" s="21" t="s">
        <v>418</v>
      </c>
      <c r="AB289" s="21" t="s">
        <v>129</v>
      </c>
      <c r="AC289" s="21" t="s">
        <v>2647</v>
      </c>
      <c r="AD289" s="21" t="s">
        <v>132</v>
      </c>
      <c r="AE289" s="21" t="s">
        <v>133</v>
      </c>
      <c r="AF289" s="21" t="s">
        <v>135</v>
      </c>
      <c r="AG289" s="21" t="s">
        <v>135</v>
      </c>
      <c r="AH289" s="21" t="s">
        <v>135</v>
      </c>
      <c r="AI289" s="21" t="s">
        <v>135</v>
      </c>
    </row>
    <row r="290" spans="1:36" ht="15.75" customHeight="1" x14ac:dyDescent="0.3">
      <c r="A290" s="21">
        <v>2025</v>
      </c>
      <c r="B290" s="22">
        <v>45887.558274861112</v>
      </c>
      <c r="C290" s="21" t="s">
        <v>183</v>
      </c>
      <c r="D290" s="21" t="s">
        <v>183</v>
      </c>
      <c r="E290" s="21" t="s">
        <v>183</v>
      </c>
      <c r="F290" s="21" t="s">
        <v>183</v>
      </c>
      <c r="G290" s="21" t="s">
        <v>256</v>
      </c>
      <c r="H290" s="21" t="s">
        <v>2648</v>
      </c>
      <c r="I290" s="21" t="s">
        <v>2649</v>
      </c>
      <c r="J290" s="21" t="s">
        <v>2650</v>
      </c>
      <c r="K290" s="21" t="e">
        <f t="shared" ca="1" si="2"/>
        <v>#NAME?</v>
      </c>
      <c r="L290" s="24">
        <v>2011</v>
      </c>
      <c r="M290" s="21">
        <v>2025</v>
      </c>
      <c r="N290" s="21" t="s">
        <v>402</v>
      </c>
      <c r="O290" s="21" t="s">
        <v>316</v>
      </c>
      <c r="P290" s="26">
        <v>4257858843</v>
      </c>
      <c r="Q290" s="26" t="e">
        <f t="shared" ca="1" si="3"/>
        <v>#NAME?</v>
      </c>
      <c r="R290" s="21" t="s">
        <v>2651</v>
      </c>
      <c r="S290" s="21" t="s">
        <v>2652</v>
      </c>
      <c r="T290" s="21">
        <v>4257858843</v>
      </c>
      <c r="U290" s="21" t="s">
        <v>127</v>
      </c>
      <c r="V290" s="21" t="s">
        <v>2653</v>
      </c>
      <c r="W290" s="21" t="s">
        <v>2654</v>
      </c>
      <c r="X290" s="21" t="s">
        <v>581</v>
      </c>
      <c r="Y290" s="21" t="s">
        <v>1399</v>
      </c>
      <c r="Z290" s="21" t="s">
        <v>2652</v>
      </c>
      <c r="AA290" s="21" t="s">
        <v>2655</v>
      </c>
      <c r="AB290" s="21" t="s">
        <v>129</v>
      </c>
      <c r="AC290" s="21" t="s">
        <v>2656</v>
      </c>
      <c r="AD290" s="21" t="s">
        <v>132</v>
      </c>
      <c r="AE290" s="21" t="s">
        <v>133</v>
      </c>
      <c r="AF290" s="21" t="s">
        <v>135</v>
      </c>
      <c r="AG290" s="21" t="s">
        <v>135</v>
      </c>
      <c r="AH290" s="21" t="s">
        <v>135</v>
      </c>
      <c r="AI290" s="21" t="s">
        <v>135</v>
      </c>
    </row>
    <row r="291" spans="1:36" ht="15.75" customHeight="1" x14ac:dyDescent="0.3">
      <c r="A291" s="21">
        <v>2025</v>
      </c>
      <c r="B291" s="22">
        <v>45888.243349166667</v>
      </c>
      <c r="C291" s="21" t="s">
        <v>183</v>
      </c>
      <c r="D291" s="21" t="s">
        <v>183</v>
      </c>
      <c r="E291" s="21" t="s">
        <v>183</v>
      </c>
      <c r="F291" s="21" t="s">
        <v>183</v>
      </c>
      <c r="G291" s="21" t="s">
        <v>93</v>
      </c>
      <c r="H291" s="21" t="s">
        <v>2657</v>
      </c>
      <c r="I291" s="21" t="s">
        <v>2658</v>
      </c>
      <c r="J291" s="21" t="s">
        <v>2659</v>
      </c>
      <c r="K291" s="21" t="e">
        <f t="shared" ca="1" si="2"/>
        <v>#NAME?</v>
      </c>
      <c r="L291" s="24">
        <v>1958</v>
      </c>
      <c r="M291" s="21">
        <v>1973</v>
      </c>
      <c r="N291" s="21" t="s">
        <v>111</v>
      </c>
      <c r="O291" s="21" t="s">
        <v>112</v>
      </c>
      <c r="P291" s="26">
        <v>9849063809</v>
      </c>
      <c r="Q291" s="26" t="e">
        <f t="shared" ca="1" si="3"/>
        <v>#NAME?</v>
      </c>
      <c r="R291" s="21" t="s">
        <v>2661</v>
      </c>
      <c r="S291" s="21" t="s">
        <v>2662</v>
      </c>
      <c r="T291" s="21">
        <v>9440225443</v>
      </c>
      <c r="U291" s="21" t="s">
        <v>2663</v>
      </c>
      <c r="V291" s="21" t="s">
        <v>127</v>
      </c>
      <c r="W291" s="21" t="s">
        <v>191</v>
      </c>
      <c r="X291" s="21" t="s">
        <v>2664</v>
      </c>
      <c r="Y291" s="21" t="s">
        <v>581</v>
      </c>
      <c r="Z291" s="21" t="s">
        <v>127</v>
      </c>
      <c r="AA291" s="21" t="s">
        <v>2665</v>
      </c>
      <c r="AB291" s="21" t="s">
        <v>129</v>
      </c>
      <c r="AC291" s="21" t="s">
        <v>2666</v>
      </c>
      <c r="AD291" s="21" t="s">
        <v>132</v>
      </c>
      <c r="AE291" s="21" t="s">
        <v>133</v>
      </c>
      <c r="AF291" s="21" t="s">
        <v>135</v>
      </c>
      <c r="AG291" s="21" t="s">
        <v>135</v>
      </c>
      <c r="AH291" s="21" t="s">
        <v>135</v>
      </c>
      <c r="AI291" s="21" t="s">
        <v>135</v>
      </c>
      <c r="AJ291" s="21" t="s">
        <v>2667</v>
      </c>
    </row>
    <row r="292" spans="1:36" ht="15.75" customHeight="1" x14ac:dyDescent="0.3">
      <c r="A292" s="21">
        <v>2025</v>
      </c>
      <c r="B292" s="22">
        <v>45888.383153437499</v>
      </c>
      <c r="C292" s="21" t="s">
        <v>183</v>
      </c>
      <c r="D292" s="21" t="s">
        <v>183</v>
      </c>
      <c r="E292" s="21" t="s">
        <v>183</v>
      </c>
      <c r="F292" s="21" t="s">
        <v>183</v>
      </c>
      <c r="G292" s="21" t="s">
        <v>93</v>
      </c>
      <c r="H292" s="21" t="s">
        <v>2668</v>
      </c>
      <c r="I292" s="21" t="s">
        <v>2669</v>
      </c>
      <c r="J292" s="21" t="s">
        <v>643</v>
      </c>
      <c r="K292" s="21" t="e">
        <f t="shared" ca="1" si="2"/>
        <v>#NAME?</v>
      </c>
      <c r="L292" s="24">
        <v>1971</v>
      </c>
      <c r="M292" s="21">
        <v>2019</v>
      </c>
      <c r="N292" s="21" t="s">
        <v>402</v>
      </c>
      <c r="O292" s="21" t="s">
        <v>316</v>
      </c>
      <c r="P292" s="26">
        <v>7816961303</v>
      </c>
      <c r="Q292" s="26" t="e">
        <f t="shared" ca="1" si="3"/>
        <v>#NAME?</v>
      </c>
      <c r="R292" s="21" t="s">
        <v>2670</v>
      </c>
      <c r="S292" s="21" t="s">
        <v>1592</v>
      </c>
      <c r="T292" s="21">
        <v>3392987799</v>
      </c>
      <c r="U292" s="21" t="s">
        <v>2671</v>
      </c>
      <c r="V292" s="21" t="s">
        <v>284</v>
      </c>
      <c r="W292" s="21" t="s">
        <v>307</v>
      </c>
      <c r="X292" s="21" t="s">
        <v>295</v>
      </c>
      <c r="Y292" s="21" t="s">
        <v>478</v>
      </c>
      <c r="Z292" s="21" t="s">
        <v>284</v>
      </c>
      <c r="AA292" s="21" t="s">
        <v>1581</v>
      </c>
      <c r="AB292" s="21" t="s">
        <v>129</v>
      </c>
      <c r="AC292" s="21" t="s">
        <v>2672</v>
      </c>
      <c r="AD292" s="21" t="s">
        <v>287</v>
      </c>
      <c r="AE292" s="21" t="s">
        <v>133</v>
      </c>
      <c r="AF292" s="21" t="s">
        <v>135</v>
      </c>
      <c r="AG292" s="21" t="s">
        <v>135</v>
      </c>
      <c r="AH292" s="21" t="s">
        <v>135</v>
      </c>
      <c r="AI292" s="21" t="s">
        <v>135</v>
      </c>
    </row>
    <row r="293" spans="1:36" ht="15.75" customHeight="1" x14ac:dyDescent="0.3">
      <c r="A293" s="21">
        <v>2025</v>
      </c>
      <c r="B293" s="22">
        <v>45888.406191273149</v>
      </c>
      <c r="C293" s="21" t="s">
        <v>183</v>
      </c>
      <c r="D293" s="21" t="s">
        <v>183</v>
      </c>
      <c r="E293" s="21" t="s">
        <v>183</v>
      </c>
      <c r="F293" s="21" t="s">
        <v>183</v>
      </c>
      <c r="G293" s="21" t="s">
        <v>93</v>
      </c>
      <c r="H293" s="21" t="s">
        <v>2673</v>
      </c>
      <c r="I293" s="21" t="s">
        <v>2484</v>
      </c>
      <c r="J293" s="21" t="s">
        <v>2674</v>
      </c>
      <c r="K293" s="21" t="e">
        <f t="shared" ca="1" si="2"/>
        <v>#NAME?</v>
      </c>
      <c r="L293" s="24">
        <v>1967</v>
      </c>
      <c r="M293" s="21">
        <v>1986</v>
      </c>
      <c r="N293" s="21" t="s">
        <v>111</v>
      </c>
      <c r="O293" s="21" t="s">
        <v>112</v>
      </c>
      <c r="P293" s="26">
        <v>9945549236</v>
      </c>
      <c r="Q293" s="26" t="e">
        <f t="shared" ca="1" si="3"/>
        <v>#NAME?</v>
      </c>
      <c r="R293" s="21" t="s">
        <v>551</v>
      </c>
      <c r="S293" s="21" t="s">
        <v>2675</v>
      </c>
      <c r="T293" s="21">
        <v>9440225443</v>
      </c>
      <c r="U293" s="21" t="s">
        <v>2676</v>
      </c>
      <c r="V293" s="21" t="s">
        <v>127</v>
      </c>
      <c r="W293" s="21" t="s">
        <v>307</v>
      </c>
      <c r="X293" s="21" t="s">
        <v>2677</v>
      </c>
      <c r="Y293" s="21" t="s">
        <v>2678</v>
      </c>
      <c r="Z293" s="21" t="s">
        <v>127</v>
      </c>
      <c r="AA293" s="21" t="s">
        <v>2679</v>
      </c>
      <c r="AB293" s="21" t="s">
        <v>129</v>
      </c>
      <c r="AC293" s="21" t="s">
        <v>2680</v>
      </c>
      <c r="AD293" s="21" t="s">
        <v>169</v>
      </c>
      <c r="AE293" s="21" t="s">
        <v>133</v>
      </c>
      <c r="AF293" s="21" t="s">
        <v>135</v>
      </c>
      <c r="AG293" s="21" t="s">
        <v>135</v>
      </c>
      <c r="AH293" s="21" t="s">
        <v>135</v>
      </c>
      <c r="AI293" s="21" t="s">
        <v>135</v>
      </c>
      <c r="AJ293" s="21" t="s">
        <v>2681</v>
      </c>
    </row>
    <row r="294" spans="1:36" ht="15.75" customHeight="1" x14ac:dyDescent="0.3">
      <c r="A294" s="21">
        <v>2025</v>
      </c>
      <c r="B294" s="22">
        <v>45888.412316782407</v>
      </c>
      <c r="C294" s="21" t="s">
        <v>183</v>
      </c>
      <c r="D294" s="21" t="s">
        <v>183</v>
      </c>
      <c r="E294" s="21" t="s">
        <v>183</v>
      </c>
      <c r="F294" s="21" t="s">
        <v>183</v>
      </c>
      <c r="G294" s="21" t="s">
        <v>256</v>
      </c>
      <c r="H294" s="21" t="s">
        <v>2682</v>
      </c>
      <c r="I294" s="21" t="s">
        <v>1632</v>
      </c>
      <c r="J294" s="21" t="s">
        <v>1635</v>
      </c>
      <c r="K294" s="21" t="e">
        <f t="shared" ca="1" si="2"/>
        <v>#NAME?</v>
      </c>
      <c r="L294" s="24">
        <v>2012</v>
      </c>
      <c r="M294" s="21">
        <v>2024</v>
      </c>
      <c r="N294" s="21" t="s">
        <v>111</v>
      </c>
      <c r="O294" s="21" t="s">
        <v>112</v>
      </c>
      <c r="P294" s="26">
        <v>9494398425</v>
      </c>
      <c r="Q294" s="26" t="e">
        <f t="shared" ca="1" si="3"/>
        <v>#NAME?</v>
      </c>
      <c r="R294" s="21" t="s">
        <v>188</v>
      </c>
      <c r="S294" s="21" t="s">
        <v>2683</v>
      </c>
      <c r="T294" s="21">
        <v>6305438951</v>
      </c>
      <c r="U294" s="21" t="s">
        <v>127</v>
      </c>
      <c r="V294" s="21" t="s">
        <v>2684</v>
      </c>
      <c r="W294" s="21" t="s">
        <v>219</v>
      </c>
      <c r="X294" s="21" t="s">
        <v>2685</v>
      </c>
      <c r="Y294" s="21" t="s">
        <v>2685</v>
      </c>
      <c r="Z294" s="21" t="s">
        <v>2686</v>
      </c>
      <c r="AA294" s="21" t="s">
        <v>2687</v>
      </c>
      <c r="AB294" s="21" t="s">
        <v>129</v>
      </c>
      <c r="AC294" s="21" t="s">
        <v>2688</v>
      </c>
      <c r="AD294" s="21" t="s">
        <v>132</v>
      </c>
      <c r="AE294" s="21" t="s">
        <v>133</v>
      </c>
      <c r="AF294" s="21" t="s">
        <v>135</v>
      </c>
      <c r="AG294" s="21" t="s">
        <v>135</v>
      </c>
      <c r="AH294" s="21" t="s">
        <v>135</v>
      </c>
      <c r="AI294" s="21" t="s">
        <v>135</v>
      </c>
      <c r="AJ294" s="21" t="s">
        <v>2689</v>
      </c>
    </row>
    <row r="295" spans="1:36" ht="15.75" customHeight="1" x14ac:dyDescent="0.3">
      <c r="A295" s="21">
        <v>2025</v>
      </c>
      <c r="B295" s="22">
        <v>45888.451733472219</v>
      </c>
      <c r="C295" s="21" t="s">
        <v>183</v>
      </c>
      <c r="D295" s="21" t="s">
        <v>183</v>
      </c>
      <c r="E295" s="21" t="s">
        <v>183</v>
      </c>
      <c r="F295" s="21" t="s">
        <v>183</v>
      </c>
      <c r="G295" s="21" t="s">
        <v>93</v>
      </c>
      <c r="H295" s="21" t="s">
        <v>2690</v>
      </c>
      <c r="I295" s="21" t="s">
        <v>2691</v>
      </c>
      <c r="J295" s="21" t="s">
        <v>495</v>
      </c>
      <c r="K295" s="21" t="e">
        <f t="shared" ca="1" si="2"/>
        <v>#NAME?</v>
      </c>
      <c r="L295" s="24">
        <v>1981</v>
      </c>
      <c r="M295" s="21">
        <v>1989</v>
      </c>
      <c r="N295" s="21" t="s">
        <v>315</v>
      </c>
      <c r="O295" s="21" t="s">
        <v>316</v>
      </c>
      <c r="P295" s="26">
        <v>9452130112</v>
      </c>
      <c r="Q295" s="26" t="e">
        <f t="shared" ca="1" si="3"/>
        <v>#NAME?</v>
      </c>
      <c r="R295" s="21" t="s">
        <v>1324</v>
      </c>
      <c r="S295" s="21" t="s">
        <v>2692</v>
      </c>
      <c r="T295" s="21" t="s">
        <v>2693</v>
      </c>
      <c r="U295" s="21" t="s">
        <v>2694</v>
      </c>
      <c r="V295" s="21" t="s">
        <v>284</v>
      </c>
      <c r="W295" s="21" t="s">
        <v>2695</v>
      </c>
      <c r="X295" s="21" t="s">
        <v>2696</v>
      </c>
      <c r="Y295" s="21" t="s">
        <v>2696</v>
      </c>
      <c r="Z295" s="21" t="s">
        <v>284</v>
      </c>
      <c r="AA295" s="21" t="s">
        <v>2697</v>
      </c>
      <c r="AB295" s="21" t="s">
        <v>129</v>
      </c>
      <c r="AC295" s="21" t="s">
        <v>2698</v>
      </c>
      <c r="AD295" s="21" t="s">
        <v>132</v>
      </c>
      <c r="AE295" s="21" t="s">
        <v>133</v>
      </c>
      <c r="AF295" s="21" t="s">
        <v>135</v>
      </c>
      <c r="AG295" s="21" t="s">
        <v>135</v>
      </c>
      <c r="AH295" s="21" t="s">
        <v>135</v>
      </c>
      <c r="AI295" s="21" t="s">
        <v>135</v>
      </c>
      <c r="AJ295" s="21" t="s">
        <v>2699</v>
      </c>
    </row>
    <row r="296" spans="1:36" ht="15.75" customHeight="1" x14ac:dyDescent="0.3">
      <c r="A296" s="21">
        <v>2025</v>
      </c>
      <c r="B296" s="22">
        <v>45888.881505729165</v>
      </c>
      <c r="C296" s="21" t="s">
        <v>183</v>
      </c>
      <c r="D296" s="21" t="s">
        <v>183</v>
      </c>
      <c r="E296" s="21" t="s">
        <v>183</v>
      </c>
      <c r="F296" s="21" t="s">
        <v>183</v>
      </c>
      <c r="G296" s="21" t="s">
        <v>256</v>
      </c>
      <c r="H296" s="21" t="s">
        <v>2700</v>
      </c>
      <c r="I296" s="21" t="s">
        <v>2701</v>
      </c>
      <c r="J296" s="21" t="s">
        <v>2702</v>
      </c>
      <c r="K296" s="21" t="e">
        <f t="shared" ca="1" si="2"/>
        <v>#NAME?</v>
      </c>
      <c r="L296" s="24">
        <v>2018</v>
      </c>
      <c r="M296" s="21">
        <v>2025</v>
      </c>
      <c r="N296" s="21" t="s">
        <v>111</v>
      </c>
      <c r="O296" s="21" t="s">
        <v>112</v>
      </c>
      <c r="P296" s="26">
        <v>9160161813</v>
      </c>
      <c r="Q296" s="26" t="e">
        <f t="shared" ca="1" si="3"/>
        <v>#NAME?</v>
      </c>
      <c r="R296" s="21" t="s">
        <v>188</v>
      </c>
      <c r="S296" s="21" t="s">
        <v>2703</v>
      </c>
      <c r="T296" s="21">
        <v>9885883979</v>
      </c>
      <c r="U296" s="21" t="s">
        <v>127</v>
      </c>
      <c r="V296" s="21" t="s">
        <v>2704</v>
      </c>
      <c r="W296" s="21" t="s">
        <v>162</v>
      </c>
      <c r="X296" s="21" t="s">
        <v>165</v>
      </c>
      <c r="Y296" s="21" t="s">
        <v>165</v>
      </c>
      <c r="Z296" s="21" t="s">
        <v>2705</v>
      </c>
      <c r="AA296" s="21" t="s">
        <v>2706</v>
      </c>
      <c r="AB296" s="21" t="s">
        <v>2251</v>
      </c>
      <c r="AC296" s="21" t="s">
        <v>2707</v>
      </c>
      <c r="AD296" s="21" t="s">
        <v>287</v>
      </c>
      <c r="AE296" s="21" t="s">
        <v>133</v>
      </c>
      <c r="AF296" s="21" t="s">
        <v>135</v>
      </c>
      <c r="AG296" s="21" t="s">
        <v>135</v>
      </c>
      <c r="AH296" s="21" t="s">
        <v>135</v>
      </c>
      <c r="AI296" s="21" t="s">
        <v>135</v>
      </c>
    </row>
    <row r="297" spans="1:36" ht="15.75" customHeight="1" x14ac:dyDescent="0.3">
      <c r="A297" s="21">
        <v>2025</v>
      </c>
      <c r="B297" s="22">
        <v>45889.100891643524</v>
      </c>
      <c r="C297" s="21" t="s">
        <v>183</v>
      </c>
      <c r="D297" s="21" t="s">
        <v>183</v>
      </c>
      <c r="E297" s="21" t="s">
        <v>183</v>
      </c>
      <c r="F297" s="21" t="s">
        <v>90</v>
      </c>
      <c r="G297" s="21" t="s">
        <v>93</v>
      </c>
      <c r="H297" s="21" t="s">
        <v>2708</v>
      </c>
      <c r="I297" s="21" t="s">
        <v>2709</v>
      </c>
      <c r="J297" s="21" t="s">
        <v>2710</v>
      </c>
      <c r="K297" s="21" t="e">
        <f t="shared" ca="1" si="2"/>
        <v>#NAME?</v>
      </c>
      <c r="L297" s="24">
        <v>1969</v>
      </c>
      <c r="M297" s="21">
        <v>1995</v>
      </c>
      <c r="N297" s="21" t="s">
        <v>111</v>
      </c>
      <c r="O297" s="21" t="s">
        <v>112</v>
      </c>
      <c r="P297" s="26">
        <v>9353478397</v>
      </c>
      <c r="Q297" s="26" t="e">
        <f t="shared" ca="1" si="3"/>
        <v>#NAME?</v>
      </c>
      <c r="R297" s="21" t="s">
        <v>551</v>
      </c>
      <c r="S297" s="21" t="s">
        <v>2711</v>
      </c>
      <c r="T297" s="21">
        <v>9945549236</v>
      </c>
      <c r="U297" s="21" t="s">
        <v>2712</v>
      </c>
      <c r="V297" s="21" t="s">
        <v>127</v>
      </c>
      <c r="W297" s="21" t="s">
        <v>307</v>
      </c>
      <c r="X297" s="21" t="s">
        <v>2609</v>
      </c>
      <c r="Y297" s="21" t="s">
        <v>308</v>
      </c>
      <c r="Z297" s="21" t="s">
        <v>127</v>
      </c>
      <c r="AA297" s="21" t="s">
        <v>2713</v>
      </c>
      <c r="AB297" s="21" t="s">
        <v>129</v>
      </c>
      <c r="AC297" s="21" t="s">
        <v>2714</v>
      </c>
      <c r="AD297" s="21" t="s">
        <v>169</v>
      </c>
      <c r="AE297" s="21" t="s">
        <v>133</v>
      </c>
      <c r="AF297" s="21" t="s">
        <v>135</v>
      </c>
      <c r="AG297" s="21" t="s">
        <v>135</v>
      </c>
      <c r="AH297" s="21" t="s">
        <v>135</v>
      </c>
      <c r="AI297" s="21" t="s">
        <v>135</v>
      </c>
      <c r="AJ297" s="21" t="s">
        <v>2715</v>
      </c>
    </row>
    <row r="298" spans="1:36" ht="15.75" customHeight="1" x14ac:dyDescent="0.3">
      <c r="A298" s="21">
        <v>2025</v>
      </c>
      <c r="B298" s="22">
        <v>45889.292546736113</v>
      </c>
      <c r="C298" s="21" t="s">
        <v>183</v>
      </c>
      <c r="D298" s="21" t="s">
        <v>183</v>
      </c>
      <c r="E298" s="21" t="s">
        <v>183</v>
      </c>
      <c r="F298" s="21" t="s">
        <v>90</v>
      </c>
      <c r="G298" s="21" t="s">
        <v>93</v>
      </c>
      <c r="H298" s="21" t="s">
        <v>2716</v>
      </c>
      <c r="I298" s="21" t="s">
        <v>2221</v>
      </c>
      <c r="J298" s="21" t="s">
        <v>2717</v>
      </c>
      <c r="K298" s="21" t="e">
        <f t="shared" ca="1" si="2"/>
        <v>#NAME?</v>
      </c>
      <c r="L298" s="24">
        <v>1972</v>
      </c>
      <c r="M298" s="21">
        <v>1998</v>
      </c>
      <c r="N298" s="21" t="s">
        <v>111</v>
      </c>
      <c r="O298" s="21" t="s">
        <v>112</v>
      </c>
      <c r="P298" s="26">
        <v>9880898751</v>
      </c>
      <c r="Q298" s="26" t="e">
        <f t="shared" ca="1" si="3"/>
        <v>#NAME?</v>
      </c>
      <c r="R298" s="21" t="s">
        <v>2718</v>
      </c>
      <c r="S298" s="21" t="s">
        <v>2710</v>
      </c>
      <c r="T298" s="21">
        <v>9353478397</v>
      </c>
      <c r="U298" s="21" t="s">
        <v>2719</v>
      </c>
      <c r="V298" s="21" t="s">
        <v>2479</v>
      </c>
      <c r="W298" s="21" t="s">
        <v>1408</v>
      </c>
      <c r="X298" s="21" t="s">
        <v>2720</v>
      </c>
      <c r="Y298" s="21" t="s">
        <v>2721</v>
      </c>
      <c r="Z298" s="21" t="s">
        <v>2479</v>
      </c>
      <c r="AA298" s="21" t="s">
        <v>2722</v>
      </c>
      <c r="AB298" s="21" t="s">
        <v>129</v>
      </c>
      <c r="AC298" s="21" t="s">
        <v>2723</v>
      </c>
      <c r="AD298" s="21" t="s">
        <v>132</v>
      </c>
      <c r="AE298" s="21" t="s">
        <v>133</v>
      </c>
      <c r="AF298" s="21" t="s">
        <v>135</v>
      </c>
      <c r="AG298" s="21" t="s">
        <v>135</v>
      </c>
      <c r="AH298" s="21" t="s">
        <v>135</v>
      </c>
      <c r="AI298" s="21" t="s">
        <v>135</v>
      </c>
      <c r="AJ298" s="21" t="s">
        <v>2724</v>
      </c>
    </row>
    <row r="299" spans="1:36" ht="15.75" customHeight="1" x14ac:dyDescent="0.3">
      <c r="A299" s="21">
        <v>2025</v>
      </c>
      <c r="B299" s="22">
        <v>45889.740574965283</v>
      </c>
      <c r="C299" s="21" t="s">
        <v>183</v>
      </c>
      <c r="D299" s="21" t="s">
        <v>183</v>
      </c>
      <c r="E299" s="21" t="s">
        <v>183</v>
      </c>
      <c r="F299" s="21" t="s">
        <v>183</v>
      </c>
      <c r="G299" s="21" t="s">
        <v>93</v>
      </c>
      <c r="H299" s="21" t="s">
        <v>2725</v>
      </c>
      <c r="I299" s="21" t="s">
        <v>2726</v>
      </c>
      <c r="J299" s="21" t="s">
        <v>2727</v>
      </c>
      <c r="K299" s="21" t="e">
        <f t="shared" ca="1" si="2"/>
        <v>#NAME?</v>
      </c>
      <c r="L299" s="24">
        <v>1980</v>
      </c>
      <c r="M299" s="21">
        <v>1996</v>
      </c>
      <c r="N299" s="21" t="s">
        <v>111</v>
      </c>
      <c r="O299" s="21" t="s">
        <v>112</v>
      </c>
      <c r="P299" s="26">
        <v>9581111834</v>
      </c>
      <c r="Q299" s="26" t="e">
        <f t="shared" ca="1" si="3"/>
        <v>#NAME?</v>
      </c>
      <c r="R299" s="21" t="s">
        <v>118</v>
      </c>
      <c r="S299" s="21" t="s">
        <v>2728</v>
      </c>
      <c r="T299" s="21">
        <v>8978416077</v>
      </c>
      <c r="U299" s="21" t="s">
        <v>2729</v>
      </c>
      <c r="V299" s="21" t="s">
        <v>127</v>
      </c>
      <c r="W299" s="21" t="s">
        <v>2730</v>
      </c>
      <c r="X299" s="21" t="s">
        <v>192</v>
      </c>
      <c r="Y299" s="21" t="s">
        <v>192</v>
      </c>
      <c r="Z299" s="21" t="s">
        <v>127</v>
      </c>
      <c r="AA299" s="21" t="s">
        <v>2731</v>
      </c>
      <c r="AB299" s="21" t="s">
        <v>129</v>
      </c>
      <c r="AC299" s="21" t="s">
        <v>2732</v>
      </c>
      <c r="AD299" s="21" t="s">
        <v>287</v>
      </c>
      <c r="AE299" s="21" t="s">
        <v>133</v>
      </c>
      <c r="AF299" s="21" t="s">
        <v>686</v>
      </c>
      <c r="AG299" s="21" t="s">
        <v>135</v>
      </c>
      <c r="AH299" s="21" t="s">
        <v>135</v>
      </c>
      <c r="AI299" s="21" t="s">
        <v>135</v>
      </c>
    </row>
    <row r="300" spans="1:36" ht="15.75" customHeight="1" x14ac:dyDescent="0.3">
      <c r="A300" s="21">
        <v>2025</v>
      </c>
      <c r="B300" s="22">
        <v>45891.732354930558</v>
      </c>
      <c r="C300" s="21" t="s">
        <v>183</v>
      </c>
      <c r="D300" s="21" t="s">
        <v>183</v>
      </c>
      <c r="E300" s="21" t="s">
        <v>183</v>
      </c>
      <c r="F300" s="21" t="s">
        <v>183</v>
      </c>
      <c r="G300" s="21" t="s">
        <v>93</v>
      </c>
      <c r="H300" s="21" t="s">
        <v>2733</v>
      </c>
      <c r="I300" s="21" t="s">
        <v>1433</v>
      </c>
      <c r="J300" s="21" t="s">
        <v>2734</v>
      </c>
      <c r="K300" s="21" t="e">
        <f t="shared" ca="1" si="2"/>
        <v>#NAME?</v>
      </c>
      <c r="L300" s="24">
        <v>1982</v>
      </c>
      <c r="M300" s="21">
        <v>2009</v>
      </c>
      <c r="N300" s="21" t="s">
        <v>315</v>
      </c>
      <c r="O300" s="21" t="s">
        <v>316</v>
      </c>
      <c r="P300" s="26">
        <v>2622391929</v>
      </c>
      <c r="Q300" s="26" t="e">
        <f t="shared" ca="1" si="3"/>
        <v>#NAME?</v>
      </c>
      <c r="R300" s="21" t="s">
        <v>1324</v>
      </c>
      <c r="S300" s="21" t="s">
        <v>2735</v>
      </c>
      <c r="T300" s="21">
        <v>7603053428</v>
      </c>
      <c r="U300" s="21" t="s">
        <v>2736</v>
      </c>
      <c r="V300" s="21" t="s">
        <v>127</v>
      </c>
      <c r="W300" s="21" t="s">
        <v>307</v>
      </c>
      <c r="X300" s="21" t="s">
        <v>211</v>
      </c>
      <c r="Y300" s="21" t="s">
        <v>211</v>
      </c>
      <c r="Z300" s="21" t="s">
        <v>127</v>
      </c>
      <c r="AA300" s="21" t="s">
        <v>450</v>
      </c>
      <c r="AB300" s="21" t="s">
        <v>129</v>
      </c>
      <c r="AC300" s="21" t="s">
        <v>2737</v>
      </c>
      <c r="AD300" s="21" t="s">
        <v>287</v>
      </c>
      <c r="AE300" s="21" t="s">
        <v>332</v>
      </c>
      <c r="AF300" s="21" t="s">
        <v>135</v>
      </c>
      <c r="AG300" s="21" t="s">
        <v>135</v>
      </c>
      <c r="AH300" s="21" t="s">
        <v>135</v>
      </c>
      <c r="AI300" s="21" t="s">
        <v>135</v>
      </c>
    </row>
    <row r="301" spans="1:36" ht="15.75" customHeight="1" x14ac:dyDescent="0.3">
      <c r="A301" s="21">
        <v>2025</v>
      </c>
      <c r="B301" s="22">
        <v>45891.957504675927</v>
      </c>
      <c r="C301" s="21" t="s">
        <v>183</v>
      </c>
      <c r="D301" s="21" t="s">
        <v>183</v>
      </c>
      <c r="E301" s="21" t="s">
        <v>183</v>
      </c>
      <c r="F301" s="21" t="s">
        <v>183</v>
      </c>
      <c r="G301" s="21" t="s">
        <v>93</v>
      </c>
      <c r="H301" s="21" t="s">
        <v>2738</v>
      </c>
      <c r="I301" s="21" t="s">
        <v>1774</v>
      </c>
      <c r="J301" s="21" t="s">
        <v>1377</v>
      </c>
      <c r="K301" s="21" t="e">
        <f t="shared" ca="1" si="2"/>
        <v>#NAME?</v>
      </c>
      <c r="L301" s="24">
        <v>1957</v>
      </c>
      <c r="M301" s="21">
        <v>1981</v>
      </c>
      <c r="N301" s="21" t="s">
        <v>111</v>
      </c>
      <c r="O301" s="21" t="s">
        <v>112</v>
      </c>
      <c r="P301" s="26">
        <v>9010023248</v>
      </c>
      <c r="Q301" s="26" t="e">
        <f t="shared" ca="1" si="3"/>
        <v>#NAME?</v>
      </c>
      <c r="R301" s="21" t="s">
        <v>2739</v>
      </c>
      <c r="S301" s="21" t="s">
        <v>2740</v>
      </c>
      <c r="T301" s="21" t="s">
        <v>2741</v>
      </c>
      <c r="U301" s="21" t="s">
        <v>2742</v>
      </c>
      <c r="V301" s="21" t="s">
        <v>127</v>
      </c>
      <c r="W301" s="21" t="s">
        <v>2743</v>
      </c>
      <c r="X301" s="21" t="s">
        <v>179</v>
      </c>
      <c r="Y301" s="21" t="s">
        <v>2744</v>
      </c>
      <c r="Z301" s="21" t="s">
        <v>127</v>
      </c>
      <c r="AA301" s="21" t="s">
        <v>2745</v>
      </c>
      <c r="AB301" s="21" t="s">
        <v>129</v>
      </c>
      <c r="AC301" s="21" t="s">
        <v>2746</v>
      </c>
      <c r="AD301" s="21" t="s">
        <v>132</v>
      </c>
      <c r="AE301" s="21" t="s">
        <v>332</v>
      </c>
      <c r="AF301" s="21" t="s">
        <v>135</v>
      </c>
      <c r="AG301" s="21" t="s">
        <v>135</v>
      </c>
      <c r="AH301" s="21" t="s">
        <v>135</v>
      </c>
      <c r="AI301" s="21" t="s">
        <v>135</v>
      </c>
      <c r="AJ301" s="21" t="s">
        <v>2747</v>
      </c>
    </row>
    <row r="302" spans="1:36" ht="15.75" customHeight="1" x14ac:dyDescent="0.3">
      <c r="A302" s="21">
        <v>2025</v>
      </c>
      <c r="B302" s="22">
        <v>45894.91190550926</v>
      </c>
      <c r="C302" s="21" t="s">
        <v>183</v>
      </c>
      <c r="D302" s="21" t="s">
        <v>183</v>
      </c>
      <c r="E302" s="21" t="s">
        <v>183</v>
      </c>
      <c r="F302" s="21" t="s">
        <v>183</v>
      </c>
      <c r="G302" s="21" t="s">
        <v>93</v>
      </c>
      <c r="H302" s="21" t="s">
        <v>2748</v>
      </c>
      <c r="I302" s="21" t="s">
        <v>2749</v>
      </c>
      <c r="J302" s="21" t="s">
        <v>1670</v>
      </c>
      <c r="K302" s="21" t="e">
        <f t="shared" ca="1" si="2"/>
        <v>#NAME?</v>
      </c>
      <c r="L302" s="24">
        <v>1961</v>
      </c>
      <c r="M302" s="21">
        <v>1989</v>
      </c>
      <c r="N302" s="21" t="s">
        <v>402</v>
      </c>
      <c r="O302" s="21" t="s">
        <v>316</v>
      </c>
      <c r="P302" s="26">
        <v>2035210971</v>
      </c>
      <c r="Q302" s="26" t="e">
        <f t="shared" ca="1" si="3"/>
        <v>#NAME?</v>
      </c>
      <c r="R302" s="21" t="s">
        <v>2750</v>
      </c>
      <c r="S302" s="21" t="s">
        <v>2751</v>
      </c>
      <c r="T302" s="21">
        <v>2036750874</v>
      </c>
      <c r="U302" s="21" t="s">
        <v>2752</v>
      </c>
      <c r="V302" s="21" t="s">
        <v>127</v>
      </c>
      <c r="W302" s="21" t="s">
        <v>307</v>
      </c>
      <c r="X302" s="21" t="s">
        <v>1882</v>
      </c>
      <c r="Y302" s="21" t="s">
        <v>1882</v>
      </c>
      <c r="Z302" s="21" t="s">
        <v>127</v>
      </c>
      <c r="AA302" s="21" t="s">
        <v>1096</v>
      </c>
      <c r="AB302" s="21" t="s">
        <v>129</v>
      </c>
      <c r="AC302" s="21" t="s">
        <v>2753</v>
      </c>
      <c r="AD302" s="21" t="s">
        <v>287</v>
      </c>
      <c r="AE302" s="21" t="s">
        <v>133</v>
      </c>
      <c r="AF302" s="21" t="s">
        <v>686</v>
      </c>
      <c r="AG302" s="21" t="s">
        <v>135</v>
      </c>
      <c r="AH302" s="21" t="s">
        <v>135</v>
      </c>
      <c r="AI302" s="21" t="s">
        <v>135</v>
      </c>
    </row>
    <row r="303" spans="1:36" ht="15.75" customHeight="1" x14ac:dyDescent="0.3">
      <c r="A303" s="21">
        <v>2025</v>
      </c>
      <c r="B303" s="22">
        <v>45896.270703842594</v>
      </c>
      <c r="C303" s="21" t="s">
        <v>183</v>
      </c>
      <c r="D303" s="21" t="s">
        <v>183</v>
      </c>
      <c r="E303" s="21" t="s">
        <v>183</v>
      </c>
      <c r="F303" s="21" t="s">
        <v>183</v>
      </c>
      <c r="G303" s="21" t="s">
        <v>93</v>
      </c>
      <c r="H303" s="21" t="s">
        <v>2754</v>
      </c>
      <c r="I303" s="21" t="s">
        <v>2755</v>
      </c>
      <c r="J303" s="21" t="s">
        <v>2756</v>
      </c>
      <c r="K303" s="21" t="e">
        <f t="shared" ca="1" si="2"/>
        <v>#NAME?</v>
      </c>
      <c r="L303" s="24">
        <v>1986</v>
      </c>
      <c r="M303" s="21">
        <v>2001</v>
      </c>
      <c r="N303" s="21" t="s">
        <v>111</v>
      </c>
      <c r="O303" s="21" t="s">
        <v>112</v>
      </c>
      <c r="P303" s="26">
        <v>9886884528</v>
      </c>
      <c r="Q303" s="26" t="e">
        <f t="shared" ca="1" si="3"/>
        <v>#NAME?</v>
      </c>
      <c r="R303" s="21" t="s">
        <v>188</v>
      </c>
      <c r="S303" s="21" t="s">
        <v>2757</v>
      </c>
      <c r="T303" s="21">
        <v>9886133677</v>
      </c>
      <c r="U303" s="21" t="s">
        <v>2758</v>
      </c>
      <c r="V303" s="21" t="s">
        <v>127</v>
      </c>
      <c r="W303" s="21" t="s">
        <v>328</v>
      </c>
      <c r="X303" s="21" t="s">
        <v>179</v>
      </c>
      <c r="Y303" s="21" t="s">
        <v>179</v>
      </c>
      <c r="Z303" s="21" t="s">
        <v>127</v>
      </c>
      <c r="AA303" s="21" t="s">
        <v>2759</v>
      </c>
      <c r="AB303" s="21" t="s">
        <v>129</v>
      </c>
      <c r="AC303" s="21" t="s">
        <v>1069</v>
      </c>
      <c r="AD303" s="21" t="s">
        <v>132</v>
      </c>
      <c r="AE303" s="21" t="s">
        <v>133</v>
      </c>
      <c r="AF303" s="21" t="s">
        <v>135</v>
      </c>
      <c r="AG303" s="21" t="s">
        <v>135</v>
      </c>
      <c r="AH303" s="21" t="s">
        <v>135</v>
      </c>
      <c r="AI303" s="21" t="s">
        <v>135</v>
      </c>
    </row>
    <row r="304" spans="1:36" ht="15.75" customHeight="1" x14ac:dyDescent="0.3">
      <c r="A304" s="21">
        <v>2025</v>
      </c>
      <c r="B304" s="22">
        <v>45899.361005300925</v>
      </c>
      <c r="C304" s="21" t="s">
        <v>183</v>
      </c>
      <c r="D304" s="21" t="s">
        <v>183</v>
      </c>
      <c r="E304" s="21" t="s">
        <v>183</v>
      </c>
      <c r="F304" s="21" t="s">
        <v>183</v>
      </c>
      <c r="G304" s="21" t="s">
        <v>93</v>
      </c>
      <c r="H304" s="21" t="s">
        <v>2760</v>
      </c>
      <c r="I304" s="21" t="s">
        <v>549</v>
      </c>
      <c r="J304" s="21" t="s">
        <v>2763</v>
      </c>
      <c r="K304" s="21" t="e">
        <f t="shared" ca="1" si="2"/>
        <v>#NAME?</v>
      </c>
      <c r="L304" s="24">
        <v>1991</v>
      </c>
      <c r="M304" s="21">
        <v>2009</v>
      </c>
      <c r="N304" s="21" t="s">
        <v>111</v>
      </c>
      <c r="O304" s="21" t="s">
        <v>112</v>
      </c>
      <c r="P304" s="26">
        <v>7382162939</v>
      </c>
      <c r="Q304" s="26" t="e">
        <f t="shared" ca="1" si="3"/>
        <v>#NAME?</v>
      </c>
      <c r="R304" s="21" t="s">
        <v>2764</v>
      </c>
      <c r="S304" s="21" t="s">
        <v>2765</v>
      </c>
      <c r="T304" s="21">
        <v>9000580605</v>
      </c>
      <c r="U304" s="21" t="s">
        <v>2766</v>
      </c>
      <c r="V304" s="21" t="s">
        <v>284</v>
      </c>
      <c r="W304" s="21" t="s">
        <v>2767</v>
      </c>
      <c r="X304" s="21" t="s">
        <v>2768</v>
      </c>
      <c r="Y304" s="21" t="s">
        <v>2769</v>
      </c>
      <c r="Z304" s="21" t="s">
        <v>127</v>
      </c>
      <c r="AA304" s="21" t="s">
        <v>2770</v>
      </c>
      <c r="AB304" s="21" t="s">
        <v>129</v>
      </c>
      <c r="AC304" s="21" t="s">
        <v>2771</v>
      </c>
      <c r="AD304" s="21" t="s">
        <v>169</v>
      </c>
      <c r="AE304" s="21" t="s">
        <v>133</v>
      </c>
      <c r="AF304" s="21" t="s">
        <v>135</v>
      </c>
      <c r="AG304" s="21" t="s">
        <v>135</v>
      </c>
      <c r="AH304" s="21" t="s">
        <v>135</v>
      </c>
      <c r="AI304" s="21" t="s">
        <v>135</v>
      </c>
      <c r="AJ304" s="21" t="s">
        <v>2772</v>
      </c>
    </row>
    <row r="305" spans="1:36" ht="15.75" customHeight="1" x14ac:dyDescent="0.3">
      <c r="A305" s="21">
        <v>2025</v>
      </c>
      <c r="B305" s="22">
        <v>45900.904619548615</v>
      </c>
      <c r="C305" s="21" t="s">
        <v>183</v>
      </c>
      <c r="D305" s="21" t="s">
        <v>183</v>
      </c>
      <c r="E305" s="21" t="s">
        <v>183</v>
      </c>
      <c r="F305" s="21" t="s">
        <v>183</v>
      </c>
      <c r="G305" s="21" t="s">
        <v>93</v>
      </c>
      <c r="H305" s="21" t="s">
        <v>2773</v>
      </c>
      <c r="I305" s="21" t="s">
        <v>2774</v>
      </c>
      <c r="J305" s="21" t="s">
        <v>2775</v>
      </c>
      <c r="K305" s="21" t="e">
        <f t="shared" ca="1" si="2"/>
        <v>#NAME?</v>
      </c>
      <c r="L305" s="24">
        <v>1979</v>
      </c>
      <c r="M305" s="21">
        <v>2004</v>
      </c>
      <c r="N305" s="21" t="s">
        <v>402</v>
      </c>
      <c r="O305" s="21" t="s">
        <v>316</v>
      </c>
      <c r="P305" s="26">
        <v>9728340785</v>
      </c>
      <c r="Q305" s="26" t="e">
        <f t="shared" ca="1" si="3"/>
        <v>#NAME?</v>
      </c>
      <c r="R305" s="21" t="s">
        <v>2776</v>
      </c>
      <c r="S305" s="21" t="s">
        <v>2777</v>
      </c>
      <c r="T305" s="21">
        <v>9083073813</v>
      </c>
      <c r="U305" s="21" t="s">
        <v>2778</v>
      </c>
      <c r="V305" s="21" t="s">
        <v>127</v>
      </c>
      <c r="W305" s="21" t="s">
        <v>307</v>
      </c>
      <c r="X305" s="21" t="s">
        <v>352</v>
      </c>
      <c r="Y305" s="21" t="s">
        <v>352</v>
      </c>
      <c r="Z305" s="21" t="s">
        <v>127</v>
      </c>
      <c r="AA305" s="21" t="s">
        <v>2779</v>
      </c>
      <c r="AB305" s="21" t="s">
        <v>129</v>
      </c>
      <c r="AC305" s="21" t="s">
        <v>2780</v>
      </c>
      <c r="AD305" s="21" t="s">
        <v>132</v>
      </c>
      <c r="AE305" s="21" t="s">
        <v>133</v>
      </c>
      <c r="AF305" s="21" t="s">
        <v>135</v>
      </c>
      <c r="AG305" s="21" t="s">
        <v>135</v>
      </c>
      <c r="AH305" s="21" t="s">
        <v>135</v>
      </c>
      <c r="AI305" s="21" t="s">
        <v>135</v>
      </c>
    </row>
    <row r="306" spans="1:36" ht="15.75" customHeight="1" x14ac:dyDescent="0.3">
      <c r="A306" s="21">
        <v>2025</v>
      </c>
      <c r="B306" s="22">
        <v>45902.904102337961</v>
      </c>
      <c r="C306" s="21" t="s">
        <v>183</v>
      </c>
      <c r="D306" s="21" t="s">
        <v>183</v>
      </c>
      <c r="E306" s="21" t="s">
        <v>183</v>
      </c>
      <c r="F306" s="21" t="s">
        <v>183</v>
      </c>
      <c r="G306" s="21" t="s">
        <v>93</v>
      </c>
      <c r="H306" s="21" t="s">
        <v>2781</v>
      </c>
      <c r="I306" s="21" t="s">
        <v>2782</v>
      </c>
      <c r="J306" s="21" t="s">
        <v>2783</v>
      </c>
      <c r="K306" s="21" t="e">
        <f t="shared" ca="1" si="2"/>
        <v>#NAME?</v>
      </c>
      <c r="L306" s="24">
        <v>1977</v>
      </c>
      <c r="M306" s="21">
        <v>2004</v>
      </c>
      <c r="N306" s="21" t="s">
        <v>315</v>
      </c>
      <c r="O306" s="21" t="s">
        <v>316</v>
      </c>
      <c r="P306" s="26">
        <v>2487978940</v>
      </c>
      <c r="Q306" s="26" t="e">
        <f t="shared" ca="1" si="3"/>
        <v>#NAME?</v>
      </c>
      <c r="R306" s="21" t="s">
        <v>1501</v>
      </c>
      <c r="S306" s="21" t="s">
        <v>2109</v>
      </c>
      <c r="T306" s="21" t="s">
        <v>2784</v>
      </c>
      <c r="U306" s="21" t="s">
        <v>2785</v>
      </c>
      <c r="V306" s="21" t="s">
        <v>582</v>
      </c>
      <c r="W306" s="21" t="s">
        <v>2786</v>
      </c>
      <c r="X306" s="21" t="s">
        <v>308</v>
      </c>
      <c r="Y306" s="21" t="s">
        <v>2787</v>
      </c>
      <c r="Z306" s="21" t="s">
        <v>127</v>
      </c>
      <c r="AA306" s="21" t="s">
        <v>285</v>
      </c>
      <c r="AB306" s="21" t="s">
        <v>129</v>
      </c>
      <c r="AC306" s="21" t="s">
        <v>2788</v>
      </c>
      <c r="AD306" s="21" t="s">
        <v>169</v>
      </c>
      <c r="AE306" s="21" t="s">
        <v>133</v>
      </c>
      <c r="AF306" s="21" t="s">
        <v>135</v>
      </c>
      <c r="AG306" s="21" t="s">
        <v>135</v>
      </c>
      <c r="AH306" s="21" t="s">
        <v>135</v>
      </c>
      <c r="AI306" s="21" t="s">
        <v>135</v>
      </c>
    </row>
    <row r="307" spans="1:36" ht="15.75" customHeight="1" x14ac:dyDescent="0.3">
      <c r="A307" s="21">
        <v>2025</v>
      </c>
      <c r="B307" s="22">
        <v>45903.648212002314</v>
      </c>
      <c r="C307" s="21" t="s">
        <v>183</v>
      </c>
      <c r="D307" s="21" t="s">
        <v>183</v>
      </c>
      <c r="E307" s="21" t="s">
        <v>183</v>
      </c>
      <c r="F307" s="21" t="s">
        <v>183</v>
      </c>
      <c r="G307" s="21" t="s">
        <v>93</v>
      </c>
      <c r="H307" s="21" t="s">
        <v>2789</v>
      </c>
      <c r="I307" s="21" t="s">
        <v>2790</v>
      </c>
      <c r="J307" s="21" t="s">
        <v>2791</v>
      </c>
      <c r="K307" s="21" t="e">
        <f t="shared" ca="1" si="2"/>
        <v>#NAME?</v>
      </c>
      <c r="L307" s="24">
        <v>1989</v>
      </c>
      <c r="M307" s="21">
        <v>2016</v>
      </c>
      <c r="N307" s="21" t="s">
        <v>402</v>
      </c>
      <c r="O307" s="21" t="s">
        <v>316</v>
      </c>
      <c r="P307" s="26">
        <v>7079084577</v>
      </c>
      <c r="Q307" s="26" t="e">
        <f t="shared" ca="1" si="3"/>
        <v>#NAME?</v>
      </c>
      <c r="R307" s="21" t="s">
        <v>1780</v>
      </c>
      <c r="S307" s="21" t="s">
        <v>2792</v>
      </c>
      <c r="T307" s="21" t="s">
        <v>2793</v>
      </c>
      <c r="U307" s="21" t="s">
        <v>2794</v>
      </c>
      <c r="V307" s="21" t="s">
        <v>284</v>
      </c>
      <c r="W307" s="21" t="s">
        <v>123</v>
      </c>
      <c r="X307" s="21" t="s">
        <v>376</v>
      </c>
      <c r="Y307" s="21" t="s">
        <v>376</v>
      </c>
      <c r="Z307" s="21" t="s">
        <v>284</v>
      </c>
      <c r="AA307" s="21" t="s">
        <v>297</v>
      </c>
      <c r="AB307" s="21" t="s">
        <v>129</v>
      </c>
      <c r="AC307" s="21" t="s">
        <v>2795</v>
      </c>
      <c r="AD307" s="21" t="s">
        <v>287</v>
      </c>
      <c r="AE307" s="21" t="s">
        <v>332</v>
      </c>
      <c r="AF307" s="21" t="s">
        <v>135</v>
      </c>
      <c r="AG307" s="21" t="s">
        <v>135</v>
      </c>
      <c r="AH307" s="21" t="s">
        <v>135</v>
      </c>
      <c r="AI307" s="21" t="s">
        <v>135</v>
      </c>
      <c r="AJ307" s="21" t="s">
        <v>2796</v>
      </c>
    </row>
    <row r="308" spans="1:36" ht="15.75" customHeight="1" x14ac:dyDescent="0.3">
      <c r="A308" s="21">
        <v>2025</v>
      </c>
      <c r="B308" s="22">
        <v>45903.939441331022</v>
      </c>
      <c r="C308" s="21" t="s">
        <v>183</v>
      </c>
      <c r="D308" s="21" t="s">
        <v>183</v>
      </c>
      <c r="E308" s="21" t="s">
        <v>183</v>
      </c>
      <c r="F308" s="21" t="s">
        <v>183</v>
      </c>
      <c r="G308" s="21" t="s">
        <v>93</v>
      </c>
      <c r="H308" s="21" t="s">
        <v>2797</v>
      </c>
      <c r="I308" s="21" t="s">
        <v>2798</v>
      </c>
      <c r="J308" s="21" t="s">
        <v>2799</v>
      </c>
      <c r="K308" s="21" t="e">
        <f t="shared" ca="1" si="2"/>
        <v>#NAME?</v>
      </c>
      <c r="L308" s="24">
        <v>1952</v>
      </c>
      <c r="M308" s="21">
        <v>1968</v>
      </c>
      <c r="N308" s="21" t="s">
        <v>111</v>
      </c>
      <c r="O308" s="21" t="s">
        <v>112</v>
      </c>
      <c r="P308" s="26">
        <v>9731723737</v>
      </c>
      <c r="Q308" s="26" t="e">
        <f t="shared" ca="1" si="3"/>
        <v>#NAME?</v>
      </c>
      <c r="R308" s="21" t="s">
        <v>551</v>
      </c>
      <c r="S308" s="21" t="s">
        <v>2800</v>
      </c>
      <c r="T308" s="21">
        <v>8884090003</v>
      </c>
      <c r="U308" s="21" t="s">
        <v>2801</v>
      </c>
      <c r="V308" s="21" t="s">
        <v>127</v>
      </c>
      <c r="W308" s="21" t="s">
        <v>307</v>
      </c>
      <c r="X308" s="21" t="s">
        <v>536</v>
      </c>
      <c r="Y308" s="21" t="s">
        <v>536</v>
      </c>
      <c r="Z308" s="21" t="s">
        <v>127</v>
      </c>
      <c r="AA308" s="21" t="s">
        <v>2802</v>
      </c>
      <c r="AB308" s="21" t="s">
        <v>129</v>
      </c>
      <c r="AC308" s="21" t="s">
        <v>2803</v>
      </c>
      <c r="AD308" s="21" t="s">
        <v>169</v>
      </c>
      <c r="AE308" s="21" t="s">
        <v>133</v>
      </c>
      <c r="AF308" s="21" t="s">
        <v>135</v>
      </c>
      <c r="AG308" s="21" t="s">
        <v>135</v>
      </c>
      <c r="AH308" s="21" t="s">
        <v>135</v>
      </c>
      <c r="AI308" s="21" t="s">
        <v>135</v>
      </c>
      <c r="AJ308" s="21" t="s">
        <v>2804</v>
      </c>
    </row>
    <row r="309" spans="1:36" ht="15.75" customHeight="1" x14ac:dyDescent="0.3">
      <c r="A309" s="21">
        <v>2025</v>
      </c>
      <c r="B309" s="22">
        <v>45906.3256615625</v>
      </c>
      <c r="C309" s="21" t="s">
        <v>183</v>
      </c>
      <c r="D309" s="21" t="s">
        <v>183</v>
      </c>
      <c r="E309" s="21" t="s">
        <v>183</v>
      </c>
      <c r="F309" s="21" t="s">
        <v>183</v>
      </c>
      <c r="G309" s="21" t="s">
        <v>93</v>
      </c>
      <c r="H309" s="21" t="s">
        <v>2805</v>
      </c>
      <c r="I309" s="21" t="s">
        <v>2806</v>
      </c>
      <c r="J309" s="21" t="s">
        <v>2807</v>
      </c>
      <c r="K309" s="21" t="e">
        <f t="shared" ca="1" si="2"/>
        <v>#NAME?</v>
      </c>
      <c r="L309" s="24">
        <v>1991</v>
      </c>
      <c r="M309" s="21">
        <v>1998</v>
      </c>
      <c r="N309" s="21" t="s">
        <v>111</v>
      </c>
      <c r="O309" s="21" t="s">
        <v>112</v>
      </c>
      <c r="P309" s="26">
        <v>9705607612</v>
      </c>
      <c r="Q309" s="26" t="e">
        <f t="shared" ca="1" si="3"/>
        <v>#NAME?</v>
      </c>
      <c r="R309" s="21" t="s">
        <v>188</v>
      </c>
      <c r="S309" s="21" t="s">
        <v>2808</v>
      </c>
      <c r="T309" s="21">
        <v>9866018385</v>
      </c>
      <c r="U309" s="21" t="s">
        <v>2809</v>
      </c>
      <c r="V309" s="21" t="s">
        <v>127</v>
      </c>
      <c r="W309" s="21" t="s">
        <v>307</v>
      </c>
      <c r="X309" s="21" t="s">
        <v>734</v>
      </c>
      <c r="Y309" s="21" t="s">
        <v>734</v>
      </c>
      <c r="Z309" s="21" t="s">
        <v>2810</v>
      </c>
      <c r="AA309" s="21" t="s">
        <v>450</v>
      </c>
      <c r="AB309" s="21" t="s">
        <v>129</v>
      </c>
      <c r="AC309" s="21" t="s">
        <v>2811</v>
      </c>
      <c r="AD309" s="21" t="s">
        <v>132</v>
      </c>
      <c r="AE309" s="21" t="s">
        <v>133</v>
      </c>
      <c r="AF309" s="21" t="s">
        <v>135</v>
      </c>
      <c r="AG309" s="21" t="s">
        <v>135</v>
      </c>
      <c r="AH309" s="21" t="s">
        <v>135</v>
      </c>
      <c r="AI309" s="21" t="s">
        <v>135</v>
      </c>
    </row>
    <row r="310" spans="1:36" ht="15.75" customHeight="1" x14ac:dyDescent="0.3">
      <c r="A310" s="21">
        <v>2025</v>
      </c>
      <c r="B310" s="22">
        <v>45906.711426377311</v>
      </c>
      <c r="C310" s="21" t="s">
        <v>183</v>
      </c>
      <c r="D310" s="21" t="s">
        <v>183</v>
      </c>
      <c r="E310" s="21" t="s">
        <v>183</v>
      </c>
      <c r="F310" s="21" t="s">
        <v>183</v>
      </c>
      <c r="G310" s="21" t="s">
        <v>93</v>
      </c>
      <c r="H310" s="21" t="s">
        <v>2812</v>
      </c>
      <c r="I310" s="21" t="s">
        <v>2813</v>
      </c>
      <c r="J310" s="21" t="s">
        <v>2066</v>
      </c>
      <c r="K310" s="21" t="e">
        <f t="shared" ca="1" si="2"/>
        <v>#NAME?</v>
      </c>
      <c r="L310" s="24">
        <v>1972</v>
      </c>
      <c r="M310" s="21">
        <v>2001</v>
      </c>
      <c r="N310" s="21" t="s">
        <v>111</v>
      </c>
      <c r="O310" s="21" t="s">
        <v>112</v>
      </c>
      <c r="P310" s="26">
        <v>9849821685</v>
      </c>
      <c r="Q310" s="26" t="e">
        <f t="shared" ca="1" si="3"/>
        <v>#NAME?</v>
      </c>
      <c r="R310" s="21" t="s">
        <v>118</v>
      </c>
      <c r="S310" s="21" t="s">
        <v>2814</v>
      </c>
      <c r="T310" s="21">
        <v>9491392756</v>
      </c>
      <c r="U310" s="21" t="s">
        <v>2815</v>
      </c>
      <c r="V310" s="21" t="s">
        <v>284</v>
      </c>
      <c r="W310" s="21" t="s">
        <v>251</v>
      </c>
      <c r="X310" s="21" t="s">
        <v>581</v>
      </c>
      <c r="Y310" s="21" t="s">
        <v>581</v>
      </c>
      <c r="Z310" s="21" t="s">
        <v>284</v>
      </c>
      <c r="AA310" s="21" t="s">
        <v>2816</v>
      </c>
      <c r="AB310" s="21" t="s">
        <v>129</v>
      </c>
      <c r="AC310" s="21" t="s">
        <v>2817</v>
      </c>
      <c r="AD310" s="21" t="s">
        <v>287</v>
      </c>
      <c r="AE310" s="21" t="s">
        <v>133</v>
      </c>
      <c r="AF310" s="21" t="s">
        <v>135</v>
      </c>
      <c r="AG310" s="21" t="s">
        <v>135</v>
      </c>
      <c r="AH310" s="21" t="s">
        <v>135</v>
      </c>
      <c r="AI310" s="21" t="s">
        <v>135</v>
      </c>
      <c r="AJ310" s="21" t="s">
        <v>2060</v>
      </c>
    </row>
    <row r="311" spans="1:36" ht="15.75" customHeight="1" x14ac:dyDescent="0.3">
      <c r="A311" s="21">
        <v>2025</v>
      </c>
      <c r="B311" s="22">
        <v>45907.279794467591</v>
      </c>
      <c r="C311" s="21" t="s">
        <v>183</v>
      </c>
      <c r="D311" s="21" t="s">
        <v>183</v>
      </c>
      <c r="E311" s="21" t="s">
        <v>183</v>
      </c>
      <c r="F311" s="21" t="s">
        <v>183</v>
      </c>
      <c r="G311" s="21" t="s">
        <v>93</v>
      </c>
      <c r="H311" s="21" t="s">
        <v>2818</v>
      </c>
      <c r="I311" s="21" t="s">
        <v>2819</v>
      </c>
      <c r="J311" s="21" t="s">
        <v>2820</v>
      </c>
      <c r="K311" s="21" t="e">
        <f t="shared" ca="1" si="2"/>
        <v>#NAME?</v>
      </c>
      <c r="L311" s="24">
        <v>1974</v>
      </c>
      <c r="M311" s="21">
        <v>1990</v>
      </c>
      <c r="N311" s="21" t="s">
        <v>260</v>
      </c>
      <c r="O311" s="21" t="s">
        <v>2821</v>
      </c>
      <c r="P311" s="26">
        <v>1734607184</v>
      </c>
      <c r="Q311" s="26" t="e">
        <f t="shared" ca="1" si="3"/>
        <v>#NAME?</v>
      </c>
      <c r="R311" s="21" t="s">
        <v>2822</v>
      </c>
      <c r="S311" s="21" t="s">
        <v>2823</v>
      </c>
      <c r="T311" s="21" t="s">
        <v>2824</v>
      </c>
      <c r="U311" s="21" t="s">
        <v>2826</v>
      </c>
      <c r="V311" s="21" t="s">
        <v>2827</v>
      </c>
      <c r="W311" s="21" t="s">
        <v>123</v>
      </c>
      <c r="X311" s="21" t="s">
        <v>2829</v>
      </c>
      <c r="Y311" s="21" t="s">
        <v>2829</v>
      </c>
      <c r="Z311" s="21" t="s">
        <v>127</v>
      </c>
      <c r="AA311" s="21" t="s">
        <v>2830</v>
      </c>
      <c r="AB311" s="21" t="s">
        <v>129</v>
      </c>
      <c r="AC311" s="21" t="s">
        <v>2831</v>
      </c>
      <c r="AD311" s="21" t="s">
        <v>169</v>
      </c>
      <c r="AE311" s="21" t="s">
        <v>133</v>
      </c>
      <c r="AF311" s="21" t="s">
        <v>135</v>
      </c>
      <c r="AG311" s="21" t="s">
        <v>135</v>
      </c>
      <c r="AH311" s="21" t="s">
        <v>135</v>
      </c>
      <c r="AI311" s="21" t="s">
        <v>135</v>
      </c>
    </row>
    <row r="312" spans="1:36" ht="15.75" customHeight="1" x14ac:dyDescent="0.3">
      <c r="A312" s="21">
        <v>2025</v>
      </c>
      <c r="B312" s="22">
        <v>45907.569202141203</v>
      </c>
      <c r="C312" s="21" t="s">
        <v>183</v>
      </c>
      <c r="D312" s="21" t="s">
        <v>183</v>
      </c>
      <c r="E312" s="21" t="s">
        <v>183</v>
      </c>
      <c r="F312" s="21" t="s">
        <v>183</v>
      </c>
      <c r="G312" s="21" t="s">
        <v>93</v>
      </c>
      <c r="H312" s="21" t="s">
        <v>2832</v>
      </c>
      <c r="I312" s="21" t="s">
        <v>2691</v>
      </c>
      <c r="J312" s="21" t="s">
        <v>520</v>
      </c>
      <c r="K312" s="21" t="e">
        <f t="shared" ca="1" si="2"/>
        <v>#NAME?</v>
      </c>
      <c r="L312" s="24">
        <v>1978</v>
      </c>
      <c r="M312" s="21">
        <v>1990</v>
      </c>
      <c r="N312" s="21" t="s">
        <v>111</v>
      </c>
      <c r="O312" s="21" t="s">
        <v>112</v>
      </c>
      <c r="P312" s="26">
        <v>8008139732</v>
      </c>
      <c r="Q312" s="26" t="e">
        <f t="shared" ca="1" si="3"/>
        <v>#NAME?</v>
      </c>
      <c r="R312" s="21" t="s">
        <v>485</v>
      </c>
      <c r="S312" s="21" t="s">
        <v>2833</v>
      </c>
      <c r="T312" s="21" t="s">
        <v>2834</v>
      </c>
      <c r="U312" s="21" t="s">
        <v>2835</v>
      </c>
      <c r="V312" s="21" t="s">
        <v>127</v>
      </c>
      <c r="W312" s="21" t="s">
        <v>2836</v>
      </c>
      <c r="X312" s="21" t="s">
        <v>2837</v>
      </c>
      <c r="Y312" s="21" t="s">
        <v>2838</v>
      </c>
      <c r="Z312" s="21" t="s">
        <v>127</v>
      </c>
      <c r="AA312" s="21" t="s">
        <v>450</v>
      </c>
      <c r="AB312" s="21" t="s">
        <v>129</v>
      </c>
      <c r="AC312" s="21" t="s">
        <v>2839</v>
      </c>
      <c r="AD312" s="21" t="s">
        <v>132</v>
      </c>
      <c r="AE312" s="21" t="s">
        <v>133</v>
      </c>
      <c r="AF312" s="21" t="s">
        <v>135</v>
      </c>
      <c r="AG312" s="21" t="s">
        <v>135</v>
      </c>
      <c r="AH312" s="21" t="s">
        <v>135</v>
      </c>
      <c r="AI312" s="21" t="s">
        <v>135</v>
      </c>
      <c r="AJ312" s="21" t="s">
        <v>2840</v>
      </c>
    </row>
    <row r="313" spans="1:36" ht="15.75" customHeight="1" x14ac:dyDescent="0.3">
      <c r="A313" s="21">
        <v>2025</v>
      </c>
      <c r="B313" s="22">
        <v>45908.44211423611</v>
      </c>
      <c r="C313" s="21" t="s">
        <v>183</v>
      </c>
      <c r="D313" s="21" t="s">
        <v>183</v>
      </c>
      <c r="E313" s="21" t="s">
        <v>183</v>
      </c>
      <c r="F313" s="21" t="s">
        <v>183</v>
      </c>
      <c r="G313" s="21" t="s">
        <v>93</v>
      </c>
      <c r="H313" s="21" t="s">
        <v>2841</v>
      </c>
      <c r="I313" s="21" t="s">
        <v>2522</v>
      </c>
      <c r="J313" s="21" t="s">
        <v>2842</v>
      </c>
      <c r="K313" s="21" t="e">
        <f t="shared" ca="1" si="2"/>
        <v>#NAME?</v>
      </c>
      <c r="L313" s="24">
        <v>1979</v>
      </c>
      <c r="M313" s="21">
        <v>2005</v>
      </c>
      <c r="N313" s="21" t="s">
        <v>474</v>
      </c>
      <c r="O313" s="21" t="s">
        <v>316</v>
      </c>
      <c r="P313" s="26">
        <v>8584373482</v>
      </c>
      <c r="Q313" s="26" t="e">
        <f t="shared" ca="1" si="3"/>
        <v>#NAME?</v>
      </c>
      <c r="R313" s="21" t="s">
        <v>2843</v>
      </c>
      <c r="S313" s="21" t="s">
        <v>2844</v>
      </c>
      <c r="T313" s="21" t="s">
        <v>2845</v>
      </c>
      <c r="U313" s="21" t="s">
        <v>2846</v>
      </c>
      <c r="V313" s="21" t="s">
        <v>127</v>
      </c>
      <c r="W313" s="21" t="s">
        <v>307</v>
      </c>
      <c r="X313" s="21" t="s">
        <v>211</v>
      </c>
      <c r="Y313" s="21" t="s">
        <v>211</v>
      </c>
      <c r="Z313" s="21" t="s">
        <v>127</v>
      </c>
      <c r="AA313" s="21" t="s">
        <v>2847</v>
      </c>
      <c r="AB313" s="21" t="s">
        <v>129</v>
      </c>
      <c r="AC313" s="21" t="s">
        <v>2848</v>
      </c>
      <c r="AD313" s="21" t="s">
        <v>132</v>
      </c>
      <c r="AE313" s="21" t="s">
        <v>133</v>
      </c>
      <c r="AF313" s="21" t="s">
        <v>135</v>
      </c>
      <c r="AG313" s="21" t="s">
        <v>135</v>
      </c>
      <c r="AH313" s="21" t="s">
        <v>135</v>
      </c>
      <c r="AI313" s="21" t="s">
        <v>135</v>
      </c>
    </row>
    <row r="314" spans="1:36" ht="15.75" customHeight="1" x14ac:dyDescent="0.3">
      <c r="A314" s="21">
        <v>2025</v>
      </c>
      <c r="B314" s="22">
        <v>45911.130828854162</v>
      </c>
      <c r="C314" s="21" t="s">
        <v>183</v>
      </c>
      <c r="D314" s="21" t="s">
        <v>183</v>
      </c>
      <c r="E314" s="21" t="s">
        <v>183</v>
      </c>
      <c r="F314" s="21" t="s">
        <v>183</v>
      </c>
      <c r="G314" s="21" t="s">
        <v>93</v>
      </c>
      <c r="H314" s="21" t="s">
        <v>2849</v>
      </c>
      <c r="I314" s="21" t="s">
        <v>2484</v>
      </c>
      <c r="J314" s="21" t="s">
        <v>2850</v>
      </c>
      <c r="K314" s="21" t="e">
        <f t="shared" ca="1" si="2"/>
        <v>#NAME?</v>
      </c>
      <c r="L314" s="24">
        <v>1991</v>
      </c>
      <c r="M314" s="21">
        <v>2017</v>
      </c>
      <c r="N314" s="21" t="s">
        <v>111</v>
      </c>
      <c r="O314" s="21" t="s">
        <v>112</v>
      </c>
      <c r="P314" s="26">
        <v>8309582189</v>
      </c>
      <c r="Q314" s="26" t="e">
        <f t="shared" ca="1" si="3"/>
        <v>#NAME?</v>
      </c>
      <c r="R314" s="21" t="s">
        <v>664</v>
      </c>
      <c r="S314" s="21" t="s">
        <v>2851</v>
      </c>
      <c r="T314" s="21">
        <v>9945549236</v>
      </c>
      <c r="U314" s="21" t="s">
        <v>2852</v>
      </c>
      <c r="V314" s="21" t="s">
        <v>127</v>
      </c>
      <c r="W314" s="21" t="s">
        <v>307</v>
      </c>
      <c r="X314" s="21" t="s">
        <v>2853</v>
      </c>
      <c r="Y314" s="21" t="s">
        <v>1573</v>
      </c>
      <c r="Z314" s="21" t="s">
        <v>127</v>
      </c>
      <c r="AA314" s="21" t="s">
        <v>450</v>
      </c>
      <c r="AB314" s="21" t="s">
        <v>129</v>
      </c>
      <c r="AC314" s="21" t="s">
        <v>2854</v>
      </c>
      <c r="AD314" s="21" t="s">
        <v>132</v>
      </c>
      <c r="AE314" s="21" t="s">
        <v>133</v>
      </c>
      <c r="AF314" s="21" t="s">
        <v>135</v>
      </c>
      <c r="AG314" s="21" t="s">
        <v>135</v>
      </c>
      <c r="AH314" s="21" t="s">
        <v>135</v>
      </c>
      <c r="AI314" s="21" t="s">
        <v>135</v>
      </c>
      <c r="AJ314" s="21" t="s">
        <v>2855</v>
      </c>
    </row>
    <row r="315" spans="1:36" ht="15.75" customHeight="1" x14ac:dyDescent="0.3">
      <c r="A315" s="21">
        <v>2025</v>
      </c>
      <c r="B315" s="22">
        <v>45913.93117512732</v>
      </c>
      <c r="C315" s="21" t="s">
        <v>183</v>
      </c>
      <c r="D315" s="21" t="s">
        <v>183</v>
      </c>
      <c r="E315" s="21" t="s">
        <v>183</v>
      </c>
      <c r="F315" s="21" t="s">
        <v>183</v>
      </c>
      <c r="G315" s="21" t="s">
        <v>93</v>
      </c>
      <c r="H315" s="21" t="s">
        <v>2856</v>
      </c>
      <c r="I315" s="21" t="s">
        <v>1692</v>
      </c>
      <c r="J315" s="21" t="s">
        <v>2857</v>
      </c>
      <c r="K315" s="21" t="e">
        <f t="shared" ca="1" si="2"/>
        <v>#NAME?</v>
      </c>
      <c r="L315" s="24">
        <v>1993</v>
      </c>
      <c r="M315" s="21">
        <v>2009</v>
      </c>
      <c r="N315" s="21" t="s">
        <v>111</v>
      </c>
      <c r="O315" s="21" t="s">
        <v>112</v>
      </c>
      <c r="P315" s="26">
        <v>8978803381</v>
      </c>
      <c r="Q315" s="26" t="e">
        <f t="shared" ca="1" si="3"/>
        <v>#NAME?</v>
      </c>
      <c r="R315" s="21" t="s">
        <v>188</v>
      </c>
      <c r="S315" s="21" t="s">
        <v>2858</v>
      </c>
      <c r="T315" s="21">
        <v>9505312239</v>
      </c>
      <c r="U315" s="21" t="s">
        <v>2859</v>
      </c>
      <c r="V315" s="21" t="s">
        <v>127</v>
      </c>
      <c r="W315" s="21" t="s">
        <v>307</v>
      </c>
      <c r="X315" s="21" t="s">
        <v>308</v>
      </c>
      <c r="Y315" s="21" t="s">
        <v>308</v>
      </c>
      <c r="Z315" s="21" t="s">
        <v>127</v>
      </c>
      <c r="AA315" s="21" t="s">
        <v>2860</v>
      </c>
      <c r="AB315" s="21" t="s">
        <v>129</v>
      </c>
      <c r="AC315" s="21" t="s">
        <v>2861</v>
      </c>
      <c r="AD315" s="21" t="s">
        <v>287</v>
      </c>
      <c r="AE315" s="21" t="s">
        <v>133</v>
      </c>
      <c r="AF315" s="21" t="s">
        <v>135</v>
      </c>
      <c r="AG315" s="21" t="s">
        <v>135</v>
      </c>
      <c r="AH315" s="21" t="s">
        <v>135</v>
      </c>
      <c r="AI315" s="21" t="s">
        <v>135</v>
      </c>
      <c r="AJ315" s="21" t="s">
        <v>2862</v>
      </c>
    </row>
    <row r="316" spans="1:36" ht="15.75" customHeight="1" x14ac:dyDescent="0.3">
      <c r="A316" s="21">
        <v>2025</v>
      </c>
      <c r="B316" s="22">
        <v>45915.360243483796</v>
      </c>
      <c r="C316" s="21" t="s">
        <v>183</v>
      </c>
      <c r="D316" s="21" t="s">
        <v>183</v>
      </c>
      <c r="E316" s="21" t="s">
        <v>183</v>
      </c>
      <c r="F316" s="21" t="s">
        <v>183</v>
      </c>
      <c r="G316" s="21" t="s">
        <v>256</v>
      </c>
      <c r="H316" s="21" t="s">
        <v>2863</v>
      </c>
      <c r="I316" s="21" t="s">
        <v>2552</v>
      </c>
      <c r="J316" s="21" t="s">
        <v>2864</v>
      </c>
      <c r="K316" s="21" t="e">
        <f t="shared" ca="1" si="2"/>
        <v>#NAME?</v>
      </c>
      <c r="L316" s="24">
        <v>2013</v>
      </c>
      <c r="M316" s="21">
        <v>2023</v>
      </c>
      <c r="N316" s="21" t="s">
        <v>111</v>
      </c>
      <c r="O316" s="21" t="s">
        <v>112</v>
      </c>
      <c r="P316" s="26">
        <v>7618732999</v>
      </c>
      <c r="Q316" s="26" t="e">
        <f t="shared" ca="1" si="3"/>
        <v>#NAME?</v>
      </c>
      <c r="R316" s="21" t="s">
        <v>485</v>
      </c>
      <c r="S316" s="21" t="s">
        <v>2865</v>
      </c>
      <c r="T316" s="21" t="s">
        <v>2866</v>
      </c>
      <c r="U316" s="21" t="s">
        <v>127</v>
      </c>
      <c r="V316" s="21" t="s">
        <v>2867</v>
      </c>
      <c r="W316" s="21" t="s">
        <v>162</v>
      </c>
      <c r="X316" s="21" t="s">
        <v>2868</v>
      </c>
      <c r="Y316" s="21" t="s">
        <v>2869</v>
      </c>
      <c r="Z316" s="21" t="s">
        <v>2870</v>
      </c>
      <c r="AA316" s="21" t="s">
        <v>2871</v>
      </c>
      <c r="AB316" s="21" t="s">
        <v>2251</v>
      </c>
      <c r="AC316" s="21" t="s">
        <v>2872</v>
      </c>
      <c r="AD316" s="21" t="s">
        <v>132</v>
      </c>
      <c r="AE316" s="21" t="s">
        <v>133</v>
      </c>
      <c r="AF316" s="21" t="s">
        <v>135</v>
      </c>
      <c r="AG316" s="21" t="s">
        <v>135</v>
      </c>
      <c r="AH316" s="21" t="s">
        <v>135</v>
      </c>
      <c r="AI316" s="21" t="s">
        <v>135</v>
      </c>
    </row>
    <row r="317" spans="1:36" ht="15.75" customHeight="1" x14ac:dyDescent="0.3">
      <c r="A317" s="21">
        <v>2025</v>
      </c>
      <c r="B317" s="22">
        <v>45915.363954398148</v>
      </c>
      <c r="C317" s="21" t="s">
        <v>183</v>
      </c>
      <c r="D317" s="21" t="s">
        <v>183</v>
      </c>
      <c r="E317" s="21" t="s">
        <v>183</v>
      </c>
      <c r="F317" s="21" t="s">
        <v>183</v>
      </c>
      <c r="G317" s="21" t="s">
        <v>93</v>
      </c>
      <c r="H317" s="21" t="s">
        <v>2873</v>
      </c>
      <c r="I317" s="21" t="s">
        <v>2552</v>
      </c>
      <c r="J317" s="21" t="s">
        <v>2874</v>
      </c>
      <c r="K317" s="21" t="e">
        <f t="shared" ca="1" si="2"/>
        <v>#NAME?</v>
      </c>
      <c r="L317" s="24">
        <v>1986</v>
      </c>
      <c r="M317" s="21">
        <v>1997</v>
      </c>
      <c r="N317" s="21" t="s">
        <v>111</v>
      </c>
      <c r="O317" s="21" t="s">
        <v>112</v>
      </c>
      <c r="P317" s="26">
        <v>7618732999</v>
      </c>
      <c r="Q317" s="26" t="e">
        <f t="shared" ca="1" si="3"/>
        <v>#NAME?</v>
      </c>
      <c r="R317" s="21" t="s">
        <v>485</v>
      </c>
      <c r="S317" s="21" t="s">
        <v>2865</v>
      </c>
      <c r="T317" s="21">
        <v>9951753805</v>
      </c>
      <c r="U317" s="21" t="s">
        <v>2875</v>
      </c>
      <c r="V317" s="21" t="s">
        <v>127</v>
      </c>
      <c r="W317" s="21" t="s">
        <v>162</v>
      </c>
      <c r="X317" s="21" t="s">
        <v>2868</v>
      </c>
      <c r="Y317" s="21" t="s">
        <v>2876</v>
      </c>
      <c r="Z317" s="21" t="s">
        <v>127</v>
      </c>
      <c r="AA317" s="21" t="s">
        <v>1293</v>
      </c>
      <c r="AB317" s="21" t="s">
        <v>129</v>
      </c>
      <c r="AC317" s="21" t="s">
        <v>2877</v>
      </c>
      <c r="AD317" s="21" t="s">
        <v>169</v>
      </c>
      <c r="AE317" s="21" t="s">
        <v>133</v>
      </c>
      <c r="AF317" s="21" t="s">
        <v>135</v>
      </c>
      <c r="AG317" s="21" t="s">
        <v>135</v>
      </c>
      <c r="AH317" s="21" t="s">
        <v>135</v>
      </c>
      <c r="AI317" s="21" t="s">
        <v>135</v>
      </c>
    </row>
    <row r="318" spans="1:36" ht="15.75" customHeight="1" x14ac:dyDescent="0.3">
      <c r="A318" s="21">
        <v>2025</v>
      </c>
      <c r="B318" s="22">
        <v>45915.445180312498</v>
      </c>
      <c r="C318" s="21" t="s">
        <v>183</v>
      </c>
      <c r="D318" s="21" t="s">
        <v>183</v>
      </c>
      <c r="E318" s="21" t="s">
        <v>183</v>
      </c>
      <c r="F318" s="21" t="s">
        <v>183</v>
      </c>
      <c r="G318" s="21" t="s">
        <v>93</v>
      </c>
      <c r="H318" s="21" t="s">
        <v>2878</v>
      </c>
      <c r="I318" s="21" t="s">
        <v>2879</v>
      </c>
      <c r="J318" s="21" t="s">
        <v>2880</v>
      </c>
      <c r="K318" s="21" t="e">
        <f t="shared" ca="1" si="2"/>
        <v>#NAME?</v>
      </c>
      <c r="L318" s="24">
        <v>1980</v>
      </c>
      <c r="M318" s="21">
        <v>2008</v>
      </c>
      <c r="N318" s="21" t="s">
        <v>111</v>
      </c>
      <c r="O318" s="21" t="s">
        <v>112</v>
      </c>
      <c r="P318" s="26">
        <v>9916030759</v>
      </c>
      <c r="Q318" s="26" t="e">
        <f t="shared" ca="1" si="3"/>
        <v>#NAME?</v>
      </c>
      <c r="R318" s="21" t="s">
        <v>551</v>
      </c>
      <c r="S318" s="21" t="s">
        <v>2883</v>
      </c>
      <c r="T318" s="21" t="s">
        <v>2884</v>
      </c>
      <c r="U318" s="21" t="s">
        <v>2885</v>
      </c>
      <c r="V318" s="21" t="s">
        <v>127</v>
      </c>
      <c r="W318" s="21" t="s">
        <v>2886</v>
      </c>
      <c r="X318" s="21" t="s">
        <v>2887</v>
      </c>
      <c r="Y318" s="21" t="s">
        <v>536</v>
      </c>
      <c r="Z318" s="21" t="s">
        <v>127</v>
      </c>
      <c r="AA318" s="21" t="s">
        <v>608</v>
      </c>
      <c r="AB318" s="21" t="s">
        <v>129</v>
      </c>
      <c r="AC318" s="21" t="s">
        <v>2888</v>
      </c>
      <c r="AD318" s="21" t="s">
        <v>169</v>
      </c>
      <c r="AE318" s="21" t="s">
        <v>133</v>
      </c>
      <c r="AF318" s="21" t="s">
        <v>135</v>
      </c>
      <c r="AG318" s="21" t="s">
        <v>135</v>
      </c>
      <c r="AH318" s="21" t="s">
        <v>135</v>
      </c>
      <c r="AI318" s="21" t="s">
        <v>135</v>
      </c>
    </row>
    <row r="319" spans="1:36" ht="15.75" customHeight="1" x14ac:dyDescent="0.3">
      <c r="A319" s="21">
        <v>2025</v>
      </c>
      <c r="B319" s="22">
        <v>45919.290884652779</v>
      </c>
      <c r="C319" s="21" t="s">
        <v>183</v>
      </c>
      <c r="D319" s="21" t="s">
        <v>183</v>
      </c>
      <c r="E319" s="21" t="s">
        <v>183</v>
      </c>
      <c r="F319" s="21" t="s">
        <v>183</v>
      </c>
      <c r="G319" s="21" t="s">
        <v>256</v>
      </c>
      <c r="H319" s="21" t="s">
        <v>2889</v>
      </c>
      <c r="I319" s="21" t="s">
        <v>1380</v>
      </c>
      <c r="J319" s="21" t="s">
        <v>1382</v>
      </c>
      <c r="K319" s="21" t="e">
        <f t="shared" ca="1" si="2"/>
        <v>#NAME?</v>
      </c>
      <c r="L319" s="24">
        <v>2016</v>
      </c>
      <c r="M319" s="21">
        <v>2023</v>
      </c>
      <c r="N319" s="21" t="s">
        <v>111</v>
      </c>
      <c r="O319" s="21" t="s">
        <v>112</v>
      </c>
      <c r="P319" s="26">
        <v>7893641027</v>
      </c>
      <c r="Q319" s="26" t="e">
        <f t="shared" ca="1" si="3"/>
        <v>#NAME?</v>
      </c>
      <c r="R319" s="21" t="s">
        <v>485</v>
      </c>
      <c r="S319" s="21" t="s">
        <v>2890</v>
      </c>
      <c r="T319" s="21">
        <v>9701015511</v>
      </c>
      <c r="U319" s="21" t="s">
        <v>284</v>
      </c>
      <c r="V319" s="21" t="s">
        <v>2891</v>
      </c>
      <c r="W319" s="21" t="s">
        <v>1408</v>
      </c>
      <c r="X319" s="21" t="s">
        <v>211</v>
      </c>
      <c r="Y319" s="21" t="s">
        <v>2172</v>
      </c>
      <c r="Z319" s="21" t="s">
        <v>2892</v>
      </c>
      <c r="AA319" s="21" t="s">
        <v>2893</v>
      </c>
      <c r="AB319" s="21" t="s">
        <v>2251</v>
      </c>
      <c r="AC319" s="21" t="s">
        <v>2894</v>
      </c>
      <c r="AD319" s="21" t="s">
        <v>132</v>
      </c>
      <c r="AE319" s="21" t="s">
        <v>133</v>
      </c>
      <c r="AF319" s="21" t="s">
        <v>135</v>
      </c>
      <c r="AG319" s="21" t="s">
        <v>135</v>
      </c>
      <c r="AH319" s="21" t="s">
        <v>135</v>
      </c>
      <c r="AI319" s="21" t="s">
        <v>135</v>
      </c>
    </row>
    <row r="320" spans="1:36" ht="15.75" customHeight="1" x14ac:dyDescent="0.3">
      <c r="A320" s="21">
        <v>2025</v>
      </c>
      <c r="B320" s="22">
        <v>45928.002711168985</v>
      </c>
      <c r="C320" s="21" t="s">
        <v>183</v>
      </c>
      <c r="D320" s="21" t="s">
        <v>183</v>
      </c>
      <c r="E320" s="21" t="s">
        <v>183</v>
      </c>
      <c r="F320" s="21" t="s">
        <v>183</v>
      </c>
      <c r="G320" s="21" t="s">
        <v>93</v>
      </c>
      <c r="H320" s="21" t="s">
        <v>2895</v>
      </c>
      <c r="I320" s="21" t="s">
        <v>2896</v>
      </c>
      <c r="J320" s="21" t="s">
        <v>2897</v>
      </c>
      <c r="K320" s="21" t="e">
        <f t="shared" ca="1" si="2"/>
        <v>#NAME?</v>
      </c>
      <c r="L320" s="24">
        <v>1981</v>
      </c>
      <c r="M320" s="21">
        <v>2003</v>
      </c>
      <c r="N320" s="21" t="s">
        <v>111</v>
      </c>
      <c r="O320" s="21" t="s">
        <v>112</v>
      </c>
      <c r="P320" s="26">
        <v>9866399637</v>
      </c>
      <c r="Q320" s="26" t="e">
        <f t="shared" ca="1" si="3"/>
        <v>#NAME?</v>
      </c>
      <c r="R320" s="21" t="s">
        <v>1879</v>
      </c>
      <c r="S320" s="21" t="s">
        <v>296</v>
      </c>
      <c r="T320" s="21" t="s">
        <v>296</v>
      </c>
      <c r="U320" s="21" t="s">
        <v>2898</v>
      </c>
      <c r="V320" s="21" t="s">
        <v>296</v>
      </c>
      <c r="W320" s="21" t="s">
        <v>319</v>
      </c>
      <c r="X320" s="21" t="s">
        <v>194</v>
      </c>
      <c r="Y320" s="21" t="s">
        <v>194</v>
      </c>
      <c r="Z320" s="21" t="s">
        <v>296</v>
      </c>
      <c r="AA320" s="21" t="s">
        <v>2899</v>
      </c>
      <c r="AB320" s="21" t="s">
        <v>129</v>
      </c>
      <c r="AC320" s="21" t="s">
        <v>2900</v>
      </c>
      <c r="AD320" s="21" t="s">
        <v>169</v>
      </c>
      <c r="AE320" s="21" t="s">
        <v>133</v>
      </c>
      <c r="AF320" s="21" t="s">
        <v>135</v>
      </c>
      <c r="AG320" s="21" t="s">
        <v>135</v>
      </c>
      <c r="AH320" s="21" t="s">
        <v>135</v>
      </c>
      <c r="AI320" s="21" t="s">
        <v>135</v>
      </c>
      <c r="AJ320" s="21" t="s">
        <v>962</v>
      </c>
    </row>
    <row r="321" spans="1:36" ht="15.75" customHeight="1" x14ac:dyDescent="0.3">
      <c r="A321" s="21">
        <v>2025</v>
      </c>
      <c r="B321" s="22">
        <v>45928.003813460644</v>
      </c>
      <c r="C321" s="21" t="s">
        <v>183</v>
      </c>
      <c r="D321" s="21" t="s">
        <v>183</v>
      </c>
      <c r="E321" s="21" t="s">
        <v>183</v>
      </c>
      <c r="F321" s="21" t="s">
        <v>183</v>
      </c>
      <c r="G321" s="21" t="s">
        <v>93</v>
      </c>
      <c r="H321" s="21" t="s">
        <v>2901</v>
      </c>
      <c r="I321" s="21" t="s">
        <v>2902</v>
      </c>
      <c r="J321" s="21" t="s">
        <v>2903</v>
      </c>
      <c r="K321" s="21" t="e">
        <f t="shared" ca="1" si="2"/>
        <v>#NAME?</v>
      </c>
      <c r="L321" s="24">
        <v>1994</v>
      </c>
      <c r="M321" s="21">
        <v>2017</v>
      </c>
      <c r="N321" s="21" t="s">
        <v>111</v>
      </c>
      <c r="O321" s="21" t="s">
        <v>112</v>
      </c>
      <c r="P321" s="26">
        <v>9177554442</v>
      </c>
      <c r="Q321" s="26" t="e">
        <f t="shared" ca="1" si="3"/>
        <v>#NAME?</v>
      </c>
      <c r="R321" s="21" t="s">
        <v>992</v>
      </c>
      <c r="S321" s="21" t="s">
        <v>2904</v>
      </c>
      <c r="T321" s="21">
        <v>9966016096</v>
      </c>
      <c r="U321" s="21" t="s">
        <v>2905</v>
      </c>
      <c r="V321" s="21" t="s">
        <v>127</v>
      </c>
      <c r="W321" s="21" t="s">
        <v>319</v>
      </c>
      <c r="X321" s="21" t="s">
        <v>536</v>
      </c>
      <c r="Y321" s="21" t="s">
        <v>536</v>
      </c>
      <c r="Z321" s="21" t="s">
        <v>127</v>
      </c>
      <c r="AA321" s="21" t="s">
        <v>608</v>
      </c>
      <c r="AB321" s="21" t="s">
        <v>129</v>
      </c>
      <c r="AC321" s="21" t="s">
        <v>2906</v>
      </c>
      <c r="AD321" s="21" t="s">
        <v>287</v>
      </c>
      <c r="AE321" s="21" t="s">
        <v>133</v>
      </c>
      <c r="AF321" s="21" t="s">
        <v>135</v>
      </c>
      <c r="AG321" s="21" t="s">
        <v>135</v>
      </c>
      <c r="AH321" s="21" t="s">
        <v>135</v>
      </c>
      <c r="AI321" s="21" t="s">
        <v>135</v>
      </c>
      <c r="AJ321" s="21" t="s">
        <v>2907</v>
      </c>
    </row>
    <row r="322" spans="1:36" ht="15.75" customHeight="1" x14ac:dyDescent="0.3">
      <c r="A322" s="21">
        <v>2025</v>
      </c>
      <c r="B322" s="22">
        <v>45932.27582815972</v>
      </c>
      <c r="C322" s="21" t="s">
        <v>183</v>
      </c>
      <c r="D322" s="21" t="s">
        <v>183</v>
      </c>
      <c r="E322" s="21" t="s">
        <v>183</v>
      </c>
      <c r="F322" s="21" t="s">
        <v>183</v>
      </c>
      <c r="G322" s="21" t="s">
        <v>93</v>
      </c>
      <c r="H322" s="21" t="s">
        <v>2908</v>
      </c>
      <c r="I322" s="21" t="s">
        <v>1287</v>
      </c>
      <c r="J322" s="21" t="s">
        <v>520</v>
      </c>
      <c r="K322" s="21" t="e">
        <f t="shared" ca="1" si="2"/>
        <v>#NAME?</v>
      </c>
      <c r="L322" s="24">
        <v>1973</v>
      </c>
      <c r="M322" s="21">
        <v>2000</v>
      </c>
      <c r="N322" s="21" t="s">
        <v>111</v>
      </c>
      <c r="O322" s="21" t="s">
        <v>112</v>
      </c>
      <c r="P322" s="26">
        <v>9849708971</v>
      </c>
      <c r="Q322" s="26" t="e">
        <f t="shared" ca="1" si="3"/>
        <v>#NAME?</v>
      </c>
      <c r="R322" s="21" t="s">
        <v>118</v>
      </c>
      <c r="S322" s="21" t="s">
        <v>2909</v>
      </c>
      <c r="T322" s="21">
        <v>9951753805</v>
      </c>
      <c r="U322" s="21" t="s">
        <v>2910</v>
      </c>
      <c r="V322" s="21" t="s">
        <v>127</v>
      </c>
      <c r="W322" s="21" t="s">
        <v>307</v>
      </c>
      <c r="X322" s="21" t="s">
        <v>2911</v>
      </c>
      <c r="Y322" s="21" t="s">
        <v>211</v>
      </c>
      <c r="Z322" s="21" t="s">
        <v>127</v>
      </c>
      <c r="AA322" s="21" t="s">
        <v>2912</v>
      </c>
      <c r="AB322" s="21" t="s">
        <v>129</v>
      </c>
      <c r="AC322" s="21" t="s">
        <v>2913</v>
      </c>
      <c r="AD322" s="21" t="s">
        <v>132</v>
      </c>
      <c r="AE322" s="21" t="s">
        <v>133</v>
      </c>
      <c r="AF322" s="21" t="s">
        <v>135</v>
      </c>
      <c r="AG322" s="21" t="s">
        <v>135</v>
      </c>
      <c r="AH322" s="21" t="s">
        <v>135</v>
      </c>
      <c r="AI322" s="21" t="s">
        <v>135</v>
      </c>
      <c r="AJ322" s="21" t="s">
        <v>2914</v>
      </c>
    </row>
    <row r="323" spans="1:36" ht="15.75" customHeight="1" x14ac:dyDescent="0.3">
      <c r="A323" s="21">
        <v>2025</v>
      </c>
      <c r="B323" s="22">
        <v>45935.252758414354</v>
      </c>
      <c r="C323" s="21" t="s">
        <v>183</v>
      </c>
      <c r="D323" s="21" t="s">
        <v>183</v>
      </c>
      <c r="E323" s="21" t="s">
        <v>183</v>
      </c>
      <c r="F323" s="21" t="s">
        <v>183</v>
      </c>
      <c r="G323" s="21" t="s">
        <v>93</v>
      </c>
      <c r="H323" s="21" t="s">
        <v>2915</v>
      </c>
      <c r="I323" s="21" t="s">
        <v>2916</v>
      </c>
      <c r="J323" s="21" t="s">
        <v>2917</v>
      </c>
      <c r="K323" s="21" t="e">
        <f t="shared" ca="1" si="2"/>
        <v>#NAME?</v>
      </c>
      <c r="L323" s="24">
        <v>1966</v>
      </c>
      <c r="M323" s="21">
        <v>1985</v>
      </c>
      <c r="N323" s="21" t="s">
        <v>111</v>
      </c>
      <c r="O323" s="21" t="s">
        <v>112</v>
      </c>
      <c r="P323" s="26">
        <v>7675904456</v>
      </c>
      <c r="Q323" s="26" t="e">
        <f t="shared" ca="1" si="3"/>
        <v>#NAME?</v>
      </c>
      <c r="R323" s="21" t="s">
        <v>118</v>
      </c>
      <c r="S323" s="21" t="s">
        <v>2918</v>
      </c>
      <c r="T323" s="21">
        <v>7675904456</v>
      </c>
      <c r="U323" s="21" t="s">
        <v>2919</v>
      </c>
      <c r="V323" s="21" t="s">
        <v>127</v>
      </c>
      <c r="W323" s="21" t="s">
        <v>488</v>
      </c>
      <c r="X323" s="21" t="s">
        <v>536</v>
      </c>
      <c r="Y323" s="21" t="s">
        <v>536</v>
      </c>
      <c r="Z323" s="21" t="s">
        <v>127</v>
      </c>
      <c r="AA323" s="21" t="s">
        <v>2921</v>
      </c>
      <c r="AB323" s="21" t="s">
        <v>129</v>
      </c>
      <c r="AC323" s="21" t="s">
        <v>2923</v>
      </c>
      <c r="AD323" s="21" t="s">
        <v>169</v>
      </c>
      <c r="AE323" s="21" t="s">
        <v>133</v>
      </c>
      <c r="AF323" s="21" t="s">
        <v>135</v>
      </c>
      <c r="AG323" s="21" t="s">
        <v>135</v>
      </c>
      <c r="AH323" s="21" t="s">
        <v>135</v>
      </c>
      <c r="AI323" s="21" t="s">
        <v>135</v>
      </c>
    </row>
    <row r="324" spans="1:36" ht="15.75" customHeight="1" x14ac:dyDescent="0.3">
      <c r="A324" s="21">
        <v>2025</v>
      </c>
      <c r="B324" s="22">
        <v>45935.657737789355</v>
      </c>
      <c r="C324" s="21" t="s">
        <v>183</v>
      </c>
      <c r="D324" s="21" t="s">
        <v>183</v>
      </c>
      <c r="E324" s="21" t="s">
        <v>183</v>
      </c>
      <c r="F324" s="21" t="s">
        <v>183</v>
      </c>
      <c r="G324" s="21" t="s">
        <v>93</v>
      </c>
      <c r="H324" s="21" t="s">
        <v>2924</v>
      </c>
      <c r="I324" s="21" t="s">
        <v>2925</v>
      </c>
      <c r="J324" s="21" t="s">
        <v>281</v>
      </c>
      <c r="K324" s="21" t="e">
        <f t="shared" ca="1" si="2"/>
        <v>#NAME?</v>
      </c>
      <c r="L324" s="24">
        <v>1974</v>
      </c>
      <c r="M324" s="21">
        <v>1997</v>
      </c>
      <c r="N324" s="21" t="s">
        <v>474</v>
      </c>
      <c r="O324" s="21" t="s">
        <v>316</v>
      </c>
      <c r="P324" s="26">
        <v>4254493952</v>
      </c>
      <c r="Q324" s="26" t="e">
        <f t="shared" ca="1" si="3"/>
        <v>#NAME?</v>
      </c>
      <c r="R324" s="21" t="s">
        <v>2927</v>
      </c>
      <c r="S324" s="21" t="s">
        <v>2928</v>
      </c>
      <c r="T324" s="21">
        <v>9491382756</v>
      </c>
      <c r="U324" s="21" t="s">
        <v>2929</v>
      </c>
      <c r="V324" s="21" t="s">
        <v>127</v>
      </c>
      <c r="W324" s="21" t="s">
        <v>219</v>
      </c>
      <c r="X324" s="21" t="s">
        <v>2930</v>
      </c>
      <c r="Y324" s="21" t="s">
        <v>2930</v>
      </c>
      <c r="Z324" s="21" t="s">
        <v>127</v>
      </c>
      <c r="AA324" s="21" t="s">
        <v>608</v>
      </c>
      <c r="AB324" s="21" t="s">
        <v>129</v>
      </c>
      <c r="AC324" s="21" t="s">
        <v>2931</v>
      </c>
      <c r="AD324" s="21" t="s">
        <v>132</v>
      </c>
      <c r="AE324" s="21" t="s">
        <v>133</v>
      </c>
      <c r="AF324" s="21" t="s">
        <v>135</v>
      </c>
      <c r="AG324" s="21" t="s">
        <v>135</v>
      </c>
      <c r="AH324" s="21" t="s">
        <v>135</v>
      </c>
      <c r="AI324" s="21" t="s">
        <v>135</v>
      </c>
    </row>
    <row r="325" spans="1:36" ht="15.75" customHeight="1" x14ac:dyDescent="0.3">
      <c r="A325" s="21">
        <v>2025</v>
      </c>
      <c r="B325" s="22">
        <v>45935.93613425926</v>
      </c>
      <c r="C325" s="21" t="s">
        <v>183</v>
      </c>
      <c r="D325" s="21" t="s">
        <v>183</v>
      </c>
      <c r="E325" s="21" t="s">
        <v>183</v>
      </c>
      <c r="F325" s="21" t="s">
        <v>183</v>
      </c>
      <c r="G325" s="21" t="s">
        <v>93</v>
      </c>
      <c r="H325" s="21" t="s">
        <v>2932</v>
      </c>
      <c r="I325" s="21" t="s">
        <v>370</v>
      </c>
      <c r="J325" s="21" t="s">
        <v>2933</v>
      </c>
      <c r="K325" s="21" t="e">
        <f t="shared" ca="1" si="2"/>
        <v>#NAME?</v>
      </c>
      <c r="L325" s="24">
        <v>1973</v>
      </c>
      <c r="M325" s="21">
        <v>1989</v>
      </c>
      <c r="N325" s="21" t="s">
        <v>474</v>
      </c>
      <c r="O325" s="21" t="s">
        <v>316</v>
      </c>
      <c r="P325" s="26">
        <v>8184307054</v>
      </c>
      <c r="Q325" s="26" t="e">
        <f t="shared" ca="1" si="3"/>
        <v>#NAME?</v>
      </c>
      <c r="R325" s="21" t="s">
        <v>2934</v>
      </c>
      <c r="S325" s="21" t="s">
        <v>2109</v>
      </c>
      <c r="T325" s="21">
        <v>8188762063</v>
      </c>
      <c r="U325" s="21" t="s">
        <v>2935</v>
      </c>
      <c r="V325" s="21" t="s">
        <v>127</v>
      </c>
      <c r="W325" s="21" t="s">
        <v>210</v>
      </c>
      <c r="X325" s="21" t="s">
        <v>2936</v>
      </c>
      <c r="Y325" s="21" t="s">
        <v>2936</v>
      </c>
      <c r="Z325" s="21" t="s">
        <v>127</v>
      </c>
      <c r="AA325" s="21" t="s">
        <v>2937</v>
      </c>
      <c r="AB325" s="21" t="s">
        <v>129</v>
      </c>
      <c r="AC325" s="21" t="s">
        <v>2938</v>
      </c>
      <c r="AD325" s="21" t="s">
        <v>287</v>
      </c>
      <c r="AE325" s="21" t="s">
        <v>133</v>
      </c>
      <c r="AF325" s="21" t="s">
        <v>135</v>
      </c>
      <c r="AG325" s="21" t="s">
        <v>135</v>
      </c>
      <c r="AH325" s="21" t="s">
        <v>135</v>
      </c>
      <c r="AI325" s="21" t="s">
        <v>135</v>
      </c>
      <c r="AJ325" s="21" t="s">
        <v>2939</v>
      </c>
    </row>
    <row r="326" spans="1:36" ht="15.75" customHeight="1" x14ac:dyDescent="0.3">
      <c r="A326" s="21">
        <v>2025</v>
      </c>
      <c r="B326" s="22">
        <v>45941.478715277779</v>
      </c>
      <c r="C326" s="21" t="s">
        <v>183</v>
      </c>
      <c r="D326" s="21" t="s">
        <v>183</v>
      </c>
      <c r="E326" s="21" t="s">
        <v>183</v>
      </c>
      <c r="F326" s="21" t="s">
        <v>183</v>
      </c>
      <c r="G326" s="21" t="s">
        <v>93</v>
      </c>
      <c r="H326" s="21" t="s">
        <v>2940</v>
      </c>
      <c r="I326" s="21" t="s">
        <v>2941</v>
      </c>
      <c r="J326" s="21" t="s">
        <v>281</v>
      </c>
      <c r="K326" s="21" t="e">
        <f t="shared" ca="1" si="2"/>
        <v>#NAME?</v>
      </c>
      <c r="L326" s="24">
        <v>1972</v>
      </c>
      <c r="M326" s="21">
        <v>1998</v>
      </c>
      <c r="N326" s="21" t="s">
        <v>111</v>
      </c>
      <c r="O326" s="21" t="s">
        <v>112</v>
      </c>
      <c r="P326" s="26">
        <v>9440179962</v>
      </c>
      <c r="Q326" s="26" t="e">
        <f t="shared" ca="1" si="3"/>
        <v>#NAME?</v>
      </c>
      <c r="R326" s="21" t="s">
        <v>2942</v>
      </c>
      <c r="S326" s="21" t="s">
        <v>2943</v>
      </c>
      <c r="T326" s="21" t="s">
        <v>2944</v>
      </c>
      <c r="U326" s="21" t="s">
        <v>2945</v>
      </c>
      <c r="V326" s="21" t="s">
        <v>127</v>
      </c>
      <c r="W326" s="21" t="s">
        <v>162</v>
      </c>
      <c r="X326" s="21" t="s">
        <v>2946</v>
      </c>
      <c r="Y326" s="21" t="s">
        <v>2947</v>
      </c>
      <c r="Z326" s="21" t="s">
        <v>127</v>
      </c>
      <c r="AA326" s="21" t="s">
        <v>2948</v>
      </c>
      <c r="AB326" s="21" t="s">
        <v>129</v>
      </c>
      <c r="AC326" s="21" t="s">
        <v>2949</v>
      </c>
      <c r="AD326" s="21" t="s">
        <v>132</v>
      </c>
      <c r="AE326" s="21" t="s">
        <v>133</v>
      </c>
      <c r="AF326" s="21" t="s">
        <v>135</v>
      </c>
      <c r="AG326" s="21" t="s">
        <v>135</v>
      </c>
      <c r="AH326" s="21" t="s">
        <v>135</v>
      </c>
      <c r="AI326" s="21" t="s">
        <v>135</v>
      </c>
    </row>
    <row r="327" spans="1:36" ht="15.75" customHeight="1" x14ac:dyDescent="0.3">
      <c r="A327" s="21">
        <v>2025</v>
      </c>
      <c r="B327" s="22">
        <v>45944.432084907407</v>
      </c>
      <c r="C327" s="21" t="s">
        <v>183</v>
      </c>
      <c r="D327" s="21" t="s">
        <v>183</v>
      </c>
      <c r="E327" s="21" t="s">
        <v>183</v>
      </c>
      <c r="F327" s="21" t="s">
        <v>183</v>
      </c>
      <c r="G327" s="21" t="s">
        <v>93</v>
      </c>
      <c r="H327" s="21" t="s">
        <v>2950</v>
      </c>
      <c r="I327" s="21" t="s">
        <v>2951</v>
      </c>
      <c r="J327" s="21" t="s">
        <v>2952</v>
      </c>
      <c r="K327" s="21" t="e">
        <f t="shared" ca="1" si="2"/>
        <v>#NAME?</v>
      </c>
      <c r="L327" s="24">
        <v>1990</v>
      </c>
      <c r="M327" s="21">
        <v>2002</v>
      </c>
      <c r="N327" s="21" t="s">
        <v>111</v>
      </c>
      <c r="O327" s="21" t="s">
        <v>112</v>
      </c>
      <c r="P327" s="26">
        <v>9177520607</v>
      </c>
      <c r="Q327" s="26" t="e">
        <f t="shared" ca="1" si="3"/>
        <v>#NAME?</v>
      </c>
      <c r="R327" s="21" t="s">
        <v>188</v>
      </c>
      <c r="S327" s="21" t="s">
        <v>2953</v>
      </c>
      <c r="T327" s="21" t="s">
        <v>2954</v>
      </c>
      <c r="U327" s="21" t="s">
        <v>2955</v>
      </c>
      <c r="V327" s="21" t="s">
        <v>284</v>
      </c>
      <c r="W327" s="21" t="s">
        <v>2956</v>
      </c>
      <c r="X327" s="21" t="s">
        <v>352</v>
      </c>
      <c r="Y327" s="21" t="s">
        <v>2957</v>
      </c>
      <c r="Z327" s="21" t="s">
        <v>284</v>
      </c>
      <c r="AA327" s="21" t="s">
        <v>285</v>
      </c>
      <c r="AB327" s="21" t="s">
        <v>129</v>
      </c>
      <c r="AC327" s="21" t="s">
        <v>2958</v>
      </c>
      <c r="AD327" s="21" t="s">
        <v>169</v>
      </c>
      <c r="AE327" s="21" t="s">
        <v>133</v>
      </c>
      <c r="AF327" s="21" t="s">
        <v>135</v>
      </c>
      <c r="AG327" s="21" t="s">
        <v>135</v>
      </c>
      <c r="AH327" s="21" t="s">
        <v>135</v>
      </c>
      <c r="AI327" s="21" t="s">
        <v>135</v>
      </c>
    </row>
    <row r="328" spans="1:36" ht="15.75" customHeight="1" x14ac:dyDescent="0.3">
      <c r="A328" s="21">
        <v>2025</v>
      </c>
      <c r="B328" s="22">
        <v>45944.448027118051</v>
      </c>
      <c r="C328" s="21" t="s">
        <v>183</v>
      </c>
      <c r="D328" s="21" t="s">
        <v>183</v>
      </c>
      <c r="E328" s="21" t="s">
        <v>183</v>
      </c>
      <c r="F328" s="21" t="s">
        <v>183</v>
      </c>
      <c r="G328" s="21" t="s">
        <v>93</v>
      </c>
      <c r="H328" s="21" t="s">
        <v>2959</v>
      </c>
      <c r="I328" s="21" t="s">
        <v>2960</v>
      </c>
      <c r="J328" s="21" t="s">
        <v>2083</v>
      </c>
      <c r="K328" s="21" t="e">
        <f t="shared" ca="1" si="2"/>
        <v>#NAME?</v>
      </c>
      <c r="L328" s="24">
        <v>2005</v>
      </c>
      <c r="M328" s="21">
        <v>2018</v>
      </c>
      <c r="N328" s="21" t="s">
        <v>315</v>
      </c>
      <c r="O328" s="21" t="s">
        <v>316</v>
      </c>
      <c r="P328" s="26">
        <v>7396665928</v>
      </c>
      <c r="Q328" s="26" t="e">
        <f t="shared" ca="1" si="3"/>
        <v>#NAME?</v>
      </c>
      <c r="R328" s="21" t="s">
        <v>188</v>
      </c>
      <c r="S328" s="21" t="s">
        <v>2961</v>
      </c>
      <c r="T328" s="21">
        <v>9966052462</v>
      </c>
      <c r="U328" s="21" t="s">
        <v>127</v>
      </c>
      <c r="V328" s="21" t="s">
        <v>2962</v>
      </c>
      <c r="W328" s="21" t="s">
        <v>498</v>
      </c>
      <c r="X328" s="21" t="s">
        <v>2963</v>
      </c>
      <c r="Y328" s="21" t="s">
        <v>2964</v>
      </c>
      <c r="Z328" s="21" t="s">
        <v>127</v>
      </c>
      <c r="AA328" s="21" t="s">
        <v>2965</v>
      </c>
      <c r="AB328" s="21" t="s">
        <v>129</v>
      </c>
      <c r="AC328" s="21" t="s">
        <v>1069</v>
      </c>
      <c r="AD328" s="21" t="s">
        <v>169</v>
      </c>
      <c r="AE328" s="21" t="s">
        <v>332</v>
      </c>
      <c r="AF328" s="21" t="s">
        <v>135</v>
      </c>
      <c r="AG328" s="21" t="s">
        <v>135</v>
      </c>
      <c r="AH328" s="21" t="s">
        <v>135</v>
      </c>
      <c r="AI328" s="21" t="s">
        <v>135</v>
      </c>
    </row>
    <row r="329" spans="1:36" ht="15.75" customHeight="1" x14ac:dyDescent="0.3">
      <c r="A329" s="21">
        <v>2025</v>
      </c>
      <c r="B329" s="22">
        <v>45944.868504803242</v>
      </c>
      <c r="C329" s="21" t="s">
        <v>183</v>
      </c>
      <c r="D329" s="21" t="s">
        <v>183</v>
      </c>
      <c r="E329" s="21" t="s">
        <v>183</v>
      </c>
      <c r="F329" s="21" t="s">
        <v>183</v>
      </c>
      <c r="G329" s="21" t="s">
        <v>93</v>
      </c>
      <c r="H329" s="21" t="s">
        <v>2966</v>
      </c>
      <c r="I329" s="21" t="s">
        <v>2967</v>
      </c>
      <c r="J329" s="21" t="s">
        <v>2968</v>
      </c>
      <c r="K329" s="21" t="e">
        <f t="shared" ca="1" si="2"/>
        <v>#NAME?</v>
      </c>
      <c r="L329" s="24">
        <v>1970</v>
      </c>
      <c r="M329" s="21">
        <v>1984</v>
      </c>
      <c r="N329" s="21" t="s">
        <v>111</v>
      </c>
      <c r="O329" s="21" t="s">
        <v>112</v>
      </c>
      <c r="P329" s="26">
        <v>8885146544</v>
      </c>
      <c r="Q329" s="26" t="e">
        <f t="shared" ca="1" si="3"/>
        <v>#NAME?</v>
      </c>
      <c r="R329" s="21" t="s">
        <v>626</v>
      </c>
      <c r="S329" s="21" t="s">
        <v>2969</v>
      </c>
      <c r="T329" s="21">
        <v>9866209719</v>
      </c>
      <c r="U329" s="21" t="s">
        <v>2970</v>
      </c>
      <c r="V329" s="21" t="s">
        <v>127</v>
      </c>
      <c r="W329" s="21" t="s">
        <v>2971</v>
      </c>
      <c r="X329" s="21" t="s">
        <v>2972</v>
      </c>
      <c r="Y329" s="21" t="s">
        <v>2972</v>
      </c>
      <c r="Z329" s="21" t="s">
        <v>127</v>
      </c>
      <c r="AA329" s="21" t="s">
        <v>2973</v>
      </c>
      <c r="AB329" s="21" t="s">
        <v>129</v>
      </c>
      <c r="AC329" s="21" t="s">
        <v>2974</v>
      </c>
      <c r="AD329" s="21" t="s">
        <v>169</v>
      </c>
      <c r="AE329" s="21" t="s">
        <v>133</v>
      </c>
      <c r="AF329" s="21" t="s">
        <v>135</v>
      </c>
      <c r="AG329" s="21" t="s">
        <v>135</v>
      </c>
      <c r="AH329" s="21" t="s">
        <v>135</v>
      </c>
      <c r="AI329" s="21" t="s">
        <v>135</v>
      </c>
      <c r="AJ329" s="21" t="s">
        <v>2975</v>
      </c>
    </row>
    <row r="330" spans="1:36" ht="15.75" customHeight="1" x14ac:dyDescent="0.3">
      <c r="A330" s="21">
        <v>2025</v>
      </c>
      <c r="B330" s="22">
        <v>45945.308456585648</v>
      </c>
      <c r="C330" s="21" t="s">
        <v>183</v>
      </c>
      <c r="D330" s="21" t="s">
        <v>183</v>
      </c>
      <c r="E330" s="21" t="s">
        <v>183</v>
      </c>
      <c r="F330" s="21" t="s">
        <v>183</v>
      </c>
      <c r="G330" s="21" t="s">
        <v>93</v>
      </c>
      <c r="H330" s="21" t="s">
        <v>2976</v>
      </c>
      <c r="I330" s="21" t="s">
        <v>739</v>
      </c>
      <c r="J330" s="21" t="s">
        <v>2977</v>
      </c>
      <c r="K330" s="21" t="e">
        <f t="shared" ca="1" si="2"/>
        <v>#NAME?</v>
      </c>
      <c r="L330" s="24">
        <v>1961</v>
      </c>
      <c r="M330" s="21">
        <v>1985</v>
      </c>
      <c r="N330" s="21" t="s">
        <v>111</v>
      </c>
      <c r="O330" s="21" t="s">
        <v>112</v>
      </c>
      <c r="P330" s="26">
        <v>9100804018</v>
      </c>
      <c r="Q330" s="26" t="e">
        <f t="shared" ca="1" si="3"/>
        <v>#NAME?</v>
      </c>
      <c r="R330" s="21" t="s">
        <v>118</v>
      </c>
      <c r="S330" s="21" t="s">
        <v>2978</v>
      </c>
      <c r="T330" s="21">
        <v>9701144482</v>
      </c>
      <c r="U330" s="21" t="s">
        <v>2979</v>
      </c>
      <c r="V330" s="21" t="s">
        <v>2155</v>
      </c>
      <c r="W330" s="21" t="s">
        <v>2980</v>
      </c>
      <c r="X330" s="21" t="s">
        <v>478</v>
      </c>
      <c r="Y330" s="21" t="s">
        <v>1399</v>
      </c>
      <c r="Z330" s="21" t="s">
        <v>2155</v>
      </c>
      <c r="AA330" s="21" t="s">
        <v>2981</v>
      </c>
      <c r="AB330" s="21" t="s">
        <v>129</v>
      </c>
      <c r="AC330" s="21" t="s">
        <v>2982</v>
      </c>
      <c r="AD330" s="21" t="s">
        <v>287</v>
      </c>
      <c r="AE330" s="21" t="s">
        <v>133</v>
      </c>
      <c r="AF330" s="21" t="s">
        <v>135</v>
      </c>
      <c r="AG330" s="21" t="s">
        <v>135</v>
      </c>
      <c r="AH330" s="21" t="s">
        <v>135</v>
      </c>
      <c r="AI330" s="21" t="s">
        <v>135</v>
      </c>
      <c r="AJ330" s="21" t="s">
        <v>2983</v>
      </c>
    </row>
    <row r="331" spans="1:36" ht="15.75" customHeight="1" x14ac:dyDescent="0.3">
      <c r="A331" s="21">
        <v>2025</v>
      </c>
      <c r="B331" s="22">
        <v>45946.104131192129</v>
      </c>
      <c r="C331" s="21" t="s">
        <v>183</v>
      </c>
      <c r="D331" s="21" t="s">
        <v>183</v>
      </c>
      <c r="E331" s="21" t="s">
        <v>183</v>
      </c>
      <c r="F331" s="21" t="s">
        <v>183</v>
      </c>
      <c r="G331" s="21" t="s">
        <v>93</v>
      </c>
      <c r="H331" s="21" t="s">
        <v>2986</v>
      </c>
      <c r="I331" s="21" t="s">
        <v>2987</v>
      </c>
      <c r="J331" s="21" t="s">
        <v>2988</v>
      </c>
      <c r="K331" s="21" t="e">
        <f t="shared" ca="1" si="2"/>
        <v>#NAME?</v>
      </c>
      <c r="L331" s="24">
        <v>1963</v>
      </c>
      <c r="M331" s="21">
        <v>1993</v>
      </c>
      <c r="N331" s="21" t="s">
        <v>111</v>
      </c>
      <c r="O331" s="21" t="s">
        <v>112</v>
      </c>
      <c r="P331" s="26">
        <v>9490251026</v>
      </c>
      <c r="Q331" s="26" t="e">
        <f t="shared" ca="1" si="3"/>
        <v>#NAME?</v>
      </c>
      <c r="R331" s="21" t="s">
        <v>2989</v>
      </c>
      <c r="S331" s="21" t="s">
        <v>2990</v>
      </c>
      <c r="T331" s="21">
        <v>9440062022</v>
      </c>
      <c r="U331" s="21" t="s">
        <v>2991</v>
      </c>
      <c r="V331" s="21" t="s">
        <v>127</v>
      </c>
      <c r="W331" s="21" t="s">
        <v>1853</v>
      </c>
      <c r="X331" s="21" t="s">
        <v>1372</v>
      </c>
      <c r="Y331" s="21" t="s">
        <v>1372</v>
      </c>
      <c r="Z331" s="21" t="s">
        <v>127</v>
      </c>
      <c r="AA331" s="21" t="s">
        <v>2992</v>
      </c>
      <c r="AB331" s="21" t="s">
        <v>2128</v>
      </c>
      <c r="AC331" s="21" t="s">
        <v>2993</v>
      </c>
      <c r="AD331" s="21" t="s">
        <v>169</v>
      </c>
      <c r="AE331" s="21" t="s">
        <v>332</v>
      </c>
      <c r="AF331" s="21" t="s">
        <v>135</v>
      </c>
      <c r="AG331" s="21" t="s">
        <v>135</v>
      </c>
      <c r="AH331" s="21" t="s">
        <v>135</v>
      </c>
      <c r="AI331" s="21" t="s">
        <v>135</v>
      </c>
      <c r="AJ331" s="21" t="s">
        <v>2994</v>
      </c>
    </row>
    <row r="332" spans="1:36" ht="15.75" customHeight="1" x14ac:dyDescent="0.3">
      <c r="A332" s="21">
        <v>2025</v>
      </c>
      <c r="B332" s="22">
        <v>45946.117742314818</v>
      </c>
      <c r="C332" s="21" t="s">
        <v>183</v>
      </c>
      <c r="D332" s="21" t="s">
        <v>183</v>
      </c>
      <c r="E332" s="21" t="s">
        <v>183</v>
      </c>
      <c r="F332" s="21" t="s">
        <v>183</v>
      </c>
      <c r="G332" s="21" t="s">
        <v>93</v>
      </c>
      <c r="H332" s="21" t="s">
        <v>2995</v>
      </c>
      <c r="I332" s="21" t="s">
        <v>2996</v>
      </c>
      <c r="J332" s="21" t="s">
        <v>2997</v>
      </c>
      <c r="K332" s="21" t="e">
        <f t="shared" ca="1" si="2"/>
        <v>#NAME?</v>
      </c>
      <c r="L332" s="24">
        <v>2000</v>
      </c>
      <c r="M332" s="21">
        <v>2024</v>
      </c>
      <c r="N332" s="21" t="s">
        <v>111</v>
      </c>
      <c r="O332" s="21" t="s">
        <v>112</v>
      </c>
      <c r="P332" s="26">
        <v>8008933463</v>
      </c>
      <c r="Q332" s="26" t="e">
        <f t="shared" ca="1" si="3"/>
        <v>#NAME?</v>
      </c>
      <c r="R332" s="21" t="s">
        <v>2998</v>
      </c>
      <c r="S332" s="21" t="s">
        <v>2999</v>
      </c>
      <c r="T332" s="21">
        <v>9703587931</v>
      </c>
      <c r="U332" s="21" t="s">
        <v>127</v>
      </c>
      <c r="V332" s="21" t="s">
        <v>3000</v>
      </c>
      <c r="W332" s="21" t="s">
        <v>1074</v>
      </c>
      <c r="X332" s="21" t="s">
        <v>1573</v>
      </c>
      <c r="Y332" s="21" t="s">
        <v>221</v>
      </c>
      <c r="Z332" s="21" t="s">
        <v>127</v>
      </c>
      <c r="AA332" s="21" t="s">
        <v>608</v>
      </c>
      <c r="AB332" s="21" t="s">
        <v>129</v>
      </c>
      <c r="AC332" s="21" t="s">
        <v>3001</v>
      </c>
      <c r="AD332" s="21" t="s">
        <v>132</v>
      </c>
      <c r="AE332" s="21" t="s">
        <v>133</v>
      </c>
      <c r="AF332" s="21" t="s">
        <v>135</v>
      </c>
      <c r="AG332" s="21" t="s">
        <v>135</v>
      </c>
      <c r="AH332" s="21" t="s">
        <v>135</v>
      </c>
      <c r="AI332" s="21" t="s">
        <v>135</v>
      </c>
      <c r="AJ332" s="21" t="s">
        <v>3002</v>
      </c>
    </row>
    <row r="333" spans="1:36" ht="15.75" customHeight="1" x14ac:dyDescent="0.3">
      <c r="A333" s="21">
        <v>2025</v>
      </c>
      <c r="B333" s="22">
        <v>45949.171018865745</v>
      </c>
      <c r="C333" s="21" t="s">
        <v>183</v>
      </c>
      <c r="D333" s="21" t="s">
        <v>183</v>
      </c>
      <c r="E333" s="21" t="s">
        <v>183</v>
      </c>
      <c r="F333" s="21" t="s">
        <v>183</v>
      </c>
      <c r="G333" s="21" t="s">
        <v>93</v>
      </c>
      <c r="H333" s="21" t="s">
        <v>3003</v>
      </c>
      <c r="I333" s="21" t="s">
        <v>3004</v>
      </c>
      <c r="J333" s="21" t="s">
        <v>3005</v>
      </c>
      <c r="K333" s="21" t="e">
        <f t="shared" ca="1" si="2"/>
        <v>#NAME?</v>
      </c>
      <c r="L333" s="24">
        <v>1975</v>
      </c>
      <c r="M333" s="21">
        <v>2004</v>
      </c>
      <c r="N333" s="21" t="s">
        <v>111</v>
      </c>
      <c r="O333" s="21" t="s">
        <v>112</v>
      </c>
      <c r="P333" s="26">
        <v>7338899625</v>
      </c>
      <c r="Q333" s="26" t="e">
        <f t="shared" ca="1" si="3"/>
        <v>#NAME?</v>
      </c>
      <c r="R333" s="21" t="s">
        <v>188</v>
      </c>
      <c r="S333" s="21" t="s">
        <v>2961</v>
      </c>
      <c r="T333" s="21">
        <v>9966052462</v>
      </c>
      <c r="U333" s="21" t="s">
        <v>3006</v>
      </c>
      <c r="V333" s="21" t="s">
        <v>127</v>
      </c>
      <c r="W333" s="21" t="s">
        <v>307</v>
      </c>
      <c r="X333" s="21" t="s">
        <v>996</v>
      </c>
      <c r="Y333" s="21" t="s">
        <v>581</v>
      </c>
      <c r="Z333" s="21" t="s">
        <v>127</v>
      </c>
      <c r="AA333" s="21" t="s">
        <v>3007</v>
      </c>
      <c r="AB333" s="21" t="s">
        <v>129</v>
      </c>
      <c r="AC333" s="21" t="s">
        <v>3008</v>
      </c>
      <c r="AD333" s="21" t="s">
        <v>132</v>
      </c>
      <c r="AE333" s="21" t="s">
        <v>133</v>
      </c>
      <c r="AF333" s="21" t="s">
        <v>135</v>
      </c>
      <c r="AG333" s="21" t="s">
        <v>135</v>
      </c>
      <c r="AH333" s="21" t="s">
        <v>135</v>
      </c>
      <c r="AI333" s="21" t="s">
        <v>135</v>
      </c>
      <c r="AJ333" s="21" t="s">
        <v>2060</v>
      </c>
    </row>
    <row r="334" spans="1:36" ht="15.75" customHeight="1" x14ac:dyDescent="0.3">
      <c r="A334" s="21">
        <v>2025</v>
      </c>
      <c r="B334" s="22">
        <v>45962.027008634264</v>
      </c>
      <c r="C334" s="21" t="s">
        <v>183</v>
      </c>
      <c r="D334" s="21" t="s">
        <v>183</v>
      </c>
      <c r="E334" s="21" t="s">
        <v>183</v>
      </c>
      <c r="F334" s="21" t="s">
        <v>90</v>
      </c>
      <c r="G334" s="21" t="s">
        <v>93</v>
      </c>
      <c r="H334" s="21" t="s">
        <v>3009</v>
      </c>
      <c r="I334" s="21" t="s">
        <v>3010</v>
      </c>
      <c r="J334" s="21" t="s">
        <v>3011</v>
      </c>
      <c r="K334" s="21" t="e">
        <f t="shared" ca="1" si="2"/>
        <v>#NAME?</v>
      </c>
      <c r="L334" s="24">
        <v>1979</v>
      </c>
      <c r="M334" s="21">
        <v>1998</v>
      </c>
      <c r="N334" s="21" t="s">
        <v>111</v>
      </c>
      <c r="O334" s="21" t="s">
        <v>112</v>
      </c>
      <c r="P334" s="26">
        <v>9949955229</v>
      </c>
      <c r="Q334" s="26" t="e">
        <f t="shared" ca="1" si="3"/>
        <v>#NAME?</v>
      </c>
      <c r="R334" s="21" t="s">
        <v>118</v>
      </c>
      <c r="S334" s="21" t="s">
        <v>3012</v>
      </c>
      <c r="T334" s="21">
        <v>8374522975</v>
      </c>
      <c r="U334" s="21" t="s">
        <v>3013</v>
      </c>
      <c r="V334" s="21" t="s">
        <v>276</v>
      </c>
      <c r="W334" s="21" t="s">
        <v>328</v>
      </c>
      <c r="X334" s="21" t="s">
        <v>1706</v>
      </c>
      <c r="Y334" s="21" t="s">
        <v>3014</v>
      </c>
      <c r="Z334" s="21" t="s">
        <v>3015</v>
      </c>
      <c r="AA334" s="21" t="s">
        <v>3016</v>
      </c>
      <c r="AB334" s="21" t="s">
        <v>129</v>
      </c>
      <c r="AC334" s="21" t="s">
        <v>3017</v>
      </c>
      <c r="AD334" s="21" t="s">
        <v>287</v>
      </c>
      <c r="AE334" s="21" t="s">
        <v>133</v>
      </c>
      <c r="AF334" s="21" t="s">
        <v>135</v>
      </c>
      <c r="AG334" s="21" t="s">
        <v>135</v>
      </c>
      <c r="AH334" s="21" t="s">
        <v>135</v>
      </c>
      <c r="AI334" s="21" t="s">
        <v>135</v>
      </c>
      <c r="AJ334" s="21" t="s">
        <v>3018</v>
      </c>
    </row>
    <row r="335" spans="1:36" ht="15.75" customHeight="1" x14ac:dyDescent="0.3">
      <c r="A335" s="21">
        <v>2025</v>
      </c>
      <c r="B335" s="22">
        <v>45962.149393483793</v>
      </c>
      <c r="C335" s="21" t="s">
        <v>183</v>
      </c>
      <c r="D335" s="21" t="s">
        <v>183</v>
      </c>
      <c r="E335" s="21" t="s">
        <v>183</v>
      </c>
      <c r="F335" s="21" t="s">
        <v>183</v>
      </c>
      <c r="G335" s="21" t="s">
        <v>93</v>
      </c>
      <c r="H335" s="21" t="s">
        <v>3019</v>
      </c>
      <c r="I335" s="21" t="s">
        <v>3020</v>
      </c>
      <c r="J335" s="21" t="s">
        <v>3021</v>
      </c>
      <c r="K335" s="21" t="e">
        <f t="shared" ca="1" si="2"/>
        <v>#NAME?</v>
      </c>
      <c r="L335" s="24">
        <v>1987</v>
      </c>
      <c r="M335" s="21">
        <v>2014</v>
      </c>
      <c r="N335" s="21" t="s">
        <v>111</v>
      </c>
      <c r="O335" s="21" t="s">
        <v>112</v>
      </c>
      <c r="P335" s="26">
        <v>9986128717</v>
      </c>
      <c r="Q335" s="26" t="e">
        <f t="shared" ca="1" si="3"/>
        <v>#NAME?</v>
      </c>
      <c r="R335" s="21" t="s">
        <v>551</v>
      </c>
      <c r="S335" s="21" t="s">
        <v>3022</v>
      </c>
      <c r="T335" s="21">
        <v>9951753805</v>
      </c>
      <c r="U335" s="21" t="s">
        <v>3023</v>
      </c>
      <c r="V335" s="21" t="s">
        <v>127</v>
      </c>
      <c r="W335" s="21" t="s">
        <v>123</v>
      </c>
      <c r="X335" s="21" t="s">
        <v>3024</v>
      </c>
      <c r="Y335" s="21" t="s">
        <v>352</v>
      </c>
      <c r="Z335" s="21" t="s">
        <v>127</v>
      </c>
      <c r="AA335" s="21" t="s">
        <v>450</v>
      </c>
      <c r="AB335" s="21" t="s">
        <v>129</v>
      </c>
      <c r="AC335" s="21" t="s">
        <v>3025</v>
      </c>
      <c r="AD335" s="21" t="s">
        <v>132</v>
      </c>
      <c r="AE335" s="21" t="s">
        <v>133</v>
      </c>
      <c r="AF335" s="21" t="s">
        <v>135</v>
      </c>
      <c r="AG335" s="21" t="s">
        <v>135</v>
      </c>
      <c r="AH335" s="21" t="s">
        <v>135</v>
      </c>
      <c r="AI335" s="21" t="s">
        <v>135</v>
      </c>
      <c r="AJ335" s="21" t="s">
        <v>3026</v>
      </c>
    </row>
    <row r="336" spans="1:36" ht="15.75" customHeight="1" x14ac:dyDescent="0.3">
      <c r="A336" s="21">
        <v>2025</v>
      </c>
      <c r="B336" s="22">
        <v>45962.325002627316</v>
      </c>
      <c r="C336" s="21" t="s">
        <v>183</v>
      </c>
      <c r="D336" s="21" t="s">
        <v>183</v>
      </c>
      <c r="E336" s="21" t="s">
        <v>183</v>
      </c>
      <c r="F336" s="21" t="s">
        <v>183</v>
      </c>
      <c r="G336" s="21" t="s">
        <v>93</v>
      </c>
      <c r="H336" s="21" t="s">
        <v>3027</v>
      </c>
      <c r="I336" s="21" t="s">
        <v>3028</v>
      </c>
      <c r="J336" s="21" t="s">
        <v>3029</v>
      </c>
      <c r="K336" s="21" t="e">
        <f t="shared" ca="1" si="2"/>
        <v>#NAME?</v>
      </c>
      <c r="L336" s="24">
        <v>1981</v>
      </c>
      <c r="M336" s="21">
        <v>2002</v>
      </c>
      <c r="N336" s="21" t="s">
        <v>111</v>
      </c>
      <c r="O336" s="21" t="s">
        <v>112</v>
      </c>
      <c r="P336" s="26">
        <v>9000227675</v>
      </c>
      <c r="Q336" s="26" t="e">
        <f t="shared" ca="1" si="3"/>
        <v>#NAME?</v>
      </c>
      <c r="R336" s="21" t="s">
        <v>118</v>
      </c>
      <c r="S336" s="21" t="s">
        <v>3030</v>
      </c>
      <c r="T336" s="21" t="s">
        <v>296</v>
      </c>
      <c r="U336" s="21" t="s">
        <v>3031</v>
      </c>
      <c r="V336" s="21" t="s">
        <v>582</v>
      </c>
      <c r="W336" s="21" t="s">
        <v>219</v>
      </c>
      <c r="X336" s="21" t="s">
        <v>3032</v>
      </c>
      <c r="Y336" s="21" t="s">
        <v>3033</v>
      </c>
      <c r="Z336" s="21" t="s">
        <v>582</v>
      </c>
      <c r="AA336" s="21" t="s">
        <v>285</v>
      </c>
      <c r="AB336" s="21" t="s">
        <v>129</v>
      </c>
      <c r="AC336" s="21" t="s">
        <v>3035</v>
      </c>
      <c r="AD336" s="21" t="s">
        <v>287</v>
      </c>
      <c r="AE336" s="21" t="s">
        <v>133</v>
      </c>
      <c r="AF336" s="21" t="s">
        <v>135</v>
      </c>
      <c r="AG336" s="21" t="s">
        <v>135</v>
      </c>
      <c r="AH336" s="21" t="s">
        <v>135</v>
      </c>
      <c r="AI336" s="21" t="s">
        <v>135</v>
      </c>
      <c r="AJ336" s="21" t="s">
        <v>3036</v>
      </c>
    </row>
    <row r="337" spans="1:36" ht="15.75" customHeight="1" x14ac:dyDescent="0.3">
      <c r="A337" s="21">
        <v>2025</v>
      </c>
      <c r="B337" s="22">
        <v>45964.350614884257</v>
      </c>
      <c r="C337" s="21" t="s">
        <v>183</v>
      </c>
      <c r="D337" s="21" t="s">
        <v>183</v>
      </c>
      <c r="E337" s="21" t="s">
        <v>183</v>
      </c>
      <c r="F337" s="21" t="s">
        <v>183</v>
      </c>
      <c r="G337" s="21" t="s">
        <v>93</v>
      </c>
      <c r="H337" s="21" t="s">
        <v>3037</v>
      </c>
      <c r="I337" s="21" t="s">
        <v>3038</v>
      </c>
      <c r="J337" s="21" t="s">
        <v>3039</v>
      </c>
      <c r="K337" s="21" t="e">
        <f t="shared" ca="1" si="2"/>
        <v>#NAME?</v>
      </c>
      <c r="L337" s="24">
        <v>1970</v>
      </c>
      <c r="M337" s="21">
        <v>1994</v>
      </c>
      <c r="N337" s="21" t="s">
        <v>111</v>
      </c>
      <c r="O337" s="21" t="s">
        <v>112</v>
      </c>
      <c r="P337" s="26">
        <v>9754875639</v>
      </c>
      <c r="Q337" s="26" t="e">
        <f t="shared" ca="1" si="3"/>
        <v>#NAME?</v>
      </c>
      <c r="R337" s="21" t="s">
        <v>3040</v>
      </c>
      <c r="S337" s="21" t="s">
        <v>3041</v>
      </c>
      <c r="T337" s="21" t="s">
        <v>3042</v>
      </c>
      <c r="U337" s="21" t="s">
        <v>3043</v>
      </c>
      <c r="V337" s="21" t="s">
        <v>127</v>
      </c>
      <c r="W337" s="21" t="s">
        <v>3044</v>
      </c>
      <c r="X337" s="21" t="s">
        <v>3045</v>
      </c>
      <c r="Y337" s="21" t="s">
        <v>3046</v>
      </c>
      <c r="Z337" s="21" t="s">
        <v>127</v>
      </c>
      <c r="AA337" s="21" t="s">
        <v>3047</v>
      </c>
      <c r="AB337" s="21" t="s">
        <v>129</v>
      </c>
      <c r="AC337" s="21" t="s">
        <v>3048</v>
      </c>
      <c r="AD337" s="21" t="s">
        <v>132</v>
      </c>
      <c r="AE337" s="21" t="s">
        <v>133</v>
      </c>
      <c r="AF337" s="21" t="s">
        <v>135</v>
      </c>
      <c r="AG337" s="21" t="s">
        <v>135</v>
      </c>
      <c r="AH337" s="21" t="s">
        <v>135</v>
      </c>
      <c r="AI337" s="21" t="s">
        <v>135</v>
      </c>
      <c r="AJ337" s="21" t="s">
        <v>3049</v>
      </c>
    </row>
    <row r="338" spans="1:36" ht="15.75" customHeight="1" x14ac:dyDescent="0.3">
      <c r="A338" s="21">
        <v>2025</v>
      </c>
      <c r="B338" s="22">
        <v>45967.304658715278</v>
      </c>
      <c r="C338" s="21" t="s">
        <v>183</v>
      </c>
      <c r="D338" s="21" t="s">
        <v>183</v>
      </c>
      <c r="E338" s="21" t="s">
        <v>183</v>
      </c>
      <c r="F338" s="21" t="s">
        <v>2411</v>
      </c>
      <c r="G338" s="21" t="s">
        <v>93</v>
      </c>
      <c r="H338" s="21" t="s">
        <v>3050</v>
      </c>
      <c r="I338" s="21" t="s">
        <v>2987</v>
      </c>
      <c r="J338" s="21" t="s">
        <v>3051</v>
      </c>
      <c r="K338" s="21" t="e">
        <f t="shared" ca="1" si="2"/>
        <v>#NAME?</v>
      </c>
      <c r="L338" s="24">
        <v>1961</v>
      </c>
      <c r="M338" s="21">
        <v>1991</v>
      </c>
      <c r="N338" s="21" t="s">
        <v>111</v>
      </c>
      <c r="O338" s="21" t="s">
        <v>112</v>
      </c>
      <c r="P338" s="26">
        <v>9966377997</v>
      </c>
      <c r="Q338" s="26" t="e">
        <f t="shared" ca="1" si="3"/>
        <v>#NAME?</v>
      </c>
      <c r="R338" s="21" t="s">
        <v>188</v>
      </c>
      <c r="S338" s="21" t="s">
        <v>3052</v>
      </c>
      <c r="T338" s="21">
        <v>9490251026</v>
      </c>
      <c r="U338" s="21" t="s">
        <v>3053</v>
      </c>
      <c r="V338" s="21" t="s">
        <v>127</v>
      </c>
      <c r="W338" s="21" t="s">
        <v>219</v>
      </c>
      <c r="X338" s="21" t="s">
        <v>179</v>
      </c>
      <c r="Y338" s="21" t="s">
        <v>571</v>
      </c>
      <c r="Z338" s="21" t="s">
        <v>127</v>
      </c>
      <c r="AA338" s="21" t="s">
        <v>3054</v>
      </c>
      <c r="AB338" s="21" t="s">
        <v>129</v>
      </c>
      <c r="AC338" s="21" t="s">
        <v>3055</v>
      </c>
      <c r="AD338" s="21" t="s">
        <v>132</v>
      </c>
      <c r="AE338" s="21" t="s">
        <v>133</v>
      </c>
      <c r="AF338" s="21" t="s">
        <v>686</v>
      </c>
      <c r="AG338" s="21" t="s">
        <v>135</v>
      </c>
      <c r="AH338" s="21" t="s">
        <v>135</v>
      </c>
      <c r="AI338" s="21" t="s">
        <v>135</v>
      </c>
      <c r="AJ338" s="21" t="s">
        <v>3056</v>
      </c>
    </row>
    <row r="339" spans="1:36" ht="15.75" customHeight="1" x14ac:dyDescent="0.3">
      <c r="A339" s="21">
        <v>2025</v>
      </c>
      <c r="B339" s="22">
        <v>45967.432333217592</v>
      </c>
      <c r="C339" s="21" t="s">
        <v>183</v>
      </c>
      <c r="D339" s="21" t="s">
        <v>183</v>
      </c>
      <c r="E339" s="21" t="s">
        <v>183</v>
      </c>
      <c r="F339" s="21" t="s">
        <v>183</v>
      </c>
      <c r="G339" s="21" t="s">
        <v>93</v>
      </c>
      <c r="H339" s="21" t="s">
        <v>3057</v>
      </c>
      <c r="I339" s="21" t="s">
        <v>3058</v>
      </c>
      <c r="J339" s="21" t="s">
        <v>3059</v>
      </c>
      <c r="K339" s="21" t="e">
        <f t="shared" ca="1" si="2"/>
        <v>#NAME?</v>
      </c>
      <c r="L339" s="24">
        <v>1961</v>
      </c>
      <c r="M339" s="21">
        <v>1994</v>
      </c>
      <c r="N339" s="21" t="s">
        <v>111</v>
      </c>
      <c r="O339" s="21" t="s">
        <v>112</v>
      </c>
      <c r="P339" s="26">
        <v>9885492694</v>
      </c>
      <c r="Q339" s="26" t="e">
        <f t="shared" ca="1" si="3"/>
        <v>#NAME?</v>
      </c>
      <c r="R339" s="21" t="s">
        <v>3060</v>
      </c>
      <c r="S339" s="21" t="s">
        <v>3061</v>
      </c>
      <c r="T339" s="21" t="s">
        <v>3062</v>
      </c>
      <c r="U339" s="21" t="s">
        <v>3063</v>
      </c>
      <c r="V339" s="21" t="s">
        <v>127</v>
      </c>
      <c r="W339" s="21" t="s">
        <v>123</v>
      </c>
      <c r="X339" s="21" t="s">
        <v>515</v>
      </c>
      <c r="Y339" s="21" t="s">
        <v>308</v>
      </c>
      <c r="Z339" s="21" t="s">
        <v>127</v>
      </c>
      <c r="AA339" s="21" t="s">
        <v>3064</v>
      </c>
      <c r="AB339" s="21" t="s">
        <v>129</v>
      </c>
      <c r="AC339" s="21" t="s">
        <v>3065</v>
      </c>
      <c r="AD339" s="21" t="s">
        <v>132</v>
      </c>
      <c r="AE339" s="21" t="s">
        <v>133</v>
      </c>
      <c r="AF339" s="21" t="s">
        <v>135</v>
      </c>
      <c r="AG339" s="21" t="s">
        <v>135</v>
      </c>
      <c r="AH339" s="21" t="s">
        <v>135</v>
      </c>
      <c r="AI339" s="21" t="s">
        <v>135</v>
      </c>
      <c r="AJ339" s="21" t="s">
        <v>3066</v>
      </c>
    </row>
    <row r="340" spans="1:36" ht="15.75" customHeight="1" x14ac:dyDescent="0.3">
      <c r="A340" s="21">
        <v>2025</v>
      </c>
      <c r="B340" s="22">
        <v>45967.500602164349</v>
      </c>
      <c r="C340" s="21" t="s">
        <v>183</v>
      </c>
      <c r="D340" s="21" t="s">
        <v>183</v>
      </c>
      <c r="E340" s="21" t="s">
        <v>183</v>
      </c>
      <c r="F340" s="21" t="s">
        <v>183</v>
      </c>
      <c r="G340" s="21" t="s">
        <v>93</v>
      </c>
      <c r="H340" s="21" t="s">
        <v>3067</v>
      </c>
      <c r="I340" s="21" t="s">
        <v>3068</v>
      </c>
      <c r="J340" s="21" t="s">
        <v>3069</v>
      </c>
      <c r="K340" s="21" t="e">
        <f t="shared" ca="1" si="2"/>
        <v>#NAME?</v>
      </c>
      <c r="L340" s="24">
        <v>1977</v>
      </c>
      <c r="M340" s="21">
        <v>1999</v>
      </c>
      <c r="N340" s="21" t="s">
        <v>315</v>
      </c>
      <c r="O340" s="21" t="s">
        <v>112</v>
      </c>
      <c r="P340" s="26">
        <v>9620891935</v>
      </c>
      <c r="Q340" s="26" t="e">
        <f t="shared" ca="1" si="3"/>
        <v>#NAME?</v>
      </c>
      <c r="R340" s="21" t="s">
        <v>1324</v>
      </c>
      <c r="S340" s="21" t="s">
        <v>3070</v>
      </c>
      <c r="T340" s="21">
        <v>9403151546</v>
      </c>
      <c r="U340" s="21" t="s">
        <v>3071</v>
      </c>
      <c r="V340" s="21" t="s">
        <v>127</v>
      </c>
      <c r="W340" s="21" t="s">
        <v>1074</v>
      </c>
      <c r="X340" s="21" t="s">
        <v>3072</v>
      </c>
      <c r="Y340" s="21" t="s">
        <v>3073</v>
      </c>
      <c r="Z340" s="21" t="s">
        <v>284</v>
      </c>
      <c r="AA340" s="21" t="s">
        <v>3074</v>
      </c>
      <c r="AB340" s="21" t="s">
        <v>129</v>
      </c>
      <c r="AC340" s="21" t="s">
        <v>3075</v>
      </c>
      <c r="AD340" s="21" t="s">
        <v>169</v>
      </c>
      <c r="AE340" s="21" t="s">
        <v>133</v>
      </c>
      <c r="AF340" s="21" t="s">
        <v>135</v>
      </c>
      <c r="AG340" s="21" t="s">
        <v>135</v>
      </c>
      <c r="AH340" s="21" t="s">
        <v>135</v>
      </c>
      <c r="AI340" s="21" t="s">
        <v>135</v>
      </c>
      <c r="AJ340" s="21" t="s">
        <v>3076</v>
      </c>
    </row>
    <row r="341" spans="1:36" ht="15.75" customHeight="1" x14ac:dyDescent="0.3">
      <c r="A341" s="21">
        <v>2025</v>
      </c>
      <c r="B341" s="22">
        <v>45967.905851388889</v>
      </c>
      <c r="C341" s="21" t="s">
        <v>183</v>
      </c>
      <c r="D341" s="21" t="s">
        <v>183</v>
      </c>
      <c r="E341" s="21" t="s">
        <v>183</v>
      </c>
      <c r="F341" s="21" t="s">
        <v>183</v>
      </c>
      <c r="G341" s="21" t="s">
        <v>93</v>
      </c>
      <c r="H341" s="21" t="s">
        <v>3077</v>
      </c>
      <c r="I341" s="21" t="s">
        <v>3078</v>
      </c>
      <c r="J341" s="21" t="s">
        <v>281</v>
      </c>
      <c r="K341" s="21" t="e">
        <f t="shared" ca="1" si="2"/>
        <v>#NAME?</v>
      </c>
      <c r="L341" s="24">
        <v>1973</v>
      </c>
      <c r="M341" s="21">
        <v>2002</v>
      </c>
      <c r="N341" s="21" t="s">
        <v>315</v>
      </c>
      <c r="O341" s="21" t="s">
        <v>316</v>
      </c>
      <c r="P341" s="26">
        <v>9087451779</v>
      </c>
      <c r="Q341" s="26" t="e">
        <f t="shared" ca="1" si="3"/>
        <v>#NAME?</v>
      </c>
      <c r="R341" s="21" t="s">
        <v>3079</v>
      </c>
      <c r="S341" s="21" t="s">
        <v>2109</v>
      </c>
      <c r="T341" s="21" t="s">
        <v>3080</v>
      </c>
      <c r="U341" s="21" t="s">
        <v>3082</v>
      </c>
      <c r="V341" s="21" t="s">
        <v>127</v>
      </c>
      <c r="W341" s="21" t="s">
        <v>229</v>
      </c>
      <c r="X341" s="21" t="s">
        <v>179</v>
      </c>
      <c r="Y341" s="21" t="s">
        <v>179</v>
      </c>
      <c r="Z341" s="21" t="s">
        <v>127</v>
      </c>
      <c r="AA341" s="21" t="s">
        <v>818</v>
      </c>
      <c r="AB341" s="21" t="s">
        <v>129</v>
      </c>
      <c r="AC341" s="21" t="s">
        <v>3083</v>
      </c>
      <c r="AD341" s="21" t="s">
        <v>169</v>
      </c>
      <c r="AE341" s="21" t="s">
        <v>133</v>
      </c>
      <c r="AF341" s="21" t="s">
        <v>135</v>
      </c>
      <c r="AG341" s="21" t="s">
        <v>135</v>
      </c>
      <c r="AH341" s="21" t="s">
        <v>135</v>
      </c>
      <c r="AI341" s="21" t="s">
        <v>135</v>
      </c>
      <c r="AJ341" s="21" t="s">
        <v>3084</v>
      </c>
    </row>
    <row r="342" spans="1:36" ht="15.75" customHeight="1" x14ac:dyDescent="0.3">
      <c r="A342" s="21">
        <v>2025</v>
      </c>
      <c r="B342" s="22">
        <v>45968.1550684838</v>
      </c>
      <c r="C342" s="21" t="s">
        <v>183</v>
      </c>
      <c r="D342" s="21" t="s">
        <v>183</v>
      </c>
      <c r="E342" s="21" t="s">
        <v>183</v>
      </c>
      <c r="F342" s="21" t="s">
        <v>183</v>
      </c>
      <c r="G342" s="21" t="s">
        <v>93</v>
      </c>
      <c r="H342" s="21" t="s">
        <v>3085</v>
      </c>
      <c r="I342" s="21" t="s">
        <v>3086</v>
      </c>
      <c r="J342" s="21" t="s">
        <v>3087</v>
      </c>
      <c r="K342" s="21" t="e">
        <f t="shared" ca="1" si="2"/>
        <v>#NAME?</v>
      </c>
      <c r="L342" s="24">
        <v>1984</v>
      </c>
      <c r="M342" s="21">
        <v>2001</v>
      </c>
      <c r="N342" s="21" t="s">
        <v>111</v>
      </c>
      <c r="O342" s="21" t="s">
        <v>112</v>
      </c>
      <c r="P342" s="26">
        <v>9949506020</v>
      </c>
      <c r="Q342" s="26" t="e">
        <f t="shared" ca="1" si="3"/>
        <v>#NAME?</v>
      </c>
      <c r="R342" s="21" t="s">
        <v>118</v>
      </c>
      <c r="S342" s="21" t="s">
        <v>3088</v>
      </c>
      <c r="T342" s="21">
        <v>9290103468</v>
      </c>
      <c r="U342" s="21" t="s">
        <v>3089</v>
      </c>
      <c r="V342" s="21" t="s">
        <v>127</v>
      </c>
      <c r="W342" s="21" t="s">
        <v>307</v>
      </c>
      <c r="X342" s="21" t="s">
        <v>3090</v>
      </c>
      <c r="Y342" s="21" t="s">
        <v>3091</v>
      </c>
      <c r="Z342" s="21" t="s">
        <v>127</v>
      </c>
      <c r="AA342" s="21" t="s">
        <v>608</v>
      </c>
      <c r="AB342" s="21" t="s">
        <v>129</v>
      </c>
      <c r="AC342" s="21" t="s">
        <v>3092</v>
      </c>
      <c r="AD342" s="21" t="s">
        <v>132</v>
      </c>
      <c r="AE342" s="21" t="s">
        <v>133</v>
      </c>
      <c r="AF342" s="21" t="s">
        <v>135</v>
      </c>
      <c r="AG342" s="21" t="s">
        <v>135</v>
      </c>
      <c r="AH342" s="21" t="s">
        <v>135</v>
      </c>
      <c r="AI342" s="21" t="s">
        <v>135</v>
      </c>
      <c r="AJ342" s="21" t="s">
        <v>3093</v>
      </c>
    </row>
    <row r="343" spans="1:36" ht="15.75" customHeight="1" x14ac:dyDescent="0.3">
      <c r="A343" s="21">
        <v>2025</v>
      </c>
      <c r="B343" s="22">
        <v>45968.176056724536</v>
      </c>
      <c r="C343" s="21" t="s">
        <v>183</v>
      </c>
      <c r="D343" s="21" t="s">
        <v>183</v>
      </c>
      <c r="E343" s="21" t="s">
        <v>183</v>
      </c>
      <c r="F343" s="21" t="s">
        <v>183</v>
      </c>
      <c r="G343" s="21" t="s">
        <v>93</v>
      </c>
      <c r="H343" s="21" t="s">
        <v>3094</v>
      </c>
      <c r="I343" s="21" t="s">
        <v>622</v>
      </c>
      <c r="J343" s="21" t="s">
        <v>3095</v>
      </c>
      <c r="K343" s="21" t="e">
        <f t="shared" ca="1" si="2"/>
        <v>#NAME?</v>
      </c>
      <c r="L343" s="24">
        <v>2000</v>
      </c>
      <c r="M343" s="21">
        <v>2011</v>
      </c>
      <c r="N343" s="21" t="s">
        <v>111</v>
      </c>
      <c r="O343" s="21" t="s">
        <v>112</v>
      </c>
      <c r="P343" s="26">
        <v>9392960450</v>
      </c>
      <c r="Q343" s="26" t="e">
        <f t="shared" ca="1" si="3"/>
        <v>#NAME?</v>
      </c>
      <c r="R343" s="21" t="s">
        <v>551</v>
      </c>
      <c r="S343" s="21" t="s">
        <v>3096</v>
      </c>
      <c r="T343" s="21">
        <v>8978544100</v>
      </c>
      <c r="U343" s="21" t="s">
        <v>3097</v>
      </c>
      <c r="V343" s="21" t="s">
        <v>127</v>
      </c>
      <c r="W343" s="21" t="s">
        <v>219</v>
      </c>
      <c r="X343" s="21" t="s">
        <v>776</v>
      </c>
      <c r="Y343" s="21" t="s">
        <v>352</v>
      </c>
      <c r="Z343" s="21" t="s">
        <v>127</v>
      </c>
      <c r="AA343" s="21" t="s">
        <v>3098</v>
      </c>
      <c r="AB343" s="21" t="s">
        <v>129</v>
      </c>
      <c r="AC343" s="21" t="s">
        <v>3099</v>
      </c>
      <c r="AD343" s="21" t="s">
        <v>169</v>
      </c>
      <c r="AE343" s="21" t="s">
        <v>133</v>
      </c>
      <c r="AF343" s="21" t="s">
        <v>135</v>
      </c>
      <c r="AG343" s="21" t="s">
        <v>135</v>
      </c>
      <c r="AH343" s="21" t="s">
        <v>686</v>
      </c>
      <c r="AI343" s="21" t="s">
        <v>135</v>
      </c>
      <c r="AJ343" s="21" t="s">
        <v>3100</v>
      </c>
    </row>
    <row r="344" spans="1:36" ht="15.75" customHeight="1" x14ac:dyDescent="0.3">
      <c r="A344" s="21">
        <v>2025</v>
      </c>
      <c r="B344" s="22">
        <v>45968.332678449078</v>
      </c>
      <c r="C344" s="21" t="s">
        <v>183</v>
      </c>
      <c r="D344" s="21" t="s">
        <v>183</v>
      </c>
      <c r="E344" s="21" t="s">
        <v>183</v>
      </c>
      <c r="F344" s="21" t="s">
        <v>183</v>
      </c>
      <c r="G344" s="21" t="s">
        <v>93</v>
      </c>
      <c r="H344" s="21" t="s">
        <v>3101</v>
      </c>
      <c r="I344" s="21" t="s">
        <v>3102</v>
      </c>
      <c r="J344" s="21" t="s">
        <v>3103</v>
      </c>
      <c r="K344" s="21" t="e">
        <f t="shared" ca="1" si="2"/>
        <v>#NAME?</v>
      </c>
      <c r="L344" s="24">
        <v>1970</v>
      </c>
      <c r="M344" s="21">
        <v>1999</v>
      </c>
      <c r="N344" s="21" t="s">
        <v>402</v>
      </c>
      <c r="O344" s="21" t="s">
        <v>316</v>
      </c>
      <c r="P344" s="26">
        <v>9192498849</v>
      </c>
      <c r="Q344" s="26" t="e">
        <f t="shared" ca="1" si="3"/>
        <v>#NAME?</v>
      </c>
      <c r="R344" s="21" t="s">
        <v>3104</v>
      </c>
      <c r="S344" s="21" t="s">
        <v>1599</v>
      </c>
      <c r="T344" s="21">
        <v>5715998145</v>
      </c>
      <c r="U344" s="21" t="s">
        <v>3105</v>
      </c>
      <c r="V344" s="21" t="s">
        <v>127</v>
      </c>
      <c r="W344" s="21" t="s">
        <v>3106</v>
      </c>
      <c r="X344" s="21" t="s">
        <v>3107</v>
      </c>
      <c r="Y344" s="21" t="s">
        <v>3107</v>
      </c>
      <c r="Z344" s="21" t="s">
        <v>127</v>
      </c>
      <c r="AA344" s="21" t="s">
        <v>526</v>
      </c>
      <c r="AB344" s="21" t="s">
        <v>129</v>
      </c>
      <c r="AC344" s="21" t="s">
        <v>3108</v>
      </c>
      <c r="AD344" s="21" t="s">
        <v>169</v>
      </c>
      <c r="AE344" s="21" t="s">
        <v>133</v>
      </c>
      <c r="AF344" s="21" t="s">
        <v>135</v>
      </c>
      <c r="AG344" s="21" t="s">
        <v>135</v>
      </c>
      <c r="AH344" s="21" t="s">
        <v>135</v>
      </c>
      <c r="AI344" s="21" t="s">
        <v>135</v>
      </c>
    </row>
    <row r="345" spans="1:36" ht="15.75" customHeight="1" x14ac:dyDescent="0.3">
      <c r="A345" s="21">
        <v>2025</v>
      </c>
      <c r="B345" s="22">
        <v>45968.441145613426</v>
      </c>
      <c r="C345" s="21" t="s">
        <v>183</v>
      </c>
      <c r="D345" s="21" t="s">
        <v>183</v>
      </c>
      <c r="E345" s="21" t="s">
        <v>183</v>
      </c>
      <c r="F345" s="21" t="s">
        <v>183</v>
      </c>
      <c r="G345" s="21" t="s">
        <v>93</v>
      </c>
      <c r="H345" s="21" t="s">
        <v>3109</v>
      </c>
      <c r="I345" s="21" t="s">
        <v>3110</v>
      </c>
      <c r="J345" s="21" t="s">
        <v>3111</v>
      </c>
      <c r="K345" s="21" t="e">
        <f t="shared" ca="1" si="2"/>
        <v>#NAME?</v>
      </c>
      <c r="L345" s="24">
        <v>1962</v>
      </c>
      <c r="M345" s="21">
        <v>1979</v>
      </c>
      <c r="N345" s="21" t="s">
        <v>111</v>
      </c>
      <c r="O345" s="21" t="s">
        <v>112</v>
      </c>
      <c r="P345" s="26">
        <v>9666999149</v>
      </c>
      <c r="Q345" s="26" t="e">
        <f t="shared" ca="1" si="3"/>
        <v>#NAME?</v>
      </c>
      <c r="R345" s="21" t="s">
        <v>1536</v>
      </c>
      <c r="S345" s="21" t="s">
        <v>3112</v>
      </c>
      <c r="T345" s="21" t="s">
        <v>3113</v>
      </c>
      <c r="U345" s="21" t="s">
        <v>3114</v>
      </c>
      <c r="V345" s="21" t="s">
        <v>3115</v>
      </c>
      <c r="W345" s="21" t="s">
        <v>3116</v>
      </c>
      <c r="X345" s="21" t="s">
        <v>560</v>
      </c>
      <c r="Y345" s="21" t="s">
        <v>3117</v>
      </c>
      <c r="Z345" s="21" t="s">
        <v>3118</v>
      </c>
      <c r="AA345" s="21" t="s">
        <v>3119</v>
      </c>
      <c r="AB345" s="21" t="s">
        <v>269</v>
      </c>
      <c r="AC345" s="21" t="s">
        <v>3120</v>
      </c>
      <c r="AD345" s="21" t="s">
        <v>287</v>
      </c>
      <c r="AE345" s="21" t="s">
        <v>133</v>
      </c>
      <c r="AF345" s="21" t="s">
        <v>686</v>
      </c>
      <c r="AG345" s="21" t="s">
        <v>135</v>
      </c>
      <c r="AH345" s="21" t="s">
        <v>135</v>
      </c>
      <c r="AI345" s="21" t="s">
        <v>135</v>
      </c>
      <c r="AJ345" s="21" t="s">
        <v>3121</v>
      </c>
    </row>
    <row r="346" spans="1:36" ht="15.75" customHeight="1" x14ac:dyDescent="0.3">
      <c r="A346" s="21">
        <v>2025</v>
      </c>
      <c r="B346" s="22">
        <v>45968.516033472217</v>
      </c>
      <c r="C346" s="21" t="s">
        <v>183</v>
      </c>
      <c r="D346" s="21" t="s">
        <v>183</v>
      </c>
      <c r="E346" s="21" t="s">
        <v>183</v>
      </c>
      <c r="F346" s="21" t="s">
        <v>183</v>
      </c>
      <c r="G346" s="21" t="s">
        <v>93</v>
      </c>
      <c r="H346" s="21" t="s">
        <v>3122</v>
      </c>
      <c r="I346" s="21" t="s">
        <v>3123</v>
      </c>
      <c r="J346" s="21" t="s">
        <v>3124</v>
      </c>
      <c r="K346" s="21" t="e">
        <f t="shared" ca="1" si="2"/>
        <v>#NAME?</v>
      </c>
      <c r="L346" s="24">
        <v>1977</v>
      </c>
      <c r="M346" s="21">
        <v>1992</v>
      </c>
      <c r="N346" s="21" t="s">
        <v>315</v>
      </c>
      <c r="O346" s="21" t="s">
        <v>316</v>
      </c>
      <c r="P346" s="26">
        <v>9452756722</v>
      </c>
      <c r="Q346" s="26" t="e">
        <f t="shared" ca="1" si="3"/>
        <v>#NAME?</v>
      </c>
      <c r="R346" s="21" t="s">
        <v>975</v>
      </c>
      <c r="S346" s="21" t="s">
        <v>3125</v>
      </c>
      <c r="T346" s="21" t="s">
        <v>2741</v>
      </c>
      <c r="U346" s="21" t="s">
        <v>3126</v>
      </c>
      <c r="V346" s="21" t="s">
        <v>127</v>
      </c>
      <c r="W346" s="21" t="s">
        <v>328</v>
      </c>
      <c r="X346" s="21" t="s">
        <v>536</v>
      </c>
      <c r="Y346" s="21" t="s">
        <v>536</v>
      </c>
      <c r="Z346" s="21" t="s">
        <v>127</v>
      </c>
      <c r="AA346" s="21" t="s">
        <v>608</v>
      </c>
      <c r="AB346" s="21" t="s">
        <v>129</v>
      </c>
      <c r="AC346" s="21" t="s">
        <v>3127</v>
      </c>
      <c r="AD346" s="21" t="s">
        <v>169</v>
      </c>
      <c r="AE346" s="21" t="s">
        <v>133</v>
      </c>
      <c r="AF346" s="21" t="s">
        <v>135</v>
      </c>
      <c r="AG346" s="21" t="s">
        <v>135</v>
      </c>
      <c r="AH346" s="21" t="s">
        <v>135</v>
      </c>
      <c r="AI346" s="21" t="s">
        <v>135</v>
      </c>
      <c r="AJ346" s="21" t="s">
        <v>3128</v>
      </c>
    </row>
    <row r="347" spans="1:36" ht="15.75" customHeight="1" x14ac:dyDescent="0.3">
      <c r="A347" s="21">
        <v>2025</v>
      </c>
      <c r="B347" s="22">
        <v>45969.38152574074</v>
      </c>
      <c r="C347" s="21" t="s">
        <v>183</v>
      </c>
      <c r="D347" s="21" t="s">
        <v>183</v>
      </c>
      <c r="E347" s="21" t="s">
        <v>183</v>
      </c>
      <c r="F347" s="21" t="s">
        <v>90</v>
      </c>
      <c r="G347" s="21" t="s">
        <v>93</v>
      </c>
      <c r="H347" s="21" t="s">
        <v>3129</v>
      </c>
      <c r="I347" s="21" t="s">
        <v>3130</v>
      </c>
      <c r="J347" s="21" t="s">
        <v>991</v>
      </c>
      <c r="K347" s="21" t="e">
        <f t="shared" ca="1" si="2"/>
        <v>#NAME?</v>
      </c>
      <c r="L347" s="24">
        <v>1965</v>
      </c>
      <c r="M347" s="21">
        <v>1993</v>
      </c>
      <c r="N347" s="21" t="s">
        <v>111</v>
      </c>
      <c r="O347" s="21" t="s">
        <v>112</v>
      </c>
      <c r="P347" s="26">
        <v>9491645766</v>
      </c>
      <c r="Q347" s="26" t="e">
        <f t="shared" ca="1" si="3"/>
        <v>#NAME?</v>
      </c>
      <c r="R347" s="21" t="s">
        <v>3131</v>
      </c>
      <c r="S347" s="21" t="s">
        <v>3132</v>
      </c>
      <c r="T347" s="21">
        <v>9490251026</v>
      </c>
      <c r="U347" s="21" t="s">
        <v>3133</v>
      </c>
      <c r="V347" s="21" t="s">
        <v>808</v>
      </c>
      <c r="W347" s="21" t="s">
        <v>3134</v>
      </c>
      <c r="X347" s="21" t="s">
        <v>2868</v>
      </c>
      <c r="Y347" s="21" t="s">
        <v>2868</v>
      </c>
      <c r="Z347" s="21" t="s">
        <v>127</v>
      </c>
      <c r="AA347" s="21" t="s">
        <v>3135</v>
      </c>
      <c r="AB347" s="21" t="s">
        <v>2128</v>
      </c>
      <c r="AC347" s="21" t="s">
        <v>3136</v>
      </c>
      <c r="AD347" s="21" t="s">
        <v>287</v>
      </c>
      <c r="AE347" s="21" t="s">
        <v>332</v>
      </c>
      <c r="AF347" s="21" t="s">
        <v>135</v>
      </c>
      <c r="AG347" s="21" t="s">
        <v>135</v>
      </c>
      <c r="AH347" s="21" t="s">
        <v>135</v>
      </c>
      <c r="AI347" s="21" t="s">
        <v>135</v>
      </c>
      <c r="AJ347" s="21" t="s">
        <v>3137</v>
      </c>
    </row>
    <row r="348" spans="1:36" ht="15.75" customHeight="1" x14ac:dyDescent="0.3">
      <c r="A348" s="21">
        <v>2025</v>
      </c>
      <c r="B348" s="22">
        <v>45969.932320509259</v>
      </c>
      <c r="C348" s="21" t="s">
        <v>183</v>
      </c>
      <c r="D348" s="21" t="s">
        <v>183</v>
      </c>
      <c r="E348" s="21" t="s">
        <v>183</v>
      </c>
      <c r="F348" s="21" t="s">
        <v>183</v>
      </c>
      <c r="G348" s="21" t="s">
        <v>93</v>
      </c>
      <c r="H348" s="21" t="s">
        <v>3139</v>
      </c>
      <c r="I348" s="21" t="s">
        <v>186</v>
      </c>
      <c r="J348" s="21" t="s">
        <v>3140</v>
      </c>
      <c r="K348" s="21" t="e">
        <f t="shared" ca="1" si="2"/>
        <v>#NAME?</v>
      </c>
      <c r="L348" s="24">
        <v>1965</v>
      </c>
      <c r="M348" s="21">
        <v>1984</v>
      </c>
      <c r="N348" s="21" t="s">
        <v>111</v>
      </c>
      <c r="O348" s="21" t="s">
        <v>112</v>
      </c>
      <c r="P348" s="26">
        <v>9502980215</v>
      </c>
      <c r="Q348" s="26" t="e">
        <f t="shared" ca="1" si="3"/>
        <v>#NAME?</v>
      </c>
      <c r="R348" s="21" t="s">
        <v>188</v>
      </c>
      <c r="S348" s="21" t="s">
        <v>3141</v>
      </c>
      <c r="T348" s="21">
        <v>9437176540</v>
      </c>
      <c r="U348" s="21" t="s">
        <v>3142</v>
      </c>
      <c r="V348" s="21" t="s">
        <v>284</v>
      </c>
      <c r="W348" s="21" t="s">
        <v>841</v>
      </c>
      <c r="X348" s="21" t="s">
        <v>3143</v>
      </c>
      <c r="Y348" s="21" t="s">
        <v>3144</v>
      </c>
      <c r="Z348" s="21" t="s">
        <v>284</v>
      </c>
      <c r="AA348" s="21" t="s">
        <v>3145</v>
      </c>
      <c r="AB348" s="21" t="s">
        <v>129</v>
      </c>
      <c r="AC348" s="21" t="s">
        <v>3146</v>
      </c>
      <c r="AD348" s="21" t="s">
        <v>132</v>
      </c>
      <c r="AE348" s="21" t="s">
        <v>133</v>
      </c>
      <c r="AF348" s="21" t="s">
        <v>135</v>
      </c>
      <c r="AG348" s="21" t="s">
        <v>135</v>
      </c>
      <c r="AH348" s="21" t="s">
        <v>135</v>
      </c>
      <c r="AI348" s="21" t="s">
        <v>135</v>
      </c>
      <c r="AJ348" s="21" t="s">
        <v>3147</v>
      </c>
    </row>
    <row r="349" spans="1:36" ht="15.75" customHeight="1" x14ac:dyDescent="0.3">
      <c r="A349" s="21">
        <v>2025</v>
      </c>
      <c r="B349" s="22">
        <v>45970.308720775458</v>
      </c>
      <c r="C349" s="21" t="s">
        <v>183</v>
      </c>
      <c r="D349" s="21" t="s">
        <v>183</v>
      </c>
      <c r="E349" s="21" t="s">
        <v>183</v>
      </c>
      <c r="F349" s="21" t="s">
        <v>183</v>
      </c>
      <c r="G349" s="21" t="s">
        <v>93</v>
      </c>
      <c r="H349" s="21" t="s">
        <v>3148</v>
      </c>
      <c r="I349" s="21" t="s">
        <v>3149</v>
      </c>
      <c r="J349" s="21" t="s">
        <v>3150</v>
      </c>
      <c r="K349" s="21" t="e">
        <f t="shared" ca="1" si="2"/>
        <v>#NAME?</v>
      </c>
      <c r="L349" s="24">
        <v>1982</v>
      </c>
      <c r="M349" s="21">
        <v>2006</v>
      </c>
      <c r="N349" s="21" t="s">
        <v>111</v>
      </c>
      <c r="O349" s="21" t="s">
        <v>112</v>
      </c>
      <c r="P349" s="26">
        <v>9004996402</v>
      </c>
      <c r="Q349" s="26" t="e">
        <f t="shared" ca="1" si="3"/>
        <v>#NAME?</v>
      </c>
      <c r="R349" s="21" t="s">
        <v>118</v>
      </c>
      <c r="S349" s="21" t="s">
        <v>3151</v>
      </c>
      <c r="T349" s="21" t="s">
        <v>3152</v>
      </c>
      <c r="U349" s="21" t="s">
        <v>3153</v>
      </c>
      <c r="V349" s="21" t="s">
        <v>127</v>
      </c>
      <c r="W349" s="21" t="s">
        <v>374</v>
      </c>
      <c r="X349" s="21" t="s">
        <v>478</v>
      </c>
      <c r="Y349" s="21" t="s">
        <v>295</v>
      </c>
      <c r="Z349" s="21" t="s">
        <v>127</v>
      </c>
      <c r="AA349" s="21" t="s">
        <v>3154</v>
      </c>
      <c r="AB349" s="21" t="s">
        <v>129</v>
      </c>
      <c r="AC349" s="21" t="s">
        <v>3155</v>
      </c>
      <c r="AD349" s="21" t="s">
        <v>132</v>
      </c>
      <c r="AE349" s="21" t="s">
        <v>133</v>
      </c>
      <c r="AF349" s="21" t="s">
        <v>135</v>
      </c>
      <c r="AG349" s="21" t="s">
        <v>135</v>
      </c>
      <c r="AH349" s="21" t="s">
        <v>135</v>
      </c>
      <c r="AI349" s="21" t="s">
        <v>135</v>
      </c>
      <c r="AJ349" s="21" t="s">
        <v>3156</v>
      </c>
    </row>
    <row r="350" spans="1:36" ht="15.75" customHeight="1" x14ac:dyDescent="0.3">
      <c r="A350" s="21">
        <v>2025</v>
      </c>
      <c r="B350" s="22">
        <v>45970.589798043977</v>
      </c>
      <c r="C350" s="21" t="s">
        <v>183</v>
      </c>
      <c r="D350" s="21" t="s">
        <v>183</v>
      </c>
      <c r="E350" s="21" t="s">
        <v>183</v>
      </c>
      <c r="F350" s="21" t="s">
        <v>183</v>
      </c>
      <c r="G350" s="21" t="s">
        <v>93</v>
      </c>
      <c r="H350" s="21" t="s">
        <v>3157</v>
      </c>
      <c r="I350" s="21" t="s">
        <v>2016</v>
      </c>
      <c r="J350" s="21" t="s">
        <v>520</v>
      </c>
      <c r="K350" s="21" t="e">
        <f t="shared" ca="1" si="2"/>
        <v>#NAME?</v>
      </c>
      <c r="L350" s="24">
        <v>1975</v>
      </c>
      <c r="M350" s="21">
        <v>1987</v>
      </c>
      <c r="N350" s="21" t="s">
        <v>474</v>
      </c>
      <c r="O350" s="21" t="s">
        <v>316</v>
      </c>
      <c r="P350" s="26">
        <v>8053046983</v>
      </c>
      <c r="Q350" s="26" t="e">
        <f t="shared" ca="1" si="3"/>
        <v>#NAME?</v>
      </c>
      <c r="R350" s="21" t="s">
        <v>3158</v>
      </c>
      <c r="S350" s="21" t="s">
        <v>3159</v>
      </c>
      <c r="T350" s="21">
        <v>8184307054</v>
      </c>
      <c r="U350" s="21" t="s">
        <v>3160</v>
      </c>
      <c r="V350" s="21" t="s">
        <v>127</v>
      </c>
      <c r="W350" s="21" t="s">
        <v>646</v>
      </c>
      <c r="X350" s="21" t="s">
        <v>1145</v>
      </c>
      <c r="Y350" s="21" t="s">
        <v>571</v>
      </c>
      <c r="Z350" s="21" t="s">
        <v>127</v>
      </c>
      <c r="AA350" s="21" t="s">
        <v>127</v>
      </c>
      <c r="AB350" s="21" t="s">
        <v>129</v>
      </c>
      <c r="AC350" s="21" t="s">
        <v>3161</v>
      </c>
      <c r="AD350" s="21" t="s">
        <v>132</v>
      </c>
      <c r="AE350" s="21" t="s">
        <v>133</v>
      </c>
      <c r="AF350" s="21" t="s">
        <v>135</v>
      </c>
      <c r="AG350" s="21" t="s">
        <v>135</v>
      </c>
      <c r="AH350" s="21" t="s">
        <v>135</v>
      </c>
      <c r="AI350" s="21" t="s">
        <v>135</v>
      </c>
    </row>
    <row r="351" spans="1:36" ht="15.75" customHeight="1" x14ac:dyDescent="0.3">
      <c r="A351" s="21">
        <v>2025</v>
      </c>
      <c r="B351" s="22">
        <v>45973.433269062501</v>
      </c>
      <c r="C351" s="21" t="s">
        <v>183</v>
      </c>
      <c r="D351" s="21" t="s">
        <v>183</v>
      </c>
      <c r="E351" s="21" t="s">
        <v>183</v>
      </c>
      <c r="F351" s="21" t="s">
        <v>183</v>
      </c>
      <c r="G351" s="21" t="s">
        <v>93</v>
      </c>
      <c r="H351" s="21" t="s">
        <v>3162</v>
      </c>
      <c r="I351" s="21" t="s">
        <v>3163</v>
      </c>
      <c r="J351" s="21" t="s">
        <v>3164</v>
      </c>
      <c r="K351" s="21" t="e">
        <f t="shared" ca="1" si="2"/>
        <v>#NAME?</v>
      </c>
      <c r="L351" s="24">
        <v>1984</v>
      </c>
      <c r="M351" s="21">
        <v>2010</v>
      </c>
      <c r="N351" s="21" t="s">
        <v>111</v>
      </c>
      <c r="O351" s="21" t="s">
        <v>112</v>
      </c>
      <c r="P351" s="26">
        <v>7829553399</v>
      </c>
      <c r="Q351" s="26" t="e">
        <f t="shared" ca="1" si="3"/>
        <v>#NAME?</v>
      </c>
      <c r="R351" s="21" t="s">
        <v>188</v>
      </c>
      <c r="S351" s="21" t="s">
        <v>3165</v>
      </c>
      <c r="T351" s="21" t="s">
        <v>3166</v>
      </c>
      <c r="U351" s="21" t="s">
        <v>3167</v>
      </c>
      <c r="V351" s="21" t="s">
        <v>127</v>
      </c>
      <c r="W351" s="21" t="s">
        <v>307</v>
      </c>
      <c r="X351" s="21" t="s">
        <v>179</v>
      </c>
      <c r="Y351" s="21" t="s">
        <v>3168</v>
      </c>
      <c r="Z351" s="21" t="s">
        <v>127</v>
      </c>
      <c r="AA351" s="21" t="s">
        <v>3169</v>
      </c>
      <c r="AB351" s="21" t="s">
        <v>129</v>
      </c>
      <c r="AC351" s="21" t="s">
        <v>3170</v>
      </c>
      <c r="AD351" s="21" t="s">
        <v>132</v>
      </c>
      <c r="AE351" s="21" t="s">
        <v>133</v>
      </c>
      <c r="AF351" s="21" t="s">
        <v>135</v>
      </c>
      <c r="AG351" s="21" t="s">
        <v>135</v>
      </c>
      <c r="AH351" s="21" t="s">
        <v>135</v>
      </c>
      <c r="AI351" s="21" t="s">
        <v>135</v>
      </c>
    </row>
    <row r="352" spans="1:36" ht="15.75" customHeight="1" x14ac:dyDescent="0.3">
      <c r="A352" s="21">
        <v>2025</v>
      </c>
      <c r="B352" s="22">
        <v>45976.654985266199</v>
      </c>
      <c r="C352" s="21" t="s">
        <v>183</v>
      </c>
      <c r="D352" s="21" t="s">
        <v>183</v>
      </c>
      <c r="E352" s="21" t="s">
        <v>183</v>
      </c>
      <c r="F352" s="21" t="s">
        <v>183</v>
      </c>
      <c r="G352" s="21" t="s">
        <v>256</v>
      </c>
      <c r="H352" s="21" t="s">
        <v>2167</v>
      </c>
      <c r="I352" s="21" t="s">
        <v>1774</v>
      </c>
      <c r="J352" s="21" t="s">
        <v>1776</v>
      </c>
      <c r="K352" s="21" t="e">
        <f t="shared" ca="1" si="2"/>
        <v>#NAME?</v>
      </c>
      <c r="L352" s="24">
        <v>2013</v>
      </c>
      <c r="M352" s="21">
        <v>2025</v>
      </c>
      <c r="N352" s="21" t="s">
        <v>315</v>
      </c>
      <c r="O352" s="21" t="s">
        <v>316</v>
      </c>
      <c r="P352" s="26">
        <v>8609048328</v>
      </c>
      <c r="Q352" s="26" t="e">
        <f t="shared" ca="1" si="3"/>
        <v>#NAME?</v>
      </c>
      <c r="R352" s="21" t="s">
        <v>1324</v>
      </c>
      <c r="S352" s="21" t="s">
        <v>3171</v>
      </c>
      <c r="T352" s="21" t="s">
        <v>2741</v>
      </c>
      <c r="U352" s="21" t="s">
        <v>127</v>
      </c>
      <c r="V352" s="21" t="s">
        <v>3172</v>
      </c>
      <c r="W352" s="21" t="s">
        <v>307</v>
      </c>
      <c r="X352" s="21" t="s">
        <v>308</v>
      </c>
      <c r="Y352" s="21" t="s">
        <v>3173</v>
      </c>
      <c r="Z352" s="21" t="s">
        <v>3174</v>
      </c>
      <c r="AA352" s="21" t="s">
        <v>3175</v>
      </c>
      <c r="AB352" s="21" t="s">
        <v>2251</v>
      </c>
      <c r="AC352" s="21" t="s">
        <v>2173</v>
      </c>
      <c r="AD352" s="21" t="s">
        <v>287</v>
      </c>
      <c r="AE352" s="21" t="s">
        <v>133</v>
      </c>
      <c r="AF352" s="21" t="s">
        <v>135</v>
      </c>
      <c r="AG352" s="21" t="s">
        <v>135</v>
      </c>
      <c r="AH352" s="21" t="s">
        <v>135</v>
      </c>
      <c r="AI352" s="21" t="s">
        <v>135</v>
      </c>
    </row>
    <row r="353" spans="1:36" ht="15.75" customHeight="1" x14ac:dyDescent="0.3">
      <c r="A353" s="21">
        <v>2025</v>
      </c>
      <c r="B353" s="22">
        <v>45977.706235393518</v>
      </c>
      <c r="C353" s="21" t="s">
        <v>183</v>
      </c>
      <c r="D353" s="21" t="s">
        <v>183</v>
      </c>
      <c r="E353" s="21" t="s">
        <v>183</v>
      </c>
      <c r="F353" s="21" t="s">
        <v>183</v>
      </c>
      <c r="G353" s="21" t="s">
        <v>93</v>
      </c>
      <c r="H353" s="21" t="s">
        <v>3176</v>
      </c>
      <c r="I353" s="21" t="s">
        <v>576</v>
      </c>
      <c r="J353" s="21" t="s">
        <v>3177</v>
      </c>
      <c r="K353" s="21" t="e">
        <f t="shared" ca="1" si="2"/>
        <v>#NAME?</v>
      </c>
      <c r="L353" s="24">
        <v>1964</v>
      </c>
      <c r="M353" s="21">
        <v>1977</v>
      </c>
      <c r="N353" s="21" t="s">
        <v>111</v>
      </c>
      <c r="O353" s="21" t="s">
        <v>112</v>
      </c>
      <c r="P353" s="26">
        <v>9440138133</v>
      </c>
      <c r="Q353" s="26" t="e">
        <f t="shared" ca="1" si="3"/>
        <v>#NAME?</v>
      </c>
      <c r="R353" s="21" t="s">
        <v>3178</v>
      </c>
      <c r="S353" s="21" t="s">
        <v>3179</v>
      </c>
      <c r="T353" s="21" t="s">
        <v>3180</v>
      </c>
      <c r="U353" s="21" t="s">
        <v>3181</v>
      </c>
      <c r="V353" s="21" t="s">
        <v>127</v>
      </c>
      <c r="W353" s="21" t="s">
        <v>162</v>
      </c>
      <c r="X353" s="21" t="s">
        <v>165</v>
      </c>
      <c r="Y353" s="21" t="s">
        <v>3182</v>
      </c>
      <c r="Z353" s="21" t="s">
        <v>127</v>
      </c>
      <c r="AA353" s="21" t="s">
        <v>3183</v>
      </c>
      <c r="AB353" s="21" t="s">
        <v>129</v>
      </c>
      <c r="AC353" s="21" t="s">
        <v>3184</v>
      </c>
      <c r="AD353" s="21" t="s">
        <v>132</v>
      </c>
      <c r="AE353" s="21" t="s">
        <v>133</v>
      </c>
      <c r="AF353" s="21" t="s">
        <v>135</v>
      </c>
      <c r="AG353" s="21" t="s">
        <v>135</v>
      </c>
      <c r="AH353" s="21" t="s">
        <v>135</v>
      </c>
      <c r="AI353" s="21" t="s">
        <v>135</v>
      </c>
      <c r="AJ353" s="21" t="s">
        <v>3185</v>
      </c>
    </row>
    <row r="354" spans="1:36" ht="15.75" customHeight="1" x14ac:dyDescent="0.3">
      <c r="A354" s="21">
        <v>2025</v>
      </c>
      <c r="B354" s="22">
        <v>45978.980221041667</v>
      </c>
      <c r="C354" s="21" t="s">
        <v>183</v>
      </c>
      <c r="D354" s="21" t="s">
        <v>183</v>
      </c>
      <c r="E354" s="21" t="s">
        <v>183</v>
      </c>
      <c r="F354" s="21" t="s">
        <v>183</v>
      </c>
      <c r="G354" s="21" t="s">
        <v>93</v>
      </c>
      <c r="H354" s="21" t="s">
        <v>3186</v>
      </c>
      <c r="I354" s="21" t="s">
        <v>1766</v>
      </c>
      <c r="J354" s="21" t="s">
        <v>3187</v>
      </c>
      <c r="K354" s="21" t="e">
        <f t="shared" ca="1" si="2"/>
        <v>#NAME?</v>
      </c>
      <c r="L354" s="24">
        <v>1982</v>
      </c>
      <c r="M354" s="21">
        <v>2012</v>
      </c>
      <c r="N354" s="21" t="s">
        <v>111</v>
      </c>
      <c r="O354" s="21" t="s">
        <v>112</v>
      </c>
      <c r="P354" s="26">
        <v>9059164711</v>
      </c>
      <c r="Q354" s="26" t="e">
        <f t="shared" ca="1" si="3"/>
        <v>#NAME?</v>
      </c>
      <c r="R354" s="21" t="s">
        <v>188</v>
      </c>
      <c r="S354" s="21" t="s">
        <v>3188</v>
      </c>
      <c r="T354" s="21">
        <v>9966011130</v>
      </c>
      <c r="U354" s="21" t="s">
        <v>3189</v>
      </c>
      <c r="V354" s="21" t="s">
        <v>127</v>
      </c>
      <c r="W354" s="21" t="s">
        <v>3190</v>
      </c>
      <c r="X354" s="21" t="s">
        <v>308</v>
      </c>
      <c r="Y354" s="21" t="s">
        <v>308</v>
      </c>
      <c r="Z354" s="21" t="s">
        <v>127</v>
      </c>
      <c r="AA354" s="21" t="s">
        <v>450</v>
      </c>
      <c r="AB354" s="21" t="s">
        <v>129</v>
      </c>
      <c r="AC354" s="21" t="s">
        <v>3191</v>
      </c>
      <c r="AD354" s="21" t="s">
        <v>287</v>
      </c>
      <c r="AE354" s="21" t="s">
        <v>133</v>
      </c>
      <c r="AF354" s="21" t="s">
        <v>135</v>
      </c>
      <c r="AG354" s="21" t="s">
        <v>135</v>
      </c>
      <c r="AH354" s="21" t="s">
        <v>135</v>
      </c>
      <c r="AI354" s="21" t="s">
        <v>135</v>
      </c>
    </row>
    <row r="355" spans="1:36" ht="15.75" customHeight="1" x14ac:dyDescent="0.3">
      <c r="A355" s="21">
        <v>2025</v>
      </c>
      <c r="B355" s="22">
        <v>45982.502024305555</v>
      </c>
      <c r="C355" s="21" t="s">
        <v>183</v>
      </c>
      <c r="D355" s="21" t="s">
        <v>183</v>
      </c>
      <c r="E355" s="21" t="s">
        <v>183</v>
      </c>
      <c r="F355" s="21" t="s">
        <v>90</v>
      </c>
      <c r="G355" s="21" t="s">
        <v>93</v>
      </c>
      <c r="H355" s="21" t="s">
        <v>3192</v>
      </c>
      <c r="I355" s="21" t="s">
        <v>1534</v>
      </c>
      <c r="J355" s="21" t="s">
        <v>3193</v>
      </c>
      <c r="K355" s="21" t="e">
        <f t="shared" ca="1" si="2"/>
        <v>#NAME?</v>
      </c>
      <c r="L355" s="24">
        <v>1986</v>
      </c>
      <c r="M355" s="21">
        <v>2011</v>
      </c>
      <c r="N355" s="21" t="s">
        <v>111</v>
      </c>
      <c r="O355" s="21" t="s">
        <v>112</v>
      </c>
      <c r="P355" s="26">
        <v>9701451757</v>
      </c>
      <c r="Q355" s="26" t="e">
        <f t="shared" ca="1" si="3"/>
        <v>#NAME?</v>
      </c>
      <c r="R355" s="21" t="s">
        <v>188</v>
      </c>
      <c r="S355" s="21" t="s">
        <v>3194</v>
      </c>
      <c r="T355" s="21">
        <v>9000400491</v>
      </c>
      <c r="U355" s="21" t="s">
        <v>3196</v>
      </c>
      <c r="V355" s="21" t="s">
        <v>127</v>
      </c>
      <c r="W355" s="21" t="s">
        <v>2743</v>
      </c>
      <c r="X355" s="21" t="s">
        <v>179</v>
      </c>
      <c r="Y355" s="21" t="s">
        <v>2463</v>
      </c>
      <c r="Z355" s="21" t="s">
        <v>127</v>
      </c>
      <c r="AA355" s="21" t="s">
        <v>450</v>
      </c>
      <c r="AB355" s="21" t="s">
        <v>129</v>
      </c>
      <c r="AC355" s="21" t="s">
        <v>3198</v>
      </c>
      <c r="AD355" s="21" t="s">
        <v>132</v>
      </c>
      <c r="AE355" s="21" t="s">
        <v>133</v>
      </c>
      <c r="AF355" s="21" t="s">
        <v>135</v>
      </c>
      <c r="AG355" s="21" t="s">
        <v>135</v>
      </c>
      <c r="AH355" s="21" t="s">
        <v>135</v>
      </c>
      <c r="AI355" s="21" t="s">
        <v>135</v>
      </c>
    </row>
    <row r="356" spans="1:36" ht="15.75" customHeight="1" x14ac:dyDescent="0.3">
      <c r="A356" s="21">
        <v>2025</v>
      </c>
      <c r="B356" s="22">
        <v>45988.611696724533</v>
      </c>
      <c r="C356" s="21" t="s">
        <v>183</v>
      </c>
      <c r="D356" s="21" t="s">
        <v>183</v>
      </c>
      <c r="E356" s="21" t="s">
        <v>183</v>
      </c>
      <c r="F356" s="21" t="s">
        <v>183</v>
      </c>
      <c r="G356" s="21" t="s">
        <v>93</v>
      </c>
      <c r="H356" s="21" t="s">
        <v>3199</v>
      </c>
      <c r="I356" s="21" t="s">
        <v>3200</v>
      </c>
      <c r="J356" s="21" t="s">
        <v>3201</v>
      </c>
      <c r="K356" s="21" t="e">
        <f t="shared" ca="1" si="2"/>
        <v>#NAME?</v>
      </c>
      <c r="L356" s="24">
        <v>1984</v>
      </c>
      <c r="M356" s="21">
        <v>1995</v>
      </c>
      <c r="N356" s="21" t="s">
        <v>474</v>
      </c>
      <c r="O356" s="21" t="s">
        <v>316</v>
      </c>
      <c r="P356" s="26">
        <v>2039473369</v>
      </c>
      <c r="Q356" s="26" t="e">
        <f t="shared" ca="1" si="3"/>
        <v>#NAME?</v>
      </c>
      <c r="R356" s="21" t="s">
        <v>3202</v>
      </c>
      <c r="S356" s="21" t="s">
        <v>3203</v>
      </c>
      <c r="T356" s="21" t="s">
        <v>3204</v>
      </c>
      <c r="U356" s="21" t="s">
        <v>2375</v>
      </c>
      <c r="V356" s="21" t="s">
        <v>127</v>
      </c>
      <c r="W356" s="21" t="s">
        <v>266</v>
      </c>
      <c r="X356" s="21" t="s">
        <v>211</v>
      </c>
      <c r="Y356" s="21" t="s">
        <v>211</v>
      </c>
      <c r="Z356" s="21" t="s">
        <v>127</v>
      </c>
      <c r="AA356" s="21" t="s">
        <v>691</v>
      </c>
      <c r="AB356" s="21" t="s">
        <v>129</v>
      </c>
      <c r="AC356" s="21" t="s">
        <v>3205</v>
      </c>
      <c r="AD356" s="21" t="s">
        <v>169</v>
      </c>
      <c r="AE356" s="21" t="s">
        <v>133</v>
      </c>
      <c r="AF356" s="21" t="s">
        <v>135</v>
      </c>
      <c r="AG356" s="21" t="s">
        <v>135</v>
      </c>
      <c r="AH356" s="21" t="s">
        <v>135</v>
      </c>
      <c r="AI356" s="21" t="s">
        <v>135</v>
      </c>
      <c r="AJ356" s="21" t="s">
        <v>3206</v>
      </c>
    </row>
    <row r="357" spans="1:36" ht="15.75" customHeight="1" x14ac:dyDescent="0.3">
      <c r="A357" s="21">
        <v>2025</v>
      </c>
      <c r="B357" s="22">
        <v>45989.294149861111</v>
      </c>
      <c r="C357" s="21" t="s">
        <v>183</v>
      </c>
      <c r="D357" s="21" t="s">
        <v>183</v>
      </c>
      <c r="E357" s="21" t="s">
        <v>183</v>
      </c>
      <c r="F357" s="21" t="s">
        <v>183</v>
      </c>
      <c r="G357" s="21" t="s">
        <v>93</v>
      </c>
      <c r="H357" s="21" t="s">
        <v>3207</v>
      </c>
      <c r="I357" s="21" t="s">
        <v>3208</v>
      </c>
      <c r="J357" s="21" t="s">
        <v>3209</v>
      </c>
      <c r="K357" s="21" t="e">
        <f t="shared" ca="1" si="2"/>
        <v>#NAME?</v>
      </c>
      <c r="L357" s="24">
        <v>2009</v>
      </c>
      <c r="M357" s="21">
        <v>2018</v>
      </c>
      <c r="N357" s="21" t="s">
        <v>111</v>
      </c>
      <c r="O357" s="21" t="s">
        <v>112</v>
      </c>
      <c r="P357" s="26">
        <v>9885034960</v>
      </c>
      <c r="Q357" s="26" t="e">
        <f t="shared" ca="1" si="3"/>
        <v>#NAME?</v>
      </c>
      <c r="R357" s="21" t="s">
        <v>188</v>
      </c>
      <c r="S357" s="21" t="s">
        <v>2017</v>
      </c>
      <c r="T357" s="21" t="s">
        <v>3210</v>
      </c>
      <c r="U357" s="21" t="s">
        <v>127</v>
      </c>
      <c r="V357" s="21" t="s">
        <v>3211</v>
      </c>
      <c r="W357" s="21" t="s">
        <v>162</v>
      </c>
      <c r="X357" s="21" t="s">
        <v>3212</v>
      </c>
      <c r="Y357" s="21" t="s">
        <v>3212</v>
      </c>
      <c r="Z357" s="21" t="s">
        <v>3213</v>
      </c>
      <c r="AA357" s="21" t="s">
        <v>3214</v>
      </c>
      <c r="AB357" s="21" t="s">
        <v>129</v>
      </c>
      <c r="AC357" s="21" t="s">
        <v>3215</v>
      </c>
      <c r="AD357" s="21" t="s">
        <v>132</v>
      </c>
      <c r="AE357" s="21" t="s">
        <v>332</v>
      </c>
      <c r="AF357" s="21" t="s">
        <v>686</v>
      </c>
      <c r="AG357" s="21" t="s">
        <v>135</v>
      </c>
      <c r="AH357" s="21" t="s">
        <v>135</v>
      </c>
      <c r="AI357" s="21" t="s">
        <v>135</v>
      </c>
      <c r="AJ357" s="21" t="s">
        <v>3216</v>
      </c>
    </row>
    <row r="358" spans="1:36" ht="15.75" customHeight="1" x14ac:dyDescent="0.3">
      <c r="A358" s="21">
        <v>2025</v>
      </c>
      <c r="B358" s="22">
        <v>45989.551060509257</v>
      </c>
      <c r="C358" s="21" t="s">
        <v>183</v>
      </c>
      <c r="D358" s="21" t="s">
        <v>183</v>
      </c>
      <c r="E358" s="21" t="s">
        <v>183</v>
      </c>
      <c r="F358" s="21" t="s">
        <v>183</v>
      </c>
      <c r="G358" s="21" t="s">
        <v>93</v>
      </c>
      <c r="H358" s="21" t="s">
        <v>3217</v>
      </c>
      <c r="I358" s="21" t="s">
        <v>880</v>
      </c>
      <c r="J358" s="21" t="s">
        <v>476</v>
      </c>
      <c r="K358" s="21" t="e">
        <f t="shared" ca="1" si="2"/>
        <v>#NAME?</v>
      </c>
      <c r="L358" s="24">
        <v>1974</v>
      </c>
      <c r="M358" s="21">
        <v>2000</v>
      </c>
      <c r="N358" s="21" t="s">
        <v>402</v>
      </c>
      <c r="O358" s="21" t="s">
        <v>316</v>
      </c>
      <c r="P358" s="26">
        <v>9193668910</v>
      </c>
      <c r="Q358" s="26" t="e">
        <f t="shared" ca="1" si="3"/>
        <v>#NAME?</v>
      </c>
      <c r="R358" s="21" t="s">
        <v>3218</v>
      </c>
      <c r="S358" s="21" t="s">
        <v>3219</v>
      </c>
      <c r="T358" s="21" t="s">
        <v>3220</v>
      </c>
      <c r="U358" s="21" t="s">
        <v>3221</v>
      </c>
      <c r="V358" s="21" t="s">
        <v>127</v>
      </c>
      <c r="W358" s="21" t="s">
        <v>266</v>
      </c>
      <c r="X358" s="21" t="s">
        <v>308</v>
      </c>
      <c r="Y358" s="21" t="s">
        <v>3222</v>
      </c>
      <c r="Z358" s="21" t="s">
        <v>284</v>
      </c>
      <c r="AA358" s="21" t="s">
        <v>3223</v>
      </c>
      <c r="AB358" s="21" t="s">
        <v>129</v>
      </c>
      <c r="AC358" s="21" t="s">
        <v>3224</v>
      </c>
      <c r="AD358" s="21" t="s">
        <v>132</v>
      </c>
      <c r="AE358" s="21" t="s">
        <v>133</v>
      </c>
      <c r="AF358" s="21" t="s">
        <v>135</v>
      </c>
      <c r="AG358" s="21" t="s">
        <v>135</v>
      </c>
      <c r="AH358" s="21" t="s">
        <v>135</v>
      </c>
      <c r="AI358" s="21" t="s">
        <v>135</v>
      </c>
      <c r="AJ358" s="21" t="s">
        <v>3225</v>
      </c>
    </row>
    <row r="359" spans="1:36" ht="15.75" customHeight="1" x14ac:dyDescent="0.3">
      <c r="A359" s="21">
        <v>2025</v>
      </c>
      <c r="B359" s="22">
        <v>45990.514768680558</v>
      </c>
      <c r="C359" s="21" t="s">
        <v>183</v>
      </c>
      <c r="D359" s="21" t="s">
        <v>183</v>
      </c>
      <c r="E359" s="21" t="s">
        <v>183</v>
      </c>
      <c r="F359" s="21" t="s">
        <v>90</v>
      </c>
      <c r="G359" s="21" t="s">
        <v>256</v>
      </c>
      <c r="H359" s="21" t="s">
        <v>3226</v>
      </c>
      <c r="I359" s="21" t="s">
        <v>643</v>
      </c>
      <c r="J359" s="21" t="s">
        <v>3227</v>
      </c>
      <c r="K359" s="21" t="e">
        <f t="shared" ca="1" si="2"/>
        <v>#NAME?</v>
      </c>
      <c r="L359" s="24">
        <v>2017</v>
      </c>
      <c r="M359" s="21">
        <v>2024</v>
      </c>
      <c r="N359" s="21" t="s">
        <v>111</v>
      </c>
      <c r="O359" s="21" t="s">
        <v>112</v>
      </c>
      <c r="P359" s="26">
        <v>9966904769</v>
      </c>
      <c r="Q359" s="26" t="e">
        <f t="shared" ca="1" si="3"/>
        <v>#NAME?</v>
      </c>
      <c r="R359" s="21" t="s">
        <v>188</v>
      </c>
      <c r="S359" s="21" t="s">
        <v>2017</v>
      </c>
      <c r="T359" s="21" t="s">
        <v>3228</v>
      </c>
      <c r="U359" s="21" t="s">
        <v>127</v>
      </c>
      <c r="V359" s="21" t="s">
        <v>3229</v>
      </c>
      <c r="W359" s="21" t="s">
        <v>219</v>
      </c>
      <c r="X359" s="21" t="s">
        <v>308</v>
      </c>
      <c r="Y359" s="21" t="s">
        <v>406</v>
      </c>
      <c r="Z359" s="21" t="s">
        <v>3230</v>
      </c>
      <c r="AA359" s="21" t="s">
        <v>3231</v>
      </c>
      <c r="AB359" s="21" t="s">
        <v>269</v>
      </c>
      <c r="AC359" s="21" t="s">
        <v>3232</v>
      </c>
      <c r="AD359" s="21" t="s">
        <v>287</v>
      </c>
      <c r="AE359" s="21" t="s">
        <v>133</v>
      </c>
      <c r="AF359" s="21" t="s">
        <v>135</v>
      </c>
      <c r="AG359" s="21" t="s">
        <v>135</v>
      </c>
      <c r="AH359" s="21" t="s">
        <v>135</v>
      </c>
      <c r="AI359" s="21" t="s">
        <v>135</v>
      </c>
    </row>
    <row r="360" spans="1:36" ht="15.75" customHeight="1" x14ac:dyDescent="0.3">
      <c r="A360" s="21">
        <v>2025</v>
      </c>
      <c r="B360" s="22">
        <v>45990.516417673614</v>
      </c>
      <c r="C360" s="21" t="s">
        <v>183</v>
      </c>
      <c r="D360" s="21" t="s">
        <v>183</v>
      </c>
      <c r="E360" s="21" t="s">
        <v>183</v>
      </c>
      <c r="F360" s="21" t="s">
        <v>90</v>
      </c>
      <c r="G360" s="21" t="s">
        <v>256</v>
      </c>
      <c r="H360" s="21" t="s">
        <v>3226</v>
      </c>
      <c r="I360" s="21" t="s">
        <v>2592</v>
      </c>
      <c r="J360" s="21" t="s">
        <v>3233</v>
      </c>
      <c r="K360" s="21" t="e">
        <f t="shared" ca="1" si="2"/>
        <v>#NAME?</v>
      </c>
      <c r="L360" s="24">
        <v>2019</v>
      </c>
      <c r="M360" s="21">
        <v>2025</v>
      </c>
      <c r="N360" s="21" t="s">
        <v>111</v>
      </c>
      <c r="O360" s="21" t="s">
        <v>112</v>
      </c>
      <c r="P360" s="26">
        <v>9966904769</v>
      </c>
      <c r="Q360" s="26" t="e">
        <f t="shared" ca="1" si="3"/>
        <v>#NAME?</v>
      </c>
      <c r="R360" s="21" t="s">
        <v>188</v>
      </c>
      <c r="S360" s="21" t="s">
        <v>2017</v>
      </c>
      <c r="T360" s="21" t="s">
        <v>3228</v>
      </c>
      <c r="U360" s="21" t="s">
        <v>127</v>
      </c>
      <c r="V360" s="21" t="s">
        <v>3229</v>
      </c>
      <c r="W360" s="21" t="s">
        <v>307</v>
      </c>
      <c r="X360" s="21" t="s">
        <v>267</v>
      </c>
      <c r="Y360" s="21" t="s">
        <v>406</v>
      </c>
      <c r="Z360" s="21" t="s">
        <v>3230</v>
      </c>
      <c r="AA360" s="21" t="s">
        <v>3231</v>
      </c>
      <c r="AB360" s="21" t="s">
        <v>269</v>
      </c>
      <c r="AC360" s="21" t="s">
        <v>3232</v>
      </c>
      <c r="AD360" s="21" t="s">
        <v>287</v>
      </c>
      <c r="AE360" s="21" t="s">
        <v>133</v>
      </c>
      <c r="AF360" s="21" t="s">
        <v>135</v>
      </c>
      <c r="AG360" s="21" t="s">
        <v>135</v>
      </c>
      <c r="AH360" s="21" t="s">
        <v>135</v>
      </c>
      <c r="AI360" s="21" t="s">
        <v>135</v>
      </c>
    </row>
    <row r="361" spans="1:36" ht="15.75" customHeight="1" x14ac:dyDescent="0.3">
      <c r="A361" s="21">
        <v>2025</v>
      </c>
      <c r="B361" s="22">
        <v>45991.908120208333</v>
      </c>
      <c r="C361" s="21" t="s">
        <v>183</v>
      </c>
      <c r="D361" s="21" t="s">
        <v>183</v>
      </c>
      <c r="E361" s="21" t="s">
        <v>183</v>
      </c>
      <c r="F361" s="21" t="s">
        <v>183</v>
      </c>
      <c r="G361" s="21" t="s">
        <v>93</v>
      </c>
      <c r="H361" s="21" t="s">
        <v>3234</v>
      </c>
      <c r="I361" s="21" t="s">
        <v>3235</v>
      </c>
      <c r="J361" s="21" t="s">
        <v>751</v>
      </c>
      <c r="K361" s="21" t="e">
        <f t="shared" ca="1" si="2"/>
        <v>#NAME?</v>
      </c>
      <c r="L361" s="24">
        <v>1973</v>
      </c>
      <c r="M361" s="21">
        <v>1992</v>
      </c>
      <c r="N361" s="21" t="s">
        <v>315</v>
      </c>
      <c r="O361" s="21" t="s">
        <v>316</v>
      </c>
      <c r="P361" s="26">
        <v>5107668743</v>
      </c>
      <c r="Q361" s="26" t="e">
        <f t="shared" ca="1" si="3"/>
        <v>#NAME?</v>
      </c>
      <c r="R361" s="21" t="s">
        <v>1501</v>
      </c>
      <c r="S361" s="21" t="s">
        <v>3236</v>
      </c>
      <c r="T361" s="21" t="s">
        <v>3237</v>
      </c>
      <c r="U361" s="21" t="s">
        <v>3238</v>
      </c>
      <c r="V361" s="21" t="s">
        <v>276</v>
      </c>
      <c r="W361" s="21" t="s">
        <v>319</v>
      </c>
      <c r="X361" s="21" t="s">
        <v>657</v>
      </c>
      <c r="Y361" s="21" t="s">
        <v>3239</v>
      </c>
      <c r="Z361" s="21" t="s">
        <v>127</v>
      </c>
      <c r="AA361" s="21" t="s">
        <v>818</v>
      </c>
      <c r="AB361" s="21" t="s">
        <v>129</v>
      </c>
      <c r="AC361" s="21" t="s">
        <v>825</v>
      </c>
      <c r="AD361" s="21" t="s">
        <v>132</v>
      </c>
      <c r="AE361" s="21" t="s">
        <v>133</v>
      </c>
      <c r="AF361" s="21" t="s">
        <v>135</v>
      </c>
      <c r="AG361" s="21" t="s">
        <v>135</v>
      </c>
      <c r="AH361" s="21" t="s">
        <v>135</v>
      </c>
      <c r="AI361" s="21" t="s">
        <v>135</v>
      </c>
    </row>
    <row r="362" spans="1:36" ht="15.75" customHeight="1" x14ac:dyDescent="0.3">
      <c r="A362" s="21">
        <v>2025</v>
      </c>
      <c r="B362" s="22">
        <v>45993.300134849538</v>
      </c>
      <c r="C362" s="21" t="s">
        <v>183</v>
      </c>
      <c r="D362" s="21" t="s">
        <v>183</v>
      </c>
      <c r="E362" s="21" t="s">
        <v>183</v>
      </c>
      <c r="F362" s="21" t="s">
        <v>183</v>
      </c>
      <c r="G362" s="21" t="s">
        <v>93</v>
      </c>
      <c r="H362" s="21" t="s">
        <v>3240</v>
      </c>
      <c r="I362" s="21" t="s">
        <v>3241</v>
      </c>
      <c r="J362" s="21" t="s">
        <v>3242</v>
      </c>
      <c r="K362" s="21" t="e">
        <f t="shared" ca="1" si="2"/>
        <v>#NAME?</v>
      </c>
      <c r="L362" s="24">
        <v>1962</v>
      </c>
      <c r="M362" s="21">
        <v>1992</v>
      </c>
      <c r="N362" s="21" t="s">
        <v>111</v>
      </c>
      <c r="O362" s="21" t="s">
        <v>112</v>
      </c>
      <c r="P362" s="26">
        <v>8074673867</v>
      </c>
      <c r="Q362" s="26" t="e">
        <f t="shared" ca="1" si="3"/>
        <v>#NAME?</v>
      </c>
      <c r="R362" s="21" t="s">
        <v>188</v>
      </c>
      <c r="S362" s="21" t="s">
        <v>3243</v>
      </c>
      <c r="T362" s="21" t="s">
        <v>3245</v>
      </c>
      <c r="U362" s="21" t="s">
        <v>2592</v>
      </c>
      <c r="V362" s="21" t="s">
        <v>3246</v>
      </c>
      <c r="W362" s="21" t="s">
        <v>3247</v>
      </c>
      <c r="X362" s="21" t="s">
        <v>178</v>
      </c>
      <c r="Y362" s="21" t="s">
        <v>178</v>
      </c>
      <c r="Z362" s="21" t="s">
        <v>2717</v>
      </c>
      <c r="AA362" s="21" t="s">
        <v>1581</v>
      </c>
      <c r="AB362" s="21" t="s">
        <v>2128</v>
      </c>
      <c r="AC362" s="21" t="s">
        <v>178</v>
      </c>
      <c r="AD362" s="21" t="s">
        <v>169</v>
      </c>
      <c r="AE362" s="21" t="s">
        <v>133</v>
      </c>
      <c r="AF362" s="21" t="s">
        <v>135</v>
      </c>
      <c r="AG362" s="21" t="s">
        <v>135</v>
      </c>
      <c r="AH362" s="21" t="s">
        <v>135</v>
      </c>
      <c r="AI362" s="21" t="s">
        <v>135</v>
      </c>
    </row>
    <row r="363" spans="1:36" ht="15.75" customHeight="1" x14ac:dyDescent="0.3">
      <c r="A363" s="21">
        <v>2025</v>
      </c>
      <c r="B363" s="22">
        <v>45996.210407361112</v>
      </c>
      <c r="C363" s="21" t="s">
        <v>183</v>
      </c>
      <c r="D363" s="21" t="s">
        <v>183</v>
      </c>
      <c r="E363" s="21" t="s">
        <v>183</v>
      </c>
      <c r="F363" s="21" t="s">
        <v>183</v>
      </c>
      <c r="G363" s="21" t="s">
        <v>93</v>
      </c>
      <c r="H363" s="21" t="s">
        <v>3248</v>
      </c>
      <c r="I363" s="21" t="s">
        <v>3249</v>
      </c>
      <c r="J363" s="21" t="s">
        <v>3250</v>
      </c>
      <c r="K363" s="21" t="e">
        <f t="shared" ca="1" si="2"/>
        <v>#NAME?</v>
      </c>
      <c r="L363" s="24">
        <v>1964</v>
      </c>
      <c r="M363" s="21">
        <v>1982</v>
      </c>
      <c r="N363" s="21" t="s">
        <v>111</v>
      </c>
      <c r="O363" s="21" t="s">
        <v>112</v>
      </c>
      <c r="P363" s="26">
        <v>8897630950</v>
      </c>
      <c r="Q363" s="26" t="e">
        <f t="shared" ca="1" si="3"/>
        <v>#NAME?</v>
      </c>
      <c r="R363" s="21" t="s">
        <v>3251</v>
      </c>
      <c r="S363" s="21" t="s">
        <v>3088</v>
      </c>
      <c r="T363" s="21">
        <v>9290103468</v>
      </c>
      <c r="U363" s="21" t="s">
        <v>3252</v>
      </c>
      <c r="V363" s="21" t="s">
        <v>284</v>
      </c>
      <c r="W363" s="21" t="s">
        <v>488</v>
      </c>
      <c r="X363" s="21" t="s">
        <v>179</v>
      </c>
      <c r="Y363" s="21" t="s">
        <v>179</v>
      </c>
      <c r="Z363" s="21" t="s">
        <v>284</v>
      </c>
      <c r="AA363" s="21" t="s">
        <v>3253</v>
      </c>
      <c r="AB363" s="21" t="s">
        <v>129</v>
      </c>
      <c r="AC363" s="21" t="s">
        <v>3254</v>
      </c>
      <c r="AD363" s="21" t="s">
        <v>132</v>
      </c>
      <c r="AE363" s="21" t="s">
        <v>133</v>
      </c>
      <c r="AF363" s="21" t="s">
        <v>135</v>
      </c>
      <c r="AG363" s="21" t="s">
        <v>135</v>
      </c>
      <c r="AH363" s="21" t="s">
        <v>135</v>
      </c>
      <c r="AI363" s="21" t="s">
        <v>135</v>
      </c>
    </row>
    <row r="364" spans="1:36" ht="15.75" customHeight="1" x14ac:dyDescent="0.3">
      <c r="A364" s="21">
        <v>2025</v>
      </c>
      <c r="B364" s="22">
        <v>45998.260348923606</v>
      </c>
      <c r="C364" s="21" t="s">
        <v>183</v>
      </c>
      <c r="D364" s="21" t="s">
        <v>183</v>
      </c>
      <c r="E364" s="21" t="s">
        <v>183</v>
      </c>
      <c r="F364" s="21" t="s">
        <v>183</v>
      </c>
      <c r="G364" s="21" t="s">
        <v>93</v>
      </c>
      <c r="H364" s="21" t="s">
        <v>3255</v>
      </c>
      <c r="I364" s="21" t="s">
        <v>3256</v>
      </c>
      <c r="J364" s="21" t="s">
        <v>2783</v>
      </c>
      <c r="K364" s="21" t="e">
        <f t="shared" ca="1" si="2"/>
        <v>#NAME?</v>
      </c>
      <c r="L364" s="24">
        <v>1971</v>
      </c>
      <c r="M364" s="21">
        <v>1996</v>
      </c>
      <c r="N364" s="21" t="s">
        <v>111</v>
      </c>
      <c r="O364" s="21" t="s">
        <v>112</v>
      </c>
      <c r="P364" s="26">
        <v>7207813292</v>
      </c>
      <c r="Q364" s="26" t="e">
        <f t="shared" ca="1" si="3"/>
        <v>#NAME?</v>
      </c>
      <c r="R364" s="21" t="s">
        <v>118</v>
      </c>
      <c r="S364" s="21" t="s">
        <v>3257</v>
      </c>
      <c r="T364" s="21" t="s">
        <v>3258</v>
      </c>
      <c r="U364" s="21" t="s">
        <v>3259</v>
      </c>
      <c r="V364" s="21" t="s">
        <v>127</v>
      </c>
      <c r="W364" s="21" t="s">
        <v>307</v>
      </c>
      <c r="X364" s="21" t="s">
        <v>308</v>
      </c>
      <c r="Y364" s="21" t="s">
        <v>3260</v>
      </c>
      <c r="Z364" s="21" t="s">
        <v>3261</v>
      </c>
      <c r="AA364" s="21" t="s">
        <v>3262</v>
      </c>
      <c r="AB364" s="21" t="s">
        <v>129</v>
      </c>
      <c r="AC364" s="21" t="s">
        <v>3263</v>
      </c>
      <c r="AD364" s="21" t="s">
        <v>287</v>
      </c>
      <c r="AE364" s="21" t="s">
        <v>133</v>
      </c>
      <c r="AF364" s="21" t="s">
        <v>135</v>
      </c>
      <c r="AG364" s="21" t="s">
        <v>135</v>
      </c>
      <c r="AH364" s="21" t="s">
        <v>135</v>
      </c>
      <c r="AI364" s="21" t="s">
        <v>135</v>
      </c>
    </row>
    <row r="365" spans="1:36" ht="15.75" customHeight="1" x14ac:dyDescent="0.3">
      <c r="A365" s="21">
        <v>2025</v>
      </c>
      <c r="B365" s="22">
        <v>46003.850555717596</v>
      </c>
      <c r="C365" s="21" t="s">
        <v>183</v>
      </c>
      <c r="D365" s="21" t="s">
        <v>183</v>
      </c>
      <c r="E365" s="21" t="s">
        <v>183</v>
      </c>
      <c r="F365" s="21" t="s">
        <v>183</v>
      </c>
      <c r="G365" s="21" t="s">
        <v>93</v>
      </c>
      <c r="H365" s="21" t="s">
        <v>3264</v>
      </c>
      <c r="I365" s="21" t="s">
        <v>3265</v>
      </c>
      <c r="J365" s="21" t="s">
        <v>1296</v>
      </c>
      <c r="K365" s="21" t="e">
        <f t="shared" ca="1" si="2"/>
        <v>#NAME?</v>
      </c>
      <c r="L365" s="24">
        <v>1980</v>
      </c>
      <c r="M365" s="21">
        <v>2006</v>
      </c>
      <c r="N365" s="21" t="s">
        <v>111</v>
      </c>
      <c r="O365" s="21" t="s">
        <v>112</v>
      </c>
      <c r="P365" s="26">
        <v>9989924549</v>
      </c>
      <c r="Q365" s="26" t="e">
        <f t="shared" ca="1" si="3"/>
        <v>#NAME?</v>
      </c>
      <c r="R365" s="21" t="s">
        <v>188</v>
      </c>
      <c r="S365" s="21" t="s">
        <v>3266</v>
      </c>
      <c r="T365" s="21" t="s">
        <v>3267</v>
      </c>
      <c r="U365" s="21" t="s">
        <v>3268</v>
      </c>
      <c r="V365" s="21" t="s">
        <v>127</v>
      </c>
      <c r="W365" s="21" t="s">
        <v>488</v>
      </c>
      <c r="X365" s="21" t="s">
        <v>536</v>
      </c>
      <c r="Y365" s="21" t="s">
        <v>536</v>
      </c>
      <c r="Z365" s="21" t="s">
        <v>127</v>
      </c>
      <c r="AA365" s="21" t="s">
        <v>3269</v>
      </c>
      <c r="AB365" s="21" t="s">
        <v>129</v>
      </c>
      <c r="AC365" s="21" t="s">
        <v>3270</v>
      </c>
      <c r="AD365" s="21" t="s">
        <v>287</v>
      </c>
      <c r="AE365" s="21" t="s">
        <v>133</v>
      </c>
      <c r="AF365" s="21" t="s">
        <v>135</v>
      </c>
      <c r="AG365" s="21" t="s">
        <v>135</v>
      </c>
      <c r="AH365" s="21" t="s">
        <v>135</v>
      </c>
      <c r="AI365" s="21" t="s">
        <v>135</v>
      </c>
      <c r="AJ365" s="21" t="s">
        <v>3271</v>
      </c>
    </row>
    <row r="366" spans="1:36" ht="15.75" customHeight="1" x14ac:dyDescent="0.3">
      <c r="A366" s="21">
        <v>2025</v>
      </c>
      <c r="B366" s="22">
        <v>46006.285369120371</v>
      </c>
      <c r="C366" s="21" t="s">
        <v>183</v>
      </c>
      <c r="D366" s="21" t="s">
        <v>183</v>
      </c>
      <c r="E366" s="21" t="s">
        <v>183</v>
      </c>
      <c r="F366" s="21" t="s">
        <v>183</v>
      </c>
      <c r="G366" s="21" t="s">
        <v>93</v>
      </c>
      <c r="H366" s="21" t="s">
        <v>3272</v>
      </c>
      <c r="I366" s="21" t="s">
        <v>3273</v>
      </c>
      <c r="J366" s="21" t="s">
        <v>3274</v>
      </c>
      <c r="K366" s="21" t="e">
        <f t="shared" ca="1" si="2"/>
        <v>#NAME?</v>
      </c>
      <c r="L366" s="24">
        <v>1988</v>
      </c>
      <c r="M366" s="21">
        <v>2002</v>
      </c>
      <c r="N366" s="21" t="s">
        <v>315</v>
      </c>
      <c r="O366" s="21" t="s">
        <v>112</v>
      </c>
      <c r="P366" s="26">
        <v>9916301199</v>
      </c>
      <c r="Q366" s="26" t="e">
        <f t="shared" ca="1" si="3"/>
        <v>#NAME?</v>
      </c>
      <c r="R366" s="21" t="s">
        <v>3275</v>
      </c>
      <c r="S366" s="21" t="s">
        <v>3276</v>
      </c>
      <c r="T366" s="21">
        <v>6024053283</v>
      </c>
      <c r="U366" s="21" t="s">
        <v>3277</v>
      </c>
      <c r="V366" s="21" t="s">
        <v>127</v>
      </c>
      <c r="W366" s="21" t="s">
        <v>307</v>
      </c>
      <c r="X366" s="21" t="s">
        <v>352</v>
      </c>
      <c r="Y366" s="21" t="s">
        <v>352</v>
      </c>
      <c r="Z366" s="21" t="s">
        <v>127</v>
      </c>
      <c r="AA366" s="21" t="s">
        <v>1349</v>
      </c>
      <c r="AB366" s="21" t="s">
        <v>129</v>
      </c>
      <c r="AC366" s="21" t="s">
        <v>3278</v>
      </c>
      <c r="AD366" s="21" t="s">
        <v>132</v>
      </c>
      <c r="AE366" s="21" t="s">
        <v>133</v>
      </c>
      <c r="AF366" s="21" t="s">
        <v>135</v>
      </c>
      <c r="AG366" s="21" t="s">
        <v>135</v>
      </c>
      <c r="AH366" s="21" t="s">
        <v>135</v>
      </c>
      <c r="AI366" s="21" t="s">
        <v>135</v>
      </c>
      <c r="AJ366" s="21" t="s">
        <v>3279</v>
      </c>
    </row>
    <row r="367" spans="1:36" ht="15.75" customHeight="1" x14ac:dyDescent="0.3">
      <c r="A367" s="21">
        <v>2025</v>
      </c>
      <c r="B367" s="22">
        <v>46007.035521053243</v>
      </c>
      <c r="C367" s="21" t="s">
        <v>183</v>
      </c>
      <c r="D367" s="21" t="s">
        <v>183</v>
      </c>
      <c r="E367" s="21" t="s">
        <v>183</v>
      </c>
      <c r="F367" s="21" t="s">
        <v>183</v>
      </c>
      <c r="G367" s="21" t="s">
        <v>93</v>
      </c>
      <c r="H367" s="21" t="s">
        <v>3280</v>
      </c>
      <c r="I367" s="21" t="s">
        <v>3281</v>
      </c>
      <c r="J367" s="21" t="s">
        <v>3282</v>
      </c>
      <c r="K367" s="21" t="e">
        <f t="shared" ca="1" si="2"/>
        <v>#NAME?</v>
      </c>
      <c r="L367" s="24">
        <v>1996</v>
      </c>
      <c r="M367" s="21">
        <v>2014</v>
      </c>
      <c r="N367" s="21" t="s">
        <v>111</v>
      </c>
      <c r="O367" s="21" t="s">
        <v>112</v>
      </c>
      <c r="P367" s="26">
        <v>9438176522</v>
      </c>
      <c r="Q367" s="26" t="e">
        <f t="shared" ca="1" si="3"/>
        <v>#NAME?</v>
      </c>
      <c r="R367" s="21" t="s">
        <v>838</v>
      </c>
      <c r="S367" s="21" t="s">
        <v>3141</v>
      </c>
      <c r="T367" s="21">
        <v>9437176540</v>
      </c>
      <c r="U367" s="21" t="s">
        <v>3283</v>
      </c>
      <c r="V367" s="21" t="s">
        <v>127</v>
      </c>
      <c r="W367" s="21" t="s">
        <v>219</v>
      </c>
      <c r="X367" s="21" t="s">
        <v>3284</v>
      </c>
      <c r="Y367" s="21" t="s">
        <v>1476</v>
      </c>
      <c r="Z367" s="21" t="s">
        <v>127</v>
      </c>
      <c r="AA367" s="21" t="s">
        <v>3285</v>
      </c>
      <c r="AB367" s="21" t="s">
        <v>129</v>
      </c>
      <c r="AC367" s="21" t="s">
        <v>3286</v>
      </c>
      <c r="AD367" s="21" t="s">
        <v>169</v>
      </c>
      <c r="AE367" s="21" t="s">
        <v>133</v>
      </c>
      <c r="AF367" s="21" t="s">
        <v>135</v>
      </c>
      <c r="AG367" s="21" t="s">
        <v>135</v>
      </c>
      <c r="AH367" s="21" t="s">
        <v>135</v>
      </c>
      <c r="AI367" s="21" t="s">
        <v>135</v>
      </c>
      <c r="AJ367" s="21" t="s">
        <v>3287</v>
      </c>
    </row>
    <row r="368" spans="1:36" ht="15.75" customHeight="1" x14ac:dyDescent="0.3">
      <c r="A368" s="21">
        <v>2025</v>
      </c>
      <c r="B368" s="22">
        <v>46009.532702812503</v>
      </c>
      <c r="C368" s="21" t="s">
        <v>183</v>
      </c>
      <c r="D368" s="21" t="s">
        <v>183</v>
      </c>
      <c r="E368" s="21" t="s">
        <v>183</v>
      </c>
      <c r="F368" s="21" t="s">
        <v>183</v>
      </c>
      <c r="G368" s="21" t="s">
        <v>93</v>
      </c>
      <c r="H368" s="21" t="s">
        <v>3288</v>
      </c>
      <c r="I368" s="21" t="s">
        <v>3289</v>
      </c>
      <c r="J368" s="21" t="s">
        <v>643</v>
      </c>
      <c r="K368" s="21" t="e">
        <f t="shared" ca="1" si="2"/>
        <v>#NAME?</v>
      </c>
      <c r="L368" s="24">
        <v>1965</v>
      </c>
      <c r="M368" s="21">
        <v>1994</v>
      </c>
      <c r="N368" s="21" t="s">
        <v>111</v>
      </c>
      <c r="O368" s="21" t="s">
        <v>112</v>
      </c>
      <c r="P368" s="26">
        <v>9500035035</v>
      </c>
      <c r="Q368" s="26" t="e">
        <f t="shared" ca="1" si="3"/>
        <v>#NAME?</v>
      </c>
      <c r="R368" s="21" t="s">
        <v>485</v>
      </c>
      <c r="S368" s="21" t="s">
        <v>3290</v>
      </c>
      <c r="T368" s="21">
        <v>9885888814</v>
      </c>
      <c r="U368" s="21" t="s">
        <v>3291</v>
      </c>
      <c r="V368" s="21" t="s">
        <v>582</v>
      </c>
      <c r="W368" s="21" t="s">
        <v>328</v>
      </c>
      <c r="X368" s="21" t="s">
        <v>1347</v>
      </c>
      <c r="Y368" s="21" t="s">
        <v>1347</v>
      </c>
      <c r="Z368" s="21" t="s">
        <v>582</v>
      </c>
      <c r="AA368" s="21" t="s">
        <v>3292</v>
      </c>
      <c r="AB368" s="21" t="s">
        <v>129</v>
      </c>
      <c r="AC368" s="21" t="s">
        <v>3293</v>
      </c>
      <c r="AD368" s="21" t="s">
        <v>287</v>
      </c>
      <c r="AE368" s="21" t="s">
        <v>133</v>
      </c>
      <c r="AF368" s="21" t="s">
        <v>686</v>
      </c>
      <c r="AG368" s="21" t="s">
        <v>135</v>
      </c>
      <c r="AH368" s="21" t="s">
        <v>135</v>
      </c>
      <c r="AI368" s="21" t="s">
        <v>135</v>
      </c>
      <c r="AJ368" s="21" t="s">
        <v>3294</v>
      </c>
    </row>
    <row r="369" spans="1:36" ht="15.75" customHeight="1" x14ac:dyDescent="0.3">
      <c r="A369" s="21">
        <v>2025</v>
      </c>
      <c r="B369" s="22">
        <v>46009.609402696762</v>
      </c>
      <c r="C369" s="21" t="s">
        <v>183</v>
      </c>
      <c r="D369" s="21" t="s">
        <v>183</v>
      </c>
      <c r="E369" s="21" t="s">
        <v>183</v>
      </c>
      <c r="F369" s="21" t="s">
        <v>183</v>
      </c>
      <c r="G369" s="21" t="s">
        <v>93</v>
      </c>
      <c r="H369" s="21" t="s">
        <v>3295</v>
      </c>
      <c r="I369" s="21" t="s">
        <v>3296</v>
      </c>
      <c r="J369" s="21" t="s">
        <v>3297</v>
      </c>
      <c r="K369" s="21" t="e">
        <f t="shared" ca="1" si="2"/>
        <v>#NAME?</v>
      </c>
      <c r="L369" s="24">
        <v>1977</v>
      </c>
      <c r="M369" s="21">
        <v>1999</v>
      </c>
      <c r="N369" s="21" t="s">
        <v>315</v>
      </c>
      <c r="O369" s="21" t="s">
        <v>316</v>
      </c>
      <c r="P369" s="26">
        <v>8329691386</v>
      </c>
      <c r="Q369" s="26" t="e">
        <f t="shared" ca="1" si="3"/>
        <v>#NAME?</v>
      </c>
      <c r="R369" s="21" t="s">
        <v>3298</v>
      </c>
      <c r="S369" s="21" t="s">
        <v>1670</v>
      </c>
      <c r="T369" s="21">
        <v>8188762063</v>
      </c>
      <c r="U369" s="21" t="s">
        <v>3299</v>
      </c>
      <c r="V369" s="21" t="s">
        <v>127</v>
      </c>
      <c r="W369" s="21" t="s">
        <v>219</v>
      </c>
      <c r="X369" s="21" t="s">
        <v>616</v>
      </c>
      <c r="Y369" s="21" t="s">
        <v>3300</v>
      </c>
      <c r="Z369" s="21" t="s">
        <v>127</v>
      </c>
      <c r="AA369" s="21" t="s">
        <v>818</v>
      </c>
      <c r="AB369" s="21" t="s">
        <v>129</v>
      </c>
      <c r="AC369" s="21" t="s">
        <v>3301</v>
      </c>
      <c r="AD369" s="21" t="s">
        <v>132</v>
      </c>
      <c r="AE369" s="21" t="s">
        <v>133</v>
      </c>
      <c r="AF369" s="21" t="s">
        <v>135</v>
      </c>
      <c r="AG369" s="21" t="s">
        <v>135</v>
      </c>
      <c r="AH369" s="21" t="s">
        <v>135</v>
      </c>
      <c r="AI369" s="21" t="s">
        <v>135</v>
      </c>
    </row>
    <row r="370" spans="1:36" ht="15.75" customHeight="1" x14ac:dyDescent="0.3">
      <c r="A370" s="21">
        <v>2025</v>
      </c>
      <c r="B370" s="22">
        <v>46009.960735428242</v>
      </c>
      <c r="C370" s="21" t="s">
        <v>183</v>
      </c>
      <c r="D370" s="21" t="s">
        <v>183</v>
      </c>
      <c r="E370" s="21" t="s">
        <v>183</v>
      </c>
      <c r="F370" s="21" t="s">
        <v>183</v>
      </c>
      <c r="G370" s="21" t="s">
        <v>93</v>
      </c>
      <c r="H370" s="21" t="s">
        <v>3303</v>
      </c>
      <c r="I370" s="21" t="s">
        <v>821</v>
      </c>
      <c r="J370" s="21" t="s">
        <v>3304</v>
      </c>
      <c r="K370" s="21" t="e">
        <f t="shared" ca="1" si="2"/>
        <v>#NAME?</v>
      </c>
      <c r="L370" s="24">
        <v>1987</v>
      </c>
      <c r="M370" s="21">
        <v>2015</v>
      </c>
      <c r="N370" s="21" t="s">
        <v>315</v>
      </c>
      <c r="O370" s="21" t="s">
        <v>316</v>
      </c>
      <c r="P370" s="26">
        <v>5133652034</v>
      </c>
      <c r="Q370" s="26" t="e">
        <f t="shared" ca="1" si="3"/>
        <v>#NAME?</v>
      </c>
      <c r="R370" s="21" t="s">
        <v>3307</v>
      </c>
      <c r="S370" s="21" t="s">
        <v>3308</v>
      </c>
      <c r="T370" s="21" t="s">
        <v>3080</v>
      </c>
      <c r="U370" s="21" t="s">
        <v>3309</v>
      </c>
      <c r="V370" s="21" t="s">
        <v>127</v>
      </c>
      <c r="W370" s="21" t="s">
        <v>1074</v>
      </c>
      <c r="X370" s="21" t="s">
        <v>536</v>
      </c>
      <c r="Y370" s="21" t="s">
        <v>220</v>
      </c>
      <c r="Z370" s="21" t="s">
        <v>127</v>
      </c>
      <c r="AA370" s="21" t="s">
        <v>608</v>
      </c>
      <c r="AB370" s="21" t="s">
        <v>129</v>
      </c>
      <c r="AC370" s="21" t="s">
        <v>3108</v>
      </c>
      <c r="AD370" s="21" t="s">
        <v>287</v>
      </c>
      <c r="AE370" s="21" t="s">
        <v>133</v>
      </c>
      <c r="AF370" s="21" t="s">
        <v>135</v>
      </c>
      <c r="AG370" s="21" t="s">
        <v>135</v>
      </c>
      <c r="AH370" s="21" t="s">
        <v>135</v>
      </c>
      <c r="AI370" s="21" t="s">
        <v>135</v>
      </c>
    </row>
    <row r="371" spans="1:36" ht="15.75" customHeight="1" x14ac:dyDescent="0.3">
      <c r="A371" s="21">
        <v>2025</v>
      </c>
      <c r="B371" s="22">
        <v>46009.984677604167</v>
      </c>
      <c r="C371" s="21" t="s">
        <v>183</v>
      </c>
      <c r="D371" s="21" t="s">
        <v>183</v>
      </c>
      <c r="E371" s="21" t="s">
        <v>183</v>
      </c>
      <c r="F371" s="21" t="s">
        <v>183</v>
      </c>
      <c r="G371" s="21" t="s">
        <v>93</v>
      </c>
      <c r="H371" s="21" t="s">
        <v>3310</v>
      </c>
      <c r="I371" s="21" t="s">
        <v>3311</v>
      </c>
      <c r="J371" s="21" t="s">
        <v>3312</v>
      </c>
      <c r="K371" s="21" t="e">
        <f t="shared" ca="1" si="2"/>
        <v>#NAME?</v>
      </c>
      <c r="L371" s="24">
        <v>1981</v>
      </c>
      <c r="M371" s="21">
        <v>2009</v>
      </c>
      <c r="N371" s="21" t="s">
        <v>315</v>
      </c>
      <c r="O371" s="21" t="s">
        <v>316</v>
      </c>
      <c r="P371" s="26">
        <v>9727430267</v>
      </c>
      <c r="Q371" s="26" t="e">
        <f t="shared" ca="1" si="3"/>
        <v>#NAME?</v>
      </c>
      <c r="R371" s="21" t="s">
        <v>3313</v>
      </c>
      <c r="S371" s="21" t="s">
        <v>2109</v>
      </c>
      <c r="T371" s="21" t="s">
        <v>3080</v>
      </c>
      <c r="U371" s="21" t="s">
        <v>3314</v>
      </c>
      <c r="V371" s="21" t="s">
        <v>284</v>
      </c>
      <c r="W371" s="21" t="s">
        <v>307</v>
      </c>
      <c r="X371" s="21" t="s">
        <v>308</v>
      </c>
      <c r="Y371" s="21" t="s">
        <v>308</v>
      </c>
      <c r="Z371" s="21" t="s">
        <v>284</v>
      </c>
      <c r="AA371" s="21" t="s">
        <v>450</v>
      </c>
      <c r="AB371" s="21" t="s">
        <v>129</v>
      </c>
      <c r="AC371" s="21" t="s">
        <v>3315</v>
      </c>
      <c r="AD371" s="21" t="s">
        <v>287</v>
      </c>
      <c r="AE371" s="21" t="s">
        <v>133</v>
      </c>
      <c r="AF371" s="21" t="s">
        <v>135</v>
      </c>
      <c r="AG371" s="21" t="s">
        <v>135</v>
      </c>
      <c r="AH371" s="21" t="s">
        <v>135</v>
      </c>
      <c r="AI371" s="21" t="s">
        <v>135</v>
      </c>
    </row>
    <row r="372" spans="1:36" ht="15.75" customHeight="1" x14ac:dyDescent="0.3">
      <c r="A372" s="21">
        <v>2025</v>
      </c>
      <c r="B372" s="22">
        <v>46010.026452858801</v>
      </c>
      <c r="C372" s="21" t="s">
        <v>183</v>
      </c>
      <c r="D372" s="21" t="s">
        <v>183</v>
      </c>
      <c r="E372" s="21" t="s">
        <v>183</v>
      </c>
      <c r="F372" s="21" t="s">
        <v>183</v>
      </c>
      <c r="G372" s="21" t="s">
        <v>93</v>
      </c>
      <c r="H372" s="21" t="s">
        <v>3316</v>
      </c>
      <c r="I372" s="21" t="s">
        <v>3317</v>
      </c>
      <c r="J372" s="21" t="s">
        <v>3318</v>
      </c>
      <c r="K372" s="21" t="e">
        <f t="shared" ca="1" si="2"/>
        <v>#NAME?</v>
      </c>
      <c r="L372" s="24">
        <v>1965</v>
      </c>
      <c r="M372" s="21">
        <v>1980</v>
      </c>
      <c r="N372" s="21" t="s">
        <v>111</v>
      </c>
      <c r="O372" s="21" t="s">
        <v>112</v>
      </c>
      <c r="P372" s="26">
        <v>8125376105</v>
      </c>
      <c r="Q372" s="26" t="e">
        <f t="shared" ca="1" si="3"/>
        <v>#NAME?</v>
      </c>
      <c r="R372" s="21" t="s">
        <v>3319</v>
      </c>
      <c r="S372" s="21" t="s">
        <v>3320</v>
      </c>
      <c r="T372" s="21" t="s">
        <v>606</v>
      </c>
      <c r="U372" s="21" t="s">
        <v>3321</v>
      </c>
      <c r="V372" s="21" t="s">
        <v>127</v>
      </c>
      <c r="W372" s="21" t="s">
        <v>706</v>
      </c>
      <c r="X372" s="21" t="s">
        <v>2134</v>
      </c>
      <c r="Y372" s="21" t="s">
        <v>2134</v>
      </c>
      <c r="Z372" s="21" t="s">
        <v>127</v>
      </c>
      <c r="AA372" s="21" t="s">
        <v>3322</v>
      </c>
      <c r="AB372" s="21" t="s">
        <v>129</v>
      </c>
      <c r="AC372" s="21" t="s">
        <v>3323</v>
      </c>
      <c r="AD372" s="21" t="s">
        <v>169</v>
      </c>
      <c r="AE372" s="21" t="s">
        <v>133</v>
      </c>
      <c r="AF372" s="21" t="s">
        <v>135</v>
      </c>
      <c r="AG372" s="21" t="s">
        <v>135</v>
      </c>
      <c r="AH372" s="21" t="s">
        <v>135</v>
      </c>
      <c r="AI372" s="21" t="s">
        <v>135</v>
      </c>
      <c r="AJ372" s="21" t="s">
        <v>3324</v>
      </c>
    </row>
    <row r="373" spans="1:36" ht="15.75" customHeight="1" x14ac:dyDescent="0.3">
      <c r="A373" s="21">
        <v>2025</v>
      </c>
      <c r="B373" s="22">
        <v>46010.192493541668</v>
      </c>
      <c r="C373" s="21" t="s">
        <v>183</v>
      </c>
      <c r="D373" s="21" t="s">
        <v>183</v>
      </c>
      <c r="E373" s="21" t="s">
        <v>183</v>
      </c>
      <c r="F373" s="21" t="s">
        <v>183</v>
      </c>
      <c r="G373" s="21" t="s">
        <v>93</v>
      </c>
      <c r="H373" s="21" t="s">
        <v>3325</v>
      </c>
      <c r="I373" s="21" t="s">
        <v>3326</v>
      </c>
      <c r="J373" s="21" t="s">
        <v>3327</v>
      </c>
      <c r="K373" s="21" t="e">
        <f t="shared" ca="1" si="2"/>
        <v>#NAME?</v>
      </c>
      <c r="L373" s="24">
        <v>2002</v>
      </c>
      <c r="M373" s="21">
        <v>2015</v>
      </c>
      <c r="N373" s="21" t="s">
        <v>111</v>
      </c>
      <c r="O373" s="21" t="s">
        <v>112</v>
      </c>
      <c r="P373" s="26">
        <v>9121549672</v>
      </c>
      <c r="Q373" s="26" t="e">
        <f t="shared" ca="1" si="3"/>
        <v>#NAME?</v>
      </c>
      <c r="R373" s="21" t="s">
        <v>188</v>
      </c>
      <c r="S373" s="21" t="s">
        <v>3328</v>
      </c>
      <c r="T373" s="21" t="s">
        <v>2164</v>
      </c>
      <c r="U373" s="21" t="s">
        <v>2390</v>
      </c>
      <c r="V373" s="21" t="s">
        <v>3329</v>
      </c>
      <c r="W373" s="21" t="s">
        <v>1539</v>
      </c>
      <c r="X373" s="21" t="s">
        <v>3330</v>
      </c>
      <c r="Y373" s="21" t="s">
        <v>3331</v>
      </c>
      <c r="Z373" s="21" t="s">
        <v>2390</v>
      </c>
      <c r="AA373" s="21" t="s">
        <v>3332</v>
      </c>
      <c r="AB373" s="21" t="s">
        <v>129</v>
      </c>
      <c r="AC373" s="21" t="s">
        <v>3333</v>
      </c>
      <c r="AD373" s="21" t="s">
        <v>287</v>
      </c>
      <c r="AE373" s="21" t="s">
        <v>133</v>
      </c>
      <c r="AF373" s="21" t="s">
        <v>686</v>
      </c>
      <c r="AG373" s="21" t="s">
        <v>135</v>
      </c>
      <c r="AH373" s="21" t="s">
        <v>135</v>
      </c>
      <c r="AI373" s="21" t="s">
        <v>135</v>
      </c>
    </row>
    <row r="374" spans="1:36" ht="15.75" customHeight="1" x14ac:dyDescent="0.3">
      <c r="A374" s="21">
        <v>2025</v>
      </c>
      <c r="B374" s="22">
        <v>46010.457471770831</v>
      </c>
      <c r="C374" s="21" t="s">
        <v>183</v>
      </c>
      <c r="D374" s="21" t="s">
        <v>183</v>
      </c>
      <c r="E374" s="21" t="s">
        <v>183</v>
      </c>
      <c r="F374" s="21" t="s">
        <v>183</v>
      </c>
      <c r="G374" s="21" t="s">
        <v>93</v>
      </c>
      <c r="H374" s="21" t="s">
        <v>3334</v>
      </c>
      <c r="I374" s="21" t="s">
        <v>3335</v>
      </c>
      <c r="J374" s="21" t="s">
        <v>3336</v>
      </c>
      <c r="K374" s="21" t="e">
        <f t="shared" ca="1" si="2"/>
        <v>#NAME?</v>
      </c>
      <c r="L374" s="24">
        <v>1992</v>
      </c>
      <c r="M374" s="21">
        <v>2008</v>
      </c>
      <c r="N374" s="21" t="s">
        <v>111</v>
      </c>
      <c r="O374" s="21" t="s">
        <v>112</v>
      </c>
      <c r="P374" s="26">
        <v>9948128444</v>
      </c>
      <c r="Q374" s="26" t="e">
        <f t="shared" ca="1" si="3"/>
        <v>#NAME?</v>
      </c>
      <c r="R374" s="21" t="s">
        <v>783</v>
      </c>
      <c r="S374" s="21" t="s">
        <v>3337</v>
      </c>
      <c r="T374" s="21">
        <v>9705607612</v>
      </c>
      <c r="U374" s="21" t="s">
        <v>3338</v>
      </c>
      <c r="V374" s="21" t="s">
        <v>127</v>
      </c>
      <c r="W374" s="21" t="s">
        <v>307</v>
      </c>
      <c r="X374" s="21" t="s">
        <v>308</v>
      </c>
      <c r="Y374" s="21" t="s">
        <v>308</v>
      </c>
      <c r="Z374" s="21" t="s">
        <v>127</v>
      </c>
      <c r="AA374" s="21" t="s">
        <v>450</v>
      </c>
      <c r="AB374" s="21" t="s">
        <v>129</v>
      </c>
      <c r="AC374" s="21" t="s">
        <v>3339</v>
      </c>
      <c r="AD374" s="21" t="s">
        <v>169</v>
      </c>
      <c r="AE374" s="21" t="s">
        <v>133</v>
      </c>
      <c r="AF374" s="21" t="s">
        <v>135</v>
      </c>
      <c r="AG374" s="21" t="s">
        <v>135</v>
      </c>
      <c r="AH374" s="21" t="s">
        <v>135</v>
      </c>
      <c r="AI374" s="21" t="s">
        <v>135</v>
      </c>
    </row>
    <row r="375" spans="1:36" ht="15.75" customHeight="1" x14ac:dyDescent="0.3">
      <c r="A375" s="21">
        <v>2025</v>
      </c>
      <c r="B375" s="22">
        <v>46010.939897997683</v>
      </c>
      <c r="C375" s="21" t="s">
        <v>183</v>
      </c>
      <c r="D375" s="21" t="s">
        <v>183</v>
      </c>
      <c r="E375" s="21" t="s">
        <v>183</v>
      </c>
      <c r="F375" s="21" t="s">
        <v>183</v>
      </c>
      <c r="G375" s="21" t="s">
        <v>256</v>
      </c>
      <c r="H375" s="21" t="s">
        <v>3340</v>
      </c>
      <c r="I375" s="21" t="s">
        <v>2113</v>
      </c>
      <c r="J375" s="21" t="s">
        <v>2182</v>
      </c>
      <c r="K375" s="21" t="e">
        <f t="shared" ca="1" si="2"/>
        <v>#NAME?</v>
      </c>
      <c r="L375" s="24">
        <v>2010</v>
      </c>
      <c r="M375" s="21">
        <v>2022</v>
      </c>
      <c r="N375" s="21" t="s">
        <v>111</v>
      </c>
      <c r="O375" s="21" t="s">
        <v>112</v>
      </c>
      <c r="P375" s="26">
        <v>8147232263</v>
      </c>
      <c r="Q375" s="26" t="e">
        <f t="shared" ca="1" si="3"/>
        <v>#NAME?</v>
      </c>
      <c r="R375" s="21" t="s">
        <v>118</v>
      </c>
      <c r="S375" s="21" t="s">
        <v>3341</v>
      </c>
      <c r="T375" s="21">
        <v>9100119679</v>
      </c>
      <c r="U375" s="21" t="s">
        <v>127</v>
      </c>
      <c r="V375" s="21" t="s">
        <v>3342</v>
      </c>
      <c r="W375" s="21" t="s">
        <v>3343</v>
      </c>
      <c r="X375" s="21" t="s">
        <v>220</v>
      </c>
      <c r="Y375" s="21" t="s">
        <v>220</v>
      </c>
      <c r="Z375" s="21" t="s">
        <v>3344</v>
      </c>
      <c r="AA375" s="21" t="s">
        <v>2416</v>
      </c>
      <c r="AB375" s="21" t="s">
        <v>129</v>
      </c>
      <c r="AC375" s="21" t="s">
        <v>3345</v>
      </c>
      <c r="AD375" s="21" t="s">
        <v>287</v>
      </c>
      <c r="AE375" s="21" t="s">
        <v>133</v>
      </c>
      <c r="AF375" s="21" t="s">
        <v>135</v>
      </c>
      <c r="AG375" s="21" t="s">
        <v>135</v>
      </c>
      <c r="AH375" s="21" t="s">
        <v>135</v>
      </c>
      <c r="AI375" s="21" t="s">
        <v>135</v>
      </c>
      <c r="AJ375" s="21" t="s">
        <v>3346</v>
      </c>
    </row>
    <row r="376" spans="1:36" ht="15.75" customHeight="1" x14ac:dyDescent="0.3">
      <c r="A376" s="21">
        <v>2025</v>
      </c>
      <c r="B376" s="22">
        <v>46011.028107442129</v>
      </c>
      <c r="C376" s="21" t="s">
        <v>183</v>
      </c>
      <c r="D376" s="21" t="s">
        <v>183</v>
      </c>
      <c r="E376" s="21" t="s">
        <v>183</v>
      </c>
      <c r="F376" s="21" t="s">
        <v>183</v>
      </c>
      <c r="G376" s="21" t="s">
        <v>256</v>
      </c>
      <c r="H376" s="21" t="s">
        <v>3340</v>
      </c>
      <c r="I376" s="21" t="s">
        <v>2113</v>
      </c>
      <c r="J376" s="21" t="s">
        <v>2115</v>
      </c>
      <c r="K376" s="21" t="e">
        <f t="shared" ca="1" si="2"/>
        <v>#NAME?</v>
      </c>
      <c r="L376" s="24">
        <v>2012</v>
      </c>
      <c r="M376" s="21">
        <v>2023</v>
      </c>
      <c r="N376" s="21" t="s">
        <v>111</v>
      </c>
      <c r="O376" s="21" t="s">
        <v>112</v>
      </c>
      <c r="P376" s="26">
        <v>8147232263</v>
      </c>
      <c r="Q376" s="26" t="e">
        <f t="shared" ca="1" si="3"/>
        <v>#NAME?</v>
      </c>
      <c r="R376" s="21" t="s">
        <v>118</v>
      </c>
      <c r="S376" s="21" t="s">
        <v>3341</v>
      </c>
      <c r="T376" s="21">
        <v>9100119679</v>
      </c>
      <c r="U376" s="21" t="s">
        <v>127</v>
      </c>
      <c r="V376" s="21" t="s">
        <v>3347</v>
      </c>
      <c r="W376" s="21" t="s">
        <v>3348</v>
      </c>
      <c r="X376" s="21" t="s">
        <v>221</v>
      </c>
      <c r="Y376" s="21" t="s">
        <v>1067</v>
      </c>
      <c r="Z376" s="21" t="s">
        <v>3344</v>
      </c>
      <c r="AA376" s="21" t="s">
        <v>2416</v>
      </c>
      <c r="AB376" s="21" t="s">
        <v>129</v>
      </c>
      <c r="AC376" s="21" t="s">
        <v>3345</v>
      </c>
      <c r="AD376" s="21" t="s">
        <v>287</v>
      </c>
      <c r="AE376" s="21" t="s">
        <v>133</v>
      </c>
      <c r="AF376" s="21" t="s">
        <v>135</v>
      </c>
      <c r="AG376" s="21" t="s">
        <v>135</v>
      </c>
      <c r="AH376" s="21" t="s">
        <v>135</v>
      </c>
      <c r="AI376" s="21" t="s">
        <v>135</v>
      </c>
      <c r="AJ376" s="21" t="s">
        <v>3349</v>
      </c>
    </row>
    <row r="377" spans="1:36" ht="15.75" customHeight="1" x14ac:dyDescent="0.3">
      <c r="A377" s="21">
        <v>2025</v>
      </c>
      <c r="B377" s="22">
        <v>46011.272281192127</v>
      </c>
      <c r="C377" s="21" t="s">
        <v>183</v>
      </c>
      <c r="D377" s="21" t="s">
        <v>183</v>
      </c>
      <c r="E377" s="21" t="s">
        <v>183</v>
      </c>
      <c r="F377" s="21" t="s">
        <v>183</v>
      </c>
      <c r="G377" s="21" t="s">
        <v>93</v>
      </c>
      <c r="H377" s="21" t="s">
        <v>3350</v>
      </c>
      <c r="I377" s="21" t="s">
        <v>3351</v>
      </c>
      <c r="J377" s="21" t="s">
        <v>1450</v>
      </c>
      <c r="K377" s="21" t="e">
        <f t="shared" ca="1" si="2"/>
        <v>#NAME?</v>
      </c>
      <c r="L377" s="24">
        <v>1976</v>
      </c>
      <c r="M377" s="21">
        <v>1990</v>
      </c>
      <c r="N377" s="21" t="s">
        <v>111</v>
      </c>
      <c r="O377" s="21" t="s">
        <v>112</v>
      </c>
      <c r="P377" s="26">
        <v>8897507683</v>
      </c>
      <c r="Q377" s="26" t="e">
        <f t="shared" ca="1" si="3"/>
        <v>#NAME?</v>
      </c>
      <c r="R377" s="21" t="s">
        <v>118</v>
      </c>
      <c r="S377" s="21" t="s">
        <v>3352</v>
      </c>
      <c r="T377" s="21">
        <v>9866700226</v>
      </c>
      <c r="U377" s="21" t="s">
        <v>3353</v>
      </c>
      <c r="V377" s="21" t="s">
        <v>582</v>
      </c>
      <c r="W377" s="21" t="s">
        <v>266</v>
      </c>
      <c r="X377" s="21" t="s">
        <v>536</v>
      </c>
      <c r="Y377" s="21" t="s">
        <v>3354</v>
      </c>
      <c r="Z377" s="21" t="s">
        <v>582</v>
      </c>
      <c r="AA377" s="21" t="s">
        <v>3355</v>
      </c>
      <c r="AB377" s="21" t="s">
        <v>129</v>
      </c>
      <c r="AC377" s="21" t="s">
        <v>3356</v>
      </c>
      <c r="AD377" s="21" t="s">
        <v>169</v>
      </c>
      <c r="AE377" s="21" t="s">
        <v>133</v>
      </c>
      <c r="AF377" s="21" t="s">
        <v>135</v>
      </c>
      <c r="AG377" s="21" t="s">
        <v>135</v>
      </c>
      <c r="AH377" s="21" t="s">
        <v>135</v>
      </c>
      <c r="AI377" s="21" t="s">
        <v>135</v>
      </c>
    </row>
    <row r="378" spans="1:36" ht="15.75" customHeight="1" x14ac:dyDescent="0.3">
      <c r="A378" s="21">
        <v>2025</v>
      </c>
      <c r="B378" s="22">
        <v>46011.328470532404</v>
      </c>
      <c r="C378" s="21" t="s">
        <v>183</v>
      </c>
      <c r="D378" s="21" t="s">
        <v>183</v>
      </c>
      <c r="E378" s="21" t="s">
        <v>183</v>
      </c>
      <c r="F378" s="21" t="s">
        <v>183</v>
      </c>
      <c r="G378" s="21" t="s">
        <v>93</v>
      </c>
      <c r="H378" s="21" t="s">
        <v>3357</v>
      </c>
      <c r="I378" s="21" t="s">
        <v>3358</v>
      </c>
      <c r="J378" s="21" t="s">
        <v>3359</v>
      </c>
      <c r="K378" s="21" t="e">
        <f t="shared" ca="1" si="2"/>
        <v>#NAME?</v>
      </c>
      <c r="L378" s="24">
        <v>1990</v>
      </c>
      <c r="M378" s="21">
        <v>2018</v>
      </c>
      <c r="N378" s="21" t="s">
        <v>111</v>
      </c>
      <c r="O378" s="21" t="s">
        <v>112</v>
      </c>
      <c r="P378" s="26">
        <v>8050370506</v>
      </c>
      <c r="Q378" s="26" t="e">
        <f t="shared" ca="1" si="3"/>
        <v>#NAME?</v>
      </c>
      <c r="R378" s="21" t="s">
        <v>3360</v>
      </c>
      <c r="S378" s="21" t="s">
        <v>3361</v>
      </c>
      <c r="T378" s="21" t="s">
        <v>3362</v>
      </c>
      <c r="U378" s="21" t="s">
        <v>3363</v>
      </c>
      <c r="V378" s="21" t="s">
        <v>127</v>
      </c>
      <c r="W378" s="21" t="s">
        <v>219</v>
      </c>
      <c r="X378" s="21" t="s">
        <v>178</v>
      </c>
      <c r="Y378" s="21" t="s">
        <v>178</v>
      </c>
      <c r="Z378" s="21" t="s">
        <v>127</v>
      </c>
      <c r="AA378" s="21" t="s">
        <v>285</v>
      </c>
      <c r="AB378" s="21" t="s">
        <v>129</v>
      </c>
      <c r="AC378" s="21" t="s">
        <v>3364</v>
      </c>
      <c r="AD378" s="21" t="s">
        <v>132</v>
      </c>
      <c r="AE378" s="21" t="s">
        <v>133</v>
      </c>
      <c r="AF378" s="21" t="s">
        <v>135</v>
      </c>
      <c r="AG378" s="21" t="s">
        <v>135</v>
      </c>
      <c r="AH378" s="21" t="s">
        <v>135</v>
      </c>
      <c r="AI378" s="21" t="s">
        <v>135</v>
      </c>
    </row>
    <row r="379" spans="1:36" ht="15.75" customHeight="1" x14ac:dyDescent="0.3">
      <c r="A379" s="21">
        <v>2025</v>
      </c>
      <c r="B379" s="22">
        <v>46012.052293449073</v>
      </c>
      <c r="C379" s="21" t="s">
        <v>183</v>
      </c>
      <c r="D379" s="21" t="s">
        <v>183</v>
      </c>
      <c r="E379" s="21" t="s">
        <v>183</v>
      </c>
      <c r="F379" s="21" t="s">
        <v>183</v>
      </c>
      <c r="G379" s="21" t="s">
        <v>93</v>
      </c>
      <c r="H379" s="21" t="s">
        <v>3365</v>
      </c>
      <c r="I379" s="21" t="s">
        <v>3366</v>
      </c>
      <c r="J379" s="21" t="s">
        <v>3367</v>
      </c>
      <c r="K379" s="21" t="e">
        <f t="shared" ca="1" si="2"/>
        <v>#NAME?</v>
      </c>
      <c r="L379" s="24">
        <v>1997</v>
      </c>
      <c r="M379" s="21">
        <v>2018</v>
      </c>
      <c r="N379" s="21" t="s">
        <v>111</v>
      </c>
      <c r="O379" s="21" t="s">
        <v>112</v>
      </c>
      <c r="P379" s="26">
        <v>9705049055</v>
      </c>
      <c r="Q379" s="26" t="e">
        <f t="shared" ca="1" si="3"/>
        <v>#NAME?</v>
      </c>
      <c r="R379" s="21" t="s">
        <v>118</v>
      </c>
      <c r="S379" s="21" t="s">
        <v>3370</v>
      </c>
      <c r="T379" s="21">
        <v>9298903940</v>
      </c>
      <c r="U379" s="21" t="s">
        <v>127</v>
      </c>
      <c r="V379" s="21" t="s">
        <v>3371</v>
      </c>
      <c r="W379" s="21" t="s">
        <v>3372</v>
      </c>
      <c r="X379" s="21" t="s">
        <v>220</v>
      </c>
      <c r="Y379" s="21" t="s">
        <v>220</v>
      </c>
      <c r="Z379" s="21" t="s">
        <v>127</v>
      </c>
      <c r="AA379" s="21" t="s">
        <v>3373</v>
      </c>
      <c r="AB379" s="21" t="s">
        <v>129</v>
      </c>
      <c r="AC379" s="21" t="s">
        <v>3374</v>
      </c>
      <c r="AD379" s="21" t="s">
        <v>287</v>
      </c>
      <c r="AE379" s="21" t="s">
        <v>133</v>
      </c>
      <c r="AF379" s="21" t="s">
        <v>135</v>
      </c>
      <c r="AG379" s="21" t="s">
        <v>135</v>
      </c>
      <c r="AH379" s="21" t="s">
        <v>135</v>
      </c>
      <c r="AI379" s="21" t="s">
        <v>135</v>
      </c>
    </row>
    <row r="380" spans="1:36" ht="15.75" customHeight="1" x14ac:dyDescent="0.3">
      <c r="A380" s="21">
        <v>2025</v>
      </c>
      <c r="B380" s="22">
        <v>46014.086872384258</v>
      </c>
      <c r="C380" s="21" t="s">
        <v>183</v>
      </c>
      <c r="D380" s="21" t="s">
        <v>183</v>
      </c>
      <c r="E380" s="21" t="s">
        <v>183</v>
      </c>
      <c r="F380" s="21" t="s">
        <v>183</v>
      </c>
      <c r="G380" s="21" t="s">
        <v>256</v>
      </c>
      <c r="H380" s="21" t="s">
        <v>3375</v>
      </c>
      <c r="I380" s="21" t="s">
        <v>1282</v>
      </c>
      <c r="J380" s="21" t="s">
        <v>1284</v>
      </c>
      <c r="K380" s="21" t="e">
        <f t="shared" ca="1" si="2"/>
        <v>#NAME?</v>
      </c>
      <c r="L380" s="24">
        <v>2014</v>
      </c>
      <c r="M380" s="21">
        <v>2025</v>
      </c>
      <c r="N380" s="21" t="s">
        <v>111</v>
      </c>
      <c r="O380" s="21" t="s">
        <v>112</v>
      </c>
      <c r="P380" s="26">
        <v>8985827908</v>
      </c>
      <c r="Q380" s="26" t="e">
        <f t="shared" ca="1" si="3"/>
        <v>#NAME?</v>
      </c>
      <c r="R380" s="21" t="s">
        <v>188</v>
      </c>
      <c r="S380" s="21" t="s">
        <v>3376</v>
      </c>
      <c r="T380" s="21">
        <v>9885888814</v>
      </c>
      <c r="U380" s="21" t="s">
        <v>582</v>
      </c>
      <c r="V380" s="21" t="s">
        <v>3377</v>
      </c>
      <c r="W380" s="21" t="s">
        <v>498</v>
      </c>
      <c r="X380" s="21" t="s">
        <v>1145</v>
      </c>
      <c r="Y380" s="21" t="s">
        <v>1145</v>
      </c>
      <c r="Z380" s="21" t="s">
        <v>3378</v>
      </c>
      <c r="AA380" s="21" t="s">
        <v>3379</v>
      </c>
      <c r="AB380" s="21" t="s">
        <v>2128</v>
      </c>
      <c r="AC380" s="21" t="s">
        <v>3380</v>
      </c>
      <c r="AD380" s="21" t="s">
        <v>287</v>
      </c>
      <c r="AE380" s="21" t="s">
        <v>133</v>
      </c>
      <c r="AF380" s="21" t="s">
        <v>135</v>
      </c>
      <c r="AG380" s="21" t="s">
        <v>135</v>
      </c>
      <c r="AH380" s="21" t="s">
        <v>135</v>
      </c>
      <c r="AI380" s="21" t="s">
        <v>135</v>
      </c>
    </row>
    <row r="381" spans="1:36" ht="15.75" customHeight="1" x14ac:dyDescent="0.3">
      <c r="A381" s="21">
        <v>2025</v>
      </c>
      <c r="B381" s="22">
        <v>46014.428176354166</v>
      </c>
      <c r="C381" s="21" t="s">
        <v>183</v>
      </c>
      <c r="D381" s="21" t="s">
        <v>183</v>
      </c>
      <c r="E381" s="21" t="s">
        <v>183</v>
      </c>
      <c r="F381" s="21" t="s">
        <v>183</v>
      </c>
      <c r="G381" s="21" t="s">
        <v>256</v>
      </c>
      <c r="H381" s="21" t="s">
        <v>3381</v>
      </c>
      <c r="I381" s="21" t="s">
        <v>445</v>
      </c>
      <c r="J381" s="21" t="s">
        <v>2298</v>
      </c>
      <c r="K381" s="21" t="e">
        <f t="shared" ca="1" si="2"/>
        <v>#NAME?</v>
      </c>
      <c r="L381" s="24">
        <v>2016</v>
      </c>
      <c r="M381" s="21">
        <v>2025</v>
      </c>
      <c r="N381" s="21" t="s">
        <v>402</v>
      </c>
      <c r="O381" s="21" t="s">
        <v>316</v>
      </c>
      <c r="P381" s="26">
        <v>2488021056</v>
      </c>
      <c r="Q381" s="26" t="e">
        <f t="shared" ca="1" si="3"/>
        <v>#NAME?</v>
      </c>
      <c r="R381" s="21" t="s">
        <v>3382</v>
      </c>
      <c r="S381" s="21" t="s">
        <v>3383</v>
      </c>
      <c r="T381" s="21" t="s">
        <v>3384</v>
      </c>
      <c r="U381" s="21" t="s">
        <v>127</v>
      </c>
      <c r="V381" s="21" t="s">
        <v>3385</v>
      </c>
      <c r="W381" s="21" t="s">
        <v>219</v>
      </c>
      <c r="X381" s="21" t="s">
        <v>3386</v>
      </c>
      <c r="Y381" s="21" t="s">
        <v>3386</v>
      </c>
      <c r="Z381" s="21" t="s">
        <v>3387</v>
      </c>
      <c r="AA381" s="21" t="s">
        <v>3388</v>
      </c>
      <c r="AB381" s="21" t="s">
        <v>269</v>
      </c>
      <c r="AC381" s="21" t="s">
        <v>3389</v>
      </c>
      <c r="AD381" s="21" t="s">
        <v>169</v>
      </c>
      <c r="AE381" s="21" t="s">
        <v>133</v>
      </c>
      <c r="AF381" s="21" t="s">
        <v>135</v>
      </c>
      <c r="AG381" s="21" t="s">
        <v>135</v>
      </c>
      <c r="AH381" s="21" t="s">
        <v>135</v>
      </c>
      <c r="AI381" s="21" t="s">
        <v>135</v>
      </c>
    </row>
    <row r="382" spans="1:36" ht="15.75" customHeight="1" x14ac:dyDescent="0.3">
      <c r="A382" s="21">
        <v>2025</v>
      </c>
      <c r="B382" s="22">
        <v>46014.436114085649</v>
      </c>
      <c r="C382" s="21" t="s">
        <v>183</v>
      </c>
      <c r="D382" s="21" t="s">
        <v>183</v>
      </c>
      <c r="E382" s="21" t="s">
        <v>183</v>
      </c>
      <c r="F382" s="21" t="s">
        <v>183</v>
      </c>
      <c r="G382" s="21" t="s">
        <v>93</v>
      </c>
      <c r="H382" s="21" t="s">
        <v>3381</v>
      </c>
      <c r="I382" s="21" t="s">
        <v>445</v>
      </c>
      <c r="J382" s="21" t="s">
        <v>3390</v>
      </c>
      <c r="K382" s="21" t="e">
        <f t="shared" ca="1" si="2"/>
        <v>#NAME?</v>
      </c>
      <c r="L382" s="24">
        <v>1977</v>
      </c>
      <c r="M382" s="21">
        <v>2003</v>
      </c>
      <c r="N382" s="21" t="s">
        <v>402</v>
      </c>
      <c r="O382" s="21" t="s">
        <v>316</v>
      </c>
      <c r="P382" s="26">
        <v>2488021056</v>
      </c>
      <c r="Q382" s="26" t="e">
        <f t="shared" ca="1" si="3"/>
        <v>#NAME?</v>
      </c>
      <c r="R382" s="21" t="s">
        <v>3382</v>
      </c>
      <c r="S382" s="21" t="s">
        <v>3383</v>
      </c>
      <c r="T382" s="21" t="s">
        <v>3391</v>
      </c>
      <c r="U382" s="21" t="s">
        <v>3392</v>
      </c>
      <c r="V382" s="21" t="s">
        <v>127</v>
      </c>
      <c r="W382" s="21" t="s">
        <v>219</v>
      </c>
      <c r="X382" s="21" t="s">
        <v>3393</v>
      </c>
      <c r="Y382" s="21" t="s">
        <v>3394</v>
      </c>
      <c r="Z382" s="21" t="s">
        <v>127</v>
      </c>
      <c r="AA382" s="21" t="s">
        <v>3395</v>
      </c>
      <c r="AB382" s="21" t="s">
        <v>129</v>
      </c>
      <c r="AC382" s="21" t="s">
        <v>3396</v>
      </c>
      <c r="AD382" s="21" t="s">
        <v>169</v>
      </c>
      <c r="AE382" s="21" t="s">
        <v>133</v>
      </c>
      <c r="AF382" s="21" t="s">
        <v>135</v>
      </c>
      <c r="AG382" s="21" t="s">
        <v>135</v>
      </c>
      <c r="AH382" s="21" t="s">
        <v>135</v>
      </c>
      <c r="AI382" s="21" t="s">
        <v>135</v>
      </c>
      <c r="AJ382" s="21" t="s">
        <v>3397</v>
      </c>
    </row>
    <row r="383" spans="1:36" ht="15.75" customHeight="1" x14ac:dyDescent="0.3">
      <c r="A383" s="21">
        <v>2025</v>
      </c>
      <c r="B383" s="22">
        <v>46014.446626157413</v>
      </c>
      <c r="C383" s="21" t="s">
        <v>183</v>
      </c>
      <c r="D383" s="21" t="s">
        <v>183</v>
      </c>
      <c r="E383" s="21" t="s">
        <v>183</v>
      </c>
      <c r="F383" s="21" t="s">
        <v>183</v>
      </c>
      <c r="G383" s="21" t="s">
        <v>93</v>
      </c>
      <c r="H383" s="21" t="s">
        <v>3398</v>
      </c>
      <c r="I383" s="21" t="s">
        <v>3281</v>
      </c>
      <c r="J383" s="21" t="s">
        <v>3399</v>
      </c>
      <c r="K383" s="21" t="e">
        <f t="shared" ca="1" si="2"/>
        <v>#NAME?</v>
      </c>
      <c r="L383" s="24">
        <v>1977</v>
      </c>
      <c r="M383" s="21">
        <v>2002</v>
      </c>
      <c r="N383" s="21" t="s">
        <v>402</v>
      </c>
      <c r="O383" s="21" t="s">
        <v>316</v>
      </c>
      <c r="P383" s="26">
        <v>8593077229</v>
      </c>
      <c r="Q383" s="26" t="e">
        <f t="shared" ca="1" si="3"/>
        <v>#NAME?</v>
      </c>
      <c r="R383" s="21" t="s">
        <v>3400</v>
      </c>
      <c r="S383" s="21" t="s">
        <v>3401</v>
      </c>
      <c r="T383" s="21" t="s">
        <v>3402</v>
      </c>
      <c r="U383" s="21" t="s">
        <v>3403</v>
      </c>
      <c r="V383" s="21" t="s">
        <v>127</v>
      </c>
      <c r="W383" s="21" t="s">
        <v>1853</v>
      </c>
      <c r="X383" s="21" t="s">
        <v>178</v>
      </c>
      <c r="Y383" s="21" t="s">
        <v>179</v>
      </c>
      <c r="Z383" s="21" t="s">
        <v>127</v>
      </c>
      <c r="AA383" s="21" t="s">
        <v>3404</v>
      </c>
      <c r="AB383" s="21" t="s">
        <v>129</v>
      </c>
      <c r="AC383" s="21" t="s">
        <v>3405</v>
      </c>
      <c r="AD383" s="21" t="s">
        <v>287</v>
      </c>
      <c r="AE383" s="21" t="s">
        <v>133</v>
      </c>
      <c r="AF383" s="21" t="s">
        <v>135</v>
      </c>
      <c r="AG383" s="21" t="s">
        <v>135</v>
      </c>
      <c r="AH383" s="21" t="s">
        <v>135</v>
      </c>
      <c r="AI383" s="21" t="s">
        <v>135</v>
      </c>
      <c r="AJ383" s="21" t="s">
        <v>3406</v>
      </c>
    </row>
    <row r="384" spans="1:36" ht="15.75" customHeight="1" x14ac:dyDescent="0.3">
      <c r="A384" s="21">
        <v>2025</v>
      </c>
      <c r="B384" s="22">
        <v>46014.460705277779</v>
      </c>
      <c r="C384" s="21" t="s">
        <v>183</v>
      </c>
      <c r="D384" s="21" t="s">
        <v>183</v>
      </c>
      <c r="E384" s="21" t="s">
        <v>183</v>
      </c>
      <c r="F384" s="21" t="s">
        <v>183</v>
      </c>
      <c r="G384" s="21" t="s">
        <v>93</v>
      </c>
      <c r="H384" s="21" t="s">
        <v>3407</v>
      </c>
      <c r="I384" s="21" t="s">
        <v>3408</v>
      </c>
      <c r="J384" s="21" t="s">
        <v>3409</v>
      </c>
      <c r="K384" s="21" t="e">
        <f t="shared" ca="1" si="2"/>
        <v>#NAME?</v>
      </c>
      <c r="L384" s="24">
        <v>1971</v>
      </c>
      <c r="M384" s="21">
        <v>2000</v>
      </c>
      <c r="N384" s="21" t="s">
        <v>402</v>
      </c>
      <c r="O384" s="21" t="s">
        <v>316</v>
      </c>
      <c r="P384" s="26">
        <v>8653328505</v>
      </c>
      <c r="Q384" s="26" t="e">
        <f t="shared" ca="1" si="3"/>
        <v>#NAME?</v>
      </c>
      <c r="R384" s="21" t="s">
        <v>3410</v>
      </c>
      <c r="S384" s="21" t="s">
        <v>3411</v>
      </c>
      <c r="T384" s="21" t="s">
        <v>3412</v>
      </c>
      <c r="U384" s="21" t="s">
        <v>3413</v>
      </c>
      <c r="V384" s="21" t="s">
        <v>127</v>
      </c>
      <c r="W384" s="21" t="s">
        <v>3414</v>
      </c>
      <c r="X384" s="21" t="s">
        <v>179</v>
      </c>
      <c r="Y384" s="21" t="s">
        <v>3415</v>
      </c>
      <c r="Z384" s="21" t="s">
        <v>127</v>
      </c>
      <c r="AA384" s="21" t="s">
        <v>3416</v>
      </c>
      <c r="AB384" s="21" t="s">
        <v>129</v>
      </c>
      <c r="AC384" s="21" t="s">
        <v>3417</v>
      </c>
      <c r="AD384" s="21" t="s">
        <v>132</v>
      </c>
      <c r="AE384" s="21" t="s">
        <v>133</v>
      </c>
      <c r="AF384" s="21" t="s">
        <v>135</v>
      </c>
      <c r="AG384" s="21" t="s">
        <v>135</v>
      </c>
      <c r="AH384" s="21" t="s">
        <v>135</v>
      </c>
      <c r="AI384" s="21" t="s">
        <v>135</v>
      </c>
    </row>
    <row r="385" spans="1:36" ht="15.75" customHeight="1" x14ac:dyDescent="0.3">
      <c r="A385" s="21">
        <v>2025</v>
      </c>
      <c r="B385" s="22">
        <v>46014.468036712962</v>
      </c>
      <c r="C385" s="21" t="s">
        <v>183</v>
      </c>
      <c r="D385" s="21" t="s">
        <v>183</v>
      </c>
      <c r="E385" s="21" t="s">
        <v>183</v>
      </c>
      <c r="F385" s="21" t="s">
        <v>183</v>
      </c>
      <c r="G385" s="21" t="s">
        <v>93</v>
      </c>
      <c r="H385" s="21" t="s">
        <v>3418</v>
      </c>
      <c r="I385" s="21" t="s">
        <v>3419</v>
      </c>
      <c r="J385" s="21" t="s">
        <v>3420</v>
      </c>
      <c r="K385" s="21" t="e">
        <f t="shared" ca="1" si="2"/>
        <v>#NAME?</v>
      </c>
      <c r="L385" s="24">
        <v>1993</v>
      </c>
      <c r="M385" s="21">
        <v>2006</v>
      </c>
      <c r="N385" s="21" t="s">
        <v>111</v>
      </c>
      <c r="O385" s="21" t="s">
        <v>112</v>
      </c>
      <c r="P385" s="26">
        <v>8074697587</v>
      </c>
      <c r="Q385" s="26" t="e">
        <f t="shared" ca="1" si="3"/>
        <v>#NAME?</v>
      </c>
      <c r="R385" s="21" t="s">
        <v>188</v>
      </c>
      <c r="S385" s="21" t="s">
        <v>3421</v>
      </c>
      <c r="T385" s="21">
        <v>6383404144</v>
      </c>
      <c r="U385" s="21" t="s">
        <v>127</v>
      </c>
      <c r="V385" s="21" t="s">
        <v>3422</v>
      </c>
      <c r="W385" s="21" t="s">
        <v>328</v>
      </c>
      <c r="X385" s="21" t="s">
        <v>3423</v>
      </c>
      <c r="Y385" s="21" t="s">
        <v>3423</v>
      </c>
      <c r="Z385" s="21" t="s">
        <v>127</v>
      </c>
      <c r="AA385" s="21" t="s">
        <v>3047</v>
      </c>
      <c r="AB385" s="21" t="s">
        <v>129</v>
      </c>
      <c r="AC385" s="21" t="s">
        <v>3424</v>
      </c>
      <c r="AD385" s="21" t="s">
        <v>287</v>
      </c>
      <c r="AE385" s="21" t="s">
        <v>133</v>
      </c>
      <c r="AF385" s="21" t="s">
        <v>135</v>
      </c>
      <c r="AG385" s="21" t="s">
        <v>135</v>
      </c>
      <c r="AH385" s="21" t="s">
        <v>135</v>
      </c>
      <c r="AI385" s="21" t="s">
        <v>135</v>
      </c>
    </row>
    <row r="386" spans="1:36" ht="15.75" customHeight="1" x14ac:dyDescent="0.3">
      <c r="A386" s="21">
        <v>2025</v>
      </c>
      <c r="B386" s="22">
        <v>46014.797154189815</v>
      </c>
      <c r="C386" s="21" t="s">
        <v>183</v>
      </c>
      <c r="D386" s="21" t="s">
        <v>183</v>
      </c>
      <c r="E386" s="21" t="s">
        <v>183</v>
      </c>
      <c r="F386" s="21" t="s">
        <v>183</v>
      </c>
      <c r="G386" s="21" t="s">
        <v>93</v>
      </c>
      <c r="H386" s="21" t="s">
        <v>3425</v>
      </c>
      <c r="I386" s="21" t="s">
        <v>3426</v>
      </c>
      <c r="J386" s="21" t="s">
        <v>1759</v>
      </c>
      <c r="K386" s="21" t="e">
        <f t="shared" ca="1" si="2"/>
        <v>#NAME?</v>
      </c>
      <c r="L386" s="24">
        <v>1966</v>
      </c>
      <c r="M386" s="21">
        <v>1992</v>
      </c>
      <c r="N386" s="21" t="s">
        <v>111</v>
      </c>
      <c r="O386" s="21" t="s">
        <v>112</v>
      </c>
      <c r="P386" s="26">
        <v>9866573169</v>
      </c>
      <c r="Q386" s="26" t="e">
        <f t="shared" ca="1" si="3"/>
        <v>#NAME?</v>
      </c>
      <c r="R386" s="21" t="s">
        <v>485</v>
      </c>
      <c r="S386" s="21" t="s">
        <v>3429</v>
      </c>
      <c r="T386" s="21" t="s">
        <v>3430</v>
      </c>
      <c r="U386" s="21" t="s">
        <v>3431</v>
      </c>
      <c r="V386" s="21" t="s">
        <v>127</v>
      </c>
      <c r="W386" s="21" t="s">
        <v>219</v>
      </c>
      <c r="X386" s="21" t="s">
        <v>194</v>
      </c>
      <c r="Y386" s="21" t="s">
        <v>194</v>
      </c>
      <c r="Z386" s="21" t="s">
        <v>582</v>
      </c>
      <c r="AA386" s="21" t="s">
        <v>1319</v>
      </c>
      <c r="AB386" s="21" t="s">
        <v>129</v>
      </c>
      <c r="AC386" s="21" t="s">
        <v>3432</v>
      </c>
      <c r="AD386" s="21" t="s">
        <v>132</v>
      </c>
      <c r="AE386" s="21" t="s">
        <v>133</v>
      </c>
      <c r="AF386" s="21" t="s">
        <v>135</v>
      </c>
      <c r="AG386" s="21" t="s">
        <v>135</v>
      </c>
      <c r="AH386" s="21" t="s">
        <v>135</v>
      </c>
      <c r="AI386" s="21" t="s">
        <v>135</v>
      </c>
    </row>
    <row r="387" spans="1:36" ht="15.75" customHeight="1" x14ac:dyDescent="0.3">
      <c r="A387" s="21">
        <v>2025</v>
      </c>
      <c r="B387" s="22">
        <v>46014.801730196763</v>
      </c>
      <c r="C387" s="21" t="s">
        <v>183</v>
      </c>
      <c r="D387" s="21" t="s">
        <v>183</v>
      </c>
      <c r="E387" s="21" t="s">
        <v>183</v>
      </c>
      <c r="F387" s="21" t="s">
        <v>183</v>
      </c>
      <c r="G387" s="21" t="s">
        <v>256</v>
      </c>
      <c r="H387" s="21" t="s">
        <v>3433</v>
      </c>
      <c r="I387" s="21" t="s">
        <v>1551</v>
      </c>
      <c r="J387" s="21" t="s">
        <v>1552</v>
      </c>
      <c r="K387" s="21" t="e">
        <f t="shared" ca="1" si="2"/>
        <v>#NAME?</v>
      </c>
      <c r="L387" s="24">
        <v>2011</v>
      </c>
      <c r="M387" s="21">
        <v>2018</v>
      </c>
      <c r="N387" s="21" t="s">
        <v>111</v>
      </c>
      <c r="O387" s="21" t="s">
        <v>112</v>
      </c>
      <c r="P387" s="26">
        <v>9740274684</v>
      </c>
      <c r="Q387" s="26" t="e">
        <f t="shared" ca="1" si="3"/>
        <v>#NAME?</v>
      </c>
      <c r="R387" s="21" t="s">
        <v>664</v>
      </c>
      <c r="S387" s="21" t="s">
        <v>3434</v>
      </c>
      <c r="T387" s="21" t="s">
        <v>3435</v>
      </c>
      <c r="U387" s="21" t="s">
        <v>127</v>
      </c>
      <c r="V387" s="21" t="s">
        <v>3436</v>
      </c>
      <c r="W387" s="21" t="s">
        <v>123</v>
      </c>
      <c r="X387" s="21" t="s">
        <v>308</v>
      </c>
      <c r="Y387" s="21" t="s">
        <v>3437</v>
      </c>
      <c r="Z387" s="21" t="s">
        <v>3438</v>
      </c>
      <c r="AA387" s="21" t="s">
        <v>396</v>
      </c>
      <c r="AB387" s="21" t="s">
        <v>129</v>
      </c>
      <c r="AC387" s="21" t="s">
        <v>3439</v>
      </c>
      <c r="AD387" s="21" t="s">
        <v>132</v>
      </c>
      <c r="AE387" s="21" t="s">
        <v>133</v>
      </c>
      <c r="AF387" s="21" t="s">
        <v>135</v>
      </c>
      <c r="AG387" s="21" t="s">
        <v>135</v>
      </c>
      <c r="AH387" s="21" t="s">
        <v>135</v>
      </c>
      <c r="AI387" s="21" t="s">
        <v>135</v>
      </c>
      <c r="AJ387" s="21" t="s">
        <v>3440</v>
      </c>
    </row>
    <row r="388" spans="1:36" ht="15.75" customHeight="1" x14ac:dyDescent="0.3">
      <c r="A388" s="21">
        <v>2025</v>
      </c>
      <c r="B388" s="22">
        <v>46014.802971631943</v>
      </c>
      <c r="C388" s="21" t="s">
        <v>183</v>
      </c>
      <c r="D388" s="21" t="s">
        <v>183</v>
      </c>
      <c r="E388" s="21" t="s">
        <v>183</v>
      </c>
      <c r="F388" s="21" t="s">
        <v>183</v>
      </c>
      <c r="G388" s="21" t="s">
        <v>93</v>
      </c>
      <c r="H388" s="21" t="s">
        <v>3441</v>
      </c>
      <c r="I388" s="21" t="s">
        <v>1551</v>
      </c>
      <c r="J388" s="21" t="s">
        <v>3442</v>
      </c>
      <c r="K388" s="21" t="e">
        <f t="shared" ca="1" si="2"/>
        <v>#NAME?</v>
      </c>
      <c r="L388" s="24">
        <v>1977</v>
      </c>
      <c r="M388" s="21">
        <v>2003</v>
      </c>
      <c r="N388" s="21" t="s">
        <v>111</v>
      </c>
      <c r="O388" s="21" t="s">
        <v>112</v>
      </c>
      <c r="P388" s="26">
        <v>9845261267</v>
      </c>
      <c r="Q388" s="26" t="e">
        <f t="shared" ca="1" si="3"/>
        <v>#NAME?</v>
      </c>
      <c r="R388" s="21" t="s">
        <v>664</v>
      </c>
      <c r="S388" s="21" t="s">
        <v>3434</v>
      </c>
      <c r="T388" s="21" t="s">
        <v>3435</v>
      </c>
      <c r="U388" s="21" t="s">
        <v>3443</v>
      </c>
      <c r="V388" s="21" t="s">
        <v>127</v>
      </c>
      <c r="W388" s="21" t="s">
        <v>123</v>
      </c>
      <c r="X388" s="21" t="s">
        <v>352</v>
      </c>
      <c r="Y388" s="21" t="s">
        <v>352</v>
      </c>
      <c r="Z388" s="21" t="s">
        <v>127</v>
      </c>
      <c r="AA388" s="21" t="s">
        <v>3444</v>
      </c>
      <c r="AB388" s="21" t="s">
        <v>129</v>
      </c>
      <c r="AC388" s="21" t="s">
        <v>3445</v>
      </c>
      <c r="AD388" s="21" t="s">
        <v>132</v>
      </c>
      <c r="AE388" s="21" t="s">
        <v>133</v>
      </c>
      <c r="AF388" s="21" t="s">
        <v>135</v>
      </c>
      <c r="AG388" s="21" t="s">
        <v>135</v>
      </c>
      <c r="AH388" s="21" t="s">
        <v>135</v>
      </c>
      <c r="AI388" s="21" t="s">
        <v>135</v>
      </c>
      <c r="AJ388" s="21" t="s">
        <v>3446</v>
      </c>
    </row>
    <row r="389" spans="1:36" ht="15.75" customHeight="1" x14ac:dyDescent="0.3">
      <c r="A389" s="21">
        <v>2025</v>
      </c>
      <c r="B389" s="22">
        <v>46014.825040208336</v>
      </c>
      <c r="C389" s="21" t="s">
        <v>183</v>
      </c>
      <c r="D389" s="21" t="s">
        <v>183</v>
      </c>
      <c r="E389" s="21" t="s">
        <v>183</v>
      </c>
      <c r="F389" s="21" t="s">
        <v>183</v>
      </c>
      <c r="G389" s="21" t="s">
        <v>256</v>
      </c>
      <c r="H389" s="21" t="s">
        <v>3447</v>
      </c>
      <c r="I389" s="21" t="s">
        <v>1978</v>
      </c>
      <c r="J389" s="21" t="s">
        <v>1979</v>
      </c>
      <c r="K389" s="21" t="e">
        <f t="shared" ca="1" si="2"/>
        <v>#NAME?</v>
      </c>
      <c r="L389" s="24">
        <v>2013</v>
      </c>
      <c r="M389" s="21">
        <v>2024</v>
      </c>
      <c r="N389" s="21" t="s">
        <v>111</v>
      </c>
      <c r="O389" s="21" t="s">
        <v>112</v>
      </c>
      <c r="P389" s="26">
        <v>9848847831</v>
      </c>
      <c r="Q389" s="26" t="e">
        <f t="shared" ca="1" si="3"/>
        <v>#NAME?</v>
      </c>
      <c r="R389" s="21" t="s">
        <v>118</v>
      </c>
      <c r="S389" s="21" t="s">
        <v>3448</v>
      </c>
      <c r="T389" s="21" t="s">
        <v>3449</v>
      </c>
      <c r="U389" s="21" t="s">
        <v>296</v>
      </c>
      <c r="V389" s="21" t="s">
        <v>3450</v>
      </c>
      <c r="W389" s="21" t="s">
        <v>191</v>
      </c>
      <c r="X389" s="21" t="s">
        <v>1347</v>
      </c>
      <c r="Y389" s="21" t="s">
        <v>1762</v>
      </c>
      <c r="Z389" s="21" t="s">
        <v>3451</v>
      </c>
      <c r="AA389" s="21" t="s">
        <v>3452</v>
      </c>
      <c r="AB389" s="21" t="s">
        <v>269</v>
      </c>
      <c r="AC389" s="21" t="s">
        <v>2746</v>
      </c>
      <c r="AD389" s="21" t="s">
        <v>132</v>
      </c>
      <c r="AE389" s="21" t="s">
        <v>133</v>
      </c>
      <c r="AF389" s="21" t="s">
        <v>135</v>
      </c>
      <c r="AG389" s="21" t="s">
        <v>135</v>
      </c>
      <c r="AH389" s="21" t="s">
        <v>135</v>
      </c>
      <c r="AI389" s="21" t="s">
        <v>135</v>
      </c>
      <c r="AJ389" s="21" t="s">
        <v>3453</v>
      </c>
    </row>
    <row r="390" spans="1:36" ht="15.75" customHeight="1" x14ac:dyDescent="0.3">
      <c r="A390" s="21">
        <v>2025</v>
      </c>
      <c r="B390" s="22">
        <v>46014.840357743058</v>
      </c>
      <c r="C390" s="21" t="s">
        <v>183</v>
      </c>
      <c r="D390" s="21" t="s">
        <v>183</v>
      </c>
      <c r="E390" s="21" t="s">
        <v>183</v>
      </c>
      <c r="F390" s="21" t="s">
        <v>183</v>
      </c>
      <c r="G390" s="21" t="s">
        <v>93</v>
      </c>
      <c r="H390" s="21" t="s">
        <v>3454</v>
      </c>
      <c r="I390" s="21" t="s">
        <v>3455</v>
      </c>
      <c r="J390" s="21" t="s">
        <v>3456</v>
      </c>
      <c r="K390" s="21" t="e">
        <f t="shared" ca="1" si="2"/>
        <v>#NAME?</v>
      </c>
      <c r="L390" s="24">
        <v>1983</v>
      </c>
      <c r="M390" s="21">
        <v>2013</v>
      </c>
      <c r="N390" s="21" t="s">
        <v>111</v>
      </c>
      <c r="O390" s="21" t="s">
        <v>112</v>
      </c>
      <c r="P390" s="26">
        <v>7702093345</v>
      </c>
      <c r="Q390" s="26" t="e">
        <f t="shared" ca="1" si="3"/>
        <v>#NAME?</v>
      </c>
      <c r="R390" s="21" t="s">
        <v>3457</v>
      </c>
      <c r="S390" s="21" t="s">
        <v>3458</v>
      </c>
      <c r="T390" s="21">
        <v>9000227675</v>
      </c>
      <c r="U390" s="21" t="s">
        <v>284</v>
      </c>
      <c r="V390" s="21" t="s">
        <v>3459</v>
      </c>
      <c r="W390" s="21" t="s">
        <v>328</v>
      </c>
      <c r="X390" s="21" t="s">
        <v>211</v>
      </c>
      <c r="Y390" s="21" t="s">
        <v>3460</v>
      </c>
      <c r="Z390" s="21" t="s">
        <v>284</v>
      </c>
      <c r="AA390" s="21" t="s">
        <v>3461</v>
      </c>
      <c r="AB390" s="21" t="s">
        <v>129</v>
      </c>
      <c r="AC390" s="21" t="s">
        <v>3462</v>
      </c>
      <c r="AD390" s="21" t="s">
        <v>132</v>
      </c>
      <c r="AE390" s="21" t="s">
        <v>133</v>
      </c>
      <c r="AF390" s="21" t="s">
        <v>135</v>
      </c>
      <c r="AG390" s="21" t="s">
        <v>135</v>
      </c>
      <c r="AH390" s="21" t="s">
        <v>135</v>
      </c>
      <c r="AI390" s="21" t="s">
        <v>135</v>
      </c>
      <c r="AJ390" s="21" t="s">
        <v>3463</v>
      </c>
    </row>
    <row r="391" spans="1:36" ht="15.75" customHeight="1" x14ac:dyDescent="0.3">
      <c r="A391" s="21">
        <v>2025</v>
      </c>
      <c r="B391" s="22">
        <v>46014.879435451388</v>
      </c>
      <c r="C391" s="21" t="s">
        <v>183</v>
      </c>
      <c r="D391" s="21" t="s">
        <v>183</v>
      </c>
      <c r="E391" s="21" t="s">
        <v>183</v>
      </c>
      <c r="F391" s="21" t="s">
        <v>183</v>
      </c>
      <c r="G391" s="21" t="s">
        <v>93</v>
      </c>
      <c r="H391" s="21" t="s">
        <v>3464</v>
      </c>
      <c r="I391" s="21" t="s">
        <v>2755</v>
      </c>
      <c r="J391" s="21" t="s">
        <v>3465</v>
      </c>
      <c r="K391" s="21" t="e">
        <f t="shared" ca="1" si="2"/>
        <v>#NAME?</v>
      </c>
      <c r="L391" s="24">
        <v>1992</v>
      </c>
      <c r="M391" s="21">
        <v>2008</v>
      </c>
      <c r="N391" s="21" t="s">
        <v>111</v>
      </c>
      <c r="O391" s="21" t="s">
        <v>112</v>
      </c>
      <c r="P391" s="26">
        <v>9032502528</v>
      </c>
      <c r="Q391" s="26" t="e">
        <f t="shared" ca="1" si="3"/>
        <v>#NAME?</v>
      </c>
      <c r="R391" s="21" t="s">
        <v>188</v>
      </c>
      <c r="S391" s="21" t="s">
        <v>605</v>
      </c>
      <c r="T391" s="21">
        <v>9959167555</v>
      </c>
      <c r="U391" s="21" t="s">
        <v>3466</v>
      </c>
      <c r="V391" s="21" t="s">
        <v>127</v>
      </c>
      <c r="W391" s="21" t="s">
        <v>307</v>
      </c>
      <c r="X391" s="21" t="s">
        <v>308</v>
      </c>
      <c r="Y391" s="21" t="s">
        <v>308</v>
      </c>
      <c r="Z391" s="21" t="s">
        <v>127</v>
      </c>
      <c r="AA391" s="21" t="s">
        <v>450</v>
      </c>
      <c r="AB391" s="21" t="s">
        <v>129</v>
      </c>
      <c r="AC391" s="21" t="s">
        <v>3467</v>
      </c>
      <c r="AD391" s="21" t="s">
        <v>132</v>
      </c>
      <c r="AE391" s="21" t="s">
        <v>133</v>
      </c>
      <c r="AF391" s="21" t="s">
        <v>135</v>
      </c>
      <c r="AG391" s="21" t="s">
        <v>135</v>
      </c>
      <c r="AH391" s="21" t="s">
        <v>135</v>
      </c>
      <c r="AI391" s="21" t="s">
        <v>135</v>
      </c>
      <c r="AJ391" s="21" t="s">
        <v>3468</v>
      </c>
    </row>
    <row r="392" spans="1:36" ht="15.75" customHeight="1" x14ac:dyDescent="0.3">
      <c r="A392" s="21">
        <v>2025</v>
      </c>
      <c r="B392" s="22">
        <v>46015.232327013888</v>
      </c>
      <c r="C392" s="21" t="s">
        <v>183</v>
      </c>
      <c r="D392" s="21" t="s">
        <v>183</v>
      </c>
      <c r="E392" s="21" t="s">
        <v>183</v>
      </c>
      <c r="F392" s="21" t="s">
        <v>183</v>
      </c>
      <c r="G392" s="21" t="s">
        <v>93</v>
      </c>
      <c r="H392" s="21" t="s">
        <v>3469</v>
      </c>
      <c r="I392" s="21" t="s">
        <v>3470</v>
      </c>
      <c r="J392" s="21" t="s">
        <v>3471</v>
      </c>
      <c r="K392" s="21" t="e">
        <f t="shared" ca="1" si="2"/>
        <v>#NAME?</v>
      </c>
      <c r="L392" s="24">
        <v>1966</v>
      </c>
      <c r="M392" s="21">
        <v>1993</v>
      </c>
      <c r="N392" s="21" t="s">
        <v>111</v>
      </c>
      <c r="O392" s="21" t="s">
        <v>112</v>
      </c>
      <c r="P392" s="26">
        <v>9500037229</v>
      </c>
      <c r="Q392" s="26" t="e">
        <f t="shared" ca="1" si="3"/>
        <v>#NAME?</v>
      </c>
      <c r="R392" s="21" t="s">
        <v>3472</v>
      </c>
      <c r="S392" s="21" t="s">
        <v>3473</v>
      </c>
      <c r="T392" s="21" t="s">
        <v>3474</v>
      </c>
      <c r="U392" s="21" t="s">
        <v>3475</v>
      </c>
      <c r="V392" s="21" t="s">
        <v>127</v>
      </c>
      <c r="W392" s="21" t="s">
        <v>307</v>
      </c>
      <c r="X392" s="21" t="s">
        <v>352</v>
      </c>
      <c r="Y392" s="21" t="s">
        <v>352</v>
      </c>
      <c r="Z392" s="21" t="s">
        <v>127</v>
      </c>
      <c r="AA392" s="21" t="s">
        <v>3476</v>
      </c>
      <c r="AB392" s="21" t="s">
        <v>129</v>
      </c>
      <c r="AC392" s="21" t="s">
        <v>3477</v>
      </c>
      <c r="AD392" s="21" t="s">
        <v>287</v>
      </c>
      <c r="AE392" s="21" t="s">
        <v>332</v>
      </c>
      <c r="AF392" s="21" t="s">
        <v>135</v>
      </c>
      <c r="AG392" s="21" t="s">
        <v>135</v>
      </c>
      <c r="AH392" s="21" t="s">
        <v>135</v>
      </c>
      <c r="AI392" s="21" t="s">
        <v>135</v>
      </c>
    </row>
    <row r="393" spans="1:36" ht="15.75" customHeight="1" x14ac:dyDescent="0.3">
      <c r="A393" s="21">
        <v>2025</v>
      </c>
      <c r="B393" s="22">
        <v>46015.401841226849</v>
      </c>
      <c r="C393" s="21" t="s">
        <v>183</v>
      </c>
      <c r="D393" s="21" t="s">
        <v>183</v>
      </c>
      <c r="E393" s="21" t="s">
        <v>183</v>
      </c>
      <c r="F393" s="21" t="s">
        <v>183</v>
      </c>
      <c r="G393" s="21" t="s">
        <v>93</v>
      </c>
      <c r="H393" s="21" t="s">
        <v>3478</v>
      </c>
      <c r="I393" s="21" t="s">
        <v>1009</v>
      </c>
      <c r="J393" s="21" t="s">
        <v>3479</v>
      </c>
      <c r="K393" s="21" t="e">
        <f t="shared" ca="1" si="2"/>
        <v>#NAME?</v>
      </c>
      <c r="L393" s="24">
        <v>1993</v>
      </c>
      <c r="M393" s="21">
        <v>2017</v>
      </c>
      <c r="N393" s="21" t="s">
        <v>111</v>
      </c>
      <c r="O393" s="21" t="s">
        <v>112</v>
      </c>
      <c r="P393" s="26">
        <v>8142885330</v>
      </c>
      <c r="Q393" s="26" t="e">
        <f t="shared" ca="1" si="3"/>
        <v>#NAME?</v>
      </c>
      <c r="R393" s="21" t="s">
        <v>118</v>
      </c>
      <c r="S393" s="21" t="s">
        <v>3480</v>
      </c>
      <c r="T393" s="21">
        <v>9298903940</v>
      </c>
      <c r="U393" s="21" t="s">
        <v>127</v>
      </c>
      <c r="V393" s="21" t="s">
        <v>3481</v>
      </c>
      <c r="W393" s="21" t="s">
        <v>3482</v>
      </c>
      <c r="X393" s="21" t="s">
        <v>220</v>
      </c>
      <c r="Y393" s="21" t="s">
        <v>352</v>
      </c>
      <c r="Z393" s="21" t="s">
        <v>127</v>
      </c>
      <c r="AA393" s="21" t="s">
        <v>3483</v>
      </c>
      <c r="AB393" s="21" t="s">
        <v>129</v>
      </c>
      <c r="AC393" s="21" t="s">
        <v>3485</v>
      </c>
      <c r="AD393" s="21" t="s">
        <v>287</v>
      </c>
      <c r="AE393" s="21" t="s">
        <v>133</v>
      </c>
      <c r="AF393" s="21" t="s">
        <v>135</v>
      </c>
      <c r="AG393" s="21" t="s">
        <v>135</v>
      </c>
      <c r="AH393" s="21" t="s">
        <v>135</v>
      </c>
      <c r="AI393" s="21" t="s">
        <v>135</v>
      </c>
    </row>
    <row r="394" spans="1:36" ht="15.75" customHeight="1" x14ac:dyDescent="0.3">
      <c r="A394" s="21">
        <v>2025</v>
      </c>
      <c r="B394" s="22">
        <v>46016.129780347226</v>
      </c>
      <c r="C394" s="21" t="s">
        <v>183</v>
      </c>
      <c r="D394" s="21" t="s">
        <v>183</v>
      </c>
      <c r="E394" s="21" t="s">
        <v>183</v>
      </c>
      <c r="F394" s="21" t="s">
        <v>183</v>
      </c>
      <c r="G394" s="21" t="s">
        <v>93</v>
      </c>
      <c r="H394" s="21" t="s">
        <v>3487</v>
      </c>
      <c r="I394" s="21" t="s">
        <v>1256</v>
      </c>
      <c r="J394" s="21" t="s">
        <v>3488</v>
      </c>
      <c r="K394" s="21" t="e">
        <f t="shared" ca="1" si="2"/>
        <v>#NAME?</v>
      </c>
      <c r="L394" s="24">
        <v>1963</v>
      </c>
      <c r="M394" s="21">
        <v>1980</v>
      </c>
      <c r="N394" s="21" t="s">
        <v>111</v>
      </c>
      <c r="O394" s="21" t="s">
        <v>112</v>
      </c>
      <c r="P394" s="26">
        <v>9491740146</v>
      </c>
      <c r="Q394" s="26" t="e">
        <f t="shared" ca="1" si="3"/>
        <v>#NAME?</v>
      </c>
      <c r="R394" s="21" t="s">
        <v>1201</v>
      </c>
      <c r="S394" s="21" t="s">
        <v>1723</v>
      </c>
      <c r="T394" s="21">
        <v>9391944044</v>
      </c>
      <c r="U394" s="21" t="s">
        <v>3489</v>
      </c>
      <c r="V394" s="21" t="s">
        <v>2479</v>
      </c>
      <c r="W394" s="21" t="s">
        <v>219</v>
      </c>
      <c r="X394" s="21" t="s">
        <v>536</v>
      </c>
      <c r="Y394" s="21" t="s">
        <v>1882</v>
      </c>
      <c r="Z394" s="21" t="s">
        <v>127</v>
      </c>
      <c r="AA394" s="21" t="s">
        <v>3490</v>
      </c>
      <c r="AB394" s="21" t="s">
        <v>129</v>
      </c>
      <c r="AC394" s="21" t="s">
        <v>3491</v>
      </c>
      <c r="AD394" s="21" t="s">
        <v>169</v>
      </c>
      <c r="AE394" s="21" t="s">
        <v>133</v>
      </c>
      <c r="AF394" s="21" t="s">
        <v>135</v>
      </c>
      <c r="AG394" s="21" t="s">
        <v>135</v>
      </c>
      <c r="AH394" s="21" t="s">
        <v>135</v>
      </c>
      <c r="AI394" s="21" t="s">
        <v>135</v>
      </c>
      <c r="AJ394" s="21" t="s">
        <v>3492</v>
      </c>
    </row>
    <row r="395" spans="1:36" ht="15.75" customHeight="1" x14ac:dyDescent="0.3">
      <c r="A395" s="21">
        <v>2025</v>
      </c>
      <c r="B395" s="22">
        <v>46016.481884351851</v>
      </c>
      <c r="C395" s="21" t="s">
        <v>183</v>
      </c>
      <c r="D395" s="21" t="s">
        <v>183</v>
      </c>
      <c r="E395" s="21" t="s">
        <v>183</v>
      </c>
      <c r="F395" s="21" t="s">
        <v>90</v>
      </c>
      <c r="G395" s="21" t="s">
        <v>93</v>
      </c>
      <c r="H395" s="21" t="s">
        <v>3493</v>
      </c>
      <c r="I395" s="21" t="s">
        <v>3494</v>
      </c>
      <c r="J395" s="21" t="s">
        <v>2952</v>
      </c>
      <c r="K395" s="21" t="e">
        <f t="shared" ca="1" si="2"/>
        <v>#NAME?</v>
      </c>
      <c r="L395" s="24">
        <v>1974</v>
      </c>
      <c r="M395" s="21">
        <v>1992</v>
      </c>
      <c r="N395" s="21" t="s">
        <v>315</v>
      </c>
      <c r="O395" s="21" t="s">
        <v>112</v>
      </c>
      <c r="P395" s="26">
        <v>2019669452</v>
      </c>
      <c r="Q395" s="26" t="e">
        <f t="shared" ca="1" si="3"/>
        <v>#NAME?</v>
      </c>
      <c r="R395" s="21" t="s">
        <v>3495</v>
      </c>
      <c r="S395" s="21" t="s">
        <v>3496</v>
      </c>
      <c r="T395" s="21">
        <v>8188762063</v>
      </c>
      <c r="U395" s="21" t="s">
        <v>3497</v>
      </c>
      <c r="V395" s="21" t="s">
        <v>127</v>
      </c>
      <c r="W395" s="21" t="s">
        <v>162</v>
      </c>
      <c r="X395" s="21" t="s">
        <v>3498</v>
      </c>
      <c r="Y395" s="21" t="s">
        <v>3212</v>
      </c>
      <c r="Z395" s="21" t="s">
        <v>127</v>
      </c>
      <c r="AA395" s="21" t="s">
        <v>3499</v>
      </c>
      <c r="AB395" s="21" t="s">
        <v>129</v>
      </c>
      <c r="AC395" s="21" t="s">
        <v>3500</v>
      </c>
      <c r="AD395" s="21" t="s">
        <v>132</v>
      </c>
      <c r="AE395" s="21" t="s">
        <v>332</v>
      </c>
      <c r="AF395" s="21" t="s">
        <v>135</v>
      </c>
      <c r="AG395" s="21" t="s">
        <v>135</v>
      </c>
      <c r="AH395" s="21" t="s">
        <v>135</v>
      </c>
      <c r="AI395" s="21" t="s">
        <v>135</v>
      </c>
    </row>
    <row r="396" spans="1:36" ht="15.75" customHeight="1" x14ac:dyDescent="0.3">
      <c r="A396" s="21">
        <v>2025</v>
      </c>
      <c r="B396" s="22">
        <v>46016.856446342594</v>
      </c>
      <c r="C396" s="21" t="s">
        <v>183</v>
      </c>
      <c r="D396" s="21" t="s">
        <v>183</v>
      </c>
      <c r="E396" s="21" t="s">
        <v>183</v>
      </c>
      <c r="F396" s="21" t="s">
        <v>183</v>
      </c>
      <c r="G396" s="21" t="s">
        <v>93</v>
      </c>
      <c r="H396" s="21" t="s">
        <v>3501</v>
      </c>
      <c r="I396" s="21" t="s">
        <v>3502</v>
      </c>
      <c r="J396" s="21" t="s">
        <v>1759</v>
      </c>
      <c r="K396" s="21" t="e">
        <f t="shared" ca="1" si="2"/>
        <v>#NAME?</v>
      </c>
      <c r="L396" s="24">
        <v>1972</v>
      </c>
      <c r="M396" s="21">
        <v>1999</v>
      </c>
      <c r="N396" s="21" t="s">
        <v>111</v>
      </c>
      <c r="O396" s="21" t="s">
        <v>112</v>
      </c>
      <c r="P396" s="26">
        <v>8374840399</v>
      </c>
      <c r="Q396" s="26" t="e">
        <f t="shared" ca="1" si="3"/>
        <v>#NAME?</v>
      </c>
      <c r="R396" s="21" t="s">
        <v>188</v>
      </c>
      <c r="S396" s="21" t="s">
        <v>3503</v>
      </c>
      <c r="T396" s="21" t="s">
        <v>3504</v>
      </c>
      <c r="U396" s="21" t="s">
        <v>3505</v>
      </c>
      <c r="V396" s="21" t="s">
        <v>3506</v>
      </c>
      <c r="W396" s="21" t="s">
        <v>488</v>
      </c>
      <c r="X396" s="21" t="s">
        <v>211</v>
      </c>
      <c r="Y396" s="21" t="s">
        <v>3507</v>
      </c>
      <c r="Z396" s="21" t="s">
        <v>284</v>
      </c>
      <c r="AA396" s="21" t="s">
        <v>3508</v>
      </c>
      <c r="AB396" s="21" t="s">
        <v>129</v>
      </c>
      <c r="AC396" s="21" t="s">
        <v>3509</v>
      </c>
      <c r="AD396" s="21" t="s">
        <v>287</v>
      </c>
      <c r="AE396" s="21" t="s">
        <v>133</v>
      </c>
      <c r="AF396" s="21" t="s">
        <v>135</v>
      </c>
      <c r="AG396" s="21" t="s">
        <v>135</v>
      </c>
      <c r="AH396" s="21" t="s">
        <v>135</v>
      </c>
      <c r="AI396" s="21" t="s">
        <v>135</v>
      </c>
      <c r="AJ396" s="21" t="s">
        <v>3510</v>
      </c>
    </row>
    <row r="397" spans="1:36" ht="15.75" customHeight="1" x14ac:dyDescent="0.3">
      <c r="A397" s="21">
        <v>2025</v>
      </c>
      <c r="B397" s="22">
        <v>46016.93250787037</v>
      </c>
      <c r="C397" s="21" t="s">
        <v>183</v>
      </c>
      <c r="D397" s="21" t="s">
        <v>183</v>
      </c>
      <c r="E397" s="21" t="s">
        <v>183</v>
      </c>
      <c r="F397" s="21" t="s">
        <v>183</v>
      </c>
      <c r="G397" s="21" t="s">
        <v>93</v>
      </c>
      <c r="H397" s="21" t="s">
        <v>3511</v>
      </c>
      <c r="I397" s="21" t="s">
        <v>3512</v>
      </c>
      <c r="J397" s="21" t="s">
        <v>1839</v>
      </c>
      <c r="K397" s="21" t="e">
        <f t="shared" ca="1" si="2"/>
        <v>#NAME?</v>
      </c>
      <c r="L397" s="24">
        <v>1972</v>
      </c>
      <c r="M397" s="21">
        <v>1999</v>
      </c>
      <c r="N397" s="21" t="s">
        <v>315</v>
      </c>
      <c r="O397" s="21" t="s">
        <v>316</v>
      </c>
      <c r="P397" s="26">
        <v>4798769136</v>
      </c>
      <c r="Q397" s="26" t="e">
        <f t="shared" ca="1" si="3"/>
        <v>#NAME?</v>
      </c>
      <c r="R397" s="21" t="s">
        <v>3513</v>
      </c>
      <c r="S397" s="21" t="s">
        <v>3514</v>
      </c>
      <c r="T397" s="21" t="s">
        <v>3514</v>
      </c>
      <c r="U397" s="21" t="s">
        <v>3515</v>
      </c>
      <c r="V397" s="21" t="s">
        <v>284</v>
      </c>
      <c r="W397" s="21" t="s">
        <v>706</v>
      </c>
      <c r="X397" s="21" t="s">
        <v>3516</v>
      </c>
      <c r="Y397" s="21" t="s">
        <v>3517</v>
      </c>
      <c r="Z397" s="21" t="s">
        <v>284</v>
      </c>
      <c r="AA397" s="21" t="s">
        <v>3518</v>
      </c>
      <c r="AB397" s="21" t="s">
        <v>129</v>
      </c>
      <c r="AC397" s="21" t="s">
        <v>3519</v>
      </c>
      <c r="AD397" s="21" t="s">
        <v>287</v>
      </c>
      <c r="AE397" s="21" t="s">
        <v>133</v>
      </c>
      <c r="AF397" s="21" t="s">
        <v>686</v>
      </c>
      <c r="AG397" s="21" t="s">
        <v>135</v>
      </c>
      <c r="AH397" s="21" t="s">
        <v>135</v>
      </c>
      <c r="AI397" s="21" t="s">
        <v>135</v>
      </c>
    </row>
    <row r="398" spans="1:36" ht="15.75" customHeight="1" x14ac:dyDescent="0.3">
      <c r="A398" s="21">
        <v>2025</v>
      </c>
      <c r="B398" s="22">
        <v>46017.523331516204</v>
      </c>
      <c r="C398" s="21" t="s">
        <v>183</v>
      </c>
      <c r="D398" s="21" t="s">
        <v>183</v>
      </c>
      <c r="E398" s="21" t="s">
        <v>183</v>
      </c>
      <c r="F398" s="21" t="s">
        <v>183</v>
      </c>
      <c r="G398" s="21" t="s">
        <v>93</v>
      </c>
      <c r="H398" s="21" t="s">
        <v>3520</v>
      </c>
      <c r="I398" s="21" t="s">
        <v>2044</v>
      </c>
      <c r="J398" s="21" t="s">
        <v>381</v>
      </c>
      <c r="K398" s="21" t="e">
        <f t="shared" ca="1" si="2"/>
        <v>#NAME?</v>
      </c>
      <c r="L398" s="24">
        <v>1973</v>
      </c>
      <c r="M398" s="21">
        <v>2000</v>
      </c>
      <c r="N398" s="21" t="s">
        <v>111</v>
      </c>
      <c r="O398" s="21" t="s">
        <v>112</v>
      </c>
      <c r="P398" s="26">
        <v>9160645566</v>
      </c>
      <c r="Q398" s="26" t="e">
        <f t="shared" ca="1" si="3"/>
        <v>#NAME?</v>
      </c>
      <c r="R398" s="21" t="s">
        <v>188</v>
      </c>
      <c r="S398" s="21" t="s">
        <v>3521</v>
      </c>
      <c r="T398" s="21">
        <v>9885888814</v>
      </c>
      <c r="U398" s="21" t="s">
        <v>1679</v>
      </c>
      <c r="V398" s="21" t="s">
        <v>284</v>
      </c>
      <c r="W398" s="21" t="s">
        <v>307</v>
      </c>
      <c r="X398" s="21" t="s">
        <v>352</v>
      </c>
      <c r="Y398" s="21" t="s">
        <v>1347</v>
      </c>
      <c r="Z398" s="21" t="s">
        <v>284</v>
      </c>
      <c r="AA398" s="21" t="s">
        <v>450</v>
      </c>
      <c r="AB398" s="21" t="s">
        <v>129</v>
      </c>
      <c r="AC398" s="21" t="s">
        <v>3522</v>
      </c>
      <c r="AD398" s="21" t="s">
        <v>132</v>
      </c>
      <c r="AE398" s="21" t="s">
        <v>133</v>
      </c>
      <c r="AF398" s="21" t="s">
        <v>135</v>
      </c>
      <c r="AG398" s="21" t="s">
        <v>135</v>
      </c>
      <c r="AH398" s="21" t="s">
        <v>135</v>
      </c>
      <c r="AI398" s="21" t="s">
        <v>135</v>
      </c>
      <c r="AJ398" s="21" t="s">
        <v>3523</v>
      </c>
    </row>
    <row r="399" spans="1:36" ht="15.75" customHeight="1" x14ac:dyDescent="0.3">
      <c r="A399" s="21">
        <v>2025</v>
      </c>
      <c r="B399" s="22">
        <v>46018.394692662041</v>
      </c>
      <c r="C399" s="21" t="s">
        <v>183</v>
      </c>
      <c r="D399" s="21" t="s">
        <v>183</v>
      </c>
      <c r="E399" s="21" t="s">
        <v>183</v>
      </c>
      <c r="F399" s="21" t="s">
        <v>183</v>
      </c>
      <c r="G399" s="21" t="s">
        <v>93</v>
      </c>
      <c r="H399" s="21" t="s">
        <v>3524</v>
      </c>
      <c r="I399" s="21" t="s">
        <v>2221</v>
      </c>
      <c r="J399" s="21" t="s">
        <v>3525</v>
      </c>
      <c r="K399" s="21" t="e">
        <f t="shared" ca="1" si="2"/>
        <v>#NAME?</v>
      </c>
      <c r="L399" s="24">
        <v>1976</v>
      </c>
      <c r="M399" s="21">
        <v>1995</v>
      </c>
      <c r="N399" s="21" t="s">
        <v>111</v>
      </c>
      <c r="O399" s="21" t="s">
        <v>112</v>
      </c>
      <c r="P399" s="26">
        <v>9886728575</v>
      </c>
      <c r="Q399" s="26" t="e">
        <f t="shared" ca="1" si="3"/>
        <v>#NAME?</v>
      </c>
      <c r="R399" s="21" t="s">
        <v>783</v>
      </c>
      <c r="S399" s="21" t="s">
        <v>3526</v>
      </c>
      <c r="T399" s="21">
        <v>8297184888</v>
      </c>
      <c r="U399" s="21" t="s">
        <v>3527</v>
      </c>
      <c r="V399" s="21" t="s">
        <v>127</v>
      </c>
      <c r="W399" s="21" t="s">
        <v>219</v>
      </c>
      <c r="X399" s="21" t="s">
        <v>3528</v>
      </c>
      <c r="Y399" s="21" t="s">
        <v>3529</v>
      </c>
      <c r="Z399" s="21" t="s">
        <v>127</v>
      </c>
      <c r="AA399" s="21" t="s">
        <v>608</v>
      </c>
      <c r="AB399" s="21" t="s">
        <v>129</v>
      </c>
      <c r="AC399" s="21" t="s">
        <v>3530</v>
      </c>
      <c r="AD399" s="21" t="s">
        <v>132</v>
      </c>
      <c r="AE399" s="21" t="s">
        <v>133</v>
      </c>
      <c r="AF399" s="21" t="s">
        <v>135</v>
      </c>
      <c r="AG399" s="21" t="s">
        <v>135</v>
      </c>
      <c r="AH399" s="21" t="s">
        <v>135</v>
      </c>
      <c r="AI399" s="21" t="s">
        <v>135</v>
      </c>
      <c r="AJ399" s="21" t="s">
        <v>3531</v>
      </c>
    </row>
    <row r="400" spans="1:36" ht="15.75" customHeight="1" x14ac:dyDescent="0.3">
      <c r="A400" s="21">
        <v>2025</v>
      </c>
      <c r="B400" s="22">
        <v>46019.108764085649</v>
      </c>
      <c r="C400" s="21" t="s">
        <v>183</v>
      </c>
      <c r="D400" s="21" t="s">
        <v>183</v>
      </c>
      <c r="E400" s="21" t="s">
        <v>183</v>
      </c>
      <c r="F400" s="21" t="s">
        <v>183</v>
      </c>
      <c r="G400" s="21" t="s">
        <v>93</v>
      </c>
      <c r="H400" s="21" t="s">
        <v>3532</v>
      </c>
      <c r="I400" s="21" t="s">
        <v>2254</v>
      </c>
      <c r="J400" s="21" t="s">
        <v>3533</v>
      </c>
      <c r="K400" s="21" t="e">
        <f t="shared" ca="1" si="2"/>
        <v>#NAME?</v>
      </c>
      <c r="L400" s="24">
        <v>1960</v>
      </c>
      <c r="M400" s="21">
        <v>1989</v>
      </c>
      <c r="N400" s="21" t="s">
        <v>111</v>
      </c>
      <c r="O400" s="21" t="s">
        <v>112</v>
      </c>
      <c r="P400" s="26">
        <v>8885442951</v>
      </c>
      <c r="Q400" s="26" t="e">
        <f t="shared" ca="1" si="3"/>
        <v>#NAME?</v>
      </c>
      <c r="R400" s="21" t="s">
        <v>118</v>
      </c>
      <c r="S400" s="21" t="s">
        <v>3534</v>
      </c>
      <c r="T400" s="21">
        <v>9133779696</v>
      </c>
      <c r="U400" s="21" t="s">
        <v>3535</v>
      </c>
      <c r="V400" s="21" t="s">
        <v>284</v>
      </c>
      <c r="W400" s="21" t="s">
        <v>219</v>
      </c>
      <c r="X400" s="21" t="s">
        <v>3536</v>
      </c>
      <c r="Y400" s="21" t="s">
        <v>3537</v>
      </c>
      <c r="Z400" s="21" t="s">
        <v>284</v>
      </c>
      <c r="AA400" s="21" t="s">
        <v>3538</v>
      </c>
      <c r="AB400" s="21" t="s">
        <v>129</v>
      </c>
      <c r="AC400" s="21" t="s">
        <v>3539</v>
      </c>
      <c r="AD400" s="21" t="s">
        <v>132</v>
      </c>
      <c r="AE400" s="21" t="s">
        <v>133</v>
      </c>
      <c r="AF400" s="21" t="s">
        <v>135</v>
      </c>
      <c r="AG400" s="21" t="s">
        <v>135</v>
      </c>
      <c r="AH400" s="21" t="s">
        <v>135</v>
      </c>
      <c r="AI400" s="21" t="s">
        <v>135</v>
      </c>
      <c r="AJ400" s="21" t="s">
        <v>3540</v>
      </c>
    </row>
    <row r="401" spans="1:36" ht="15.75" customHeight="1" x14ac:dyDescent="0.3">
      <c r="A401" s="21">
        <v>2025</v>
      </c>
      <c r="B401" s="22">
        <v>46020.224322916663</v>
      </c>
      <c r="C401" s="21" t="s">
        <v>183</v>
      </c>
      <c r="D401" s="21" t="s">
        <v>183</v>
      </c>
      <c r="E401" s="21" t="s">
        <v>183</v>
      </c>
      <c r="F401" s="21" t="s">
        <v>183</v>
      </c>
      <c r="G401" s="21" t="s">
        <v>93</v>
      </c>
      <c r="H401" s="21" t="s">
        <v>3541</v>
      </c>
      <c r="I401" s="21" t="s">
        <v>3542</v>
      </c>
      <c r="J401" s="21" t="s">
        <v>3543</v>
      </c>
      <c r="K401" s="21" t="e">
        <f t="shared" ca="1" si="2"/>
        <v>#NAME?</v>
      </c>
      <c r="L401" s="24">
        <v>1978</v>
      </c>
      <c r="M401" s="21">
        <v>2007</v>
      </c>
      <c r="N401" s="21" t="s">
        <v>111</v>
      </c>
      <c r="O401" s="21" t="s">
        <v>112</v>
      </c>
      <c r="P401" s="26">
        <v>7382195576</v>
      </c>
      <c r="Q401" s="26" t="e">
        <f t="shared" ca="1" si="3"/>
        <v>#NAME?</v>
      </c>
      <c r="R401" s="21" t="s">
        <v>118</v>
      </c>
      <c r="S401" s="21" t="s">
        <v>3545</v>
      </c>
      <c r="T401" s="21">
        <v>9866530443</v>
      </c>
      <c r="U401" s="21" t="s">
        <v>3547</v>
      </c>
      <c r="V401" s="21" t="s">
        <v>296</v>
      </c>
      <c r="W401" s="21" t="s">
        <v>319</v>
      </c>
      <c r="X401" s="21" t="s">
        <v>3548</v>
      </c>
      <c r="Y401" s="21" t="s">
        <v>3549</v>
      </c>
      <c r="Z401" s="21" t="s">
        <v>296</v>
      </c>
      <c r="AA401" s="21" t="s">
        <v>3550</v>
      </c>
      <c r="AB401" s="21" t="s">
        <v>129</v>
      </c>
      <c r="AC401" s="21" t="s">
        <v>1804</v>
      </c>
      <c r="AD401" s="21" t="s">
        <v>287</v>
      </c>
      <c r="AE401" s="21" t="s">
        <v>133</v>
      </c>
      <c r="AF401" s="21" t="s">
        <v>135</v>
      </c>
      <c r="AG401" s="21" t="s">
        <v>135</v>
      </c>
      <c r="AH401" s="21" t="s">
        <v>135</v>
      </c>
      <c r="AI401" s="21" t="s">
        <v>135</v>
      </c>
    </row>
    <row r="402" spans="1:36" ht="15.75" customHeight="1" x14ac:dyDescent="0.3">
      <c r="A402" s="21">
        <v>2025</v>
      </c>
      <c r="B402" s="22">
        <v>46020.782745439814</v>
      </c>
      <c r="C402" s="21" t="s">
        <v>183</v>
      </c>
      <c r="D402" s="21" t="s">
        <v>183</v>
      </c>
      <c r="E402" s="21" t="s">
        <v>183</v>
      </c>
      <c r="F402" s="21" t="s">
        <v>183</v>
      </c>
      <c r="G402" s="21" t="s">
        <v>93</v>
      </c>
      <c r="H402" s="21" t="s">
        <v>3551</v>
      </c>
      <c r="I402" s="21" t="s">
        <v>3552</v>
      </c>
      <c r="J402" s="21" t="s">
        <v>3553</v>
      </c>
      <c r="K402" s="21" t="e">
        <f t="shared" ca="1" si="2"/>
        <v>#NAME?</v>
      </c>
      <c r="L402" s="24">
        <v>1965</v>
      </c>
      <c r="M402" s="21">
        <v>1994</v>
      </c>
      <c r="N402" s="21" t="s">
        <v>260</v>
      </c>
      <c r="O402" s="21" t="s">
        <v>261</v>
      </c>
      <c r="P402" s="26">
        <v>426454285</v>
      </c>
      <c r="Q402" s="26" t="e">
        <f t="shared" ca="1" si="3"/>
        <v>#NAME?</v>
      </c>
      <c r="R402" s="21" t="s">
        <v>3554</v>
      </c>
      <c r="S402" s="21" t="s">
        <v>3555</v>
      </c>
      <c r="T402" s="21" t="s">
        <v>3556</v>
      </c>
      <c r="U402" s="21" t="s">
        <v>3557</v>
      </c>
      <c r="V402" s="21" t="s">
        <v>127</v>
      </c>
      <c r="W402" s="21" t="s">
        <v>123</v>
      </c>
      <c r="X402" s="21" t="s">
        <v>3558</v>
      </c>
      <c r="Y402" s="21" t="s">
        <v>211</v>
      </c>
      <c r="Z402" s="21" t="s">
        <v>127</v>
      </c>
      <c r="AA402" s="21" t="s">
        <v>3559</v>
      </c>
      <c r="AB402" s="21" t="s">
        <v>363</v>
      </c>
      <c r="AC402" s="21" t="s">
        <v>3560</v>
      </c>
      <c r="AD402" s="21" t="s">
        <v>132</v>
      </c>
      <c r="AE402" s="21" t="s">
        <v>365</v>
      </c>
      <c r="AF402" s="21" t="s">
        <v>135</v>
      </c>
      <c r="AG402" s="21" t="s">
        <v>135</v>
      </c>
      <c r="AH402" s="21" t="s">
        <v>135</v>
      </c>
      <c r="AI402" s="21" t="s">
        <v>135</v>
      </c>
    </row>
    <row r="403" spans="1:36" ht="15.75" customHeight="1" x14ac:dyDescent="0.3">
      <c r="A403" s="21">
        <v>2025</v>
      </c>
      <c r="B403" s="22">
        <v>46021.402617835643</v>
      </c>
      <c r="C403" s="21" t="s">
        <v>183</v>
      </c>
      <c r="D403" s="21" t="s">
        <v>183</v>
      </c>
      <c r="E403" s="21" t="s">
        <v>183</v>
      </c>
      <c r="F403" s="21" t="s">
        <v>183</v>
      </c>
      <c r="G403" s="21" t="s">
        <v>93</v>
      </c>
      <c r="H403" s="21" t="s">
        <v>3561</v>
      </c>
      <c r="I403" s="21" t="s">
        <v>3562</v>
      </c>
      <c r="J403" s="21" t="s">
        <v>3563</v>
      </c>
      <c r="K403" s="21" t="e">
        <f t="shared" ca="1" si="2"/>
        <v>#NAME?</v>
      </c>
      <c r="L403" s="24">
        <v>1993</v>
      </c>
      <c r="M403" s="21">
        <v>2019</v>
      </c>
      <c r="N403" s="21" t="s">
        <v>315</v>
      </c>
      <c r="O403" s="21" t="s">
        <v>316</v>
      </c>
      <c r="P403" s="26">
        <v>8479978540</v>
      </c>
      <c r="Q403" s="26" t="e">
        <f t="shared" ca="1" si="3"/>
        <v>#NAME?</v>
      </c>
      <c r="R403" s="21" t="s">
        <v>3564</v>
      </c>
      <c r="S403" s="21" t="s">
        <v>3565</v>
      </c>
      <c r="T403" s="21">
        <v>8474945060</v>
      </c>
      <c r="U403" s="21" t="s">
        <v>3566</v>
      </c>
      <c r="V403" s="21" t="s">
        <v>127</v>
      </c>
      <c r="W403" s="21" t="s">
        <v>307</v>
      </c>
      <c r="X403" s="21" t="s">
        <v>308</v>
      </c>
      <c r="Y403" s="21" t="s">
        <v>308</v>
      </c>
      <c r="Z403" s="21" t="s">
        <v>127</v>
      </c>
      <c r="AA403" s="21" t="s">
        <v>450</v>
      </c>
      <c r="AB403" s="21" t="s">
        <v>363</v>
      </c>
      <c r="AC403" s="21" t="s">
        <v>3567</v>
      </c>
      <c r="AD403" s="21" t="s">
        <v>132</v>
      </c>
      <c r="AE403" s="21" t="s">
        <v>365</v>
      </c>
      <c r="AF403" s="21" t="s">
        <v>135</v>
      </c>
      <c r="AG403" s="21" t="s">
        <v>135</v>
      </c>
      <c r="AH403" s="21" t="s">
        <v>135</v>
      </c>
      <c r="AI403" s="21" t="s">
        <v>135</v>
      </c>
      <c r="AJ403" s="21" t="s">
        <v>3568</v>
      </c>
    </row>
    <row r="404" spans="1:36" ht="15.75" customHeight="1" x14ac:dyDescent="0.3">
      <c r="A404" s="21">
        <v>2025</v>
      </c>
      <c r="B404" s="22">
        <v>46021.8163025463</v>
      </c>
      <c r="C404" s="21" t="s">
        <v>183</v>
      </c>
      <c r="D404" s="21" t="s">
        <v>183</v>
      </c>
      <c r="E404" s="21" t="s">
        <v>183</v>
      </c>
      <c r="F404" s="21" t="s">
        <v>183</v>
      </c>
      <c r="G404" s="21" t="s">
        <v>93</v>
      </c>
      <c r="H404" s="21" t="s">
        <v>3569</v>
      </c>
      <c r="I404" s="21" t="s">
        <v>3570</v>
      </c>
      <c r="J404" s="21" t="s">
        <v>3571</v>
      </c>
      <c r="K404" s="21" t="e">
        <f t="shared" ca="1" si="2"/>
        <v>#NAME?</v>
      </c>
      <c r="L404" s="24">
        <v>1987</v>
      </c>
      <c r="M404" s="21">
        <v>1999</v>
      </c>
      <c r="N404" s="21" t="s">
        <v>474</v>
      </c>
      <c r="O404" s="21" t="s">
        <v>316</v>
      </c>
      <c r="P404" s="26">
        <v>6025827105</v>
      </c>
      <c r="Q404" s="26" t="e">
        <f t="shared" ca="1" si="3"/>
        <v>#NAME?</v>
      </c>
      <c r="R404" s="21" t="s">
        <v>1266</v>
      </c>
      <c r="S404" s="21" t="s">
        <v>3572</v>
      </c>
      <c r="T404" s="21" t="s">
        <v>3573</v>
      </c>
      <c r="U404" s="21" t="s">
        <v>3574</v>
      </c>
      <c r="V404" s="21" t="s">
        <v>296</v>
      </c>
      <c r="W404" s="21" t="s">
        <v>219</v>
      </c>
      <c r="X404" s="21" t="s">
        <v>211</v>
      </c>
      <c r="Y404" s="21" t="s">
        <v>211</v>
      </c>
      <c r="Z404" s="21" t="s">
        <v>296</v>
      </c>
      <c r="AA404" s="21" t="s">
        <v>285</v>
      </c>
      <c r="AB404" s="21" t="s">
        <v>363</v>
      </c>
      <c r="AC404" s="21" t="s">
        <v>3575</v>
      </c>
      <c r="AD404" s="21" t="s">
        <v>169</v>
      </c>
      <c r="AE404" s="21" t="s">
        <v>365</v>
      </c>
      <c r="AF404" s="21" t="s">
        <v>135</v>
      </c>
      <c r="AG404" s="21" t="s">
        <v>135</v>
      </c>
      <c r="AH404" s="21" t="s">
        <v>135</v>
      </c>
      <c r="AI404" s="21" t="s">
        <v>135</v>
      </c>
    </row>
    <row r="405" spans="1:36" ht="15.75" customHeight="1" x14ac:dyDescent="0.3">
      <c r="A405" s="21">
        <v>2025</v>
      </c>
      <c r="B405" s="22">
        <v>46021.885203483791</v>
      </c>
      <c r="C405" s="21" t="s">
        <v>183</v>
      </c>
      <c r="D405" s="21" t="s">
        <v>183</v>
      </c>
      <c r="E405" s="21" t="s">
        <v>183</v>
      </c>
      <c r="F405" s="21" t="s">
        <v>183</v>
      </c>
      <c r="G405" s="21" t="s">
        <v>93</v>
      </c>
      <c r="H405" s="21" t="s">
        <v>3576</v>
      </c>
      <c r="I405" s="21" t="s">
        <v>3577</v>
      </c>
      <c r="J405" s="21" t="s">
        <v>3578</v>
      </c>
      <c r="K405" s="21" t="e">
        <f t="shared" ca="1" si="2"/>
        <v>#NAME?</v>
      </c>
      <c r="L405" s="24">
        <v>1983</v>
      </c>
      <c r="M405" s="21">
        <v>2014</v>
      </c>
      <c r="N405" s="21" t="s">
        <v>315</v>
      </c>
      <c r="O405" s="21" t="s">
        <v>316</v>
      </c>
      <c r="P405" s="26">
        <v>6179434262</v>
      </c>
      <c r="Q405" s="26" t="e">
        <f t="shared" ca="1" si="3"/>
        <v>#NAME?</v>
      </c>
      <c r="R405" s="21" t="s">
        <v>3579</v>
      </c>
      <c r="S405" s="21" t="s">
        <v>3580</v>
      </c>
      <c r="T405" s="21" t="s">
        <v>3210</v>
      </c>
      <c r="U405" s="21" t="s">
        <v>3581</v>
      </c>
      <c r="V405" s="21" t="s">
        <v>127</v>
      </c>
      <c r="W405" s="21" t="s">
        <v>3582</v>
      </c>
      <c r="X405" s="21" t="s">
        <v>3583</v>
      </c>
      <c r="Y405" s="21" t="s">
        <v>2195</v>
      </c>
      <c r="Z405" s="21" t="s">
        <v>127</v>
      </c>
      <c r="AA405" s="21" t="s">
        <v>608</v>
      </c>
      <c r="AB405" s="21" t="s">
        <v>363</v>
      </c>
      <c r="AC405" s="21" t="s">
        <v>3584</v>
      </c>
      <c r="AD405" s="21" t="s">
        <v>287</v>
      </c>
      <c r="AE405" s="21" t="s">
        <v>365</v>
      </c>
      <c r="AF405" s="21" t="s">
        <v>135</v>
      </c>
      <c r="AG405" s="21" t="s">
        <v>135</v>
      </c>
      <c r="AH405" s="21" t="s">
        <v>135</v>
      </c>
      <c r="AI405" s="21" t="s">
        <v>135</v>
      </c>
    </row>
    <row r="406" spans="1:36" ht="15.75" customHeight="1" x14ac:dyDescent="0.3">
      <c r="A406" s="21">
        <v>2025</v>
      </c>
      <c r="B406" s="22">
        <v>46022.230411168981</v>
      </c>
      <c r="C406" s="21" t="s">
        <v>183</v>
      </c>
      <c r="D406" s="21" t="s">
        <v>183</v>
      </c>
      <c r="E406" s="21" t="s">
        <v>183</v>
      </c>
      <c r="F406" s="21" t="s">
        <v>183</v>
      </c>
      <c r="G406" s="21" t="s">
        <v>93</v>
      </c>
      <c r="H406" s="21" t="s">
        <v>3585</v>
      </c>
      <c r="I406" s="21" t="s">
        <v>1282</v>
      </c>
      <c r="J406" s="21" t="s">
        <v>3586</v>
      </c>
      <c r="K406" s="21" t="e">
        <f t="shared" ca="1" si="2"/>
        <v>#NAME?</v>
      </c>
      <c r="L406" s="24">
        <v>1981</v>
      </c>
      <c r="M406" s="21">
        <v>2008</v>
      </c>
      <c r="N406" s="21" t="s">
        <v>260</v>
      </c>
      <c r="O406" s="21" t="s">
        <v>261</v>
      </c>
      <c r="P406" s="26">
        <v>431228074</v>
      </c>
      <c r="Q406" s="26" t="e">
        <f t="shared" ca="1" si="3"/>
        <v>#NAME?</v>
      </c>
      <c r="R406" s="21" t="s">
        <v>3587</v>
      </c>
      <c r="S406" s="21" t="s">
        <v>3588</v>
      </c>
      <c r="T406" s="21" t="s">
        <v>3589</v>
      </c>
      <c r="U406" s="21" t="s">
        <v>3590</v>
      </c>
      <c r="V406" s="21" t="s">
        <v>127</v>
      </c>
      <c r="W406" s="21" t="s">
        <v>307</v>
      </c>
      <c r="X406" s="21" t="s">
        <v>352</v>
      </c>
      <c r="Y406" s="21" t="s">
        <v>2172</v>
      </c>
      <c r="Z406" s="21" t="s">
        <v>127</v>
      </c>
      <c r="AA406" s="21" t="s">
        <v>1707</v>
      </c>
      <c r="AB406" s="21" t="s">
        <v>3591</v>
      </c>
      <c r="AC406" s="21" t="s">
        <v>3592</v>
      </c>
      <c r="AD406" s="21" t="s">
        <v>132</v>
      </c>
      <c r="AE406" s="21" t="s">
        <v>365</v>
      </c>
      <c r="AF406" s="21" t="s">
        <v>135</v>
      </c>
      <c r="AG406" s="21" t="s">
        <v>135</v>
      </c>
      <c r="AH406" s="21" t="s">
        <v>135</v>
      </c>
      <c r="AI406" s="21" t="s">
        <v>135</v>
      </c>
    </row>
    <row r="407" spans="1:36" ht="15.75" customHeight="1" x14ac:dyDescent="0.3">
      <c r="A407" s="21">
        <v>2025</v>
      </c>
      <c r="B407" s="22">
        <v>46022.232358738431</v>
      </c>
      <c r="C407" s="21" t="s">
        <v>183</v>
      </c>
      <c r="D407" s="21" t="s">
        <v>183</v>
      </c>
      <c r="E407" s="21" t="s">
        <v>183</v>
      </c>
      <c r="F407" s="21" t="s">
        <v>183</v>
      </c>
      <c r="G407" s="21" t="s">
        <v>256</v>
      </c>
      <c r="H407" s="21" t="s">
        <v>3585</v>
      </c>
      <c r="I407" s="21" t="s">
        <v>1282</v>
      </c>
      <c r="J407" s="21" t="s">
        <v>1776</v>
      </c>
      <c r="K407" s="21" t="e">
        <f t="shared" ca="1" si="2"/>
        <v>#NAME?</v>
      </c>
      <c r="L407" s="24">
        <v>2015</v>
      </c>
      <c r="M407" s="21">
        <v>2022</v>
      </c>
      <c r="N407" s="21" t="s">
        <v>260</v>
      </c>
      <c r="O407" s="21" t="s">
        <v>261</v>
      </c>
      <c r="P407" s="26">
        <v>431228074</v>
      </c>
      <c r="Q407" s="26" t="e">
        <f t="shared" ca="1" si="3"/>
        <v>#NAME?</v>
      </c>
      <c r="R407" s="21" t="s">
        <v>3587</v>
      </c>
      <c r="S407" s="21" t="s">
        <v>3593</v>
      </c>
      <c r="T407" s="21" t="s">
        <v>3594</v>
      </c>
      <c r="U407" s="21" t="s">
        <v>127</v>
      </c>
      <c r="V407" s="21" t="s">
        <v>3595</v>
      </c>
      <c r="W407" s="21" t="s">
        <v>307</v>
      </c>
      <c r="X407" s="21" t="s">
        <v>308</v>
      </c>
      <c r="Y407" s="21" t="s">
        <v>406</v>
      </c>
      <c r="Z407" s="21" t="s">
        <v>3596</v>
      </c>
      <c r="AA407" s="21" t="s">
        <v>396</v>
      </c>
      <c r="AB407" s="21" t="s">
        <v>3591</v>
      </c>
      <c r="AC407" s="21" t="s">
        <v>3597</v>
      </c>
      <c r="AD407" s="21" t="s">
        <v>287</v>
      </c>
      <c r="AE407" s="21" t="s">
        <v>365</v>
      </c>
      <c r="AF407" s="21" t="s">
        <v>135</v>
      </c>
      <c r="AG407" s="21" t="s">
        <v>135</v>
      </c>
      <c r="AH407" s="21" t="s">
        <v>135</v>
      </c>
      <c r="AI407" s="21" t="s">
        <v>135</v>
      </c>
    </row>
    <row r="408" spans="1:36" ht="15.75" customHeight="1" x14ac:dyDescent="0.3">
      <c r="A408" s="21">
        <v>2025</v>
      </c>
      <c r="B408" s="22">
        <v>46022.281899282403</v>
      </c>
      <c r="C408" s="21" t="s">
        <v>183</v>
      </c>
      <c r="D408" s="21" t="s">
        <v>183</v>
      </c>
      <c r="E408" s="21" t="s">
        <v>183</v>
      </c>
      <c r="F408" s="21" t="s">
        <v>183</v>
      </c>
      <c r="G408" s="21" t="s">
        <v>93</v>
      </c>
      <c r="H408" s="21" t="s">
        <v>3598</v>
      </c>
      <c r="I408" s="21" t="s">
        <v>1189</v>
      </c>
      <c r="J408" s="21" t="s">
        <v>3599</v>
      </c>
      <c r="K408" s="21" t="e">
        <f t="shared" ca="1" si="2"/>
        <v>#NAME?</v>
      </c>
      <c r="L408" s="24">
        <v>1990</v>
      </c>
      <c r="M408" s="21">
        <v>2008</v>
      </c>
      <c r="N408" s="21" t="s">
        <v>260</v>
      </c>
      <c r="O408" s="21" t="s">
        <v>3600</v>
      </c>
      <c r="P408" s="26">
        <v>618891686</v>
      </c>
      <c r="Q408" s="26" t="e">
        <f t="shared" ca="1" si="3"/>
        <v>#NAME?</v>
      </c>
      <c r="R408" s="21" t="s">
        <v>3601</v>
      </c>
      <c r="S408" s="21" t="s">
        <v>3602</v>
      </c>
      <c r="T408" s="21" t="s">
        <v>3603</v>
      </c>
      <c r="U408" s="21" t="s">
        <v>3604</v>
      </c>
      <c r="V408" s="21" t="s">
        <v>127</v>
      </c>
      <c r="W408" s="21" t="s">
        <v>219</v>
      </c>
      <c r="X408" s="21" t="s">
        <v>179</v>
      </c>
      <c r="Y408" s="21" t="s">
        <v>179</v>
      </c>
      <c r="Z408" s="21" t="s">
        <v>582</v>
      </c>
      <c r="AA408" s="21" t="s">
        <v>450</v>
      </c>
      <c r="AB408" s="21" t="s">
        <v>3591</v>
      </c>
      <c r="AC408" s="21" t="s">
        <v>3605</v>
      </c>
      <c r="AD408" s="21" t="s">
        <v>132</v>
      </c>
      <c r="AE408" s="21" t="s">
        <v>365</v>
      </c>
      <c r="AF408" s="21" t="s">
        <v>686</v>
      </c>
      <c r="AG408" s="21" t="s">
        <v>135</v>
      </c>
      <c r="AH408" s="21" t="s">
        <v>135</v>
      </c>
      <c r="AI408" s="21" t="s">
        <v>135</v>
      </c>
    </row>
    <row r="409" spans="1:36" ht="15.75" customHeight="1" x14ac:dyDescent="0.3">
      <c r="A409" s="21">
        <v>2025</v>
      </c>
      <c r="B409" s="22">
        <v>46022.298695520833</v>
      </c>
      <c r="C409" s="21" t="s">
        <v>183</v>
      </c>
      <c r="D409" s="21" t="s">
        <v>183</v>
      </c>
      <c r="E409" s="21" t="s">
        <v>183</v>
      </c>
      <c r="F409" s="21" t="s">
        <v>183</v>
      </c>
      <c r="G409" s="21" t="s">
        <v>93</v>
      </c>
      <c r="H409" s="21" t="s">
        <v>3606</v>
      </c>
      <c r="I409" s="21" t="s">
        <v>281</v>
      </c>
      <c r="J409" s="21" t="s">
        <v>3607</v>
      </c>
      <c r="K409" s="21" t="e">
        <f t="shared" ca="1" si="2"/>
        <v>#NAME?</v>
      </c>
      <c r="L409" s="24">
        <v>1988</v>
      </c>
      <c r="M409" s="21">
        <v>2014</v>
      </c>
      <c r="N409" s="21" t="s">
        <v>111</v>
      </c>
      <c r="O409" s="21" t="s">
        <v>112</v>
      </c>
      <c r="P409" s="26">
        <v>8600100865</v>
      </c>
      <c r="Q409" s="26" t="e">
        <f t="shared" ca="1" si="3"/>
        <v>#NAME?</v>
      </c>
      <c r="R409" s="21" t="s">
        <v>118</v>
      </c>
      <c r="S409" s="21" t="s">
        <v>3608</v>
      </c>
      <c r="T409" s="21">
        <v>9290103468</v>
      </c>
      <c r="U409" s="21" t="s">
        <v>127</v>
      </c>
      <c r="V409" s="21" t="s">
        <v>3609</v>
      </c>
      <c r="W409" s="21" t="s">
        <v>3610</v>
      </c>
      <c r="X409" s="21" t="s">
        <v>3611</v>
      </c>
      <c r="Y409" s="21" t="s">
        <v>3611</v>
      </c>
      <c r="Z409" s="21" t="s">
        <v>127</v>
      </c>
      <c r="AA409" s="21" t="s">
        <v>3612</v>
      </c>
      <c r="AB409" s="21" t="s">
        <v>363</v>
      </c>
      <c r="AC409" s="21" t="s">
        <v>3613</v>
      </c>
      <c r="AD409" s="21" t="s">
        <v>287</v>
      </c>
      <c r="AE409" s="21" t="s">
        <v>365</v>
      </c>
      <c r="AF409" s="21" t="s">
        <v>135</v>
      </c>
      <c r="AG409" s="21" t="s">
        <v>135</v>
      </c>
      <c r="AH409" s="21" t="s">
        <v>135</v>
      </c>
      <c r="AI409" s="21" t="s">
        <v>135</v>
      </c>
      <c r="AJ409" s="21" t="s">
        <v>3614</v>
      </c>
    </row>
    <row r="410" spans="1:36" ht="15.75" customHeight="1" x14ac:dyDescent="0.3">
      <c r="A410" s="21">
        <v>2025</v>
      </c>
      <c r="B410" s="22">
        <v>46022.397016851857</v>
      </c>
      <c r="C410" s="21" t="s">
        <v>183</v>
      </c>
      <c r="D410" s="21" t="s">
        <v>183</v>
      </c>
      <c r="E410" s="21" t="s">
        <v>183</v>
      </c>
      <c r="F410" s="21" t="s">
        <v>183</v>
      </c>
      <c r="G410" s="21" t="s">
        <v>93</v>
      </c>
      <c r="H410" s="21" t="s">
        <v>3615</v>
      </c>
      <c r="I410" s="21" t="s">
        <v>3616</v>
      </c>
      <c r="J410" s="21" t="s">
        <v>3617</v>
      </c>
      <c r="K410" s="21" t="e">
        <f t="shared" ca="1" si="2"/>
        <v>#NAME?</v>
      </c>
      <c r="L410" s="24">
        <v>1982</v>
      </c>
      <c r="M410" s="21">
        <v>2004</v>
      </c>
      <c r="N410" s="21" t="s">
        <v>315</v>
      </c>
      <c r="O410" s="21" t="s">
        <v>316</v>
      </c>
      <c r="P410" s="26">
        <v>8594209421</v>
      </c>
      <c r="Q410" s="26" t="e">
        <f t="shared" ca="1" si="3"/>
        <v>#NAME?</v>
      </c>
      <c r="R410" s="21" t="s">
        <v>1297</v>
      </c>
      <c r="S410" s="21" t="s">
        <v>3580</v>
      </c>
      <c r="T410" s="21" t="s">
        <v>3619</v>
      </c>
      <c r="U410" s="21" t="s">
        <v>3620</v>
      </c>
      <c r="V410" s="21" t="s">
        <v>127</v>
      </c>
      <c r="W410" s="21" t="s">
        <v>319</v>
      </c>
      <c r="X410" s="21" t="s">
        <v>352</v>
      </c>
      <c r="Y410" s="21" t="s">
        <v>352</v>
      </c>
      <c r="Z410" s="21" t="s">
        <v>127</v>
      </c>
      <c r="AA410" s="21" t="s">
        <v>3621</v>
      </c>
      <c r="AB410" s="21" t="s">
        <v>363</v>
      </c>
      <c r="AC410" s="21" t="s">
        <v>3622</v>
      </c>
      <c r="AD410" s="21" t="s">
        <v>287</v>
      </c>
      <c r="AE410" s="21" t="s">
        <v>365</v>
      </c>
      <c r="AF410" s="21" t="s">
        <v>686</v>
      </c>
      <c r="AG410" s="21" t="s">
        <v>135</v>
      </c>
      <c r="AH410" s="21" t="s">
        <v>135</v>
      </c>
      <c r="AI410" s="21" t="s">
        <v>135</v>
      </c>
    </row>
    <row r="411" spans="1:36" ht="15.75" customHeight="1" x14ac:dyDescent="0.3">
      <c r="A411" s="21">
        <v>2025</v>
      </c>
      <c r="B411" s="22">
        <v>46022.408931550926</v>
      </c>
      <c r="C411" s="21" t="s">
        <v>183</v>
      </c>
      <c r="D411" s="21" t="s">
        <v>183</v>
      </c>
      <c r="E411" s="21" t="s">
        <v>183</v>
      </c>
      <c r="F411" s="21" t="s">
        <v>183</v>
      </c>
      <c r="G411" s="21" t="s">
        <v>93</v>
      </c>
      <c r="H411" s="21" t="s">
        <v>3623</v>
      </c>
      <c r="I411" s="21" t="s">
        <v>3624</v>
      </c>
      <c r="J411" s="21" t="s">
        <v>3625</v>
      </c>
      <c r="K411" s="21" t="e">
        <f t="shared" ca="1" si="2"/>
        <v>#NAME?</v>
      </c>
      <c r="L411" s="24">
        <v>1968</v>
      </c>
      <c r="M411" s="21">
        <v>1994</v>
      </c>
      <c r="N411" s="21" t="s">
        <v>111</v>
      </c>
      <c r="O411" s="21" t="s">
        <v>112</v>
      </c>
      <c r="P411" s="26">
        <v>5103666736</v>
      </c>
      <c r="Q411" s="26" t="e">
        <f t="shared" ca="1" si="3"/>
        <v>#NAME?</v>
      </c>
      <c r="R411" s="21" t="s">
        <v>3626</v>
      </c>
      <c r="S411" s="21" t="s">
        <v>1593</v>
      </c>
      <c r="T411" s="21" t="s">
        <v>3627</v>
      </c>
      <c r="U411" s="21" t="s">
        <v>3628</v>
      </c>
      <c r="V411" s="21" t="s">
        <v>127</v>
      </c>
      <c r="W411" s="21" t="s">
        <v>266</v>
      </c>
      <c r="X411" s="21" t="s">
        <v>352</v>
      </c>
      <c r="Y411" s="21" t="s">
        <v>352</v>
      </c>
      <c r="Z411" s="21" t="s">
        <v>127</v>
      </c>
      <c r="AA411" s="21" t="s">
        <v>386</v>
      </c>
      <c r="AB411" s="21" t="s">
        <v>363</v>
      </c>
      <c r="AC411" s="21" t="s">
        <v>3629</v>
      </c>
      <c r="AD411" s="21" t="s">
        <v>169</v>
      </c>
      <c r="AE411" s="21" t="s">
        <v>365</v>
      </c>
      <c r="AF411" s="21" t="s">
        <v>135</v>
      </c>
      <c r="AG411" s="21" t="s">
        <v>135</v>
      </c>
      <c r="AH411" s="21" t="s">
        <v>135</v>
      </c>
      <c r="AI411" s="21" t="s">
        <v>135</v>
      </c>
      <c r="AJ411" s="21" t="s">
        <v>3630</v>
      </c>
    </row>
    <row r="412" spans="1:36" ht="15.75" customHeight="1" x14ac:dyDescent="0.3">
      <c r="A412" s="21">
        <v>2025</v>
      </c>
      <c r="B412" s="22">
        <v>46022.581965949073</v>
      </c>
      <c r="C412" s="21" t="s">
        <v>183</v>
      </c>
      <c r="D412" s="21" t="s">
        <v>183</v>
      </c>
      <c r="E412" s="21" t="s">
        <v>183</v>
      </c>
      <c r="F412" s="21" t="s">
        <v>183</v>
      </c>
      <c r="G412" s="21" t="s">
        <v>93</v>
      </c>
      <c r="H412" s="21" t="s">
        <v>3631</v>
      </c>
      <c r="I412" s="21" t="s">
        <v>1843</v>
      </c>
      <c r="J412" s="21" t="s">
        <v>3632</v>
      </c>
      <c r="K412" s="21" t="e">
        <f t="shared" ca="1" si="2"/>
        <v>#NAME?</v>
      </c>
      <c r="L412" s="24">
        <v>1983</v>
      </c>
      <c r="M412" s="21">
        <v>1997</v>
      </c>
      <c r="N412" s="21" t="s">
        <v>402</v>
      </c>
      <c r="O412" s="21" t="s">
        <v>316</v>
      </c>
      <c r="P412" s="26">
        <v>5135601785</v>
      </c>
      <c r="Q412" s="26" t="e">
        <f t="shared" ca="1" si="3"/>
        <v>#NAME?</v>
      </c>
      <c r="R412" s="21" t="s">
        <v>3633</v>
      </c>
      <c r="S412" s="21" t="s">
        <v>3634</v>
      </c>
      <c r="T412" s="21" t="s">
        <v>3635</v>
      </c>
      <c r="U412" s="21" t="s">
        <v>3636</v>
      </c>
      <c r="V412" s="21" t="s">
        <v>127</v>
      </c>
      <c r="W412" s="21" t="s">
        <v>307</v>
      </c>
      <c r="X412" s="21" t="s">
        <v>211</v>
      </c>
      <c r="Y412" s="21" t="s">
        <v>3637</v>
      </c>
      <c r="Z412" s="21" t="s">
        <v>127</v>
      </c>
      <c r="AA412" s="21" t="s">
        <v>3638</v>
      </c>
      <c r="AB412" s="21" t="s">
        <v>363</v>
      </c>
      <c r="AC412" s="21" t="s">
        <v>3639</v>
      </c>
      <c r="AD412" s="21" t="s">
        <v>132</v>
      </c>
      <c r="AE412" s="21" t="s">
        <v>365</v>
      </c>
      <c r="AF412" s="21" t="s">
        <v>135</v>
      </c>
      <c r="AG412" s="21" t="s">
        <v>135</v>
      </c>
      <c r="AH412" s="21" t="s">
        <v>135</v>
      </c>
      <c r="AI412" s="21" t="s">
        <v>135</v>
      </c>
      <c r="AJ412" s="21" t="s">
        <v>3640</v>
      </c>
    </row>
    <row r="413" spans="1:36" ht="15.75" customHeight="1" x14ac:dyDescent="0.3">
      <c r="A413" s="21">
        <v>2025</v>
      </c>
      <c r="B413" s="22">
        <v>46022.588382453701</v>
      </c>
      <c r="C413" s="21" t="s">
        <v>183</v>
      </c>
      <c r="D413" s="21" t="s">
        <v>183</v>
      </c>
      <c r="E413" s="21" t="s">
        <v>183</v>
      </c>
      <c r="F413" s="21" t="s">
        <v>183</v>
      </c>
      <c r="G413" s="21" t="s">
        <v>256</v>
      </c>
      <c r="H413" s="21" t="s">
        <v>3631</v>
      </c>
      <c r="I413" s="21" t="s">
        <v>1843</v>
      </c>
      <c r="J413" s="21" t="s">
        <v>1846</v>
      </c>
      <c r="K413" s="21" t="e">
        <f t="shared" ca="1" si="2"/>
        <v>#NAME?</v>
      </c>
      <c r="L413" s="24">
        <v>2016</v>
      </c>
      <c r="M413" s="21">
        <v>2025</v>
      </c>
      <c r="N413" s="21" t="s">
        <v>402</v>
      </c>
      <c r="O413" s="21" t="s">
        <v>316</v>
      </c>
      <c r="P413" s="26">
        <v>5135601785</v>
      </c>
      <c r="Q413" s="26" t="e">
        <f t="shared" ca="1" si="3"/>
        <v>#NAME?</v>
      </c>
      <c r="R413" s="21" t="s">
        <v>3633</v>
      </c>
      <c r="S413" s="21" t="s">
        <v>3634</v>
      </c>
      <c r="T413" s="21" t="s">
        <v>3641</v>
      </c>
      <c r="U413" s="21" t="s">
        <v>127</v>
      </c>
      <c r="V413" s="21" t="s">
        <v>3642</v>
      </c>
      <c r="W413" s="21" t="s">
        <v>307</v>
      </c>
      <c r="X413" s="21" t="s">
        <v>267</v>
      </c>
      <c r="Y413" s="21" t="s">
        <v>406</v>
      </c>
      <c r="Z413" s="21" t="s">
        <v>3643</v>
      </c>
      <c r="AA413" s="21" t="s">
        <v>3644</v>
      </c>
      <c r="AB413" s="21" t="s">
        <v>3591</v>
      </c>
      <c r="AC413" s="21" t="s">
        <v>3645</v>
      </c>
      <c r="AD413" s="21" t="s">
        <v>287</v>
      </c>
      <c r="AE413" s="21" t="s">
        <v>365</v>
      </c>
      <c r="AF413" s="21" t="s">
        <v>686</v>
      </c>
      <c r="AG413" s="21" t="s">
        <v>135</v>
      </c>
      <c r="AH413" s="21" t="s">
        <v>135</v>
      </c>
      <c r="AI413" s="21" t="s">
        <v>135</v>
      </c>
      <c r="AJ413" s="21" t="s">
        <v>3646</v>
      </c>
    </row>
    <row r="414" spans="1:36" ht="15.75" customHeight="1" x14ac:dyDescent="0.3">
      <c r="A414" s="21">
        <v>2025</v>
      </c>
      <c r="B414" s="22">
        <v>46022.594923738427</v>
      </c>
      <c r="C414" s="21" t="s">
        <v>183</v>
      </c>
      <c r="D414" s="21" t="s">
        <v>183</v>
      </c>
      <c r="E414" s="21" t="s">
        <v>183</v>
      </c>
      <c r="F414" s="21" t="s">
        <v>183</v>
      </c>
      <c r="G414" s="21" t="s">
        <v>93</v>
      </c>
      <c r="H414" s="21" t="s">
        <v>3647</v>
      </c>
      <c r="I414" s="21" t="s">
        <v>1843</v>
      </c>
      <c r="J414" s="21" t="s">
        <v>2485</v>
      </c>
      <c r="K414" s="21" t="e">
        <f t="shared" ca="1" si="2"/>
        <v>#NAME?</v>
      </c>
      <c r="L414" s="24">
        <v>1955</v>
      </c>
      <c r="M414" s="21">
        <v>1970</v>
      </c>
      <c r="N414" s="21" t="s">
        <v>402</v>
      </c>
      <c r="O414" s="21" t="s">
        <v>112</v>
      </c>
      <c r="P414" s="26">
        <v>9959172270</v>
      </c>
      <c r="Q414" s="26" t="e">
        <f t="shared" ca="1" si="3"/>
        <v>#NAME?</v>
      </c>
      <c r="R414" s="21" t="s">
        <v>3633</v>
      </c>
      <c r="S414" s="21" t="s">
        <v>3634</v>
      </c>
      <c r="T414" s="21" t="s">
        <v>3641</v>
      </c>
      <c r="U414" s="21" t="s">
        <v>3648</v>
      </c>
      <c r="V414" s="21" t="s">
        <v>127</v>
      </c>
      <c r="W414" s="21" t="s">
        <v>307</v>
      </c>
      <c r="X414" s="21" t="s">
        <v>352</v>
      </c>
      <c r="Y414" s="21" t="s">
        <v>308</v>
      </c>
      <c r="Z414" s="21" t="s">
        <v>127</v>
      </c>
      <c r="AA414" s="21" t="s">
        <v>3649</v>
      </c>
      <c r="AB414" s="21" t="s">
        <v>363</v>
      </c>
      <c r="AC414" s="21" t="s">
        <v>3650</v>
      </c>
      <c r="AD414" s="21" t="s">
        <v>132</v>
      </c>
      <c r="AE414" s="21" t="s">
        <v>365</v>
      </c>
      <c r="AF414" s="21" t="s">
        <v>135</v>
      </c>
      <c r="AG414" s="21" t="s">
        <v>135</v>
      </c>
      <c r="AH414" s="21" t="s">
        <v>135</v>
      </c>
      <c r="AI414" s="21" t="s">
        <v>135</v>
      </c>
    </row>
    <row r="415" spans="1:36" ht="15.75" customHeight="1" x14ac:dyDescent="0.3">
      <c r="A415" s="21">
        <v>2025</v>
      </c>
      <c r="B415" s="22">
        <v>46022.882770231481</v>
      </c>
      <c r="C415" s="21" t="s">
        <v>183</v>
      </c>
      <c r="D415" s="21" t="s">
        <v>183</v>
      </c>
      <c r="E415" s="21" t="s">
        <v>183</v>
      </c>
      <c r="F415" s="21" t="s">
        <v>183</v>
      </c>
      <c r="G415" s="21" t="s">
        <v>256</v>
      </c>
      <c r="H415" s="21" t="s">
        <v>3651</v>
      </c>
      <c r="I415" s="21" t="s">
        <v>2062</v>
      </c>
      <c r="J415" s="21" t="s">
        <v>2063</v>
      </c>
      <c r="K415" s="21" t="e">
        <f t="shared" ca="1" si="2"/>
        <v>#NAME?</v>
      </c>
      <c r="L415" s="24">
        <v>2017</v>
      </c>
      <c r="M415" s="21">
        <v>2025</v>
      </c>
      <c r="N415" s="21" t="s">
        <v>111</v>
      </c>
      <c r="O415" s="21" t="s">
        <v>112</v>
      </c>
      <c r="P415" s="26">
        <v>9886333667</v>
      </c>
      <c r="Q415" s="26" t="e">
        <f t="shared" ca="1" si="3"/>
        <v>#NAME?</v>
      </c>
      <c r="R415" s="21" t="s">
        <v>595</v>
      </c>
      <c r="S415" s="21" t="s">
        <v>3652</v>
      </c>
      <c r="T415" s="21" t="s">
        <v>3653</v>
      </c>
      <c r="U415" s="21" t="s">
        <v>127</v>
      </c>
      <c r="V415" s="21" t="s">
        <v>3654</v>
      </c>
      <c r="W415" s="21" t="s">
        <v>219</v>
      </c>
      <c r="X415" s="21" t="s">
        <v>536</v>
      </c>
      <c r="Y415" s="21" t="s">
        <v>1067</v>
      </c>
      <c r="Z415" s="21" t="s">
        <v>3655</v>
      </c>
      <c r="AA415" s="21" t="s">
        <v>3656</v>
      </c>
      <c r="AB415" s="21" t="s">
        <v>3657</v>
      </c>
      <c r="AC415" s="21" t="s">
        <v>3658</v>
      </c>
      <c r="AD415" s="21" t="s">
        <v>287</v>
      </c>
      <c r="AE415" s="21" t="s">
        <v>365</v>
      </c>
      <c r="AF415" s="21" t="s">
        <v>135</v>
      </c>
      <c r="AG415" s="21" t="s">
        <v>135</v>
      </c>
      <c r="AH415" s="21" t="s">
        <v>135</v>
      </c>
      <c r="AI415" s="21" t="s">
        <v>135</v>
      </c>
    </row>
    <row r="416" spans="1:36" ht="15.75" customHeight="1" x14ac:dyDescent="0.3">
      <c r="A416" s="21">
        <v>2025</v>
      </c>
      <c r="B416" s="22">
        <v>46023.348390011575</v>
      </c>
      <c r="C416" s="21" t="s">
        <v>183</v>
      </c>
      <c r="D416" s="21" t="s">
        <v>183</v>
      </c>
      <c r="E416" s="21" t="s">
        <v>183</v>
      </c>
      <c r="F416" s="21" t="s">
        <v>183</v>
      </c>
      <c r="G416" s="21" t="s">
        <v>93</v>
      </c>
      <c r="H416" s="21" t="s">
        <v>3234</v>
      </c>
      <c r="I416" s="21" t="s">
        <v>3235</v>
      </c>
      <c r="J416" s="21" t="s">
        <v>751</v>
      </c>
      <c r="K416" s="21" t="e">
        <f t="shared" ca="1" si="2"/>
        <v>#NAME?</v>
      </c>
      <c r="L416" s="24">
        <v>1973</v>
      </c>
      <c r="M416" s="21">
        <v>1991</v>
      </c>
      <c r="N416" s="21" t="s">
        <v>315</v>
      </c>
      <c r="O416" s="21" t="s">
        <v>316</v>
      </c>
      <c r="P416" s="26">
        <v>9591989895</v>
      </c>
      <c r="Q416" s="26" t="e">
        <f t="shared" ca="1" si="3"/>
        <v>#NAME?</v>
      </c>
      <c r="R416" s="21" t="s">
        <v>3659</v>
      </c>
      <c r="S416" s="21" t="s">
        <v>3660</v>
      </c>
      <c r="T416" s="21">
        <v>9704157378</v>
      </c>
      <c r="U416" s="21" t="s">
        <v>3661</v>
      </c>
      <c r="V416" s="21" t="s">
        <v>284</v>
      </c>
      <c r="W416" s="21" t="s">
        <v>319</v>
      </c>
      <c r="X416" s="21" t="s">
        <v>1327</v>
      </c>
      <c r="Y416" s="21" t="s">
        <v>3239</v>
      </c>
      <c r="Z416" s="21" t="s">
        <v>296</v>
      </c>
      <c r="AA416" s="21" t="s">
        <v>1127</v>
      </c>
      <c r="AB416" s="21" t="s">
        <v>363</v>
      </c>
      <c r="AC416" s="21" t="s">
        <v>3662</v>
      </c>
      <c r="AD416" s="21" t="s">
        <v>132</v>
      </c>
      <c r="AE416" s="21" t="s">
        <v>365</v>
      </c>
      <c r="AF416" s="21" t="s">
        <v>135</v>
      </c>
      <c r="AG416" s="21" t="s">
        <v>135</v>
      </c>
      <c r="AH416" s="21" t="s">
        <v>135</v>
      </c>
      <c r="AI416" s="21" t="s">
        <v>135</v>
      </c>
    </row>
    <row r="417" spans="1:36" ht="15.75" customHeight="1" x14ac:dyDescent="0.3">
      <c r="A417" s="21">
        <v>2025</v>
      </c>
      <c r="B417" s="22">
        <v>46023.555799745372</v>
      </c>
      <c r="C417" s="21" t="s">
        <v>183</v>
      </c>
      <c r="D417" s="21" t="s">
        <v>183</v>
      </c>
      <c r="E417" s="21" t="s">
        <v>183</v>
      </c>
      <c r="F417" s="21" t="s">
        <v>183</v>
      </c>
      <c r="G417" s="21" t="s">
        <v>93</v>
      </c>
      <c r="H417" s="21" t="s">
        <v>3663</v>
      </c>
      <c r="I417" s="21" t="s">
        <v>3562</v>
      </c>
      <c r="J417" s="21" t="s">
        <v>1850</v>
      </c>
      <c r="K417" s="21" t="e">
        <f t="shared" ca="1" si="2"/>
        <v>#NAME?</v>
      </c>
      <c r="L417" s="24">
        <v>1988</v>
      </c>
      <c r="M417" s="21">
        <v>2010</v>
      </c>
      <c r="N417" s="21" t="s">
        <v>315</v>
      </c>
      <c r="O417" s="21" t="s">
        <v>316</v>
      </c>
      <c r="P417" s="26">
        <v>8479023801</v>
      </c>
      <c r="Q417" s="26" t="e">
        <f t="shared" ca="1" si="3"/>
        <v>#NAME?</v>
      </c>
      <c r="R417" s="21" t="s">
        <v>3664</v>
      </c>
      <c r="S417" s="21" t="s">
        <v>3665</v>
      </c>
      <c r="T417" s="21">
        <v>8474945060</v>
      </c>
      <c r="U417" s="21" t="s">
        <v>3666</v>
      </c>
      <c r="V417" s="21" t="s">
        <v>127</v>
      </c>
      <c r="W417" s="21" t="s">
        <v>307</v>
      </c>
      <c r="X417" s="21" t="s">
        <v>536</v>
      </c>
      <c r="Y417" s="21" t="s">
        <v>536</v>
      </c>
      <c r="Z417" s="21" t="s">
        <v>127</v>
      </c>
      <c r="AA417" s="21" t="s">
        <v>608</v>
      </c>
      <c r="AB417" s="21" t="s">
        <v>363</v>
      </c>
      <c r="AC417" s="21" t="s">
        <v>3667</v>
      </c>
      <c r="AD417" s="21" t="s">
        <v>132</v>
      </c>
      <c r="AE417" s="21" t="s">
        <v>365</v>
      </c>
      <c r="AF417" s="21" t="s">
        <v>135</v>
      </c>
      <c r="AG417" s="21" t="s">
        <v>135</v>
      </c>
      <c r="AH417" s="21" t="s">
        <v>135</v>
      </c>
      <c r="AI417" s="21" t="s">
        <v>135</v>
      </c>
    </row>
    <row r="418" spans="1:36" ht="15.75" customHeight="1" x14ac:dyDescent="0.3">
      <c r="A418" s="21">
        <v>2025</v>
      </c>
      <c r="B418" s="22">
        <v>46024.09741263889</v>
      </c>
      <c r="C418" s="21" t="s">
        <v>183</v>
      </c>
      <c r="D418" s="21" t="s">
        <v>183</v>
      </c>
      <c r="E418" s="21" t="s">
        <v>183</v>
      </c>
      <c r="F418" s="21" t="s">
        <v>183</v>
      </c>
      <c r="G418" s="21" t="s">
        <v>93</v>
      </c>
      <c r="H418" s="21" t="s">
        <v>3668</v>
      </c>
      <c r="I418" s="21" t="s">
        <v>781</v>
      </c>
      <c r="J418" s="21" t="s">
        <v>3669</v>
      </c>
      <c r="K418" s="21" t="e">
        <f t="shared" ca="1" si="2"/>
        <v>#NAME?</v>
      </c>
      <c r="L418" s="24">
        <v>1993</v>
      </c>
      <c r="M418" s="21">
        <v>2012</v>
      </c>
      <c r="N418" s="21" t="s">
        <v>111</v>
      </c>
      <c r="O418" s="21" t="s">
        <v>112</v>
      </c>
      <c r="P418" s="26">
        <v>7794895757</v>
      </c>
      <c r="Q418" s="26" t="e">
        <f t="shared" ca="1" si="3"/>
        <v>#NAME?</v>
      </c>
      <c r="R418" s="21" t="s">
        <v>188</v>
      </c>
      <c r="S418" s="21" t="s">
        <v>3670</v>
      </c>
      <c r="T418" s="21" t="s">
        <v>3671</v>
      </c>
      <c r="U418" s="21" t="s">
        <v>3672</v>
      </c>
      <c r="V418" s="21" t="s">
        <v>284</v>
      </c>
      <c r="W418" s="21" t="s">
        <v>1169</v>
      </c>
      <c r="X418" s="21" t="s">
        <v>308</v>
      </c>
      <c r="Y418" s="21" t="s">
        <v>536</v>
      </c>
      <c r="Z418" s="21" t="s">
        <v>127</v>
      </c>
      <c r="AA418" s="21" t="s">
        <v>297</v>
      </c>
      <c r="AB418" s="21" t="s">
        <v>363</v>
      </c>
      <c r="AC418" s="21" t="s">
        <v>3675</v>
      </c>
      <c r="AD418" s="21" t="s">
        <v>287</v>
      </c>
      <c r="AE418" s="21" t="s">
        <v>365</v>
      </c>
      <c r="AF418" s="21" t="s">
        <v>135</v>
      </c>
      <c r="AG418" s="21" t="s">
        <v>135</v>
      </c>
      <c r="AH418" s="21" t="s">
        <v>135</v>
      </c>
      <c r="AI418" s="21" t="s">
        <v>135</v>
      </c>
    </row>
    <row r="419" spans="1:36" ht="15.75" customHeight="1" x14ac:dyDescent="0.3">
      <c r="A419" s="21">
        <v>2025</v>
      </c>
      <c r="B419" s="22">
        <v>46024.891785416665</v>
      </c>
      <c r="C419" s="21" t="s">
        <v>183</v>
      </c>
      <c r="D419" s="21" t="s">
        <v>183</v>
      </c>
      <c r="E419" s="21" t="s">
        <v>183</v>
      </c>
      <c r="F419" s="21" t="s">
        <v>183</v>
      </c>
      <c r="G419" s="21" t="s">
        <v>93</v>
      </c>
      <c r="H419" s="21" t="s">
        <v>3676</v>
      </c>
      <c r="I419" s="21" t="s">
        <v>313</v>
      </c>
      <c r="J419" s="21" t="s">
        <v>3677</v>
      </c>
      <c r="K419" s="21" t="e">
        <f t="shared" ca="1" si="2"/>
        <v>#NAME?</v>
      </c>
      <c r="L419" s="24">
        <v>1989</v>
      </c>
      <c r="M419" s="21">
        <v>2001</v>
      </c>
      <c r="N419" s="21" t="s">
        <v>111</v>
      </c>
      <c r="O419" s="21" t="s">
        <v>112</v>
      </c>
      <c r="P419" s="26">
        <v>9110500700</v>
      </c>
      <c r="Q419" s="26" t="e">
        <f t="shared" ca="1" si="3"/>
        <v>#NAME?</v>
      </c>
      <c r="R419" s="21" t="s">
        <v>118</v>
      </c>
      <c r="S419" s="21" t="s">
        <v>3678</v>
      </c>
      <c r="T419" s="21" t="s">
        <v>3679</v>
      </c>
      <c r="U419" s="21" t="s">
        <v>3680</v>
      </c>
      <c r="V419" s="21" t="s">
        <v>127</v>
      </c>
      <c r="W419" s="21" t="s">
        <v>328</v>
      </c>
      <c r="X419" s="21" t="s">
        <v>221</v>
      </c>
      <c r="Y419" s="21" t="s">
        <v>581</v>
      </c>
      <c r="Z419" s="21" t="s">
        <v>127</v>
      </c>
      <c r="AA419" s="21" t="s">
        <v>3681</v>
      </c>
      <c r="AB419" s="21" t="s">
        <v>363</v>
      </c>
      <c r="AC419" s="21" t="s">
        <v>3682</v>
      </c>
      <c r="AD419" s="21" t="s">
        <v>287</v>
      </c>
      <c r="AE419" s="21" t="s">
        <v>365</v>
      </c>
      <c r="AF419" s="21" t="s">
        <v>135</v>
      </c>
      <c r="AG419" s="21" t="s">
        <v>135</v>
      </c>
      <c r="AH419" s="21" t="s">
        <v>135</v>
      </c>
      <c r="AI419" s="21" t="s">
        <v>135</v>
      </c>
    </row>
    <row r="420" spans="1:36" ht="15.75" customHeight="1" x14ac:dyDescent="0.3">
      <c r="A420" s="21">
        <v>2025</v>
      </c>
      <c r="B420" s="22">
        <v>46027.853295567125</v>
      </c>
      <c r="C420" s="21" t="s">
        <v>183</v>
      </c>
      <c r="D420" s="21" t="s">
        <v>183</v>
      </c>
      <c r="E420" s="21" t="s">
        <v>183</v>
      </c>
      <c r="F420" s="21" t="s">
        <v>183</v>
      </c>
      <c r="G420" s="21" t="s">
        <v>93</v>
      </c>
      <c r="H420" s="21" t="s">
        <v>3683</v>
      </c>
      <c r="I420" s="21" t="s">
        <v>891</v>
      </c>
      <c r="J420" s="21" t="s">
        <v>3684</v>
      </c>
      <c r="K420" s="21" t="e">
        <f t="shared" ca="1" si="2"/>
        <v>#NAME?</v>
      </c>
      <c r="L420" s="24">
        <v>1982</v>
      </c>
      <c r="M420" s="21">
        <v>2008</v>
      </c>
      <c r="N420" s="21" t="s">
        <v>111</v>
      </c>
      <c r="O420" s="21" t="s">
        <v>112</v>
      </c>
      <c r="P420" s="26">
        <v>9515114876</v>
      </c>
      <c r="Q420" s="26" t="e">
        <f t="shared" ca="1" si="3"/>
        <v>#NAME?</v>
      </c>
      <c r="R420" s="21" t="s">
        <v>715</v>
      </c>
      <c r="S420" s="21" t="s">
        <v>3685</v>
      </c>
      <c r="T420" s="21" t="s">
        <v>3686</v>
      </c>
      <c r="U420" s="21" t="s">
        <v>3687</v>
      </c>
      <c r="V420" s="21" t="s">
        <v>296</v>
      </c>
      <c r="W420" s="21" t="s">
        <v>744</v>
      </c>
      <c r="X420" s="21" t="s">
        <v>537</v>
      </c>
      <c r="Y420" s="21" t="s">
        <v>1261</v>
      </c>
      <c r="Z420" s="21" t="s">
        <v>296</v>
      </c>
      <c r="AA420" s="21" t="s">
        <v>3688</v>
      </c>
      <c r="AB420" s="21" t="s">
        <v>363</v>
      </c>
      <c r="AC420" s="21" t="s">
        <v>3689</v>
      </c>
      <c r="AD420" s="21" t="s">
        <v>132</v>
      </c>
      <c r="AE420" s="21" t="s">
        <v>365</v>
      </c>
      <c r="AF420" s="21" t="s">
        <v>135</v>
      </c>
      <c r="AG420" s="21" t="s">
        <v>135</v>
      </c>
      <c r="AH420" s="21" t="s">
        <v>135</v>
      </c>
      <c r="AI420" s="21" t="s">
        <v>135</v>
      </c>
      <c r="AJ420" s="21" t="s">
        <v>3690</v>
      </c>
    </row>
    <row r="421" spans="1:36" ht="15.75" customHeight="1" x14ac:dyDescent="0.3">
      <c r="A421" s="21">
        <v>2025</v>
      </c>
      <c r="B421" s="22">
        <v>46028.500241458329</v>
      </c>
      <c r="C421" s="21" t="s">
        <v>183</v>
      </c>
      <c r="D421" s="21" t="s">
        <v>183</v>
      </c>
      <c r="E421" s="21" t="s">
        <v>183</v>
      </c>
      <c r="F421" s="21" t="s">
        <v>183</v>
      </c>
      <c r="G421" s="21" t="s">
        <v>93</v>
      </c>
      <c r="H421" s="21" t="s">
        <v>3447</v>
      </c>
      <c r="I421" s="21" t="s">
        <v>1978</v>
      </c>
      <c r="J421" s="21" t="s">
        <v>1563</v>
      </c>
      <c r="K421" s="21" t="e">
        <f t="shared" ca="1" si="2"/>
        <v>#NAME?</v>
      </c>
      <c r="L421" s="24">
        <v>1994</v>
      </c>
      <c r="M421" s="21">
        <v>2006</v>
      </c>
      <c r="N421" s="21" t="s">
        <v>111</v>
      </c>
      <c r="O421" s="21" t="s">
        <v>112</v>
      </c>
      <c r="P421" s="26">
        <v>9848847831</v>
      </c>
      <c r="Q421" s="26" t="e">
        <f t="shared" ca="1" si="3"/>
        <v>#NAME?</v>
      </c>
      <c r="R421" s="21" t="s">
        <v>118</v>
      </c>
      <c r="S421" s="21" t="s">
        <v>3691</v>
      </c>
      <c r="T421" s="21" t="s">
        <v>3449</v>
      </c>
      <c r="U421" s="21" t="s">
        <v>3450</v>
      </c>
      <c r="V421" s="21" t="s">
        <v>284</v>
      </c>
      <c r="W421" s="21" t="s">
        <v>191</v>
      </c>
      <c r="X421" s="21" t="s">
        <v>3423</v>
      </c>
      <c r="Y421" s="21" t="s">
        <v>3692</v>
      </c>
      <c r="Z421" s="21" t="s">
        <v>296</v>
      </c>
      <c r="AA421" s="21" t="s">
        <v>3693</v>
      </c>
      <c r="AB421" s="21" t="s">
        <v>3591</v>
      </c>
      <c r="AC421" s="21" t="s">
        <v>3694</v>
      </c>
      <c r="AD421" s="21" t="s">
        <v>132</v>
      </c>
      <c r="AE421" s="21" t="s">
        <v>365</v>
      </c>
      <c r="AF421" s="21" t="s">
        <v>135</v>
      </c>
      <c r="AG421" s="21" t="s">
        <v>135</v>
      </c>
      <c r="AH421" s="21" t="s">
        <v>135</v>
      </c>
      <c r="AI421" s="21" t="s">
        <v>135</v>
      </c>
    </row>
    <row r="422" spans="1:36" ht="15.75" customHeight="1" x14ac:dyDescent="0.3">
      <c r="A422" s="21">
        <v>2025</v>
      </c>
      <c r="B422" s="22">
        <v>46028.929744027773</v>
      </c>
      <c r="C422" s="21" t="s">
        <v>183</v>
      </c>
      <c r="D422" s="21" t="s">
        <v>183</v>
      </c>
      <c r="E422" s="21" t="s">
        <v>183</v>
      </c>
      <c r="F422" s="21" t="s">
        <v>183</v>
      </c>
      <c r="G422" s="21" t="s">
        <v>93</v>
      </c>
      <c r="H422" s="21" t="s">
        <v>3695</v>
      </c>
      <c r="I422" s="21" t="s">
        <v>3696</v>
      </c>
      <c r="J422" s="21" t="s">
        <v>2066</v>
      </c>
      <c r="K422" s="21" t="e">
        <f t="shared" ca="1" si="2"/>
        <v>#NAME?</v>
      </c>
      <c r="L422" s="24">
        <v>1966</v>
      </c>
      <c r="M422" s="21">
        <v>1993</v>
      </c>
      <c r="N422" s="21" t="s">
        <v>111</v>
      </c>
      <c r="O422" s="21" t="s">
        <v>112</v>
      </c>
      <c r="P422" s="26">
        <v>9490748783</v>
      </c>
      <c r="Q422" s="26" t="e">
        <f t="shared" ca="1" si="3"/>
        <v>#NAME?</v>
      </c>
      <c r="R422" s="21" t="s">
        <v>1526</v>
      </c>
      <c r="S422" s="21" t="s">
        <v>3697</v>
      </c>
      <c r="T422" s="21">
        <v>9490885905</v>
      </c>
      <c r="U422" s="21" t="s">
        <v>3698</v>
      </c>
      <c r="V422" s="21" t="s">
        <v>127</v>
      </c>
      <c r="W422" s="21" t="s">
        <v>374</v>
      </c>
      <c r="X422" s="21" t="s">
        <v>352</v>
      </c>
      <c r="Y422" s="21" t="s">
        <v>3699</v>
      </c>
      <c r="Z422" s="21" t="s">
        <v>127</v>
      </c>
      <c r="AA422" s="21" t="s">
        <v>3700</v>
      </c>
      <c r="AB422" s="21" t="s">
        <v>363</v>
      </c>
      <c r="AC422" s="21" t="s">
        <v>3701</v>
      </c>
      <c r="AD422" s="21" t="s">
        <v>169</v>
      </c>
      <c r="AE422" s="21" t="s">
        <v>365</v>
      </c>
      <c r="AF422" s="21" t="s">
        <v>135</v>
      </c>
      <c r="AG422" s="21" t="s">
        <v>135</v>
      </c>
      <c r="AH422" s="21" t="s">
        <v>135</v>
      </c>
      <c r="AI422" s="21" t="s">
        <v>135</v>
      </c>
      <c r="AJ422" s="21" t="s">
        <v>3702</v>
      </c>
    </row>
    <row r="423" spans="1:36" ht="15.75" customHeight="1" x14ac:dyDescent="0.3">
      <c r="A423" s="21">
        <v>2025</v>
      </c>
      <c r="B423" s="22">
        <v>46029.303254918981</v>
      </c>
      <c r="C423" s="21" t="s">
        <v>183</v>
      </c>
      <c r="D423" s="21" t="s">
        <v>183</v>
      </c>
      <c r="E423" s="21" t="s">
        <v>183</v>
      </c>
      <c r="F423" s="21" t="s">
        <v>183</v>
      </c>
      <c r="G423" s="21" t="s">
        <v>93</v>
      </c>
      <c r="H423" s="21" t="s">
        <v>3651</v>
      </c>
      <c r="I423" s="21" t="s">
        <v>2062</v>
      </c>
      <c r="J423" s="21" t="s">
        <v>3703</v>
      </c>
      <c r="K423" s="21" t="e">
        <f t="shared" ca="1" si="2"/>
        <v>#NAME?</v>
      </c>
      <c r="L423" s="24">
        <v>1986</v>
      </c>
      <c r="M423" s="21">
        <v>2012</v>
      </c>
      <c r="N423" s="21" t="s">
        <v>111</v>
      </c>
      <c r="O423" s="21" t="s">
        <v>112</v>
      </c>
      <c r="P423" s="26">
        <v>9742394666</v>
      </c>
      <c r="Q423" s="26" t="e">
        <f t="shared" ca="1" si="3"/>
        <v>#NAME?</v>
      </c>
      <c r="R423" s="21" t="s">
        <v>783</v>
      </c>
      <c r="S423" s="21" t="s">
        <v>3704</v>
      </c>
      <c r="T423" s="21" t="s">
        <v>3705</v>
      </c>
      <c r="U423" s="21" t="s">
        <v>3706</v>
      </c>
      <c r="V423" s="21" t="s">
        <v>582</v>
      </c>
      <c r="W423" s="21" t="s">
        <v>219</v>
      </c>
      <c r="X423" s="21" t="s">
        <v>178</v>
      </c>
      <c r="Y423" s="21" t="s">
        <v>1067</v>
      </c>
      <c r="Z423" s="21" t="s">
        <v>582</v>
      </c>
      <c r="AA423" s="21" t="s">
        <v>608</v>
      </c>
      <c r="AB423" s="21" t="s">
        <v>3591</v>
      </c>
      <c r="AC423" s="21" t="s">
        <v>3707</v>
      </c>
      <c r="AD423" s="21" t="s">
        <v>287</v>
      </c>
      <c r="AE423" s="21" t="s">
        <v>365</v>
      </c>
      <c r="AF423" s="21" t="s">
        <v>135</v>
      </c>
      <c r="AG423" s="21" t="s">
        <v>135</v>
      </c>
      <c r="AH423" s="21" t="s">
        <v>135</v>
      </c>
      <c r="AI423" s="21" t="s">
        <v>135</v>
      </c>
    </row>
    <row r="424" spans="1:36" ht="15.75" customHeight="1" x14ac:dyDescent="0.3">
      <c r="A424" s="21">
        <v>2025</v>
      </c>
      <c r="B424" s="22">
        <v>46032.42387319445</v>
      </c>
      <c r="C424" s="21" t="s">
        <v>183</v>
      </c>
      <c r="D424" s="21" t="s">
        <v>183</v>
      </c>
      <c r="E424" s="21" t="s">
        <v>183</v>
      </c>
      <c r="F424" s="21" t="s">
        <v>183</v>
      </c>
      <c r="G424" s="21" t="s">
        <v>93</v>
      </c>
      <c r="H424" s="21" t="s">
        <v>3708</v>
      </c>
      <c r="I424" s="21" t="s">
        <v>1282</v>
      </c>
      <c r="J424" s="21" t="s">
        <v>3709</v>
      </c>
      <c r="K424" s="21" t="e">
        <f t="shared" ca="1" si="2"/>
        <v>#NAME?</v>
      </c>
      <c r="L424" s="24">
        <v>1981</v>
      </c>
      <c r="M424" s="21">
        <v>2005</v>
      </c>
      <c r="N424" s="21" t="s">
        <v>111</v>
      </c>
      <c r="O424" s="21" t="s">
        <v>112</v>
      </c>
      <c r="P424" s="26">
        <v>9440967345</v>
      </c>
      <c r="Q424" s="26" t="e">
        <f t="shared" ca="1" si="3"/>
        <v>#NAME?</v>
      </c>
      <c r="R424" s="21" t="s">
        <v>118</v>
      </c>
      <c r="S424" s="21" t="s">
        <v>3710</v>
      </c>
      <c r="T424" s="21">
        <v>9885888814</v>
      </c>
      <c r="U424" s="21" t="s">
        <v>3711</v>
      </c>
      <c r="V424" s="21" t="s">
        <v>582</v>
      </c>
      <c r="W424" s="21" t="s">
        <v>219</v>
      </c>
      <c r="X424" s="21" t="s">
        <v>1145</v>
      </c>
      <c r="Y424" s="21" t="s">
        <v>1145</v>
      </c>
      <c r="Z424" s="21" t="s">
        <v>582</v>
      </c>
      <c r="AA424" s="21" t="s">
        <v>3712</v>
      </c>
      <c r="AB424" s="21" t="s">
        <v>3591</v>
      </c>
      <c r="AC424" s="21" t="s">
        <v>3713</v>
      </c>
      <c r="AD424" s="21" t="s">
        <v>287</v>
      </c>
      <c r="AE424" s="21" t="s">
        <v>365</v>
      </c>
      <c r="AF424" s="21" t="s">
        <v>135</v>
      </c>
      <c r="AG424" s="21" t="s">
        <v>135</v>
      </c>
      <c r="AH424" s="21" t="s">
        <v>135</v>
      </c>
      <c r="AI424" s="21" t="s">
        <v>135</v>
      </c>
    </row>
    <row r="425" spans="1:36" ht="15.75" customHeight="1" x14ac:dyDescent="0.3">
      <c r="A425" s="21">
        <v>2025</v>
      </c>
      <c r="B425" s="22">
        <v>46032.805606331021</v>
      </c>
      <c r="C425" s="21" t="s">
        <v>183</v>
      </c>
      <c r="D425" s="21" t="s">
        <v>183</v>
      </c>
      <c r="E425" s="21" t="s">
        <v>183</v>
      </c>
      <c r="F425" s="21" t="s">
        <v>183</v>
      </c>
      <c r="G425" s="21" t="s">
        <v>93</v>
      </c>
      <c r="H425" s="21" t="s">
        <v>3714</v>
      </c>
      <c r="I425" s="21" t="s">
        <v>445</v>
      </c>
      <c r="J425" s="21" t="s">
        <v>3715</v>
      </c>
      <c r="K425" s="21" t="e">
        <f t="shared" ca="1" si="2"/>
        <v>#NAME?</v>
      </c>
      <c r="L425" s="24">
        <v>2004</v>
      </c>
      <c r="M425" s="21">
        <v>2012</v>
      </c>
      <c r="N425" s="21" t="s">
        <v>402</v>
      </c>
      <c r="O425" s="21" t="s">
        <v>316</v>
      </c>
      <c r="P425" s="26">
        <v>6782949954</v>
      </c>
      <c r="Q425" s="26" t="e">
        <f t="shared" ca="1" si="3"/>
        <v>#NAME?</v>
      </c>
      <c r="R425" s="21" t="s">
        <v>3716</v>
      </c>
      <c r="S425" s="21" t="s">
        <v>3717</v>
      </c>
      <c r="T425" s="21">
        <v>6785499400</v>
      </c>
      <c r="U425" s="21" t="s">
        <v>127</v>
      </c>
      <c r="V425" s="21" t="s">
        <v>3718</v>
      </c>
      <c r="W425" s="21" t="s">
        <v>328</v>
      </c>
      <c r="X425" s="21" t="s">
        <v>267</v>
      </c>
      <c r="Y425" s="21" t="s">
        <v>267</v>
      </c>
      <c r="Z425" s="21" t="s">
        <v>127</v>
      </c>
      <c r="AA425" s="21" t="s">
        <v>3719</v>
      </c>
      <c r="AB425" s="21" t="s">
        <v>363</v>
      </c>
      <c r="AC425" s="21" t="s">
        <v>3720</v>
      </c>
      <c r="AD425" s="21" t="s">
        <v>132</v>
      </c>
      <c r="AE425" s="21" t="s">
        <v>365</v>
      </c>
      <c r="AF425" s="21" t="s">
        <v>135</v>
      </c>
      <c r="AG425" s="21" t="s">
        <v>135</v>
      </c>
      <c r="AH425" s="21" t="s">
        <v>135</v>
      </c>
      <c r="AI425" s="21" t="s">
        <v>135</v>
      </c>
      <c r="AJ425" s="21" t="s">
        <v>3721</v>
      </c>
    </row>
    <row r="426" spans="1:36" ht="15.75" customHeight="1" x14ac:dyDescent="0.3">
      <c r="A426" s="21">
        <v>2025</v>
      </c>
      <c r="B426" s="22">
        <v>46033.868538287032</v>
      </c>
      <c r="C426" s="21" t="s">
        <v>183</v>
      </c>
      <c r="D426" s="21" t="s">
        <v>183</v>
      </c>
      <c r="E426" s="21" t="s">
        <v>183</v>
      </c>
      <c r="F426" s="21" t="s">
        <v>183</v>
      </c>
      <c r="G426" s="21" t="s">
        <v>93</v>
      </c>
      <c r="H426" s="21" t="s">
        <v>3722</v>
      </c>
      <c r="I426" s="21" t="s">
        <v>3723</v>
      </c>
      <c r="J426" s="21" t="s">
        <v>2221</v>
      </c>
      <c r="K426" s="21" t="e">
        <f t="shared" ca="1" si="2"/>
        <v>#NAME?</v>
      </c>
      <c r="L426" s="24">
        <v>1975</v>
      </c>
      <c r="M426" s="21">
        <v>2003</v>
      </c>
      <c r="N426" s="21" t="s">
        <v>474</v>
      </c>
      <c r="O426" s="21" t="s">
        <v>316</v>
      </c>
      <c r="P426" s="26">
        <v>5059203734</v>
      </c>
      <c r="Q426" s="26" t="e">
        <f t="shared" ca="1" si="3"/>
        <v>#NAME?</v>
      </c>
      <c r="R426" s="21" t="s">
        <v>3724</v>
      </c>
      <c r="S426" s="21" t="s">
        <v>3725</v>
      </c>
      <c r="T426" s="21">
        <v>8188762063</v>
      </c>
      <c r="U426" s="21" t="s">
        <v>3727</v>
      </c>
      <c r="V426" s="21" t="s">
        <v>127</v>
      </c>
      <c r="W426" s="21" t="s">
        <v>394</v>
      </c>
      <c r="X426" s="21" t="s">
        <v>1399</v>
      </c>
      <c r="Y426" s="21" t="s">
        <v>308</v>
      </c>
      <c r="Z426" s="21" t="s">
        <v>127</v>
      </c>
      <c r="AA426" s="21" t="s">
        <v>3729</v>
      </c>
      <c r="AB426" s="21" t="s">
        <v>363</v>
      </c>
      <c r="AC426" s="21" t="s">
        <v>3730</v>
      </c>
      <c r="AD426" s="21" t="s">
        <v>169</v>
      </c>
      <c r="AE426" s="21" t="s">
        <v>365</v>
      </c>
      <c r="AF426" s="21" t="s">
        <v>135</v>
      </c>
      <c r="AG426" s="21" t="s">
        <v>135</v>
      </c>
      <c r="AH426" s="21" t="s">
        <v>135</v>
      </c>
      <c r="AI426" s="21" t="s">
        <v>135</v>
      </c>
      <c r="AJ426" s="21" t="s">
        <v>3731</v>
      </c>
    </row>
    <row r="427" spans="1:36" ht="15.75" customHeight="1" x14ac:dyDescent="0.3">
      <c r="A427" s="21">
        <v>2025</v>
      </c>
      <c r="B427" s="22">
        <v>46037.013626759261</v>
      </c>
      <c r="C427" s="21" t="s">
        <v>183</v>
      </c>
      <c r="D427" s="21" t="s">
        <v>183</v>
      </c>
      <c r="E427" s="21" t="s">
        <v>183</v>
      </c>
      <c r="F427" s="21" t="s">
        <v>183</v>
      </c>
      <c r="G427" s="21" t="s">
        <v>93</v>
      </c>
      <c r="H427" s="21" t="s">
        <v>3732</v>
      </c>
      <c r="I427" s="21" t="s">
        <v>2941</v>
      </c>
      <c r="J427" s="21" t="s">
        <v>3684</v>
      </c>
      <c r="K427" s="21" t="e">
        <f t="shared" ca="1" si="2"/>
        <v>#NAME?</v>
      </c>
      <c r="L427" s="24">
        <v>2000</v>
      </c>
      <c r="M427" s="21">
        <v>2022</v>
      </c>
      <c r="N427" s="21" t="s">
        <v>111</v>
      </c>
      <c r="O427" s="21" t="s">
        <v>112</v>
      </c>
      <c r="P427" s="26">
        <v>7780156444</v>
      </c>
      <c r="Q427" s="26" t="e">
        <f t="shared" ca="1" si="3"/>
        <v>#NAME?</v>
      </c>
      <c r="R427" s="21" t="s">
        <v>118</v>
      </c>
      <c r="S427" s="21" t="s">
        <v>3733</v>
      </c>
      <c r="T427" s="21">
        <v>9440179962</v>
      </c>
      <c r="U427" s="21" t="s">
        <v>127</v>
      </c>
      <c r="V427" s="21" t="s">
        <v>3734</v>
      </c>
      <c r="W427" s="21" t="s">
        <v>498</v>
      </c>
      <c r="X427" s="21" t="s">
        <v>220</v>
      </c>
      <c r="Y427" s="21" t="s">
        <v>467</v>
      </c>
      <c r="Z427" s="21" t="s">
        <v>127</v>
      </c>
      <c r="AA427" s="21" t="s">
        <v>608</v>
      </c>
      <c r="AB427" s="21" t="s">
        <v>363</v>
      </c>
      <c r="AC427" s="21" t="s">
        <v>3735</v>
      </c>
      <c r="AD427" s="21" t="s">
        <v>132</v>
      </c>
      <c r="AE427" s="21" t="s">
        <v>365</v>
      </c>
      <c r="AF427" s="21" t="s">
        <v>135</v>
      </c>
      <c r="AG427" s="21" t="s">
        <v>135</v>
      </c>
      <c r="AH427" s="21" t="s">
        <v>135</v>
      </c>
      <c r="AI427" s="21" t="s">
        <v>135</v>
      </c>
    </row>
    <row r="428" spans="1:36" ht="15.75" customHeight="1" x14ac:dyDescent="0.3">
      <c r="A428" s="21">
        <v>2025</v>
      </c>
      <c r="B428" s="22">
        <v>46037.398077743055</v>
      </c>
      <c r="C428" s="21" t="s">
        <v>183</v>
      </c>
      <c r="D428" s="21" t="s">
        <v>183</v>
      </c>
      <c r="E428" s="21" t="s">
        <v>183</v>
      </c>
      <c r="F428" s="21" t="s">
        <v>183</v>
      </c>
      <c r="G428" s="21" t="s">
        <v>93</v>
      </c>
      <c r="H428" s="21" t="s">
        <v>3736</v>
      </c>
      <c r="I428" s="21" t="s">
        <v>3737</v>
      </c>
      <c r="J428" s="21" t="s">
        <v>3738</v>
      </c>
      <c r="K428" s="21" t="e">
        <f t="shared" ca="1" si="2"/>
        <v>#NAME?</v>
      </c>
      <c r="L428" s="24">
        <v>1977</v>
      </c>
      <c r="M428" s="21">
        <v>2003</v>
      </c>
      <c r="N428" s="21" t="s">
        <v>111</v>
      </c>
      <c r="O428" s="21" t="s">
        <v>112</v>
      </c>
      <c r="P428" s="26">
        <v>9494925858</v>
      </c>
      <c r="Q428" s="26" t="e">
        <f t="shared" ca="1" si="3"/>
        <v>#NAME?</v>
      </c>
      <c r="R428" s="21" t="s">
        <v>1428</v>
      </c>
      <c r="S428" s="21" t="s">
        <v>3739</v>
      </c>
      <c r="T428" s="21" t="s">
        <v>3740</v>
      </c>
      <c r="U428" s="21" t="s">
        <v>3741</v>
      </c>
      <c r="V428" s="21" t="s">
        <v>3742</v>
      </c>
      <c r="W428" s="21" t="s">
        <v>3743</v>
      </c>
      <c r="X428" s="21" t="s">
        <v>179</v>
      </c>
      <c r="Y428" s="21" t="s">
        <v>2048</v>
      </c>
      <c r="Z428" s="21" t="s">
        <v>127</v>
      </c>
      <c r="AA428" s="21" t="s">
        <v>3744</v>
      </c>
      <c r="AB428" s="21" t="s">
        <v>363</v>
      </c>
      <c r="AC428" s="21" t="s">
        <v>3745</v>
      </c>
      <c r="AD428" s="21" t="s">
        <v>169</v>
      </c>
      <c r="AE428" s="21" t="s">
        <v>365</v>
      </c>
      <c r="AF428" s="21" t="s">
        <v>135</v>
      </c>
      <c r="AG428" s="21" t="s">
        <v>135</v>
      </c>
      <c r="AH428" s="21" t="s">
        <v>135</v>
      </c>
      <c r="AI428" s="21" t="s">
        <v>135</v>
      </c>
      <c r="AJ428" s="21" t="s">
        <v>3746</v>
      </c>
    </row>
    <row r="429" spans="1:36" ht="15.75" customHeight="1" x14ac:dyDescent="0.3">
      <c r="A429" s="21">
        <v>2025</v>
      </c>
      <c r="B429" s="22">
        <v>46037.407983599536</v>
      </c>
      <c r="C429" s="21" t="s">
        <v>183</v>
      </c>
      <c r="D429" s="21" t="s">
        <v>183</v>
      </c>
      <c r="E429" s="21" t="s">
        <v>183</v>
      </c>
      <c r="F429" s="21" t="s">
        <v>183</v>
      </c>
      <c r="G429" s="21" t="s">
        <v>93</v>
      </c>
      <c r="H429" s="21" t="s">
        <v>3747</v>
      </c>
      <c r="I429" s="21" t="s">
        <v>3748</v>
      </c>
      <c r="J429" s="21" t="s">
        <v>3749</v>
      </c>
      <c r="K429" s="21" t="e">
        <f t="shared" ca="1" si="2"/>
        <v>#NAME?</v>
      </c>
      <c r="L429" s="24">
        <v>1973</v>
      </c>
      <c r="M429" s="21">
        <v>1990</v>
      </c>
      <c r="N429" s="21" t="s">
        <v>402</v>
      </c>
      <c r="O429" s="21" t="s">
        <v>316</v>
      </c>
      <c r="P429" s="26">
        <v>2565299300</v>
      </c>
      <c r="Q429" s="26" t="e">
        <f t="shared" ca="1" si="3"/>
        <v>#NAME?</v>
      </c>
      <c r="R429" s="21" t="s">
        <v>1702</v>
      </c>
      <c r="S429" s="21" t="s">
        <v>3750</v>
      </c>
      <c r="T429" s="21">
        <v>9192498849</v>
      </c>
      <c r="U429" s="21" t="s">
        <v>3268</v>
      </c>
      <c r="V429" s="21" t="s">
        <v>127</v>
      </c>
      <c r="W429" s="21" t="s">
        <v>307</v>
      </c>
      <c r="X429" s="21" t="s">
        <v>3751</v>
      </c>
      <c r="Y429" s="21" t="s">
        <v>3751</v>
      </c>
      <c r="Z429" s="21" t="s">
        <v>127</v>
      </c>
      <c r="AA429" s="21" t="s">
        <v>3752</v>
      </c>
      <c r="AB429" s="21" t="s">
        <v>363</v>
      </c>
      <c r="AC429" s="21" t="s">
        <v>3753</v>
      </c>
      <c r="AD429" s="21" t="s">
        <v>132</v>
      </c>
      <c r="AE429" s="21" t="s">
        <v>365</v>
      </c>
      <c r="AF429" s="21" t="s">
        <v>135</v>
      </c>
      <c r="AG429" s="21" t="s">
        <v>135</v>
      </c>
      <c r="AH429" s="21" t="s">
        <v>135</v>
      </c>
      <c r="AI429" s="21" t="s">
        <v>135</v>
      </c>
      <c r="AJ429" s="21" t="s">
        <v>3754</v>
      </c>
    </row>
    <row r="430" spans="1:36" ht="15.75" customHeight="1" x14ac:dyDescent="0.3">
      <c r="A430" s="21">
        <v>2025</v>
      </c>
      <c r="B430" s="22">
        <v>46042.49816260417</v>
      </c>
      <c r="C430" s="21" t="s">
        <v>183</v>
      </c>
      <c r="D430" s="21" t="s">
        <v>183</v>
      </c>
      <c r="E430" s="21" t="s">
        <v>183</v>
      </c>
      <c r="F430" s="21" t="s">
        <v>183</v>
      </c>
      <c r="G430" s="21" t="s">
        <v>93</v>
      </c>
      <c r="H430" s="21" t="s">
        <v>3755</v>
      </c>
      <c r="I430" s="21" t="s">
        <v>1632</v>
      </c>
      <c r="J430" s="21" t="s">
        <v>3756</v>
      </c>
      <c r="K430" s="21" t="e">
        <f t="shared" ca="1" si="2"/>
        <v>#NAME?</v>
      </c>
      <c r="L430" s="24">
        <v>1982</v>
      </c>
      <c r="M430" s="21">
        <v>2010</v>
      </c>
      <c r="N430" s="21" t="s">
        <v>111</v>
      </c>
      <c r="O430" s="21" t="s">
        <v>112</v>
      </c>
      <c r="P430" s="26">
        <v>9494253298</v>
      </c>
      <c r="Q430" s="26" t="e">
        <f t="shared" ca="1" si="3"/>
        <v>#NAME?</v>
      </c>
      <c r="R430" s="21" t="s">
        <v>118</v>
      </c>
      <c r="S430" s="21" t="s">
        <v>3757</v>
      </c>
      <c r="T430" s="21">
        <v>6305438951</v>
      </c>
      <c r="U430" s="21" t="s">
        <v>3758</v>
      </c>
      <c r="V430" s="21" t="s">
        <v>127</v>
      </c>
      <c r="W430" s="21" t="s">
        <v>251</v>
      </c>
      <c r="X430" s="21" t="s">
        <v>1573</v>
      </c>
      <c r="Y430" s="21" t="s">
        <v>1573</v>
      </c>
      <c r="Z430" s="21" t="s">
        <v>127</v>
      </c>
      <c r="AA430" s="21" t="s">
        <v>3759</v>
      </c>
      <c r="AB430" s="21" t="s">
        <v>3591</v>
      </c>
      <c r="AC430" s="21" t="s">
        <v>3760</v>
      </c>
      <c r="AD430" s="21" t="s">
        <v>132</v>
      </c>
      <c r="AE430" s="21" t="s">
        <v>332</v>
      </c>
      <c r="AF430" s="21" t="s">
        <v>135</v>
      </c>
      <c r="AG430" s="21" t="s">
        <v>135</v>
      </c>
      <c r="AH430" s="21" t="s">
        <v>135</v>
      </c>
      <c r="AI430" s="21" t="s">
        <v>135</v>
      </c>
      <c r="AJ430" s="21" t="s">
        <v>3761</v>
      </c>
    </row>
    <row r="431" spans="1:36" ht="15.75" customHeight="1" x14ac:dyDescent="0.3">
      <c r="A431" s="21">
        <v>2025</v>
      </c>
      <c r="B431" s="22">
        <v>46043.360659976854</v>
      </c>
      <c r="C431" s="21" t="s">
        <v>183</v>
      </c>
      <c r="D431" s="21" t="s">
        <v>183</v>
      </c>
      <c r="E431" s="21" t="s">
        <v>183</v>
      </c>
      <c r="F431" s="21" t="s">
        <v>183</v>
      </c>
      <c r="G431" s="21" t="s">
        <v>93</v>
      </c>
      <c r="H431" s="21" t="s">
        <v>3762</v>
      </c>
      <c r="I431" s="21" t="s">
        <v>3763</v>
      </c>
      <c r="J431" s="21" t="s">
        <v>3764</v>
      </c>
      <c r="K431" s="21" t="e">
        <f t="shared" ca="1" si="2"/>
        <v>#NAME?</v>
      </c>
      <c r="L431" s="24">
        <v>2001</v>
      </c>
      <c r="M431" s="21">
        <v>2022</v>
      </c>
      <c r="N431" s="21" t="s">
        <v>111</v>
      </c>
      <c r="O431" s="21" t="s">
        <v>112</v>
      </c>
      <c r="P431" s="26">
        <v>8179682092</v>
      </c>
      <c r="Q431" s="26" t="e">
        <f t="shared" ca="1" si="3"/>
        <v>#NAME?</v>
      </c>
      <c r="R431" s="21" t="s">
        <v>188</v>
      </c>
      <c r="S431" s="21" t="s">
        <v>1183</v>
      </c>
      <c r="T431" s="21">
        <v>9848344167</v>
      </c>
      <c r="U431" s="21" t="s">
        <v>284</v>
      </c>
      <c r="V431" s="21" t="s">
        <v>3765</v>
      </c>
      <c r="W431" s="21" t="s">
        <v>328</v>
      </c>
      <c r="X431" s="21" t="s">
        <v>352</v>
      </c>
      <c r="Y431" s="21" t="s">
        <v>3766</v>
      </c>
      <c r="Z431" s="21" t="s">
        <v>284</v>
      </c>
      <c r="AA431" s="21" t="s">
        <v>450</v>
      </c>
      <c r="AB431" s="21" t="s">
        <v>363</v>
      </c>
      <c r="AC431" s="21" t="s">
        <v>2029</v>
      </c>
      <c r="AD431" s="21" t="s">
        <v>287</v>
      </c>
      <c r="AE431" s="21" t="s">
        <v>365</v>
      </c>
      <c r="AF431" s="21" t="s">
        <v>135</v>
      </c>
      <c r="AG431" s="21" t="s">
        <v>135</v>
      </c>
      <c r="AH431" s="21" t="s">
        <v>135</v>
      </c>
      <c r="AI431" s="21" t="s">
        <v>135</v>
      </c>
      <c r="AJ431" s="21" t="s">
        <v>3767</v>
      </c>
    </row>
    <row r="432" spans="1:36" ht="15.75" customHeight="1" x14ac:dyDescent="0.3">
      <c r="A432" s="21">
        <v>2025</v>
      </c>
      <c r="B432" s="22">
        <v>46045.759850092596</v>
      </c>
      <c r="C432" s="21" t="s">
        <v>183</v>
      </c>
      <c r="D432" s="21" t="s">
        <v>183</v>
      </c>
      <c r="E432" s="21" t="s">
        <v>183</v>
      </c>
      <c r="F432" s="21" t="s">
        <v>183</v>
      </c>
      <c r="G432" s="21" t="s">
        <v>256</v>
      </c>
      <c r="H432" s="21" t="s">
        <v>3768</v>
      </c>
      <c r="I432" s="21" t="s">
        <v>3769</v>
      </c>
      <c r="J432" s="21" t="s">
        <v>3770</v>
      </c>
      <c r="K432" s="21" t="e">
        <f t="shared" ca="1" si="2"/>
        <v>#NAME?</v>
      </c>
      <c r="L432" s="24">
        <v>2010</v>
      </c>
      <c r="M432" s="21">
        <v>2023</v>
      </c>
      <c r="N432" s="21" t="s">
        <v>402</v>
      </c>
      <c r="O432" s="21" t="s">
        <v>316</v>
      </c>
      <c r="P432" s="26">
        <v>8607802071</v>
      </c>
      <c r="Q432" s="26" t="e">
        <f t="shared" ca="1" si="3"/>
        <v>#NAME?</v>
      </c>
      <c r="R432" s="21" t="s">
        <v>3771</v>
      </c>
      <c r="S432" s="21" t="s">
        <v>3772</v>
      </c>
      <c r="T432" s="21" t="s">
        <v>3773</v>
      </c>
      <c r="U432" s="21" t="s">
        <v>127</v>
      </c>
      <c r="V432" s="21" t="s">
        <v>3774</v>
      </c>
      <c r="W432" s="21" t="s">
        <v>3775</v>
      </c>
      <c r="X432" s="21" t="s">
        <v>3776</v>
      </c>
      <c r="Y432" s="21" t="s">
        <v>1067</v>
      </c>
      <c r="Z432" s="21" t="s">
        <v>3777</v>
      </c>
      <c r="AA432" s="21" t="s">
        <v>3778</v>
      </c>
      <c r="AB432" s="21" t="s">
        <v>363</v>
      </c>
      <c r="AC432" s="21" t="s">
        <v>3779</v>
      </c>
      <c r="AD432" s="21" t="s">
        <v>287</v>
      </c>
      <c r="AE432" s="21" t="s">
        <v>332</v>
      </c>
      <c r="AF432" s="21" t="s">
        <v>135</v>
      </c>
      <c r="AG432" s="21" t="s">
        <v>135</v>
      </c>
      <c r="AH432" s="21" t="s">
        <v>135</v>
      </c>
      <c r="AI432" s="21" t="s">
        <v>135</v>
      </c>
    </row>
    <row r="433" spans="1:36" ht="15.75" customHeight="1" x14ac:dyDescent="0.3">
      <c r="A433" s="21">
        <v>2025</v>
      </c>
      <c r="B433" s="22">
        <v>46049.878856597221</v>
      </c>
      <c r="C433" s="21" t="s">
        <v>183</v>
      </c>
      <c r="D433" s="21" t="s">
        <v>183</v>
      </c>
      <c r="E433" s="21" t="s">
        <v>183</v>
      </c>
      <c r="F433" s="21" t="s">
        <v>183</v>
      </c>
      <c r="G433" s="21" t="s">
        <v>256</v>
      </c>
      <c r="H433" s="21" t="s">
        <v>3780</v>
      </c>
      <c r="I433" s="21" t="s">
        <v>1461</v>
      </c>
      <c r="J433" s="21" t="s">
        <v>1464</v>
      </c>
      <c r="K433" s="21" t="e">
        <f t="shared" ca="1" si="2"/>
        <v>#NAME?</v>
      </c>
      <c r="L433" s="24">
        <v>2012</v>
      </c>
      <c r="M433" s="21">
        <v>2019</v>
      </c>
      <c r="N433" s="21" t="s">
        <v>111</v>
      </c>
      <c r="O433" s="21" t="s">
        <v>112</v>
      </c>
      <c r="P433" s="26">
        <v>9611932143</v>
      </c>
      <c r="Q433" s="26" t="e">
        <f t="shared" ca="1" si="3"/>
        <v>#NAME?</v>
      </c>
      <c r="R433" s="21" t="s">
        <v>188</v>
      </c>
      <c r="S433" s="21" t="s">
        <v>3781</v>
      </c>
      <c r="T433" s="21">
        <v>9940343476</v>
      </c>
      <c r="U433" s="21" t="s">
        <v>127</v>
      </c>
      <c r="V433" s="21" t="s">
        <v>265</v>
      </c>
      <c r="W433" s="21" t="s">
        <v>3482</v>
      </c>
      <c r="X433" s="21" t="s">
        <v>211</v>
      </c>
      <c r="Y433" s="21" t="s">
        <v>506</v>
      </c>
      <c r="Z433" s="21" t="s">
        <v>3782</v>
      </c>
      <c r="AA433" s="21" t="s">
        <v>2004</v>
      </c>
      <c r="AB433" s="21" t="s">
        <v>363</v>
      </c>
      <c r="AC433" s="21" t="s">
        <v>3784</v>
      </c>
      <c r="AD433" s="21" t="s">
        <v>132</v>
      </c>
      <c r="AE433" s="21" t="s">
        <v>365</v>
      </c>
      <c r="AF433" s="21" t="s">
        <v>135</v>
      </c>
      <c r="AG433" s="21" t="s">
        <v>135</v>
      </c>
      <c r="AH433" s="21" t="s">
        <v>135</v>
      </c>
      <c r="AI433" s="21" t="s">
        <v>135</v>
      </c>
    </row>
    <row r="434" spans="1:36" ht="15.75" customHeight="1" x14ac:dyDescent="0.3">
      <c r="A434" s="21">
        <v>2026</v>
      </c>
      <c r="B434" s="22">
        <v>46046.965171956021</v>
      </c>
      <c r="C434" s="21" t="s">
        <v>183</v>
      </c>
      <c r="D434" s="21" t="s">
        <v>183</v>
      </c>
      <c r="E434" s="21" t="s">
        <v>183</v>
      </c>
      <c r="F434" s="21" t="s">
        <v>183</v>
      </c>
      <c r="G434" s="21" t="s">
        <v>93</v>
      </c>
      <c r="H434" s="21" t="s">
        <v>3785</v>
      </c>
      <c r="I434" s="21" t="s">
        <v>3786</v>
      </c>
      <c r="J434" s="21" t="s">
        <v>3787</v>
      </c>
      <c r="K434" s="21" t="e">
        <f t="shared" ca="1" si="2"/>
        <v>#NAME?</v>
      </c>
      <c r="L434" s="24">
        <v>1978</v>
      </c>
      <c r="M434" s="21">
        <v>2006</v>
      </c>
      <c r="N434" s="21" t="s">
        <v>111</v>
      </c>
      <c r="O434" s="21" t="s">
        <v>112</v>
      </c>
      <c r="P434" s="26">
        <v>9448008696</v>
      </c>
      <c r="Q434" s="26" t="e">
        <f t="shared" ca="1" si="3"/>
        <v>#NAME?</v>
      </c>
      <c r="R434" s="21" t="s">
        <v>664</v>
      </c>
      <c r="S434" s="21" t="s">
        <v>3788</v>
      </c>
      <c r="T434" s="21" t="s">
        <v>3789</v>
      </c>
      <c r="U434" s="21" t="s">
        <v>3790</v>
      </c>
      <c r="V434" s="21" t="s">
        <v>284</v>
      </c>
      <c r="W434" s="21" t="s">
        <v>219</v>
      </c>
      <c r="X434" s="21" t="s">
        <v>3791</v>
      </c>
      <c r="Y434" s="21" t="s">
        <v>3792</v>
      </c>
      <c r="Z434" s="21" t="s">
        <v>284</v>
      </c>
      <c r="AA434" s="21" t="s">
        <v>3793</v>
      </c>
      <c r="AB434" s="21" t="s">
        <v>363</v>
      </c>
      <c r="AC434" s="21" t="s">
        <v>3794</v>
      </c>
      <c r="AD434" s="21" t="s">
        <v>287</v>
      </c>
      <c r="AE434" s="21" t="s">
        <v>365</v>
      </c>
      <c r="AF434" s="21" t="s">
        <v>135</v>
      </c>
      <c r="AG434" s="21" t="s">
        <v>135</v>
      </c>
      <c r="AH434" s="21" t="s">
        <v>135</v>
      </c>
      <c r="AI434" s="21" t="s">
        <v>135</v>
      </c>
      <c r="AJ434" s="21" t="s">
        <v>3795</v>
      </c>
    </row>
    <row r="435" spans="1:36" ht="15.75" customHeight="1" x14ac:dyDescent="0.3">
      <c r="A435" s="21">
        <v>2026</v>
      </c>
      <c r="B435" s="22">
        <v>46047.123371180554</v>
      </c>
      <c r="C435" s="21" t="s">
        <v>183</v>
      </c>
      <c r="D435" s="21" t="s">
        <v>183</v>
      </c>
      <c r="E435" s="21" t="s">
        <v>183</v>
      </c>
      <c r="F435" s="21" t="s">
        <v>183</v>
      </c>
      <c r="G435" s="21" t="s">
        <v>93</v>
      </c>
      <c r="H435" s="21" t="s">
        <v>3796</v>
      </c>
      <c r="I435" s="21" t="s">
        <v>3797</v>
      </c>
      <c r="J435" s="21" t="s">
        <v>3798</v>
      </c>
      <c r="K435" s="21" t="e">
        <f t="shared" ca="1" si="2"/>
        <v>#NAME?</v>
      </c>
      <c r="L435" s="24">
        <v>2002</v>
      </c>
      <c r="M435" s="21">
        <v>2023</v>
      </c>
      <c r="N435" s="21" t="s">
        <v>111</v>
      </c>
      <c r="O435" s="21" t="s">
        <v>112</v>
      </c>
      <c r="P435" s="26">
        <v>9384604184</v>
      </c>
      <c r="Q435" s="26" t="e">
        <f t="shared" ca="1" si="3"/>
        <v>#NAME?</v>
      </c>
      <c r="R435" s="21" t="s">
        <v>3799</v>
      </c>
      <c r="S435" s="21" t="s">
        <v>3800</v>
      </c>
      <c r="T435" s="21">
        <v>8374522975</v>
      </c>
      <c r="U435" s="21" t="s">
        <v>127</v>
      </c>
      <c r="V435" s="21" t="s">
        <v>3801</v>
      </c>
      <c r="W435" s="21" t="s">
        <v>307</v>
      </c>
      <c r="X435" s="21" t="s">
        <v>308</v>
      </c>
      <c r="Y435" s="21" t="s">
        <v>536</v>
      </c>
      <c r="Z435" s="21" t="s">
        <v>127</v>
      </c>
      <c r="AA435" s="21" t="s">
        <v>285</v>
      </c>
      <c r="AB435" s="21" t="s">
        <v>363</v>
      </c>
      <c r="AC435" s="21" t="s">
        <v>3802</v>
      </c>
      <c r="AD435" s="21" t="s">
        <v>287</v>
      </c>
      <c r="AE435" s="21" t="s">
        <v>365</v>
      </c>
      <c r="AF435" s="21" t="s">
        <v>135</v>
      </c>
      <c r="AG435" s="21" t="s">
        <v>135</v>
      </c>
      <c r="AH435" s="21" t="s">
        <v>135</v>
      </c>
      <c r="AI435" s="21" t="s">
        <v>135</v>
      </c>
      <c r="AJ435" s="21" t="s">
        <v>3803</v>
      </c>
    </row>
    <row r="436" spans="1:36" ht="15.75" customHeight="1" x14ac:dyDescent="0.3">
      <c r="A436" s="21">
        <v>2026</v>
      </c>
      <c r="B436" s="22">
        <v>46052.365643611112</v>
      </c>
      <c r="C436" s="21" t="s">
        <v>183</v>
      </c>
      <c r="D436" s="21" t="s">
        <v>183</v>
      </c>
      <c r="E436" s="21" t="s">
        <v>183</v>
      </c>
      <c r="F436" s="21" t="s">
        <v>183</v>
      </c>
      <c r="G436" s="21" t="s">
        <v>93</v>
      </c>
      <c r="H436" s="21" t="s">
        <v>3804</v>
      </c>
      <c r="I436" s="21" t="s">
        <v>3805</v>
      </c>
      <c r="J436" s="21" t="s">
        <v>3806</v>
      </c>
      <c r="K436" s="21" t="e">
        <f t="shared" ca="1" si="2"/>
        <v>#NAME?</v>
      </c>
      <c r="L436" s="24">
        <v>1996</v>
      </c>
      <c r="M436" s="21">
        <v>2012</v>
      </c>
      <c r="N436" s="21" t="s">
        <v>111</v>
      </c>
      <c r="O436" s="21" t="s">
        <v>112</v>
      </c>
      <c r="P436" s="26">
        <v>9788573246</v>
      </c>
      <c r="Q436" s="26" t="e">
        <f t="shared" ca="1" si="3"/>
        <v>#NAME?</v>
      </c>
      <c r="R436" s="21" t="s">
        <v>3807</v>
      </c>
      <c r="S436" s="21" t="s">
        <v>3808</v>
      </c>
      <c r="T436" s="21" t="s">
        <v>3166</v>
      </c>
      <c r="U436" s="21" t="s">
        <v>127</v>
      </c>
      <c r="V436" s="21" t="s">
        <v>3809</v>
      </c>
      <c r="W436" s="21" t="s">
        <v>307</v>
      </c>
      <c r="X436" s="21" t="s">
        <v>3810</v>
      </c>
      <c r="Y436" s="21" t="s">
        <v>2685</v>
      </c>
      <c r="Z436" s="21" t="s">
        <v>127</v>
      </c>
      <c r="AA436" s="21" t="s">
        <v>3811</v>
      </c>
      <c r="AB436" s="21" t="s">
        <v>363</v>
      </c>
      <c r="AC436" s="21" t="s">
        <v>3812</v>
      </c>
      <c r="AD436" s="21" t="s">
        <v>132</v>
      </c>
      <c r="AE436" s="21" t="s">
        <v>365</v>
      </c>
      <c r="AF436" s="21" t="s">
        <v>135</v>
      </c>
      <c r="AG436" s="21" t="s">
        <v>135</v>
      </c>
      <c r="AH436" s="21" t="s">
        <v>135</v>
      </c>
      <c r="AI436" s="21" t="s">
        <v>135</v>
      </c>
    </row>
    <row r="437" spans="1:36" ht="15.75" customHeight="1" x14ac:dyDescent="0.3">
      <c r="A437" s="21">
        <v>2026</v>
      </c>
      <c r="B437" s="22">
        <v>46054.429047743055</v>
      </c>
      <c r="C437" s="21" t="s">
        <v>183</v>
      </c>
      <c r="D437" s="21" t="s">
        <v>183</v>
      </c>
      <c r="E437" s="21" t="s">
        <v>183</v>
      </c>
      <c r="F437" s="21" t="s">
        <v>183</v>
      </c>
      <c r="G437" s="21" t="s">
        <v>93</v>
      </c>
      <c r="H437" s="21" t="s">
        <v>3813</v>
      </c>
      <c r="I437" s="21" t="s">
        <v>2522</v>
      </c>
      <c r="J437" s="21" t="s">
        <v>281</v>
      </c>
      <c r="K437" s="21" t="e">
        <f t="shared" ca="1" si="2"/>
        <v>#NAME?</v>
      </c>
      <c r="L437" s="24">
        <v>1974</v>
      </c>
      <c r="M437" s="21">
        <v>1998</v>
      </c>
      <c r="N437" s="21" t="s">
        <v>111</v>
      </c>
      <c r="O437" s="21" t="s">
        <v>112</v>
      </c>
      <c r="P437" s="26">
        <v>9490523130</v>
      </c>
      <c r="Q437" s="26" t="e">
        <f t="shared" ca="1" si="3"/>
        <v>#NAME?</v>
      </c>
      <c r="R437" s="21" t="s">
        <v>3251</v>
      </c>
      <c r="S437" s="21" t="s">
        <v>3814</v>
      </c>
      <c r="T437" s="21">
        <v>9000580605</v>
      </c>
      <c r="U437" s="21" t="s">
        <v>3815</v>
      </c>
      <c r="V437" s="21" t="s">
        <v>127</v>
      </c>
      <c r="W437" s="21" t="s">
        <v>328</v>
      </c>
      <c r="X437" s="21" t="s">
        <v>211</v>
      </c>
      <c r="Y437" s="21" t="s">
        <v>211</v>
      </c>
      <c r="Z437" s="21" t="s">
        <v>127</v>
      </c>
      <c r="AA437" s="21" t="s">
        <v>3816</v>
      </c>
      <c r="AB437" s="21" t="s">
        <v>363</v>
      </c>
      <c r="AC437" s="21" t="s">
        <v>3817</v>
      </c>
      <c r="AD437" s="21" t="s">
        <v>132</v>
      </c>
      <c r="AE437" s="21" t="s">
        <v>365</v>
      </c>
      <c r="AF437" s="21" t="s">
        <v>135</v>
      </c>
      <c r="AG437" s="21" t="s">
        <v>135</v>
      </c>
      <c r="AH437" s="21" t="s">
        <v>135</v>
      </c>
      <c r="AI437" s="21" t="s">
        <v>135</v>
      </c>
    </row>
    <row r="438" spans="1:36" ht="15.75" customHeight="1" x14ac:dyDescent="0.3">
      <c r="A438" s="21">
        <v>2026</v>
      </c>
      <c r="B438" s="22">
        <v>46054.911743726851</v>
      </c>
      <c r="C438" s="21" t="s">
        <v>183</v>
      </c>
      <c r="D438" s="21" t="s">
        <v>183</v>
      </c>
      <c r="E438" s="21" t="s">
        <v>183</v>
      </c>
      <c r="F438" s="21" t="s">
        <v>183</v>
      </c>
      <c r="G438" s="21" t="s">
        <v>93</v>
      </c>
      <c r="H438" s="21" t="s">
        <v>3818</v>
      </c>
      <c r="I438" s="21" t="s">
        <v>3819</v>
      </c>
      <c r="J438" s="21" t="s">
        <v>2576</v>
      </c>
      <c r="K438" s="21" t="e">
        <f t="shared" ca="1" si="2"/>
        <v>#NAME?</v>
      </c>
      <c r="L438" s="24">
        <v>1996</v>
      </c>
      <c r="M438" s="21">
        <v>2005</v>
      </c>
      <c r="N438" s="21" t="s">
        <v>111</v>
      </c>
      <c r="O438" s="21" t="s">
        <v>112</v>
      </c>
      <c r="P438" s="26">
        <v>9884047069</v>
      </c>
      <c r="Q438" s="26" t="e">
        <f t="shared" ca="1" si="3"/>
        <v>#NAME?</v>
      </c>
      <c r="R438" s="21" t="s">
        <v>2191</v>
      </c>
      <c r="S438" s="21" t="s">
        <v>2554</v>
      </c>
      <c r="T438" s="21">
        <v>9885888814</v>
      </c>
      <c r="U438" s="21" t="s">
        <v>3820</v>
      </c>
      <c r="V438" s="21" t="s">
        <v>127</v>
      </c>
      <c r="W438" s="21" t="s">
        <v>488</v>
      </c>
      <c r="X438" s="21" t="s">
        <v>3821</v>
      </c>
      <c r="Y438" s="21" t="s">
        <v>3822</v>
      </c>
      <c r="Z438" s="21" t="s">
        <v>127</v>
      </c>
      <c r="AA438" s="21" t="s">
        <v>3823</v>
      </c>
      <c r="AB438" s="21" t="s">
        <v>363</v>
      </c>
      <c r="AC438" s="21" t="s">
        <v>3824</v>
      </c>
      <c r="AD438" s="21" t="s">
        <v>169</v>
      </c>
      <c r="AE438" s="21" t="s">
        <v>365</v>
      </c>
      <c r="AF438" s="21" t="s">
        <v>135</v>
      </c>
      <c r="AG438" s="21" t="s">
        <v>135</v>
      </c>
      <c r="AH438" s="21" t="s">
        <v>135</v>
      </c>
      <c r="AI438" s="21" t="s">
        <v>135</v>
      </c>
      <c r="AJ438" s="21" t="s">
        <v>3825</v>
      </c>
    </row>
    <row r="439" spans="1:36" ht="15.75" customHeight="1" x14ac:dyDescent="0.3">
      <c r="A439" s="21">
        <v>2026</v>
      </c>
      <c r="B439" s="22">
        <v>46068.339714976857</v>
      </c>
      <c r="C439" s="21" t="s">
        <v>183</v>
      </c>
      <c r="D439" s="21" t="s">
        <v>183</v>
      </c>
      <c r="E439" s="21" t="s">
        <v>183</v>
      </c>
      <c r="F439" s="21" t="s">
        <v>183</v>
      </c>
      <c r="G439" s="21" t="s">
        <v>93</v>
      </c>
      <c r="H439" s="21" t="s">
        <v>3826</v>
      </c>
      <c r="I439" s="21" t="s">
        <v>3827</v>
      </c>
      <c r="J439" s="21" t="s">
        <v>3828</v>
      </c>
      <c r="K439" s="21" t="e">
        <f t="shared" ca="1" si="2"/>
        <v>#NAME?</v>
      </c>
      <c r="L439" s="24">
        <v>1977</v>
      </c>
      <c r="M439" s="21">
        <v>1990</v>
      </c>
      <c r="N439" s="21" t="s">
        <v>111</v>
      </c>
      <c r="O439" s="21" t="s">
        <v>112</v>
      </c>
      <c r="P439" s="26">
        <v>9440564502</v>
      </c>
      <c r="Q439" s="26" t="e">
        <f t="shared" ca="1" si="3"/>
        <v>#NAME?</v>
      </c>
      <c r="R439" s="21" t="s">
        <v>188</v>
      </c>
      <c r="S439" s="21" t="s">
        <v>3829</v>
      </c>
      <c r="T439" s="21">
        <v>9866906410</v>
      </c>
      <c r="U439" s="21" t="s">
        <v>3830</v>
      </c>
      <c r="V439" s="21" t="s">
        <v>127</v>
      </c>
      <c r="W439" s="21" t="s">
        <v>3831</v>
      </c>
      <c r="X439" s="21" t="s">
        <v>3832</v>
      </c>
      <c r="Y439" s="21" t="s">
        <v>3833</v>
      </c>
      <c r="Z439" s="21" t="s">
        <v>127</v>
      </c>
      <c r="AA439" s="21" t="s">
        <v>450</v>
      </c>
      <c r="AB439" s="21" t="s">
        <v>363</v>
      </c>
      <c r="AC439" s="21" t="s">
        <v>3834</v>
      </c>
      <c r="AD439" s="21" t="s">
        <v>132</v>
      </c>
      <c r="AE439" s="21" t="s">
        <v>365</v>
      </c>
      <c r="AF439" s="21" t="s">
        <v>135</v>
      </c>
      <c r="AG439" s="21" t="s">
        <v>135</v>
      </c>
      <c r="AH439" s="21" t="s">
        <v>135</v>
      </c>
      <c r="AI439" s="21" t="s">
        <v>135</v>
      </c>
    </row>
    <row r="440" spans="1:36" ht="15.75" customHeight="1" x14ac:dyDescent="0.3">
      <c r="A440" s="21">
        <v>2026</v>
      </c>
      <c r="B440" s="22">
        <v>46076.435094814813</v>
      </c>
      <c r="C440" s="21" t="s">
        <v>183</v>
      </c>
      <c r="D440" s="21" t="s">
        <v>183</v>
      </c>
      <c r="E440" s="21" t="s">
        <v>183</v>
      </c>
      <c r="F440" s="21" t="s">
        <v>183</v>
      </c>
      <c r="G440" s="21" t="s">
        <v>93</v>
      </c>
      <c r="H440" s="21" t="s">
        <v>3835</v>
      </c>
      <c r="I440" s="21" t="s">
        <v>214</v>
      </c>
      <c r="J440" s="21" t="s">
        <v>3836</v>
      </c>
      <c r="K440" s="21" t="e">
        <f t="shared" ca="1" si="2"/>
        <v>#NAME?</v>
      </c>
      <c r="L440" s="24">
        <v>1994</v>
      </c>
      <c r="M440" s="21">
        <v>2015</v>
      </c>
      <c r="N440" s="21" t="s">
        <v>111</v>
      </c>
      <c r="O440" s="21" t="s">
        <v>112</v>
      </c>
      <c r="P440" s="26">
        <v>7981966069</v>
      </c>
      <c r="Q440" s="26" t="e">
        <f t="shared" ca="1" si="3"/>
        <v>#NAME?</v>
      </c>
      <c r="R440" s="21" t="s">
        <v>188</v>
      </c>
      <c r="S440" s="21" t="s">
        <v>3837</v>
      </c>
      <c r="T440" s="21" t="s">
        <v>3838</v>
      </c>
      <c r="U440" s="21" t="s">
        <v>3839</v>
      </c>
      <c r="V440" s="21" t="s">
        <v>127</v>
      </c>
      <c r="W440" s="21" t="s">
        <v>3840</v>
      </c>
      <c r="X440" s="21" t="s">
        <v>211</v>
      </c>
      <c r="Y440" s="21" t="s">
        <v>211</v>
      </c>
      <c r="Z440" s="21" t="s">
        <v>127</v>
      </c>
      <c r="AA440" s="21" t="s">
        <v>285</v>
      </c>
      <c r="AB440" s="21" t="s">
        <v>363</v>
      </c>
      <c r="AC440" s="21" t="s">
        <v>3841</v>
      </c>
      <c r="AD440" s="21" t="s">
        <v>132</v>
      </c>
      <c r="AE440" s="21" t="s">
        <v>365</v>
      </c>
      <c r="AF440" s="21" t="s">
        <v>135</v>
      </c>
      <c r="AG440" s="21" t="s">
        <v>135</v>
      </c>
      <c r="AH440" s="21" t="s">
        <v>135</v>
      </c>
      <c r="AI440" s="21" t="s">
        <v>135</v>
      </c>
      <c r="AJ440" s="21" t="s">
        <v>3843</v>
      </c>
    </row>
    <row r="441" spans="1:36" ht="15.75" customHeight="1" x14ac:dyDescent="0.3">
      <c r="A441" s="21">
        <v>2026</v>
      </c>
      <c r="B441" s="22">
        <v>46085.803949861111</v>
      </c>
      <c r="C441" s="21" t="s">
        <v>183</v>
      </c>
      <c r="D441" s="21" t="s">
        <v>183</v>
      </c>
      <c r="E441" s="21" t="s">
        <v>183</v>
      </c>
      <c r="F441" s="21" t="s">
        <v>183</v>
      </c>
      <c r="G441" s="21" t="s">
        <v>93</v>
      </c>
      <c r="H441" s="21" t="s">
        <v>3844</v>
      </c>
      <c r="I441" s="21" t="s">
        <v>1239</v>
      </c>
      <c r="J441" s="21" t="s">
        <v>3845</v>
      </c>
      <c r="K441" s="21" t="e">
        <f t="shared" ca="1" si="2"/>
        <v>#NAME?</v>
      </c>
      <c r="L441" s="24">
        <v>1974</v>
      </c>
      <c r="M441" s="21">
        <v>1997</v>
      </c>
      <c r="N441" s="21" t="s">
        <v>315</v>
      </c>
      <c r="O441" s="21" t="s">
        <v>316</v>
      </c>
      <c r="P441" s="26">
        <v>9528385452</v>
      </c>
      <c r="Q441" s="26" t="e">
        <f t="shared" ca="1" si="3"/>
        <v>#NAME?</v>
      </c>
      <c r="R441" s="21" t="s">
        <v>3846</v>
      </c>
      <c r="S441" s="21" t="s">
        <v>3847</v>
      </c>
      <c r="T441" s="21">
        <v>8329691386</v>
      </c>
      <c r="U441" s="21" t="s">
        <v>3848</v>
      </c>
      <c r="V441" s="21" t="s">
        <v>127</v>
      </c>
      <c r="W441" s="21" t="s">
        <v>3849</v>
      </c>
      <c r="X441" s="21" t="s">
        <v>179</v>
      </c>
      <c r="Y441" s="21" t="s">
        <v>179</v>
      </c>
      <c r="Z441" s="21" t="s">
        <v>127</v>
      </c>
      <c r="AA441" s="21" t="s">
        <v>450</v>
      </c>
      <c r="AB441" s="21" t="s">
        <v>363</v>
      </c>
      <c r="AC441" s="21" t="s">
        <v>3850</v>
      </c>
      <c r="AD441" s="21" t="s">
        <v>287</v>
      </c>
      <c r="AE441" s="21" t="s">
        <v>332</v>
      </c>
      <c r="AF441" s="21" t="s">
        <v>135</v>
      </c>
      <c r="AG441" s="21" t="s">
        <v>135</v>
      </c>
      <c r="AH441" s="21" t="s">
        <v>135</v>
      </c>
      <c r="AI441" s="21" t="s">
        <v>135</v>
      </c>
    </row>
    <row r="442" spans="1:36" ht="15.75" customHeight="1" x14ac:dyDescent="0.3">
      <c r="A442" s="21">
        <v>2026</v>
      </c>
      <c r="B442" s="22">
        <v>46088.244294328702</v>
      </c>
      <c r="C442" s="21" t="s">
        <v>183</v>
      </c>
      <c r="D442" s="21" t="s">
        <v>183</v>
      </c>
      <c r="E442" s="21" t="s">
        <v>183</v>
      </c>
      <c r="F442" s="21" t="s">
        <v>183</v>
      </c>
      <c r="G442" s="21" t="s">
        <v>93</v>
      </c>
      <c r="H442" s="21" t="s">
        <v>3851</v>
      </c>
      <c r="I442" s="21" t="s">
        <v>3852</v>
      </c>
      <c r="J442" s="21" t="s">
        <v>3853</v>
      </c>
      <c r="K442" s="21" t="e">
        <f t="shared" ca="1" si="2"/>
        <v>#NAME?</v>
      </c>
      <c r="L442" s="24">
        <v>2002</v>
      </c>
      <c r="M442" s="21">
        <v>2014</v>
      </c>
      <c r="N442" s="21" t="s">
        <v>111</v>
      </c>
      <c r="O442" s="21" t="s">
        <v>112</v>
      </c>
      <c r="P442" s="26">
        <v>7670980681</v>
      </c>
      <c r="Q442" s="26" t="e">
        <f t="shared" ca="1" si="3"/>
        <v>#NAME?</v>
      </c>
      <c r="R442" s="21" t="s">
        <v>188</v>
      </c>
      <c r="S442" s="21" t="s">
        <v>3341</v>
      </c>
      <c r="T442" s="21">
        <v>9100119679</v>
      </c>
      <c r="U442" s="21" t="s">
        <v>127</v>
      </c>
      <c r="V442" s="21" t="s">
        <v>3854</v>
      </c>
      <c r="W442" s="21" t="s">
        <v>3855</v>
      </c>
      <c r="X442" s="21" t="s">
        <v>571</v>
      </c>
      <c r="Y442" s="21" t="s">
        <v>571</v>
      </c>
      <c r="Z442" s="21" t="s">
        <v>3341</v>
      </c>
      <c r="AA442" s="21" t="s">
        <v>285</v>
      </c>
      <c r="AB442" s="21" t="s">
        <v>363</v>
      </c>
      <c r="AC442" s="21" t="s">
        <v>3856</v>
      </c>
      <c r="AD442" s="21" t="s">
        <v>132</v>
      </c>
      <c r="AE442" s="21" t="s">
        <v>365</v>
      </c>
      <c r="AF442" s="21" t="s">
        <v>135</v>
      </c>
      <c r="AG442" s="21" t="s">
        <v>135</v>
      </c>
      <c r="AH442" s="21" t="s">
        <v>135</v>
      </c>
      <c r="AI442" s="21" t="s">
        <v>135</v>
      </c>
      <c r="AJ442" s="21" t="s">
        <v>3857</v>
      </c>
    </row>
    <row r="443" spans="1:36" ht="15.75" customHeight="1" x14ac:dyDescent="0.3">
      <c r="A443" s="21">
        <v>2026</v>
      </c>
      <c r="B443" s="22">
        <v>46089.626758738421</v>
      </c>
      <c r="C443" s="21" t="s">
        <v>183</v>
      </c>
      <c r="D443" s="21" t="s">
        <v>183</v>
      </c>
      <c r="E443" s="21" t="s">
        <v>183</v>
      </c>
      <c r="F443" s="21" t="s">
        <v>183</v>
      </c>
      <c r="G443" s="21" t="s">
        <v>93</v>
      </c>
      <c r="H443" s="21" t="s">
        <v>3858</v>
      </c>
      <c r="I443" s="21" t="s">
        <v>1969</v>
      </c>
      <c r="J443" s="21" t="s">
        <v>3553</v>
      </c>
      <c r="K443" s="21" t="e">
        <f t="shared" ca="1" si="2"/>
        <v>#NAME?</v>
      </c>
      <c r="L443" s="24">
        <v>1976</v>
      </c>
      <c r="M443" s="21">
        <v>2001</v>
      </c>
      <c r="N443" s="21" t="s">
        <v>474</v>
      </c>
      <c r="O443" s="21" t="s">
        <v>316</v>
      </c>
      <c r="P443" s="26">
        <v>4082306344</v>
      </c>
      <c r="Q443" s="26" t="e">
        <f t="shared" ca="1" si="3"/>
        <v>#NAME?</v>
      </c>
      <c r="R443" s="21" t="s">
        <v>3859</v>
      </c>
      <c r="S443" s="21" t="s">
        <v>3860</v>
      </c>
      <c r="T443" s="21">
        <v>8582310914</v>
      </c>
      <c r="U443" s="21" t="s">
        <v>3861</v>
      </c>
      <c r="V443" s="21" t="s">
        <v>127</v>
      </c>
      <c r="W443" s="21" t="s">
        <v>307</v>
      </c>
      <c r="X443" s="21" t="s">
        <v>3862</v>
      </c>
      <c r="Y443" s="21" t="s">
        <v>3862</v>
      </c>
      <c r="Z443" s="21" t="s">
        <v>127</v>
      </c>
      <c r="AA443" s="21" t="s">
        <v>450</v>
      </c>
      <c r="AB443" s="21" t="s">
        <v>3591</v>
      </c>
      <c r="AC443" s="21" t="s">
        <v>3863</v>
      </c>
      <c r="AD443" s="21" t="s">
        <v>132</v>
      </c>
      <c r="AE443" s="21" t="s">
        <v>365</v>
      </c>
      <c r="AF443" s="21" t="s">
        <v>135</v>
      </c>
      <c r="AG443" s="21" t="s">
        <v>135</v>
      </c>
      <c r="AH443" s="21" t="s">
        <v>686</v>
      </c>
      <c r="AI443" s="21" t="s">
        <v>135</v>
      </c>
    </row>
    <row r="444" spans="1:36" ht="15.75" customHeight="1" x14ac:dyDescent="0.3">
      <c r="A444" s="21">
        <v>2026</v>
      </c>
      <c r="B444" s="22">
        <v>46091.15610028935</v>
      </c>
      <c r="C444" s="21" t="s">
        <v>183</v>
      </c>
      <c r="D444" s="21" t="s">
        <v>183</v>
      </c>
      <c r="E444" s="21" t="s">
        <v>183</v>
      </c>
      <c r="F444" s="21" t="s">
        <v>183</v>
      </c>
      <c r="G444" s="21" t="s">
        <v>93</v>
      </c>
      <c r="H444" s="21" t="s">
        <v>3864</v>
      </c>
      <c r="I444" s="21" t="s">
        <v>3865</v>
      </c>
      <c r="J444" s="21" t="s">
        <v>3866</v>
      </c>
      <c r="K444" s="21" t="e">
        <f t="shared" ca="1" si="2"/>
        <v>#NAME?</v>
      </c>
      <c r="L444" s="24">
        <v>1992</v>
      </c>
      <c r="M444" s="21">
        <v>2008</v>
      </c>
      <c r="N444" s="21" t="s">
        <v>111</v>
      </c>
      <c r="O444" s="21" t="s">
        <v>112</v>
      </c>
      <c r="P444" s="26">
        <v>7601050990</v>
      </c>
      <c r="Q444" s="26" t="e">
        <f t="shared" ca="1" si="3"/>
        <v>#NAME?</v>
      </c>
      <c r="R444" s="21" t="s">
        <v>595</v>
      </c>
      <c r="S444" s="21" t="s">
        <v>3572</v>
      </c>
      <c r="T444" s="21" t="s">
        <v>3867</v>
      </c>
      <c r="U444" s="21" t="s">
        <v>3868</v>
      </c>
      <c r="V444" s="21" t="s">
        <v>127</v>
      </c>
      <c r="W444" s="21" t="s">
        <v>251</v>
      </c>
      <c r="X444" s="21" t="s">
        <v>308</v>
      </c>
      <c r="Y444" s="21" t="s">
        <v>536</v>
      </c>
      <c r="Z444" s="21" t="s">
        <v>127</v>
      </c>
      <c r="AA444" s="21" t="s">
        <v>608</v>
      </c>
      <c r="AB444" s="21" t="s">
        <v>363</v>
      </c>
      <c r="AC444" s="21" t="s">
        <v>3869</v>
      </c>
      <c r="AD444" s="21" t="s">
        <v>132</v>
      </c>
      <c r="AE444" s="21" t="s">
        <v>365</v>
      </c>
      <c r="AF444" s="21" t="s">
        <v>135</v>
      </c>
      <c r="AG444" s="21" t="s">
        <v>135</v>
      </c>
      <c r="AH444" s="21" t="s">
        <v>135</v>
      </c>
      <c r="AI444" s="21" t="s">
        <v>135</v>
      </c>
      <c r="AJ444" s="21" t="s">
        <v>3870</v>
      </c>
    </row>
    <row r="445" spans="1:36" ht="15.75" customHeight="1" x14ac:dyDescent="0.3">
      <c r="A445" s="21">
        <v>2026</v>
      </c>
      <c r="B445" s="22">
        <v>46094.390357881945</v>
      </c>
      <c r="C445" s="21" t="s">
        <v>183</v>
      </c>
      <c r="D445" s="21" t="s">
        <v>183</v>
      </c>
      <c r="E445" s="21" t="s">
        <v>183</v>
      </c>
      <c r="F445" s="21" t="s">
        <v>183</v>
      </c>
      <c r="G445" s="21" t="s">
        <v>93</v>
      </c>
      <c r="H445" s="21" t="s">
        <v>3871</v>
      </c>
      <c r="I445" s="21" t="s">
        <v>3872</v>
      </c>
      <c r="J445" s="21" t="s">
        <v>3873</v>
      </c>
      <c r="K445" s="21" t="e">
        <f t="shared" ca="1" si="2"/>
        <v>#NAME?</v>
      </c>
      <c r="L445" s="24">
        <v>1983</v>
      </c>
      <c r="M445" s="21">
        <v>2004</v>
      </c>
      <c r="N445" s="21" t="s">
        <v>111</v>
      </c>
      <c r="O445" s="21" t="s">
        <v>112</v>
      </c>
      <c r="P445" s="26">
        <v>8197603680</v>
      </c>
      <c r="Q445" s="26" t="e">
        <f t="shared" ca="1" si="3"/>
        <v>#NAME?</v>
      </c>
      <c r="R445" s="21" t="s">
        <v>551</v>
      </c>
      <c r="S445" s="21" t="s">
        <v>3572</v>
      </c>
      <c r="T445" s="21" t="s">
        <v>3867</v>
      </c>
      <c r="U445" s="21" t="s">
        <v>3874</v>
      </c>
      <c r="V445" s="21" t="s">
        <v>127</v>
      </c>
      <c r="W445" s="21" t="s">
        <v>307</v>
      </c>
      <c r="X445" s="21" t="s">
        <v>1881</v>
      </c>
      <c r="Y445" s="21" t="s">
        <v>1881</v>
      </c>
      <c r="Z445" s="21" t="s">
        <v>127</v>
      </c>
      <c r="AA445" s="21" t="s">
        <v>450</v>
      </c>
      <c r="AB445" s="21" t="s">
        <v>363</v>
      </c>
      <c r="AC445" s="21" t="s">
        <v>3875</v>
      </c>
      <c r="AD445" s="21" t="s">
        <v>169</v>
      </c>
      <c r="AE445" s="21" t="s">
        <v>365</v>
      </c>
      <c r="AF445" s="21" t="s">
        <v>135</v>
      </c>
      <c r="AG445" s="21" t="s">
        <v>135</v>
      </c>
      <c r="AH445" s="21" t="s">
        <v>135</v>
      </c>
      <c r="AI445" s="21" t="s">
        <v>135</v>
      </c>
    </row>
    <row r="446" spans="1:36" ht="15.75" customHeight="1" x14ac:dyDescent="0.3">
      <c r="A446" s="21">
        <v>2026</v>
      </c>
      <c r="B446" s="22">
        <v>46100.260668113428</v>
      </c>
      <c r="C446" s="21" t="s">
        <v>183</v>
      </c>
      <c r="D446" s="21" t="s">
        <v>183</v>
      </c>
      <c r="E446" s="21" t="s">
        <v>183</v>
      </c>
      <c r="F446" s="21" t="s">
        <v>183</v>
      </c>
      <c r="G446" s="21" t="s">
        <v>93</v>
      </c>
      <c r="H446" s="21" t="s">
        <v>3876</v>
      </c>
      <c r="I446" s="21" t="s">
        <v>3877</v>
      </c>
      <c r="J446" s="21" t="s">
        <v>3878</v>
      </c>
      <c r="K446" s="21" t="e">
        <f t="shared" ca="1" si="2"/>
        <v>#NAME?</v>
      </c>
      <c r="L446" s="24">
        <v>1969</v>
      </c>
      <c r="M446" s="21">
        <v>1982</v>
      </c>
      <c r="N446" s="21" t="s">
        <v>111</v>
      </c>
      <c r="O446" s="21" t="s">
        <v>112</v>
      </c>
      <c r="P446" s="26">
        <v>9110759189</v>
      </c>
      <c r="Q446" s="26" t="e">
        <f t="shared" ca="1" si="3"/>
        <v>#NAME?</v>
      </c>
      <c r="R446" s="21" t="s">
        <v>118</v>
      </c>
      <c r="S446" s="21" t="s">
        <v>3879</v>
      </c>
      <c r="T446" s="21" t="s">
        <v>3880</v>
      </c>
      <c r="U446" s="21" t="s">
        <v>3881</v>
      </c>
      <c r="V446" s="21" t="s">
        <v>127</v>
      </c>
      <c r="W446" s="21" t="s">
        <v>307</v>
      </c>
      <c r="X446" s="21" t="s">
        <v>3882</v>
      </c>
      <c r="Y446" s="21" t="s">
        <v>3883</v>
      </c>
      <c r="Z446" s="21" t="s">
        <v>127</v>
      </c>
      <c r="AA446" s="21" t="s">
        <v>3884</v>
      </c>
      <c r="AB446" s="21" t="s">
        <v>363</v>
      </c>
      <c r="AC446" s="21" t="s">
        <v>3885</v>
      </c>
      <c r="AD446" s="21" t="s">
        <v>132</v>
      </c>
      <c r="AE446" s="21" t="s">
        <v>365</v>
      </c>
      <c r="AF446" s="21" t="s">
        <v>686</v>
      </c>
      <c r="AG446" s="21" t="s">
        <v>135</v>
      </c>
      <c r="AH446" s="21" t="s">
        <v>135</v>
      </c>
      <c r="AI446" s="21" t="s">
        <v>135</v>
      </c>
      <c r="AJ446" s="21" t="s">
        <v>3886</v>
      </c>
    </row>
    <row r="447" spans="1:36" ht="15.75" customHeight="1" x14ac:dyDescent="0.3">
      <c r="A447" s="21">
        <v>2026</v>
      </c>
      <c r="B447" s="22">
        <v>46102.426756724541</v>
      </c>
      <c r="C447" s="21" t="s">
        <v>183</v>
      </c>
      <c r="D447" s="21" t="s">
        <v>183</v>
      </c>
      <c r="E447" s="21" t="s">
        <v>183</v>
      </c>
      <c r="F447" s="21" t="s">
        <v>183</v>
      </c>
      <c r="G447" s="21" t="s">
        <v>93</v>
      </c>
      <c r="H447" s="21" t="s">
        <v>3887</v>
      </c>
      <c r="I447" s="21" t="s">
        <v>3888</v>
      </c>
      <c r="J447" s="21" t="s">
        <v>3889</v>
      </c>
      <c r="K447" s="21" t="e">
        <f t="shared" ca="1" si="2"/>
        <v>#NAME?</v>
      </c>
      <c r="L447" s="24">
        <v>1969</v>
      </c>
      <c r="M447" s="21">
        <v>1980</v>
      </c>
      <c r="N447" s="21" t="s">
        <v>315</v>
      </c>
      <c r="O447" s="21" t="s">
        <v>316</v>
      </c>
      <c r="P447" s="26">
        <v>2145781067</v>
      </c>
      <c r="Q447" s="26" t="e">
        <f t="shared" ca="1" si="3"/>
        <v>#NAME?</v>
      </c>
      <c r="R447" s="21" t="s">
        <v>1501</v>
      </c>
      <c r="S447" s="21" t="s">
        <v>3890</v>
      </c>
      <c r="T447" s="21">
        <v>12487978940</v>
      </c>
      <c r="U447" s="21" t="s">
        <v>3160</v>
      </c>
      <c r="V447" s="21" t="s">
        <v>296</v>
      </c>
      <c r="W447" s="21" t="s">
        <v>328</v>
      </c>
      <c r="X447" s="21" t="s">
        <v>295</v>
      </c>
      <c r="Y447" s="21" t="s">
        <v>581</v>
      </c>
      <c r="Z447" s="21" t="s">
        <v>296</v>
      </c>
      <c r="AA447" s="21" t="s">
        <v>3891</v>
      </c>
      <c r="AB447" s="21" t="s">
        <v>363</v>
      </c>
      <c r="AC447" s="21" t="s">
        <v>3892</v>
      </c>
      <c r="AD447" s="21" t="s">
        <v>132</v>
      </c>
      <c r="AE447" s="21" t="s">
        <v>365</v>
      </c>
      <c r="AF447" s="21" t="s">
        <v>135</v>
      </c>
      <c r="AG447" s="21" t="s">
        <v>135</v>
      </c>
      <c r="AH447" s="21" t="s">
        <v>135</v>
      </c>
      <c r="AI447" s="21" t="s">
        <v>135</v>
      </c>
    </row>
    <row r="448" spans="1:36" ht="15.75" customHeight="1" x14ac:dyDescent="0.3">
      <c r="A448" s="21">
        <v>2026</v>
      </c>
      <c r="B448" s="22">
        <v>46104.985428749998</v>
      </c>
      <c r="C448" s="21" t="s">
        <v>183</v>
      </c>
      <c r="D448" s="21" t="s">
        <v>183</v>
      </c>
      <c r="E448" s="21" t="s">
        <v>183</v>
      </c>
      <c r="F448" s="21" t="s">
        <v>183</v>
      </c>
      <c r="G448" s="21" t="s">
        <v>93</v>
      </c>
      <c r="H448" s="21" t="s">
        <v>3893</v>
      </c>
      <c r="I448" s="21" t="s">
        <v>3894</v>
      </c>
      <c r="J448" s="21" t="s">
        <v>3390</v>
      </c>
      <c r="K448" s="21" t="e">
        <f t="shared" ca="1" si="2"/>
        <v>#NAME?</v>
      </c>
      <c r="L448" s="24">
        <v>1976</v>
      </c>
      <c r="M448" s="21">
        <v>2005</v>
      </c>
      <c r="N448" s="21" t="s">
        <v>474</v>
      </c>
      <c r="O448" s="21" t="s">
        <v>316</v>
      </c>
      <c r="P448" s="26">
        <v>5714467877</v>
      </c>
      <c r="Q448" s="26" t="e">
        <f t="shared" ca="1" si="3"/>
        <v>#NAME?</v>
      </c>
      <c r="R448" s="21" t="s">
        <v>3897</v>
      </c>
      <c r="S448" s="21" t="s">
        <v>3898</v>
      </c>
      <c r="T448" s="21">
        <v>4256330170</v>
      </c>
      <c r="U448" s="21" t="s">
        <v>3899</v>
      </c>
      <c r="V448" s="21" t="s">
        <v>127</v>
      </c>
      <c r="W448" s="21" t="s">
        <v>123</v>
      </c>
      <c r="X448" s="21" t="s">
        <v>352</v>
      </c>
      <c r="Y448" s="21" t="s">
        <v>352</v>
      </c>
      <c r="Z448" s="21" t="s">
        <v>127</v>
      </c>
      <c r="AA448" s="21" t="s">
        <v>450</v>
      </c>
      <c r="AB448" s="21" t="s">
        <v>363</v>
      </c>
      <c r="AC448" s="21" t="s">
        <v>3900</v>
      </c>
      <c r="AD448" s="21" t="s">
        <v>132</v>
      </c>
      <c r="AE448" s="21" t="s">
        <v>365</v>
      </c>
      <c r="AF448" s="21" t="s">
        <v>135</v>
      </c>
      <c r="AG448" s="21" t="s">
        <v>135</v>
      </c>
      <c r="AH448" s="21" t="s">
        <v>135</v>
      </c>
      <c r="AI448" s="21" t="s">
        <v>135</v>
      </c>
    </row>
    <row r="449" spans="1:36" ht="15.75" customHeight="1" x14ac:dyDescent="0.3">
      <c r="A449" s="21">
        <v>2026</v>
      </c>
      <c r="B449" s="22">
        <v>46104.988667199075</v>
      </c>
      <c r="C449" s="21" t="s">
        <v>183</v>
      </c>
      <c r="D449" s="21" t="s">
        <v>183</v>
      </c>
      <c r="E449" s="21" t="s">
        <v>183</v>
      </c>
      <c r="F449" s="21" t="s">
        <v>183</v>
      </c>
      <c r="G449" s="21" t="s">
        <v>256</v>
      </c>
      <c r="H449" s="21" t="s">
        <v>3893</v>
      </c>
      <c r="I449" s="21" t="s">
        <v>3894</v>
      </c>
      <c r="J449" s="21" t="s">
        <v>3901</v>
      </c>
      <c r="K449" s="21" t="e">
        <f t="shared" ca="1" si="2"/>
        <v>#NAME?</v>
      </c>
      <c r="L449" s="24">
        <v>2010</v>
      </c>
      <c r="M449" s="21">
        <v>2023</v>
      </c>
      <c r="N449" s="21" t="s">
        <v>474</v>
      </c>
      <c r="O449" s="21" t="s">
        <v>316</v>
      </c>
      <c r="P449" s="26">
        <v>5714467877</v>
      </c>
      <c r="Q449" s="26" t="e">
        <f t="shared" ca="1" si="3"/>
        <v>#NAME?</v>
      </c>
      <c r="R449" s="21" t="s">
        <v>3897</v>
      </c>
      <c r="S449" s="21" t="s">
        <v>3898</v>
      </c>
      <c r="T449" s="21">
        <v>4256330170</v>
      </c>
      <c r="U449" s="21" t="s">
        <v>127</v>
      </c>
      <c r="V449" s="21" t="s">
        <v>3902</v>
      </c>
      <c r="W449" s="21" t="s">
        <v>123</v>
      </c>
      <c r="X449" s="21" t="s">
        <v>3903</v>
      </c>
      <c r="Y449" s="21" t="s">
        <v>3903</v>
      </c>
      <c r="Z449" s="21" t="s">
        <v>3904</v>
      </c>
      <c r="AA449" s="21" t="s">
        <v>2094</v>
      </c>
      <c r="AB449" s="21" t="s">
        <v>363</v>
      </c>
      <c r="AC449" s="21" t="s">
        <v>3900</v>
      </c>
      <c r="AD449" s="21" t="s">
        <v>287</v>
      </c>
      <c r="AE449" s="21" t="s">
        <v>365</v>
      </c>
      <c r="AF449" s="21" t="s">
        <v>135</v>
      </c>
      <c r="AG449" s="21" t="s">
        <v>135</v>
      </c>
      <c r="AH449" s="21" t="s">
        <v>135</v>
      </c>
      <c r="AI449" s="21" t="s">
        <v>135</v>
      </c>
    </row>
    <row r="450" spans="1:36" ht="15.75" customHeight="1" x14ac:dyDescent="0.3">
      <c r="A450" s="21">
        <v>2026</v>
      </c>
      <c r="B450" s="22">
        <v>46107.031503634258</v>
      </c>
      <c r="C450" s="21" t="s">
        <v>183</v>
      </c>
      <c r="D450" s="21" t="s">
        <v>183</v>
      </c>
      <c r="E450" s="21" t="s">
        <v>183</v>
      </c>
      <c r="F450" s="21" t="s">
        <v>183</v>
      </c>
      <c r="G450" s="21" t="s">
        <v>93</v>
      </c>
      <c r="H450" s="21" t="s">
        <v>3905</v>
      </c>
      <c r="I450" s="21" t="s">
        <v>3906</v>
      </c>
      <c r="J450" s="21" t="s">
        <v>3907</v>
      </c>
      <c r="K450" s="21" t="e">
        <f t="shared" ca="1" si="2"/>
        <v>#NAME?</v>
      </c>
      <c r="L450" s="24">
        <v>1991</v>
      </c>
      <c r="M450" s="21">
        <v>2000</v>
      </c>
      <c r="N450" s="21" t="s">
        <v>315</v>
      </c>
      <c r="O450" s="21" t="s">
        <v>316</v>
      </c>
      <c r="P450" s="26">
        <v>2165079464</v>
      </c>
      <c r="Q450" s="26" t="e">
        <f t="shared" ca="1" si="3"/>
        <v>#NAME?</v>
      </c>
      <c r="R450" s="21" t="s">
        <v>1324</v>
      </c>
      <c r="S450" s="21" t="s">
        <v>3908</v>
      </c>
      <c r="T450" s="21" t="s">
        <v>3909</v>
      </c>
      <c r="U450" s="21" t="s">
        <v>3910</v>
      </c>
      <c r="V450" s="21" t="s">
        <v>127</v>
      </c>
      <c r="W450" s="21" t="s">
        <v>307</v>
      </c>
      <c r="X450" s="21" t="s">
        <v>478</v>
      </c>
      <c r="Y450" s="21" t="s">
        <v>478</v>
      </c>
      <c r="Z450" s="21" t="s">
        <v>127</v>
      </c>
      <c r="AA450" s="21" t="s">
        <v>608</v>
      </c>
      <c r="AB450" s="21" t="s">
        <v>363</v>
      </c>
      <c r="AC450" s="21" t="s">
        <v>3911</v>
      </c>
      <c r="AD450" s="21" t="s">
        <v>132</v>
      </c>
      <c r="AE450" s="21" t="s">
        <v>365</v>
      </c>
      <c r="AF450" s="21" t="s">
        <v>135</v>
      </c>
      <c r="AG450" s="21" t="s">
        <v>135</v>
      </c>
      <c r="AH450" s="21" t="s">
        <v>135</v>
      </c>
      <c r="AI450" s="21" t="s">
        <v>135</v>
      </c>
      <c r="AJ450" s="21" t="s">
        <v>3912</v>
      </c>
    </row>
    <row r="451" spans="1:36" ht="15.75" customHeight="1" x14ac:dyDescent="0.3">
      <c r="A451" s="21">
        <v>2026</v>
      </c>
      <c r="B451" s="22">
        <v>46107.41772109954</v>
      </c>
      <c r="C451" s="21" t="s">
        <v>183</v>
      </c>
      <c r="D451" s="21" t="s">
        <v>183</v>
      </c>
      <c r="E451" s="21" t="s">
        <v>183</v>
      </c>
      <c r="F451" s="21" t="s">
        <v>183</v>
      </c>
      <c r="G451" s="21" t="s">
        <v>93</v>
      </c>
      <c r="H451" s="21" t="s">
        <v>3913</v>
      </c>
      <c r="I451" s="21" t="s">
        <v>3914</v>
      </c>
      <c r="J451" s="21" t="s">
        <v>3915</v>
      </c>
      <c r="K451" s="21" t="e">
        <f t="shared" ca="1" si="2"/>
        <v>#NAME?</v>
      </c>
      <c r="L451" s="24">
        <v>2001</v>
      </c>
      <c r="M451" s="21">
        <v>2014</v>
      </c>
      <c r="N451" s="21" t="s">
        <v>315</v>
      </c>
      <c r="O451" s="21" t="s">
        <v>112</v>
      </c>
      <c r="P451" s="26">
        <v>7901273185</v>
      </c>
      <c r="Q451" s="26" t="e">
        <f t="shared" ca="1" si="3"/>
        <v>#NAME?</v>
      </c>
      <c r="R451" s="21" t="s">
        <v>118</v>
      </c>
      <c r="S451" s="21" t="s">
        <v>3916</v>
      </c>
      <c r="T451" s="21">
        <v>6304673601</v>
      </c>
      <c r="U451" s="21" t="s">
        <v>127</v>
      </c>
      <c r="V451" s="21" t="s">
        <v>3917</v>
      </c>
      <c r="W451" s="21" t="s">
        <v>3918</v>
      </c>
      <c r="X451" s="21" t="s">
        <v>904</v>
      </c>
      <c r="Y451" s="21" t="s">
        <v>904</v>
      </c>
      <c r="Z451" s="21" t="s">
        <v>127</v>
      </c>
      <c r="AA451" s="21" t="s">
        <v>297</v>
      </c>
      <c r="AB451" s="21" t="s">
        <v>363</v>
      </c>
      <c r="AC451" s="21" t="s">
        <v>3919</v>
      </c>
      <c r="AD451" s="21" t="s">
        <v>132</v>
      </c>
      <c r="AE451" s="21" t="s">
        <v>365</v>
      </c>
      <c r="AF451" s="21" t="s">
        <v>686</v>
      </c>
      <c r="AG451" s="21" t="s">
        <v>135</v>
      </c>
      <c r="AH451" s="21" t="s">
        <v>135</v>
      </c>
      <c r="AI451" s="21" t="s">
        <v>135</v>
      </c>
    </row>
    <row r="452" spans="1:36" ht="15.75" customHeight="1" x14ac:dyDescent="0.3">
      <c r="A452" s="21">
        <v>2026</v>
      </c>
      <c r="B452" s="22">
        <v>46107.905757245375</v>
      </c>
      <c r="C452" s="21" t="s">
        <v>183</v>
      </c>
      <c r="D452" s="21" t="s">
        <v>183</v>
      </c>
      <c r="E452" s="21" t="s">
        <v>183</v>
      </c>
      <c r="F452" s="21" t="s">
        <v>183</v>
      </c>
      <c r="G452" s="21" t="s">
        <v>93</v>
      </c>
      <c r="H452" s="21" t="s">
        <v>3920</v>
      </c>
      <c r="I452" s="21" t="s">
        <v>3921</v>
      </c>
      <c r="J452" s="21" t="s">
        <v>3922</v>
      </c>
      <c r="K452" s="21" t="e">
        <f t="shared" ca="1" si="2"/>
        <v>#NAME?</v>
      </c>
      <c r="L452" s="24">
        <v>2008</v>
      </c>
      <c r="M452" s="21">
        <v>2020</v>
      </c>
      <c r="N452" s="21" t="s">
        <v>111</v>
      </c>
      <c r="O452" s="21" t="s">
        <v>112</v>
      </c>
      <c r="P452" s="26">
        <v>9441234400</v>
      </c>
      <c r="Q452" s="26" t="e">
        <f t="shared" ca="1" si="3"/>
        <v>#NAME?</v>
      </c>
      <c r="R452" s="21" t="s">
        <v>188</v>
      </c>
      <c r="S452" s="21" t="s">
        <v>3923</v>
      </c>
      <c r="T452" s="21">
        <v>8297222622</v>
      </c>
      <c r="U452" s="21" t="s">
        <v>127</v>
      </c>
      <c r="V452" s="21" t="s">
        <v>3924</v>
      </c>
      <c r="W452" s="21" t="s">
        <v>219</v>
      </c>
      <c r="X452" s="21" t="s">
        <v>179</v>
      </c>
      <c r="Y452" s="21" t="s">
        <v>3925</v>
      </c>
      <c r="Z452" s="21" t="s">
        <v>3926</v>
      </c>
      <c r="AA452" s="21" t="s">
        <v>3927</v>
      </c>
      <c r="AB452" s="21" t="s">
        <v>363</v>
      </c>
      <c r="AC452" s="21" t="s">
        <v>3928</v>
      </c>
      <c r="AD452" s="21" t="s">
        <v>287</v>
      </c>
      <c r="AE452" s="21" t="s">
        <v>365</v>
      </c>
      <c r="AF452" s="21" t="s">
        <v>135</v>
      </c>
      <c r="AG452" s="21" t="s">
        <v>135</v>
      </c>
      <c r="AH452" s="21" t="s">
        <v>135</v>
      </c>
      <c r="AI452" s="21" t="s">
        <v>135</v>
      </c>
    </row>
    <row r="453" spans="1:36" ht="15.75" customHeight="1" x14ac:dyDescent="0.3">
      <c r="A453" s="21">
        <v>2026</v>
      </c>
      <c r="B453" s="22">
        <v>46113.881746388884</v>
      </c>
      <c r="C453" s="21" t="s">
        <v>183</v>
      </c>
      <c r="D453" s="21" t="s">
        <v>183</v>
      </c>
      <c r="E453" s="21" t="s">
        <v>183</v>
      </c>
      <c r="F453" s="21" t="s">
        <v>183</v>
      </c>
      <c r="G453" s="21" t="s">
        <v>256</v>
      </c>
      <c r="H453" s="21" t="s">
        <v>3929</v>
      </c>
      <c r="I453" s="21" t="s">
        <v>919</v>
      </c>
      <c r="J453" s="21" t="s">
        <v>3034</v>
      </c>
      <c r="K453" s="21" t="e">
        <f t="shared" ca="1" si="2"/>
        <v>#NAME?</v>
      </c>
      <c r="L453" s="24">
        <v>2010</v>
      </c>
      <c r="M453" s="21">
        <v>2022</v>
      </c>
      <c r="N453" s="21" t="s">
        <v>111</v>
      </c>
      <c r="O453" s="21" t="s">
        <v>112</v>
      </c>
      <c r="P453" s="26">
        <v>9985404530</v>
      </c>
      <c r="Q453" s="26" t="e">
        <f t="shared" ca="1" si="3"/>
        <v>#NAME?</v>
      </c>
      <c r="R453" s="21" t="s">
        <v>3930</v>
      </c>
      <c r="S453" s="21" t="s">
        <v>3931</v>
      </c>
      <c r="T453" s="21" t="s">
        <v>3932</v>
      </c>
      <c r="U453" s="21" t="s">
        <v>127</v>
      </c>
      <c r="V453" s="21" t="s">
        <v>265</v>
      </c>
      <c r="W453" s="21" t="s">
        <v>706</v>
      </c>
      <c r="X453" s="21" t="s">
        <v>211</v>
      </c>
      <c r="Y453" s="21" t="s">
        <v>3933</v>
      </c>
      <c r="Z453" s="21" t="s">
        <v>3934</v>
      </c>
      <c r="AA453" s="21" t="s">
        <v>396</v>
      </c>
      <c r="AB453" s="21" t="s">
        <v>363</v>
      </c>
      <c r="AC453" s="21" t="s">
        <v>3935</v>
      </c>
      <c r="AD453" s="21" t="s">
        <v>169</v>
      </c>
      <c r="AE453" s="21" t="s">
        <v>365</v>
      </c>
      <c r="AF453" s="21" t="s">
        <v>135</v>
      </c>
      <c r="AG453" s="21" t="s">
        <v>135</v>
      </c>
      <c r="AH453" s="21" t="s">
        <v>135</v>
      </c>
      <c r="AI453" s="21" t="s">
        <v>135</v>
      </c>
    </row>
    <row r="454" spans="1:36" ht="15.75" customHeight="1" x14ac:dyDescent="0.3">
      <c r="A454" s="21">
        <v>2026</v>
      </c>
      <c r="B454" s="22">
        <v>46115.03960960648</v>
      </c>
      <c r="C454" s="21" t="s">
        <v>183</v>
      </c>
      <c r="D454" s="21" t="s">
        <v>183</v>
      </c>
      <c r="E454" s="21" t="s">
        <v>183</v>
      </c>
      <c r="F454" s="21" t="s">
        <v>183</v>
      </c>
      <c r="G454" s="21" t="s">
        <v>256</v>
      </c>
      <c r="H454" s="21" t="s">
        <v>3936</v>
      </c>
      <c r="I454" s="21" t="s">
        <v>3195</v>
      </c>
      <c r="J454" s="21" t="s">
        <v>3197</v>
      </c>
      <c r="K454" s="21" t="e">
        <f t="shared" ca="1" si="2"/>
        <v>#NAME?</v>
      </c>
      <c r="L454" s="24">
        <v>2015</v>
      </c>
      <c r="M454" s="21">
        <v>2022</v>
      </c>
      <c r="N454" s="21" t="s">
        <v>111</v>
      </c>
      <c r="O454" s="21" t="s">
        <v>112</v>
      </c>
      <c r="P454" s="26">
        <v>7386662938</v>
      </c>
      <c r="Q454" s="26" t="e">
        <f t="shared" ca="1" si="3"/>
        <v>#NAME?</v>
      </c>
      <c r="R454" s="21" t="s">
        <v>188</v>
      </c>
      <c r="S454" s="21" t="s">
        <v>3937</v>
      </c>
      <c r="T454" s="21">
        <v>7337235635</v>
      </c>
      <c r="U454" s="21" t="s">
        <v>296</v>
      </c>
      <c r="V454" s="21" t="s">
        <v>3938</v>
      </c>
      <c r="W454" s="21" t="s">
        <v>210</v>
      </c>
      <c r="X454" s="21" t="s">
        <v>3939</v>
      </c>
      <c r="Y454" s="21" t="s">
        <v>581</v>
      </c>
      <c r="Z454" s="21" t="s">
        <v>3940</v>
      </c>
      <c r="AA454" s="21" t="s">
        <v>2434</v>
      </c>
      <c r="AB454" s="21" t="s">
        <v>3657</v>
      </c>
      <c r="AC454" s="21" t="s">
        <v>3941</v>
      </c>
      <c r="AD454" s="21" t="s">
        <v>169</v>
      </c>
      <c r="AE454" s="21" t="s">
        <v>365</v>
      </c>
      <c r="AF454" s="21" t="s">
        <v>135</v>
      </c>
      <c r="AG454" s="21" t="s">
        <v>135</v>
      </c>
      <c r="AH454" s="21" t="s">
        <v>135</v>
      </c>
      <c r="AI454" s="21" t="s">
        <v>135</v>
      </c>
      <c r="AJ454" s="21" t="s">
        <v>3942</v>
      </c>
    </row>
    <row r="455" spans="1:36" ht="15.75" customHeight="1" x14ac:dyDescent="0.3">
      <c r="A455" s="21">
        <v>2026</v>
      </c>
      <c r="B455" s="22">
        <v>46115.107011446758</v>
      </c>
      <c r="C455" s="21" t="s">
        <v>183</v>
      </c>
      <c r="D455" s="21" t="s">
        <v>183</v>
      </c>
      <c r="E455" s="21" t="s">
        <v>183</v>
      </c>
      <c r="F455" s="21" t="s">
        <v>183</v>
      </c>
      <c r="G455" s="21" t="s">
        <v>256</v>
      </c>
      <c r="H455" s="21" t="s">
        <v>3943</v>
      </c>
      <c r="I455" s="21" t="s">
        <v>2606</v>
      </c>
      <c r="J455" s="21" t="s">
        <v>2607</v>
      </c>
      <c r="K455" s="21" t="e">
        <f t="shared" ca="1" si="2"/>
        <v>#NAME?</v>
      </c>
      <c r="L455" s="24">
        <v>2013</v>
      </c>
      <c r="M455" s="21">
        <v>2022</v>
      </c>
      <c r="N455" s="21" t="s">
        <v>111</v>
      </c>
      <c r="O455" s="21" t="s">
        <v>112</v>
      </c>
      <c r="P455" s="26">
        <v>8688328602</v>
      </c>
      <c r="Q455" s="26" t="e">
        <f t="shared" ca="1" si="3"/>
        <v>#NAME?</v>
      </c>
      <c r="R455" s="21" t="s">
        <v>118</v>
      </c>
      <c r="S455" s="21" t="s">
        <v>3945</v>
      </c>
      <c r="T455" s="21">
        <v>8688328602</v>
      </c>
      <c r="U455" s="21" t="s">
        <v>582</v>
      </c>
      <c r="V455" s="21" t="s">
        <v>3946</v>
      </c>
      <c r="W455" s="21" t="s">
        <v>1169</v>
      </c>
      <c r="X455" s="21" t="s">
        <v>308</v>
      </c>
      <c r="Y455" s="21" t="s">
        <v>406</v>
      </c>
      <c r="Z455" s="21" t="s">
        <v>3947</v>
      </c>
      <c r="AA455" s="21" t="s">
        <v>3948</v>
      </c>
      <c r="AB455" s="21" t="s">
        <v>3657</v>
      </c>
      <c r="AC455" s="21" t="s">
        <v>3949</v>
      </c>
      <c r="AD455" s="21" t="s">
        <v>132</v>
      </c>
      <c r="AE455" s="21" t="s">
        <v>332</v>
      </c>
      <c r="AF455" s="21" t="s">
        <v>135</v>
      </c>
      <c r="AG455" s="21" t="s">
        <v>135</v>
      </c>
      <c r="AH455" s="21" t="s">
        <v>135</v>
      </c>
      <c r="AI455" s="21" t="s">
        <v>135</v>
      </c>
    </row>
    <row r="456" spans="1:36" ht="15.75" customHeight="1" x14ac:dyDescent="0.3">
      <c r="A456" s="21">
        <v>2026</v>
      </c>
      <c r="B456" s="22">
        <v>46115.109223796295</v>
      </c>
      <c r="C456" s="21" t="s">
        <v>183</v>
      </c>
      <c r="D456" s="21" t="s">
        <v>183</v>
      </c>
      <c r="E456" s="21" t="s">
        <v>183</v>
      </c>
      <c r="F456" s="21" t="s">
        <v>183</v>
      </c>
      <c r="G456" s="21" t="s">
        <v>256</v>
      </c>
      <c r="H456" s="21" t="s">
        <v>3943</v>
      </c>
      <c r="I456" s="21" t="s">
        <v>2606</v>
      </c>
      <c r="J456" s="21" t="s">
        <v>2926</v>
      </c>
      <c r="K456" s="21" t="e">
        <f t="shared" ca="1" si="2"/>
        <v>#NAME?</v>
      </c>
      <c r="L456" s="24">
        <v>2017</v>
      </c>
      <c r="M456" s="21">
        <v>2025</v>
      </c>
      <c r="N456" s="21" t="s">
        <v>111</v>
      </c>
      <c r="O456" s="21" t="s">
        <v>112</v>
      </c>
      <c r="P456" s="26">
        <v>8688328602</v>
      </c>
      <c r="Q456" s="26" t="e">
        <f t="shared" ca="1" si="3"/>
        <v>#NAME?</v>
      </c>
      <c r="R456" s="21" t="s">
        <v>118</v>
      </c>
      <c r="S456" s="21" t="s">
        <v>3945</v>
      </c>
      <c r="T456" s="21">
        <v>8688328602</v>
      </c>
      <c r="U456" s="21" t="s">
        <v>582</v>
      </c>
      <c r="V456" s="21" t="s">
        <v>3946</v>
      </c>
      <c r="W456" s="21" t="s">
        <v>1169</v>
      </c>
      <c r="X456" s="21" t="s">
        <v>267</v>
      </c>
      <c r="Y456" s="21" t="s">
        <v>406</v>
      </c>
      <c r="Z456" s="21" t="s">
        <v>3950</v>
      </c>
      <c r="AA456" s="21" t="s">
        <v>3948</v>
      </c>
      <c r="AB456" s="21" t="s">
        <v>3657</v>
      </c>
      <c r="AC456" s="21" t="s">
        <v>3951</v>
      </c>
      <c r="AD456" s="21" t="s">
        <v>132</v>
      </c>
      <c r="AE456" s="21" t="s">
        <v>365</v>
      </c>
      <c r="AF456" s="21" t="s">
        <v>135</v>
      </c>
      <c r="AG456" s="21" t="s">
        <v>135</v>
      </c>
      <c r="AH456" s="21" t="s">
        <v>135</v>
      </c>
      <c r="AI456" s="21" t="s">
        <v>135</v>
      </c>
    </row>
    <row r="457" spans="1:36" ht="15.75" customHeight="1" x14ac:dyDescent="0.3">
      <c r="A457" s="21">
        <v>2026</v>
      </c>
      <c r="B457" s="22">
        <v>46116.306990208337</v>
      </c>
      <c r="C457" s="21" t="s">
        <v>183</v>
      </c>
      <c r="D457" s="21" t="s">
        <v>183</v>
      </c>
      <c r="E457" s="21" t="s">
        <v>183</v>
      </c>
      <c r="F457" s="21" t="s">
        <v>183</v>
      </c>
      <c r="G457" s="21" t="s">
        <v>93</v>
      </c>
      <c r="H457" s="21" t="s">
        <v>3952</v>
      </c>
      <c r="I457" s="21" t="s">
        <v>3953</v>
      </c>
      <c r="J457" s="21" t="s">
        <v>3954</v>
      </c>
      <c r="K457" s="21" t="e">
        <f t="shared" ca="1" si="2"/>
        <v>#NAME?</v>
      </c>
      <c r="L457" s="24">
        <v>1997</v>
      </c>
      <c r="M457" s="21">
        <v>2014</v>
      </c>
      <c r="N457" s="21" t="s">
        <v>111</v>
      </c>
      <c r="O457" s="21" t="s">
        <v>112</v>
      </c>
      <c r="P457" s="26">
        <v>9032135375</v>
      </c>
      <c r="Q457" s="26" t="e">
        <f t="shared" ca="1" si="3"/>
        <v>#NAME?</v>
      </c>
      <c r="R457" s="21" t="s">
        <v>118</v>
      </c>
      <c r="S457" s="21" t="s">
        <v>3955</v>
      </c>
      <c r="T457" s="21" t="s">
        <v>3956</v>
      </c>
      <c r="U457" s="21" t="s">
        <v>127</v>
      </c>
      <c r="V457" s="21" t="s">
        <v>3957</v>
      </c>
      <c r="W457" s="21" t="s">
        <v>488</v>
      </c>
      <c r="X457" s="21" t="s">
        <v>220</v>
      </c>
      <c r="Y457" s="21" t="s">
        <v>220</v>
      </c>
      <c r="Z457" s="21" t="s">
        <v>127</v>
      </c>
      <c r="AA457" s="21" t="s">
        <v>3958</v>
      </c>
      <c r="AB457" s="21" t="s">
        <v>363</v>
      </c>
      <c r="AC457" s="21" t="s">
        <v>3959</v>
      </c>
      <c r="AD457" s="21" t="s">
        <v>169</v>
      </c>
      <c r="AE457" s="21" t="s">
        <v>365</v>
      </c>
      <c r="AF457" s="21" t="s">
        <v>135</v>
      </c>
      <c r="AG457" s="21" t="s">
        <v>135</v>
      </c>
      <c r="AH457" s="21" t="s">
        <v>135</v>
      </c>
      <c r="AI457" s="21" t="s">
        <v>135</v>
      </c>
      <c r="AJ457" s="21" t="s">
        <v>3960</v>
      </c>
    </row>
    <row r="458" spans="1:36" ht="15.75" customHeight="1" x14ac:dyDescent="0.3">
      <c r="A458" s="21">
        <v>2026</v>
      </c>
      <c r="B458" s="22">
        <v>46119.437758726854</v>
      </c>
      <c r="C458" s="21" t="s">
        <v>183</v>
      </c>
      <c r="D458" s="21" t="s">
        <v>183</v>
      </c>
      <c r="E458" s="21" t="s">
        <v>183</v>
      </c>
      <c r="F458" s="21" t="s">
        <v>183</v>
      </c>
      <c r="G458" s="21" t="s">
        <v>256</v>
      </c>
      <c r="H458" s="21" t="s">
        <v>3961</v>
      </c>
      <c r="I458" s="21" t="s">
        <v>2561</v>
      </c>
      <c r="J458" s="21" t="s">
        <v>2563</v>
      </c>
      <c r="K458" s="21" t="e">
        <f t="shared" ca="1" si="2"/>
        <v>#NAME?</v>
      </c>
      <c r="L458" s="24">
        <v>2011</v>
      </c>
      <c r="M458" s="21">
        <v>2026</v>
      </c>
      <c r="N458" s="21" t="s">
        <v>315</v>
      </c>
      <c r="O458" s="21" t="s">
        <v>316</v>
      </c>
      <c r="P458" s="26">
        <v>5129034955</v>
      </c>
      <c r="Q458" s="26" t="e">
        <f t="shared" ca="1" si="3"/>
        <v>#NAME?</v>
      </c>
      <c r="R458" s="21" t="s">
        <v>521</v>
      </c>
      <c r="S458" s="21" t="s">
        <v>3962</v>
      </c>
      <c r="T458" s="21">
        <v>4699545338</v>
      </c>
      <c r="U458" s="21" t="s">
        <v>284</v>
      </c>
      <c r="V458" s="21" t="s">
        <v>3963</v>
      </c>
      <c r="W458" s="21" t="s">
        <v>646</v>
      </c>
      <c r="X458" s="21" t="s">
        <v>571</v>
      </c>
      <c r="Y458" s="21" t="s">
        <v>406</v>
      </c>
      <c r="Z458" s="21" t="s">
        <v>3964</v>
      </c>
      <c r="AA458" s="21" t="s">
        <v>396</v>
      </c>
      <c r="AB458" s="21" t="s">
        <v>363</v>
      </c>
      <c r="AC458" s="21" t="s">
        <v>1029</v>
      </c>
      <c r="AD458" s="21" t="s">
        <v>287</v>
      </c>
      <c r="AE458" s="21" t="s">
        <v>332</v>
      </c>
      <c r="AF458" s="21" t="s">
        <v>135</v>
      </c>
      <c r="AG458" s="21" t="s">
        <v>135</v>
      </c>
      <c r="AH458" s="21" t="s">
        <v>135</v>
      </c>
      <c r="AI458" s="21" t="s">
        <v>135</v>
      </c>
    </row>
    <row r="459" spans="1:36" ht="15.75" customHeight="1" x14ac:dyDescent="0.3">
      <c r="A459" s="21">
        <v>2026</v>
      </c>
      <c r="B459" s="22">
        <v>46120.168182395835</v>
      </c>
      <c r="C459" s="21" t="s">
        <v>183</v>
      </c>
      <c r="D459" s="21" t="s">
        <v>183</v>
      </c>
      <c r="E459" s="21" t="s">
        <v>183</v>
      </c>
      <c r="F459" s="21" t="s">
        <v>183</v>
      </c>
      <c r="G459" s="21" t="s">
        <v>93</v>
      </c>
      <c r="H459" s="21" t="s">
        <v>3965</v>
      </c>
      <c r="I459" s="21" t="s">
        <v>3966</v>
      </c>
      <c r="J459" s="21" t="s">
        <v>3967</v>
      </c>
      <c r="K459" s="21" t="e">
        <f t="shared" ca="1" si="2"/>
        <v>#NAME?</v>
      </c>
      <c r="L459" s="24">
        <v>1984</v>
      </c>
      <c r="M459" s="21">
        <v>2002</v>
      </c>
      <c r="N459" s="21" t="s">
        <v>111</v>
      </c>
      <c r="O459" s="21" t="s">
        <v>112</v>
      </c>
      <c r="P459" s="26">
        <v>9494530526</v>
      </c>
      <c r="Q459" s="26" t="e">
        <f t="shared" ca="1" si="3"/>
        <v>#NAME?</v>
      </c>
      <c r="R459" s="21" t="s">
        <v>2477</v>
      </c>
      <c r="S459" s="21" t="s">
        <v>3968</v>
      </c>
      <c r="T459" s="21" t="s">
        <v>3969</v>
      </c>
      <c r="U459" s="21" t="s">
        <v>3970</v>
      </c>
      <c r="V459" s="21" t="s">
        <v>284</v>
      </c>
      <c r="W459" s="21" t="s">
        <v>328</v>
      </c>
      <c r="X459" s="21" t="s">
        <v>3971</v>
      </c>
      <c r="Y459" s="21" t="s">
        <v>179</v>
      </c>
      <c r="Z459" s="21" t="s">
        <v>284</v>
      </c>
      <c r="AA459" s="21" t="s">
        <v>3884</v>
      </c>
      <c r="AB459" s="21" t="s">
        <v>363</v>
      </c>
      <c r="AC459" s="21" t="s">
        <v>3972</v>
      </c>
      <c r="AD459" s="21" t="s">
        <v>287</v>
      </c>
      <c r="AE459" s="21" t="s">
        <v>365</v>
      </c>
      <c r="AF459" s="21" t="s">
        <v>135</v>
      </c>
      <c r="AG459" s="21" t="s">
        <v>135</v>
      </c>
      <c r="AH459" s="21" t="s">
        <v>135</v>
      </c>
      <c r="AI459" s="21" t="s">
        <v>135</v>
      </c>
      <c r="AJ459" s="21" t="s">
        <v>3973</v>
      </c>
    </row>
    <row r="460" spans="1:36" ht="15.75" customHeight="1" x14ac:dyDescent="0.3">
      <c r="A460" s="21">
        <v>2026</v>
      </c>
      <c r="B460" s="22">
        <v>46122.530319525467</v>
      </c>
      <c r="C460" s="21" t="s">
        <v>183</v>
      </c>
      <c r="D460" s="21" t="s">
        <v>183</v>
      </c>
      <c r="E460" s="21" t="s">
        <v>183</v>
      </c>
      <c r="F460" s="21" t="s">
        <v>183</v>
      </c>
      <c r="G460" s="21" t="s">
        <v>256</v>
      </c>
      <c r="H460" s="21" t="s">
        <v>3974</v>
      </c>
      <c r="I460" s="21" t="s">
        <v>3975</v>
      </c>
      <c r="J460" s="21" t="s">
        <v>3976</v>
      </c>
      <c r="K460" s="21" t="e">
        <f t="shared" ca="1" si="2"/>
        <v>#NAME?</v>
      </c>
      <c r="L460" s="24">
        <v>2018</v>
      </c>
      <c r="M460" s="21">
        <v>2025</v>
      </c>
      <c r="N460" s="21" t="s">
        <v>111</v>
      </c>
      <c r="O460" s="21" t="s">
        <v>112</v>
      </c>
      <c r="P460" s="26">
        <v>9949637688</v>
      </c>
      <c r="Q460" s="26" t="e">
        <f t="shared" ca="1" si="3"/>
        <v>#NAME?</v>
      </c>
      <c r="R460" s="21" t="s">
        <v>188</v>
      </c>
      <c r="S460" s="21" t="s">
        <v>3977</v>
      </c>
      <c r="T460" s="21">
        <v>9908206856</v>
      </c>
      <c r="U460" s="21" t="s">
        <v>127</v>
      </c>
      <c r="V460" s="21" t="s">
        <v>3978</v>
      </c>
      <c r="W460" s="21" t="s">
        <v>319</v>
      </c>
      <c r="X460" s="21" t="s">
        <v>3939</v>
      </c>
      <c r="Y460" s="21" t="s">
        <v>2332</v>
      </c>
      <c r="Z460" s="21" t="s">
        <v>3979</v>
      </c>
      <c r="AA460" s="21" t="s">
        <v>396</v>
      </c>
      <c r="AB460" s="21" t="s">
        <v>3657</v>
      </c>
      <c r="AC460" s="21" t="s">
        <v>2060</v>
      </c>
      <c r="AD460" s="21" t="s">
        <v>132</v>
      </c>
      <c r="AE460" s="21" t="s">
        <v>365</v>
      </c>
      <c r="AF460" s="21" t="s">
        <v>135</v>
      </c>
      <c r="AG460" s="21" t="s">
        <v>135</v>
      </c>
      <c r="AH460" s="21" t="s">
        <v>135</v>
      </c>
      <c r="AI460" s="21" t="s">
        <v>135</v>
      </c>
    </row>
    <row r="461" spans="1:36" ht="15.75" customHeight="1" x14ac:dyDescent="0.3">
      <c r="A461" s="21">
        <v>2026</v>
      </c>
      <c r="B461" s="22">
        <v>46122.552281828699</v>
      </c>
      <c r="C461" s="21" t="s">
        <v>183</v>
      </c>
      <c r="D461" s="21" t="s">
        <v>183</v>
      </c>
      <c r="E461" s="21" t="s">
        <v>183</v>
      </c>
      <c r="F461" s="21" t="s">
        <v>183</v>
      </c>
      <c r="G461" s="21" t="s">
        <v>93</v>
      </c>
      <c r="H461" s="21" t="s">
        <v>3980</v>
      </c>
      <c r="I461" s="21" t="s">
        <v>1034</v>
      </c>
      <c r="J461" s="21" t="s">
        <v>1642</v>
      </c>
      <c r="K461" s="21" t="e">
        <f t="shared" ca="1" si="2"/>
        <v>#NAME?</v>
      </c>
      <c r="L461" s="24">
        <v>2000</v>
      </c>
      <c r="M461" s="21">
        <v>2011</v>
      </c>
      <c r="N461" s="21" t="s">
        <v>315</v>
      </c>
      <c r="O461" s="21" t="s">
        <v>316</v>
      </c>
      <c r="P461" s="26">
        <v>3463990853</v>
      </c>
      <c r="Q461" s="26" t="e">
        <f t="shared" ca="1" si="3"/>
        <v>#NAME?</v>
      </c>
      <c r="R461" s="21" t="s">
        <v>1297</v>
      </c>
      <c r="S461" s="21" t="s">
        <v>3981</v>
      </c>
      <c r="T461" s="21" t="s">
        <v>3982</v>
      </c>
      <c r="U461" s="21" t="s">
        <v>127</v>
      </c>
      <c r="V461" s="21" t="s">
        <v>3983</v>
      </c>
      <c r="W461" s="21" t="s">
        <v>1074</v>
      </c>
      <c r="X461" s="21" t="s">
        <v>211</v>
      </c>
      <c r="Y461" s="21" t="s">
        <v>211</v>
      </c>
      <c r="Z461" s="21" t="s">
        <v>127</v>
      </c>
      <c r="AA461" s="21" t="s">
        <v>3984</v>
      </c>
      <c r="AB461" s="21" t="s">
        <v>363</v>
      </c>
      <c r="AC461" s="21" t="s">
        <v>3985</v>
      </c>
      <c r="AD461" s="21" t="s">
        <v>287</v>
      </c>
      <c r="AE461" s="21" t="s">
        <v>365</v>
      </c>
      <c r="AF461" s="21" t="s">
        <v>135</v>
      </c>
      <c r="AG461" s="21" t="s">
        <v>135</v>
      </c>
      <c r="AH461" s="21" t="s">
        <v>135</v>
      </c>
      <c r="AI461" s="21" t="s">
        <v>135</v>
      </c>
    </row>
    <row r="462" spans="1:36" ht="15.75" customHeight="1" x14ac:dyDescent="0.3">
      <c r="A462" s="21">
        <v>2026</v>
      </c>
      <c r="B462" s="22">
        <v>46122.552682928239</v>
      </c>
      <c r="C462" s="21" t="s">
        <v>183</v>
      </c>
      <c r="D462" s="21" t="s">
        <v>183</v>
      </c>
      <c r="E462" s="21" t="s">
        <v>183</v>
      </c>
      <c r="F462" s="21" t="s">
        <v>183</v>
      </c>
      <c r="G462" s="21" t="s">
        <v>93</v>
      </c>
      <c r="H462" s="21" t="s">
        <v>3986</v>
      </c>
      <c r="I462" s="21" t="s">
        <v>2122</v>
      </c>
      <c r="J462" s="21" t="s">
        <v>3987</v>
      </c>
      <c r="K462" s="21" t="e">
        <f t="shared" ca="1" si="2"/>
        <v>#NAME?</v>
      </c>
      <c r="L462" s="24">
        <v>1993</v>
      </c>
      <c r="M462" s="21">
        <v>2018</v>
      </c>
      <c r="N462" s="21" t="s">
        <v>111</v>
      </c>
      <c r="O462" s="21" t="s">
        <v>112</v>
      </c>
      <c r="P462" s="26">
        <v>9032526286</v>
      </c>
      <c r="Q462" s="26" t="e">
        <f t="shared" ca="1" si="3"/>
        <v>#NAME?</v>
      </c>
      <c r="R462" s="21" t="s">
        <v>188</v>
      </c>
      <c r="S462" s="21" t="s">
        <v>3282</v>
      </c>
      <c r="T462" s="21">
        <v>8886022113</v>
      </c>
      <c r="U462" s="21" t="s">
        <v>3988</v>
      </c>
      <c r="V462" s="21" t="s">
        <v>127</v>
      </c>
      <c r="W462" s="21" t="s">
        <v>123</v>
      </c>
      <c r="X462" s="21" t="s">
        <v>1706</v>
      </c>
      <c r="Y462" s="21" t="s">
        <v>1706</v>
      </c>
      <c r="Z462" s="21" t="s">
        <v>127</v>
      </c>
      <c r="AA462" s="21" t="s">
        <v>3989</v>
      </c>
      <c r="AB462" s="21" t="s">
        <v>363</v>
      </c>
      <c r="AC462" s="21" t="s">
        <v>3990</v>
      </c>
      <c r="AD462" s="21" t="s">
        <v>287</v>
      </c>
      <c r="AE462" s="21" t="s">
        <v>332</v>
      </c>
      <c r="AF462" s="21" t="s">
        <v>135</v>
      </c>
      <c r="AG462" s="21" t="s">
        <v>135</v>
      </c>
      <c r="AH462" s="21" t="s">
        <v>135</v>
      </c>
      <c r="AI462" s="21" t="s">
        <v>135</v>
      </c>
    </row>
    <row r="463" spans="1:36" ht="15.75" customHeight="1" x14ac:dyDescent="0.3">
      <c r="A463" s="21">
        <v>2026</v>
      </c>
      <c r="B463" s="22">
        <v>46122.617613252311</v>
      </c>
      <c r="C463" s="21" t="s">
        <v>183</v>
      </c>
      <c r="D463" s="21" t="s">
        <v>183</v>
      </c>
      <c r="E463" s="21" t="s">
        <v>183</v>
      </c>
      <c r="F463" s="21" t="s">
        <v>183</v>
      </c>
      <c r="G463" s="21" t="s">
        <v>256</v>
      </c>
      <c r="H463" s="21" t="s">
        <v>3991</v>
      </c>
      <c r="I463" s="21" t="s">
        <v>2501</v>
      </c>
      <c r="J463" s="21" t="s">
        <v>1642</v>
      </c>
      <c r="K463" s="21" t="e">
        <f t="shared" ca="1" si="2"/>
        <v>#NAME?</v>
      </c>
      <c r="L463" s="24">
        <v>2018</v>
      </c>
      <c r="M463" s="21">
        <v>2026</v>
      </c>
      <c r="N463" s="21" t="s">
        <v>315</v>
      </c>
      <c r="O463" s="21" t="s">
        <v>316</v>
      </c>
      <c r="P463" s="26">
        <v>6099370666</v>
      </c>
      <c r="Q463" s="26" t="e">
        <f t="shared" ca="1" si="3"/>
        <v>#NAME?</v>
      </c>
      <c r="R463" s="21" t="s">
        <v>3992</v>
      </c>
      <c r="S463" s="21" t="s">
        <v>3993</v>
      </c>
      <c r="T463" s="21" t="s">
        <v>3994</v>
      </c>
      <c r="U463" s="21" t="s">
        <v>284</v>
      </c>
      <c r="V463" s="21" t="s">
        <v>3995</v>
      </c>
      <c r="W463" s="21" t="s">
        <v>1074</v>
      </c>
      <c r="X463" s="21" t="s">
        <v>3996</v>
      </c>
      <c r="Y463" s="21" t="s">
        <v>1067</v>
      </c>
      <c r="Z463" s="21" t="s">
        <v>3997</v>
      </c>
      <c r="AA463" s="21" t="s">
        <v>2434</v>
      </c>
      <c r="AB463" s="21" t="s">
        <v>3591</v>
      </c>
      <c r="AC463" s="21" t="s">
        <v>3998</v>
      </c>
      <c r="AD463" s="21" t="s">
        <v>287</v>
      </c>
      <c r="AE463" s="21" t="s">
        <v>365</v>
      </c>
      <c r="AF463" s="21" t="s">
        <v>135</v>
      </c>
      <c r="AG463" s="21" t="s">
        <v>135</v>
      </c>
      <c r="AH463" s="21" t="s">
        <v>135</v>
      </c>
      <c r="AI463" s="21" t="s">
        <v>135</v>
      </c>
    </row>
    <row r="464" spans="1:36" ht="15.75" customHeight="1" x14ac:dyDescent="0.3">
      <c r="A464" s="21">
        <v>2026</v>
      </c>
      <c r="B464" s="22">
        <v>46122.647489340277</v>
      </c>
      <c r="C464" s="21" t="s">
        <v>183</v>
      </c>
      <c r="D464" s="21" t="s">
        <v>183</v>
      </c>
      <c r="E464" s="21" t="s">
        <v>183</v>
      </c>
      <c r="F464" s="21" t="s">
        <v>183</v>
      </c>
      <c r="G464" s="21" t="s">
        <v>93</v>
      </c>
      <c r="H464" s="21" t="s">
        <v>3999</v>
      </c>
      <c r="I464" s="21" t="s">
        <v>4000</v>
      </c>
      <c r="J464" s="21" t="s">
        <v>495</v>
      </c>
      <c r="K464" s="21" t="e">
        <f t="shared" ca="1" si="2"/>
        <v>#NAME?</v>
      </c>
      <c r="L464" s="24">
        <v>1985</v>
      </c>
      <c r="M464" s="21">
        <v>2006</v>
      </c>
      <c r="N464" s="21" t="s">
        <v>402</v>
      </c>
      <c r="O464" s="21" t="s">
        <v>316</v>
      </c>
      <c r="P464" s="26">
        <v>5149726642</v>
      </c>
      <c r="Q464" s="26" t="e">
        <f t="shared" ca="1" si="3"/>
        <v>#NAME?</v>
      </c>
      <c r="R464" s="21" t="s">
        <v>4001</v>
      </c>
      <c r="S464" s="21" t="s">
        <v>296</v>
      </c>
      <c r="T464" s="21" t="s">
        <v>4002</v>
      </c>
      <c r="U464" s="21" t="s">
        <v>4003</v>
      </c>
      <c r="V464" s="21" t="s">
        <v>296</v>
      </c>
      <c r="W464" s="21" t="s">
        <v>4002</v>
      </c>
      <c r="X464" s="21" t="s">
        <v>4004</v>
      </c>
      <c r="Y464" s="21" t="s">
        <v>376</v>
      </c>
      <c r="Z464" s="21" t="s">
        <v>4002</v>
      </c>
      <c r="AA464" s="21" t="s">
        <v>297</v>
      </c>
      <c r="AB464" s="21" t="s">
        <v>363</v>
      </c>
      <c r="AC464" s="21" t="s">
        <v>4005</v>
      </c>
      <c r="AD464" s="21" t="s">
        <v>287</v>
      </c>
      <c r="AE464" s="21" t="s">
        <v>365</v>
      </c>
      <c r="AF464" s="21" t="s">
        <v>135</v>
      </c>
      <c r="AG464" s="21" t="s">
        <v>135</v>
      </c>
      <c r="AH464" s="21" t="s">
        <v>135</v>
      </c>
      <c r="AI464" s="21" t="s">
        <v>135</v>
      </c>
      <c r="AJ464" s="21" t="s">
        <v>4006</v>
      </c>
    </row>
    <row r="465" spans="1:36" ht="15.75" customHeight="1" x14ac:dyDescent="0.3">
      <c r="A465" s="21">
        <v>2026</v>
      </c>
      <c r="B465" s="22">
        <v>46122.825506412039</v>
      </c>
      <c r="C465" s="21" t="s">
        <v>183</v>
      </c>
      <c r="D465" s="21" t="s">
        <v>183</v>
      </c>
      <c r="E465" s="21" t="s">
        <v>183</v>
      </c>
      <c r="F465" s="21" t="s">
        <v>183</v>
      </c>
      <c r="G465" s="21" t="s">
        <v>93</v>
      </c>
      <c r="H465" s="21" t="s">
        <v>4007</v>
      </c>
      <c r="I465" s="21" t="s">
        <v>4008</v>
      </c>
      <c r="J465" s="21" t="s">
        <v>4009</v>
      </c>
      <c r="K465" s="21" t="e">
        <f t="shared" ca="1" si="2"/>
        <v>#NAME?</v>
      </c>
      <c r="L465" s="24">
        <v>2005</v>
      </c>
      <c r="M465" s="21">
        <v>2022</v>
      </c>
      <c r="N465" s="21" t="s">
        <v>111</v>
      </c>
      <c r="O465" s="21" t="s">
        <v>112</v>
      </c>
      <c r="P465" s="26">
        <v>7993022789</v>
      </c>
      <c r="Q465" s="26" t="e">
        <f t="shared" ca="1" si="3"/>
        <v>#NAME?</v>
      </c>
      <c r="R465" s="21" t="s">
        <v>188</v>
      </c>
      <c r="S465" s="21" t="s">
        <v>4010</v>
      </c>
      <c r="T465" s="21" t="s">
        <v>3789</v>
      </c>
      <c r="U465" s="21" t="s">
        <v>127</v>
      </c>
      <c r="V465" s="21" t="s">
        <v>4011</v>
      </c>
      <c r="W465" s="21" t="s">
        <v>219</v>
      </c>
      <c r="X465" s="21" t="s">
        <v>2787</v>
      </c>
      <c r="Y465" s="21" t="s">
        <v>3423</v>
      </c>
      <c r="Z465" s="21" t="s">
        <v>296</v>
      </c>
      <c r="AA465" s="21" t="s">
        <v>396</v>
      </c>
      <c r="AB465" s="21" t="s">
        <v>363</v>
      </c>
      <c r="AC465" s="21" t="s">
        <v>1069</v>
      </c>
      <c r="AD465" s="21" t="s">
        <v>132</v>
      </c>
      <c r="AE465" s="21" t="s">
        <v>332</v>
      </c>
      <c r="AF465" s="21" t="s">
        <v>135</v>
      </c>
      <c r="AG465" s="21" t="s">
        <v>135</v>
      </c>
      <c r="AH465" s="21" t="s">
        <v>135</v>
      </c>
      <c r="AI465" s="21" t="s">
        <v>135</v>
      </c>
    </row>
    <row r="466" spans="1:36" ht="15.75" customHeight="1" x14ac:dyDescent="0.3">
      <c r="A466" s="21">
        <v>2026</v>
      </c>
      <c r="B466" s="22">
        <v>46122.884371423614</v>
      </c>
      <c r="C466" s="21" t="s">
        <v>183</v>
      </c>
      <c r="D466" s="21" t="s">
        <v>183</v>
      </c>
      <c r="E466" s="21" t="s">
        <v>183</v>
      </c>
      <c r="F466" s="21" t="s">
        <v>183</v>
      </c>
      <c r="G466" s="21" t="s">
        <v>93</v>
      </c>
      <c r="H466" s="21" t="s">
        <v>4012</v>
      </c>
      <c r="I466" s="21" t="s">
        <v>3618</v>
      </c>
      <c r="J466" s="21" t="s">
        <v>4013</v>
      </c>
      <c r="K466" s="21" t="e">
        <f t="shared" ca="1" si="2"/>
        <v>#NAME?</v>
      </c>
      <c r="L466" s="24">
        <v>1985</v>
      </c>
      <c r="M466" s="21">
        <v>2009</v>
      </c>
      <c r="N466" s="21" t="s">
        <v>315</v>
      </c>
      <c r="O466" s="21" t="s">
        <v>316</v>
      </c>
      <c r="P466" s="26">
        <v>9722072431</v>
      </c>
      <c r="Q466" s="26" t="e">
        <f t="shared" ca="1" si="3"/>
        <v>#NAME?</v>
      </c>
      <c r="R466" s="21" t="s">
        <v>3275</v>
      </c>
      <c r="S466" s="21" t="s">
        <v>1151</v>
      </c>
      <c r="T466" s="21" t="s">
        <v>4014</v>
      </c>
      <c r="U466" s="21" t="s">
        <v>4015</v>
      </c>
      <c r="V466" s="21" t="s">
        <v>127</v>
      </c>
      <c r="W466" s="21" t="s">
        <v>488</v>
      </c>
      <c r="X466" s="21" t="s">
        <v>4016</v>
      </c>
      <c r="Y466" s="21" t="s">
        <v>4016</v>
      </c>
      <c r="Z466" s="21" t="s">
        <v>127</v>
      </c>
      <c r="AA466" s="21" t="s">
        <v>4017</v>
      </c>
      <c r="AB466" s="21" t="s">
        <v>363</v>
      </c>
      <c r="AC466" s="21" t="s">
        <v>4018</v>
      </c>
      <c r="AD466" s="21" t="s">
        <v>287</v>
      </c>
      <c r="AE466" s="21" t="s">
        <v>365</v>
      </c>
      <c r="AF466" s="21" t="s">
        <v>135</v>
      </c>
      <c r="AG466" s="21" t="s">
        <v>135</v>
      </c>
      <c r="AH466" s="21" t="s">
        <v>135</v>
      </c>
      <c r="AI466" s="21" t="s">
        <v>135</v>
      </c>
    </row>
    <row r="467" spans="1:36" ht="15.75" customHeight="1" x14ac:dyDescent="0.3">
      <c r="A467" s="21">
        <v>2026</v>
      </c>
      <c r="B467" s="22">
        <v>46122.975781585643</v>
      </c>
      <c r="C467" s="21" t="s">
        <v>183</v>
      </c>
      <c r="D467" s="21" t="s">
        <v>183</v>
      </c>
      <c r="E467" s="21" t="s">
        <v>183</v>
      </c>
      <c r="F467" s="21" t="s">
        <v>183</v>
      </c>
      <c r="G467" s="21" t="s">
        <v>93</v>
      </c>
      <c r="H467" s="21" t="s">
        <v>4019</v>
      </c>
      <c r="I467" s="21" t="s">
        <v>4020</v>
      </c>
      <c r="J467" s="138" t="s">
        <v>4021</v>
      </c>
      <c r="K467" s="21" t="e">
        <f t="shared" ca="1" si="2"/>
        <v>#NAME?</v>
      </c>
      <c r="L467" s="24">
        <v>1987</v>
      </c>
      <c r="M467" s="21">
        <v>2007</v>
      </c>
      <c r="N467" s="21" t="s">
        <v>474</v>
      </c>
      <c r="O467" s="21" t="s">
        <v>316</v>
      </c>
      <c r="P467" s="26">
        <v>6474031548</v>
      </c>
      <c r="Q467" s="26" t="e">
        <f t="shared" ca="1" si="3"/>
        <v>#NAME?</v>
      </c>
      <c r="R467" s="21" t="s">
        <v>578</v>
      </c>
      <c r="S467" s="21" t="s">
        <v>4022</v>
      </c>
      <c r="T467" s="21">
        <v>6475041774</v>
      </c>
      <c r="U467" s="21" t="s">
        <v>2671</v>
      </c>
      <c r="V467" s="21" t="s">
        <v>127</v>
      </c>
      <c r="W467" s="21" t="s">
        <v>319</v>
      </c>
      <c r="X467" s="21" t="s">
        <v>4023</v>
      </c>
      <c r="Y467" s="21" t="s">
        <v>308</v>
      </c>
      <c r="Z467" s="21" t="s">
        <v>127</v>
      </c>
      <c r="AA467" s="21" t="s">
        <v>4024</v>
      </c>
      <c r="AB467" s="21" t="s">
        <v>363</v>
      </c>
      <c r="AC467" s="21" t="s">
        <v>4025</v>
      </c>
      <c r="AD467" s="21" t="s">
        <v>132</v>
      </c>
      <c r="AE467" s="21" t="s">
        <v>365</v>
      </c>
      <c r="AF467" s="21" t="s">
        <v>135</v>
      </c>
      <c r="AG467" s="21" t="s">
        <v>135</v>
      </c>
      <c r="AH467" s="21" t="s">
        <v>135</v>
      </c>
      <c r="AI467" s="21" t="s">
        <v>135</v>
      </c>
      <c r="AJ467" s="21" t="s">
        <v>4026</v>
      </c>
    </row>
    <row r="468" spans="1:36" ht="15.75" customHeight="1" x14ac:dyDescent="0.3">
      <c r="A468" s="21">
        <v>2026</v>
      </c>
      <c r="B468" s="22">
        <v>46123.016251273148</v>
      </c>
      <c r="C468" s="21" t="s">
        <v>183</v>
      </c>
      <c r="D468" s="21" t="s">
        <v>183</v>
      </c>
      <c r="E468" s="21" t="s">
        <v>183</v>
      </c>
      <c r="F468" s="21" t="s">
        <v>183</v>
      </c>
      <c r="G468" s="21" t="s">
        <v>93</v>
      </c>
      <c r="H468" s="21" t="s">
        <v>4027</v>
      </c>
      <c r="I468" s="21" t="s">
        <v>4028</v>
      </c>
      <c r="J468" s="21" t="s">
        <v>4029</v>
      </c>
      <c r="K468" s="21" t="e">
        <f t="shared" ca="1" si="2"/>
        <v>#NAME?</v>
      </c>
      <c r="L468" s="24">
        <v>1964</v>
      </c>
      <c r="M468" s="21">
        <v>1990</v>
      </c>
      <c r="N468" s="21" t="s">
        <v>111</v>
      </c>
      <c r="O468" s="21" t="s">
        <v>112</v>
      </c>
      <c r="P468" s="26">
        <v>9440220577</v>
      </c>
      <c r="Q468" s="26" t="e">
        <f t="shared" ca="1" si="3"/>
        <v>#NAME?</v>
      </c>
      <c r="R468" s="21" t="s">
        <v>4030</v>
      </c>
      <c r="S468" s="21" t="s">
        <v>4031</v>
      </c>
      <c r="T468" s="21">
        <v>9437176540</v>
      </c>
      <c r="U468" s="21" t="s">
        <v>4032</v>
      </c>
      <c r="V468" s="21" t="s">
        <v>4033</v>
      </c>
      <c r="W468" s="21" t="s">
        <v>4034</v>
      </c>
      <c r="X468" s="21" t="s">
        <v>1145</v>
      </c>
      <c r="Y468" s="21" t="s">
        <v>536</v>
      </c>
      <c r="Z468" s="21" t="s">
        <v>127</v>
      </c>
      <c r="AA468" s="21" t="s">
        <v>4035</v>
      </c>
      <c r="AB468" s="21" t="s">
        <v>3591</v>
      </c>
      <c r="AC468" s="21" t="s">
        <v>4036</v>
      </c>
      <c r="AD468" s="21" t="s">
        <v>132</v>
      </c>
      <c r="AE468" s="21" t="s">
        <v>365</v>
      </c>
      <c r="AF468" s="21" t="s">
        <v>135</v>
      </c>
      <c r="AG468" s="21" t="s">
        <v>135</v>
      </c>
      <c r="AH468" s="21" t="s">
        <v>135</v>
      </c>
      <c r="AI468" s="21" t="s">
        <v>135</v>
      </c>
      <c r="AJ468" s="21" t="s">
        <v>4037</v>
      </c>
    </row>
    <row r="469" spans="1:36" ht="15.75" customHeight="1" x14ac:dyDescent="0.3">
      <c r="A469" s="21">
        <v>2026</v>
      </c>
      <c r="B469" s="22">
        <v>46123.224033206017</v>
      </c>
      <c r="C469" s="21" t="s">
        <v>183</v>
      </c>
      <c r="D469" s="21" t="s">
        <v>183</v>
      </c>
      <c r="E469" s="21" t="s">
        <v>183</v>
      </c>
      <c r="F469" s="21" t="s">
        <v>183</v>
      </c>
      <c r="G469" s="21" t="s">
        <v>93</v>
      </c>
      <c r="H469" s="21" t="s">
        <v>4038</v>
      </c>
      <c r="I469" s="21" t="s">
        <v>4039</v>
      </c>
      <c r="J469" s="21" t="s">
        <v>4040</v>
      </c>
      <c r="K469" s="21" t="e">
        <f t="shared" ca="1" si="2"/>
        <v>#NAME?</v>
      </c>
      <c r="L469" s="24">
        <v>1962</v>
      </c>
      <c r="M469" s="21">
        <v>1989</v>
      </c>
      <c r="N469" s="21" t="s">
        <v>111</v>
      </c>
      <c r="O469" s="21" t="s">
        <v>112</v>
      </c>
      <c r="P469" s="26">
        <v>9490611088</v>
      </c>
      <c r="Q469" s="26" t="e">
        <f t="shared" ca="1" si="3"/>
        <v>#NAME?</v>
      </c>
      <c r="R469" s="21" t="s">
        <v>188</v>
      </c>
      <c r="S469" s="21" t="s">
        <v>4041</v>
      </c>
      <c r="T469" s="21">
        <v>9391944044</v>
      </c>
      <c r="U469" s="21" t="s">
        <v>4042</v>
      </c>
      <c r="V469" s="21" t="s">
        <v>284</v>
      </c>
      <c r="W469" s="21" t="s">
        <v>219</v>
      </c>
      <c r="X469" s="21" t="s">
        <v>179</v>
      </c>
      <c r="Y469" s="21" t="s">
        <v>1762</v>
      </c>
      <c r="Z469" s="21" t="s">
        <v>284</v>
      </c>
      <c r="AA469" s="21" t="s">
        <v>386</v>
      </c>
      <c r="AB469" s="21" t="s">
        <v>363</v>
      </c>
      <c r="AC469" s="21" t="s">
        <v>4043</v>
      </c>
      <c r="AD469" s="21" t="s">
        <v>132</v>
      </c>
      <c r="AE469" s="21" t="s">
        <v>365</v>
      </c>
      <c r="AF469" s="21" t="s">
        <v>135</v>
      </c>
      <c r="AG469" s="21" t="s">
        <v>135</v>
      </c>
      <c r="AH469" s="21" t="s">
        <v>135</v>
      </c>
      <c r="AI469" s="21" t="s">
        <v>135</v>
      </c>
      <c r="AJ469" s="21" t="s">
        <v>4044</v>
      </c>
    </row>
    <row r="470" spans="1:36" ht="15.75" customHeight="1" x14ac:dyDescent="0.3">
      <c r="A470" s="21">
        <v>2026</v>
      </c>
      <c r="B470" s="22">
        <v>46123.754900277781</v>
      </c>
      <c r="C470" s="21" t="s">
        <v>183</v>
      </c>
      <c r="D470" s="21" t="s">
        <v>183</v>
      </c>
      <c r="E470" s="21" t="s">
        <v>183</v>
      </c>
      <c r="F470" s="21" t="s">
        <v>183</v>
      </c>
      <c r="G470" s="21" t="s">
        <v>93</v>
      </c>
      <c r="H470" s="21" t="s">
        <v>4045</v>
      </c>
      <c r="I470" s="21" t="s">
        <v>891</v>
      </c>
      <c r="J470" s="21" t="s">
        <v>1914</v>
      </c>
      <c r="K470" s="21" t="e">
        <f t="shared" ca="1" si="2"/>
        <v>#NAME?</v>
      </c>
      <c r="L470" s="24">
        <v>1988</v>
      </c>
      <c r="M470" s="21">
        <v>2015</v>
      </c>
      <c r="N470" s="21" t="s">
        <v>402</v>
      </c>
      <c r="O470" s="21" t="s">
        <v>316</v>
      </c>
      <c r="P470" s="26">
        <v>4708619721</v>
      </c>
      <c r="Q470" s="26" t="e">
        <f t="shared" ca="1" si="3"/>
        <v>#NAME?</v>
      </c>
      <c r="R470" s="21" t="s">
        <v>4046</v>
      </c>
      <c r="S470" s="21" t="s">
        <v>3685</v>
      </c>
      <c r="T470" s="21" t="s">
        <v>3685</v>
      </c>
      <c r="U470" s="21" t="s">
        <v>4047</v>
      </c>
      <c r="V470" s="21" t="s">
        <v>582</v>
      </c>
      <c r="W470" s="21" t="s">
        <v>219</v>
      </c>
      <c r="X470" s="21" t="s">
        <v>571</v>
      </c>
      <c r="Y470" s="21" t="s">
        <v>4048</v>
      </c>
      <c r="Z470" s="21" t="s">
        <v>127</v>
      </c>
      <c r="AA470" s="21" t="s">
        <v>285</v>
      </c>
      <c r="AB470" s="21" t="s">
        <v>363</v>
      </c>
      <c r="AC470" s="21" t="s">
        <v>2906</v>
      </c>
      <c r="AD470" s="21" t="s">
        <v>132</v>
      </c>
      <c r="AE470" s="21" t="s">
        <v>365</v>
      </c>
      <c r="AF470" s="21" t="s">
        <v>135</v>
      </c>
      <c r="AG470" s="21" t="s">
        <v>135</v>
      </c>
      <c r="AH470" s="21" t="s">
        <v>135</v>
      </c>
      <c r="AI470" s="21" t="s">
        <v>135</v>
      </c>
    </row>
    <row r="471" spans="1:36" ht="15.75" customHeight="1" x14ac:dyDescent="0.3">
      <c r="A471" s="21">
        <v>2026</v>
      </c>
      <c r="B471" s="22">
        <v>46123.900842743053</v>
      </c>
      <c r="C471" s="21" t="s">
        <v>183</v>
      </c>
      <c r="D471" s="21" t="s">
        <v>183</v>
      </c>
      <c r="E471" s="21" t="s">
        <v>183</v>
      </c>
      <c r="F471" s="21" t="s">
        <v>183</v>
      </c>
      <c r="G471" s="21" t="s">
        <v>93</v>
      </c>
      <c r="H471" s="21" t="s">
        <v>4049</v>
      </c>
      <c r="I471" s="21" t="s">
        <v>4050</v>
      </c>
      <c r="J471" s="21" t="s">
        <v>4051</v>
      </c>
      <c r="K471" s="21" t="e">
        <f t="shared" ca="1" si="2"/>
        <v>#NAME?</v>
      </c>
      <c r="L471" s="24">
        <v>1971</v>
      </c>
      <c r="M471" s="21">
        <v>2000</v>
      </c>
      <c r="N471" s="21" t="s">
        <v>402</v>
      </c>
      <c r="O471" s="21" t="s">
        <v>316</v>
      </c>
      <c r="P471" s="26">
        <v>9086360011</v>
      </c>
      <c r="Q471" s="26" t="e">
        <f t="shared" ca="1" si="3"/>
        <v>#NAME?</v>
      </c>
      <c r="R471" s="21" t="s">
        <v>4052</v>
      </c>
      <c r="S471" s="21" t="s">
        <v>4053</v>
      </c>
      <c r="T471" s="21" t="s">
        <v>4054</v>
      </c>
      <c r="U471" s="21" t="s">
        <v>4055</v>
      </c>
      <c r="V471" s="21" t="s">
        <v>284</v>
      </c>
      <c r="W471" s="21" t="s">
        <v>219</v>
      </c>
      <c r="X471" s="21" t="s">
        <v>178</v>
      </c>
      <c r="Y471" s="21" t="s">
        <v>179</v>
      </c>
      <c r="Z471" s="21" t="s">
        <v>284</v>
      </c>
      <c r="AA471" s="21" t="s">
        <v>4056</v>
      </c>
      <c r="AB471" s="21" t="s">
        <v>363</v>
      </c>
      <c r="AC471" s="21" t="s">
        <v>4057</v>
      </c>
      <c r="AD471" s="21" t="s">
        <v>169</v>
      </c>
      <c r="AE471" s="21" t="s">
        <v>365</v>
      </c>
      <c r="AF471" s="21" t="s">
        <v>135</v>
      </c>
      <c r="AG471" s="21" t="s">
        <v>135</v>
      </c>
      <c r="AH471" s="21" t="s">
        <v>135</v>
      </c>
      <c r="AI471" s="21" t="s">
        <v>135</v>
      </c>
    </row>
    <row r="472" spans="1:36" ht="15.75" customHeight="1" x14ac:dyDescent="0.3">
      <c r="A472" s="21">
        <v>2026</v>
      </c>
      <c r="B472" s="22">
        <v>46123.997340729169</v>
      </c>
      <c r="C472" s="21" t="s">
        <v>183</v>
      </c>
      <c r="D472" s="21" t="s">
        <v>183</v>
      </c>
      <c r="E472" s="21" t="s">
        <v>183</v>
      </c>
      <c r="F472" s="21" t="s">
        <v>183</v>
      </c>
      <c r="G472" s="21" t="s">
        <v>93</v>
      </c>
      <c r="H472" s="21" t="s">
        <v>4058</v>
      </c>
      <c r="I472" s="21" t="s">
        <v>4059</v>
      </c>
      <c r="J472" s="21" t="s">
        <v>4060</v>
      </c>
      <c r="K472" s="21" t="e">
        <f t="shared" ca="1" si="2"/>
        <v>#NAME?</v>
      </c>
      <c r="L472" s="24">
        <v>1986</v>
      </c>
      <c r="M472" s="21">
        <v>2014</v>
      </c>
      <c r="N472" s="21" t="s">
        <v>402</v>
      </c>
      <c r="O472" s="21" t="s">
        <v>316</v>
      </c>
      <c r="P472" s="26">
        <v>6175841107</v>
      </c>
      <c r="Q472" s="26" t="e">
        <f t="shared" ca="1" si="3"/>
        <v>#NAME?</v>
      </c>
      <c r="R472" s="21" t="s">
        <v>2670</v>
      </c>
      <c r="S472" s="21" t="s">
        <v>4053</v>
      </c>
      <c r="T472" s="21">
        <v>9652453800</v>
      </c>
      <c r="U472" s="21" t="s">
        <v>4061</v>
      </c>
      <c r="V472" s="21" t="s">
        <v>127</v>
      </c>
      <c r="W472" s="21" t="s">
        <v>307</v>
      </c>
      <c r="X472" s="21" t="s">
        <v>308</v>
      </c>
      <c r="Y472" s="21" t="s">
        <v>308</v>
      </c>
      <c r="Z472" s="21" t="s">
        <v>127</v>
      </c>
      <c r="AA472" s="21" t="s">
        <v>1890</v>
      </c>
      <c r="AB472" s="21" t="s">
        <v>363</v>
      </c>
      <c r="AC472" s="21" t="s">
        <v>4062</v>
      </c>
      <c r="AD472" s="21" t="s">
        <v>132</v>
      </c>
      <c r="AE472" s="21" t="s">
        <v>365</v>
      </c>
      <c r="AF472" s="21" t="s">
        <v>135</v>
      </c>
      <c r="AG472" s="21" t="s">
        <v>135</v>
      </c>
      <c r="AH472" s="21" t="s">
        <v>135</v>
      </c>
      <c r="AI472" s="21" t="s">
        <v>135</v>
      </c>
    </row>
    <row r="473" spans="1:36" ht="15.75" customHeight="1" x14ac:dyDescent="0.3">
      <c r="A473" s="21">
        <v>2026</v>
      </c>
      <c r="B473" s="22">
        <v>46124.015871770833</v>
      </c>
      <c r="C473" s="21" t="s">
        <v>183</v>
      </c>
      <c r="D473" s="21" t="s">
        <v>183</v>
      </c>
      <c r="E473" s="21" t="s">
        <v>183</v>
      </c>
      <c r="F473" s="21" t="s">
        <v>183</v>
      </c>
      <c r="G473" s="21" t="s">
        <v>93</v>
      </c>
      <c r="H473" s="21" t="s">
        <v>4063</v>
      </c>
      <c r="I473" s="21" t="s">
        <v>370</v>
      </c>
      <c r="J473" s="21" t="s">
        <v>4064</v>
      </c>
      <c r="K473" s="21" t="e">
        <f t="shared" ca="1" si="2"/>
        <v>#NAME?</v>
      </c>
      <c r="L473" s="24">
        <v>1969</v>
      </c>
      <c r="M473" s="21">
        <v>1976</v>
      </c>
      <c r="N473" s="21" t="s">
        <v>111</v>
      </c>
      <c r="O473" s="21" t="s">
        <v>112</v>
      </c>
      <c r="P473" s="26">
        <v>9553450385</v>
      </c>
      <c r="Q473" s="26" t="e">
        <f t="shared" ca="1" si="3"/>
        <v>#NAME?</v>
      </c>
      <c r="R473" s="21" t="s">
        <v>118</v>
      </c>
      <c r="S473" s="21" t="s">
        <v>4066</v>
      </c>
      <c r="T473" s="21">
        <v>9866573169</v>
      </c>
      <c r="U473" s="21" t="s">
        <v>4067</v>
      </c>
      <c r="V473" s="21" t="s">
        <v>127</v>
      </c>
      <c r="W473" s="21" t="s">
        <v>266</v>
      </c>
      <c r="X473" s="21" t="s">
        <v>4068</v>
      </c>
      <c r="Y473" s="21" t="s">
        <v>211</v>
      </c>
      <c r="Z473" s="21" t="s">
        <v>127</v>
      </c>
      <c r="AA473" s="21" t="s">
        <v>4069</v>
      </c>
      <c r="AB473" s="21" t="s">
        <v>363</v>
      </c>
      <c r="AC473" s="21" t="s">
        <v>4070</v>
      </c>
      <c r="AD473" s="21" t="s">
        <v>287</v>
      </c>
      <c r="AE473" s="21" t="s">
        <v>365</v>
      </c>
      <c r="AF473" s="21" t="s">
        <v>135</v>
      </c>
      <c r="AG473" s="21" t="s">
        <v>135</v>
      </c>
      <c r="AH473" s="21" t="s">
        <v>135</v>
      </c>
      <c r="AI473" s="21" t="s">
        <v>135</v>
      </c>
      <c r="AJ473" s="21" t="s">
        <v>4071</v>
      </c>
    </row>
    <row r="474" spans="1:36" ht="15.75" customHeight="1" x14ac:dyDescent="0.3">
      <c r="A474" s="21">
        <v>2026</v>
      </c>
      <c r="B474" s="22">
        <v>46124.309093784723</v>
      </c>
      <c r="C474" s="21" t="s">
        <v>183</v>
      </c>
      <c r="D474" s="21" t="s">
        <v>183</v>
      </c>
      <c r="E474" s="21" t="s">
        <v>183</v>
      </c>
      <c r="F474" s="21" t="s">
        <v>183</v>
      </c>
      <c r="G474" s="21" t="s">
        <v>93</v>
      </c>
      <c r="H474" s="21" t="s">
        <v>4072</v>
      </c>
      <c r="I474" s="21" t="s">
        <v>4073</v>
      </c>
      <c r="J474" s="21" t="s">
        <v>4074</v>
      </c>
      <c r="K474" s="21" t="e">
        <f t="shared" ca="1" si="2"/>
        <v>#NAME?</v>
      </c>
      <c r="L474" s="24">
        <v>1965</v>
      </c>
      <c r="M474" s="21">
        <v>1992</v>
      </c>
      <c r="N474" s="21" t="s">
        <v>111</v>
      </c>
      <c r="O474" s="21" t="s">
        <v>112</v>
      </c>
      <c r="P474" s="26">
        <v>9502697671</v>
      </c>
      <c r="Q474" s="26" t="e">
        <f t="shared" ca="1" si="3"/>
        <v>#NAME?</v>
      </c>
      <c r="R474" s="21" t="s">
        <v>485</v>
      </c>
      <c r="S474" s="21" t="s">
        <v>4075</v>
      </c>
      <c r="T474" s="21">
        <v>9290103468</v>
      </c>
      <c r="U474" s="21" t="s">
        <v>3071</v>
      </c>
      <c r="V474" s="21" t="s">
        <v>127</v>
      </c>
      <c r="W474" s="21" t="s">
        <v>307</v>
      </c>
      <c r="X474" s="21" t="s">
        <v>4076</v>
      </c>
      <c r="Y474" s="21" t="s">
        <v>1706</v>
      </c>
      <c r="Z474" s="21" t="s">
        <v>127</v>
      </c>
      <c r="AA474" s="21" t="s">
        <v>4077</v>
      </c>
      <c r="AB474" s="21" t="s">
        <v>363</v>
      </c>
      <c r="AC474" s="21" t="s">
        <v>4078</v>
      </c>
      <c r="AD474" s="21" t="s">
        <v>132</v>
      </c>
      <c r="AE474" s="21" t="s">
        <v>365</v>
      </c>
      <c r="AF474" s="21" t="s">
        <v>135</v>
      </c>
      <c r="AG474" s="21" t="s">
        <v>135</v>
      </c>
      <c r="AH474" s="21" t="s">
        <v>135</v>
      </c>
      <c r="AI474" s="21" t="s">
        <v>135</v>
      </c>
      <c r="AJ474" s="21" t="s">
        <v>4079</v>
      </c>
    </row>
    <row r="475" spans="1:36" ht="15.75" customHeight="1" x14ac:dyDescent="0.3">
      <c r="A475" s="21">
        <v>2026</v>
      </c>
      <c r="B475" s="22">
        <v>46124.406607627316</v>
      </c>
      <c r="C475" s="21" t="s">
        <v>183</v>
      </c>
      <c r="D475" s="21" t="s">
        <v>183</v>
      </c>
      <c r="E475" s="21" t="s">
        <v>183</v>
      </c>
      <c r="F475" s="21" t="s">
        <v>183</v>
      </c>
      <c r="G475" s="21" t="s">
        <v>256</v>
      </c>
      <c r="H475" s="21" t="s">
        <v>4080</v>
      </c>
      <c r="I475" s="21" t="s">
        <v>2987</v>
      </c>
      <c r="J475" s="21" t="s">
        <v>4081</v>
      </c>
      <c r="K475" s="21" t="e">
        <f t="shared" ca="1" si="2"/>
        <v>#NAME?</v>
      </c>
      <c r="L475" s="24">
        <v>2010</v>
      </c>
      <c r="M475" s="21">
        <v>2019</v>
      </c>
      <c r="N475" s="21" t="s">
        <v>315</v>
      </c>
      <c r="O475" s="21" t="s">
        <v>316</v>
      </c>
      <c r="P475" s="26">
        <v>4695868126</v>
      </c>
      <c r="Q475" s="26" t="e">
        <f t="shared" ca="1" si="3"/>
        <v>#NAME?</v>
      </c>
      <c r="R475" s="21" t="s">
        <v>1501</v>
      </c>
      <c r="S475" s="21" t="s">
        <v>4082</v>
      </c>
      <c r="T475" s="21">
        <v>4695868126</v>
      </c>
      <c r="U475" s="21" t="s">
        <v>127</v>
      </c>
      <c r="V475" s="21" t="s">
        <v>4083</v>
      </c>
      <c r="W475" s="21" t="s">
        <v>4084</v>
      </c>
      <c r="X475" s="21" t="s">
        <v>553</v>
      </c>
      <c r="Y475" s="21" t="s">
        <v>1067</v>
      </c>
      <c r="Z475" s="21" t="s">
        <v>4085</v>
      </c>
      <c r="AA475" s="21" t="s">
        <v>2004</v>
      </c>
      <c r="AB475" s="21" t="s">
        <v>363</v>
      </c>
      <c r="AC475" s="21" t="s">
        <v>4086</v>
      </c>
      <c r="AD475" s="21" t="s">
        <v>287</v>
      </c>
      <c r="AE475" s="21" t="s">
        <v>365</v>
      </c>
      <c r="AF475" s="21" t="s">
        <v>135</v>
      </c>
      <c r="AG475" s="21" t="s">
        <v>135</v>
      </c>
      <c r="AH475" s="21" t="s">
        <v>135</v>
      </c>
      <c r="AI475" s="21" t="s">
        <v>135</v>
      </c>
    </row>
    <row r="476" spans="1:36" ht="15.75" customHeight="1" x14ac:dyDescent="0.3">
      <c r="A476" s="21">
        <v>2026</v>
      </c>
      <c r="B476" s="22">
        <v>46124.42485708333</v>
      </c>
      <c r="C476" s="21" t="s">
        <v>183</v>
      </c>
      <c r="D476" s="21" t="s">
        <v>183</v>
      </c>
      <c r="E476" s="21" t="s">
        <v>183</v>
      </c>
      <c r="F476" s="21" t="s">
        <v>183</v>
      </c>
      <c r="G476" s="21" t="s">
        <v>93</v>
      </c>
      <c r="H476" s="21" t="s">
        <v>4087</v>
      </c>
      <c r="I476" s="21" t="s">
        <v>4088</v>
      </c>
      <c r="J476" s="21" t="s">
        <v>520</v>
      </c>
      <c r="K476" s="21" t="e">
        <f t="shared" ca="1" si="2"/>
        <v>#NAME?</v>
      </c>
      <c r="L476" s="24">
        <v>1994</v>
      </c>
      <c r="M476" s="21">
        <v>2010</v>
      </c>
      <c r="N476" s="21" t="s">
        <v>111</v>
      </c>
      <c r="O476" s="21" t="s">
        <v>112</v>
      </c>
      <c r="P476" s="26">
        <v>7396914050</v>
      </c>
      <c r="Q476" s="26" t="e">
        <f t="shared" ca="1" si="3"/>
        <v>#NAME?</v>
      </c>
      <c r="R476" s="21" t="s">
        <v>118</v>
      </c>
      <c r="S476" s="21" t="s">
        <v>4089</v>
      </c>
      <c r="T476" s="21">
        <v>9010023248</v>
      </c>
      <c r="U476" s="21" t="s">
        <v>4090</v>
      </c>
      <c r="V476" s="21" t="s">
        <v>127</v>
      </c>
      <c r="W476" s="21" t="s">
        <v>210</v>
      </c>
      <c r="X476" s="21" t="s">
        <v>178</v>
      </c>
      <c r="Y476" s="21" t="s">
        <v>178</v>
      </c>
      <c r="Z476" s="21" t="s">
        <v>127</v>
      </c>
      <c r="AA476" s="21" t="s">
        <v>3490</v>
      </c>
      <c r="AB476" s="21" t="s">
        <v>363</v>
      </c>
      <c r="AC476" s="21" t="s">
        <v>4091</v>
      </c>
      <c r="AD476" s="21" t="s">
        <v>287</v>
      </c>
      <c r="AE476" s="21" t="s">
        <v>365</v>
      </c>
      <c r="AF476" s="21" t="s">
        <v>135</v>
      </c>
      <c r="AG476" s="21" t="s">
        <v>135</v>
      </c>
      <c r="AH476" s="21" t="s">
        <v>135</v>
      </c>
      <c r="AI476" s="21" t="s">
        <v>135</v>
      </c>
      <c r="AJ476" s="21" t="s">
        <v>4092</v>
      </c>
    </row>
    <row r="477" spans="1:36" ht="15.75" customHeight="1" x14ac:dyDescent="0.3">
      <c r="A477" s="21">
        <v>2026</v>
      </c>
      <c r="B477" s="22">
        <v>46124.431110231482</v>
      </c>
      <c r="C477" s="21" t="s">
        <v>183</v>
      </c>
      <c r="D477" s="21" t="s">
        <v>183</v>
      </c>
      <c r="E477" s="21" t="s">
        <v>183</v>
      </c>
      <c r="F477" s="21" t="s">
        <v>183</v>
      </c>
      <c r="G477" s="21" t="s">
        <v>93</v>
      </c>
      <c r="H477" s="21" t="s">
        <v>4093</v>
      </c>
      <c r="I477" s="21" t="s">
        <v>1969</v>
      </c>
      <c r="J477" s="21" t="s">
        <v>1225</v>
      </c>
      <c r="K477" s="21" t="e">
        <f t="shared" ca="1" si="2"/>
        <v>#NAME?</v>
      </c>
      <c r="L477" s="24">
        <v>1981</v>
      </c>
      <c r="M477" s="21">
        <v>2009</v>
      </c>
      <c r="N477" s="21" t="s">
        <v>111</v>
      </c>
      <c r="O477" s="21" t="s">
        <v>112</v>
      </c>
      <c r="P477" s="26">
        <v>8095210222</v>
      </c>
      <c r="Q477" s="26" t="e">
        <f t="shared" ca="1" si="3"/>
        <v>#NAME?</v>
      </c>
      <c r="R477" s="21" t="s">
        <v>188</v>
      </c>
      <c r="S477" s="21" t="s">
        <v>4094</v>
      </c>
      <c r="T477" s="21">
        <v>9010023248</v>
      </c>
      <c r="U477" s="21" t="s">
        <v>4095</v>
      </c>
      <c r="V477" s="21" t="s">
        <v>127</v>
      </c>
      <c r="W477" s="21" t="s">
        <v>328</v>
      </c>
      <c r="X477" s="21" t="s">
        <v>4096</v>
      </c>
      <c r="Y477" s="21" t="s">
        <v>4097</v>
      </c>
      <c r="Z477" s="21" t="s">
        <v>127</v>
      </c>
      <c r="AA477" s="21" t="s">
        <v>450</v>
      </c>
      <c r="AB477" s="21" t="s">
        <v>363</v>
      </c>
      <c r="AC477" s="21" t="s">
        <v>1069</v>
      </c>
      <c r="AD477" s="21" t="s">
        <v>132</v>
      </c>
      <c r="AE477" s="21" t="s">
        <v>365</v>
      </c>
      <c r="AF477" s="21" t="s">
        <v>135</v>
      </c>
      <c r="AG477" s="21" t="s">
        <v>135</v>
      </c>
      <c r="AH477" s="21" t="s">
        <v>135</v>
      </c>
      <c r="AI477" s="21" t="s">
        <v>135</v>
      </c>
    </row>
    <row r="478" spans="1:36" ht="15.75" customHeight="1" x14ac:dyDescent="0.3">
      <c r="A478" s="21">
        <v>2026</v>
      </c>
      <c r="B478" s="22">
        <v>46124.43145423611</v>
      </c>
      <c r="C478" s="21" t="s">
        <v>183</v>
      </c>
      <c r="D478" s="21" t="s">
        <v>183</v>
      </c>
      <c r="E478" s="21" t="s">
        <v>183</v>
      </c>
      <c r="F478" s="21" t="s">
        <v>183</v>
      </c>
      <c r="G478" s="21" t="s">
        <v>93</v>
      </c>
      <c r="H478" s="21" t="s">
        <v>4098</v>
      </c>
      <c r="I478" s="21" t="s">
        <v>4099</v>
      </c>
      <c r="J478" s="21" t="s">
        <v>4100</v>
      </c>
      <c r="K478" s="21" t="e">
        <f t="shared" ca="1" si="2"/>
        <v>#NAME?</v>
      </c>
      <c r="L478" s="24">
        <v>1998</v>
      </c>
      <c r="M478" s="21">
        <v>2022</v>
      </c>
      <c r="N478" s="21" t="s">
        <v>111</v>
      </c>
      <c r="O478" s="21" t="s">
        <v>112</v>
      </c>
      <c r="P478" s="26">
        <v>9151515320</v>
      </c>
      <c r="Q478" s="26" t="e">
        <f t="shared" ca="1" si="3"/>
        <v>#NAME?</v>
      </c>
      <c r="R478" s="21" t="s">
        <v>118</v>
      </c>
      <c r="S478" s="21" t="s">
        <v>4101</v>
      </c>
      <c r="T478" s="21" t="s">
        <v>4102</v>
      </c>
      <c r="U478" s="21" t="s">
        <v>4103</v>
      </c>
      <c r="V478" s="21" t="s">
        <v>4104</v>
      </c>
      <c r="W478" s="21" t="s">
        <v>219</v>
      </c>
      <c r="X478" s="21" t="s">
        <v>192</v>
      </c>
      <c r="Y478" s="21" t="s">
        <v>192</v>
      </c>
      <c r="Z478" s="21" t="s">
        <v>4105</v>
      </c>
      <c r="AA478" s="21" t="s">
        <v>285</v>
      </c>
      <c r="AB478" s="21" t="s">
        <v>3591</v>
      </c>
      <c r="AC478" s="21" t="s">
        <v>4106</v>
      </c>
      <c r="AD478" s="21" t="s">
        <v>169</v>
      </c>
      <c r="AE478" s="21" t="s">
        <v>365</v>
      </c>
      <c r="AF478" s="21" t="s">
        <v>135</v>
      </c>
      <c r="AG478" s="21" t="s">
        <v>135</v>
      </c>
      <c r="AH478" s="21" t="s">
        <v>135</v>
      </c>
      <c r="AI478" s="21" t="s">
        <v>135</v>
      </c>
    </row>
    <row r="479" spans="1:36" ht="15.75" customHeight="1" x14ac:dyDescent="0.3">
      <c r="A479" s="21">
        <v>2026</v>
      </c>
      <c r="B479" s="22">
        <v>46124.433822280094</v>
      </c>
      <c r="C479" s="21" t="s">
        <v>183</v>
      </c>
      <c r="D479" s="21" t="s">
        <v>183</v>
      </c>
      <c r="E479" s="21" t="s">
        <v>183</v>
      </c>
      <c r="F479" s="21" t="s">
        <v>183</v>
      </c>
      <c r="G479" s="21" t="s">
        <v>93</v>
      </c>
      <c r="H479" s="21" t="s">
        <v>4107</v>
      </c>
      <c r="I479" s="21" t="s">
        <v>4108</v>
      </c>
      <c r="J479" s="21" t="s">
        <v>1584</v>
      </c>
      <c r="K479" s="21" t="e">
        <f t="shared" ca="1" si="2"/>
        <v>#NAME?</v>
      </c>
      <c r="L479" s="24">
        <v>1995</v>
      </c>
      <c r="M479" s="21">
        <v>2010</v>
      </c>
      <c r="N479" s="21" t="s">
        <v>111</v>
      </c>
      <c r="O479" s="21" t="s">
        <v>112</v>
      </c>
      <c r="P479" s="26">
        <v>7708139933</v>
      </c>
      <c r="Q479" s="26" t="e">
        <f t="shared" ca="1" si="3"/>
        <v>#NAME?</v>
      </c>
      <c r="R479" s="21" t="s">
        <v>4109</v>
      </c>
      <c r="S479" s="21" t="s">
        <v>4110</v>
      </c>
      <c r="T479" s="21">
        <v>9010023248</v>
      </c>
      <c r="U479" s="21" t="s">
        <v>4111</v>
      </c>
      <c r="V479" s="21" t="s">
        <v>127</v>
      </c>
      <c r="W479" s="21" t="s">
        <v>307</v>
      </c>
      <c r="X479" s="21" t="s">
        <v>4112</v>
      </c>
      <c r="Y479" s="21" t="s">
        <v>1735</v>
      </c>
      <c r="Z479" s="21" t="s">
        <v>127</v>
      </c>
      <c r="AA479" s="21" t="s">
        <v>1414</v>
      </c>
      <c r="AB479" s="21" t="s">
        <v>363</v>
      </c>
      <c r="AC479" s="21" t="s">
        <v>4113</v>
      </c>
      <c r="AD479" s="21" t="s">
        <v>287</v>
      </c>
      <c r="AE479" s="21" t="s">
        <v>365</v>
      </c>
      <c r="AF479" s="21" t="s">
        <v>135</v>
      </c>
      <c r="AG479" s="21" t="s">
        <v>135</v>
      </c>
      <c r="AH479" s="21" t="s">
        <v>135</v>
      </c>
      <c r="AI479" s="21" t="s">
        <v>135</v>
      </c>
    </row>
    <row r="480" spans="1:36" ht="15.75" customHeight="1" x14ac:dyDescent="0.3">
      <c r="A480" s="21">
        <v>2026</v>
      </c>
      <c r="B480" s="22">
        <v>46124.441261793982</v>
      </c>
      <c r="C480" s="21" t="s">
        <v>183</v>
      </c>
      <c r="D480" s="21" t="s">
        <v>183</v>
      </c>
      <c r="E480" s="21" t="s">
        <v>183</v>
      </c>
      <c r="F480" s="21" t="s">
        <v>183</v>
      </c>
      <c r="G480" s="21" t="s">
        <v>93</v>
      </c>
      <c r="H480" s="21" t="s">
        <v>4114</v>
      </c>
      <c r="I480" s="21" t="s">
        <v>2437</v>
      </c>
      <c r="J480" s="21" t="s">
        <v>4115</v>
      </c>
      <c r="K480" s="21" t="e">
        <f t="shared" ca="1" si="2"/>
        <v>#NAME?</v>
      </c>
      <c r="L480" s="24">
        <v>1987</v>
      </c>
      <c r="M480" s="21">
        <v>2003</v>
      </c>
      <c r="N480" s="21" t="s">
        <v>111</v>
      </c>
      <c r="O480" s="21" t="s">
        <v>112</v>
      </c>
      <c r="P480" s="26">
        <v>9666443924</v>
      </c>
      <c r="Q480" s="26" t="e">
        <f t="shared" ca="1" si="3"/>
        <v>#NAME?</v>
      </c>
      <c r="R480" s="21" t="s">
        <v>188</v>
      </c>
      <c r="S480" s="21" t="s">
        <v>4116</v>
      </c>
      <c r="T480" s="21" t="s">
        <v>1952</v>
      </c>
      <c r="U480" s="21" t="s">
        <v>4117</v>
      </c>
      <c r="V480" s="21" t="s">
        <v>127</v>
      </c>
      <c r="W480" s="21" t="s">
        <v>328</v>
      </c>
      <c r="X480" s="21" t="s">
        <v>4118</v>
      </c>
      <c r="Y480" s="21" t="s">
        <v>192</v>
      </c>
      <c r="Z480" s="21" t="s">
        <v>127</v>
      </c>
      <c r="AA480" s="21" t="s">
        <v>572</v>
      </c>
      <c r="AB480" s="21" t="s">
        <v>363</v>
      </c>
      <c r="AC480" s="21" t="s">
        <v>4119</v>
      </c>
      <c r="AD480" s="21" t="s">
        <v>169</v>
      </c>
      <c r="AE480" s="21" t="s">
        <v>365</v>
      </c>
      <c r="AF480" s="21" t="s">
        <v>135</v>
      </c>
      <c r="AG480" s="21" t="s">
        <v>135</v>
      </c>
      <c r="AH480" s="21" t="s">
        <v>135</v>
      </c>
      <c r="AI480" s="21" t="s">
        <v>135</v>
      </c>
      <c r="AJ480" s="21" t="s">
        <v>4120</v>
      </c>
    </row>
    <row r="481" spans="1:36" ht="15.75" customHeight="1" x14ac:dyDescent="0.3">
      <c r="A481" s="21">
        <v>2026</v>
      </c>
      <c r="B481" s="22">
        <v>46124.45166737269</v>
      </c>
      <c r="C481" s="21" t="s">
        <v>183</v>
      </c>
      <c r="D481" s="21" t="s">
        <v>183</v>
      </c>
      <c r="E481" s="21" t="s">
        <v>183</v>
      </c>
      <c r="F481" s="21" t="s">
        <v>183</v>
      </c>
      <c r="G481" s="21" t="s">
        <v>93</v>
      </c>
      <c r="H481" s="21" t="s">
        <v>4121</v>
      </c>
      <c r="I481" s="21" t="s">
        <v>4122</v>
      </c>
      <c r="J481" s="21" t="s">
        <v>4123</v>
      </c>
      <c r="K481" s="21" t="e">
        <f t="shared" ca="1" si="2"/>
        <v>#NAME?</v>
      </c>
      <c r="L481" s="24">
        <v>1963</v>
      </c>
      <c r="M481" s="21">
        <v>1990</v>
      </c>
      <c r="N481" s="21" t="s">
        <v>111</v>
      </c>
      <c r="O481" s="21" t="s">
        <v>112</v>
      </c>
      <c r="P481" s="26">
        <v>9866681739</v>
      </c>
      <c r="Q481" s="26" t="e">
        <f t="shared" ca="1" si="3"/>
        <v>#NAME?</v>
      </c>
      <c r="R481" s="21" t="s">
        <v>236</v>
      </c>
      <c r="S481" s="21" t="s">
        <v>4124</v>
      </c>
      <c r="T481" s="21" t="s">
        <v>4125</v>
      </c>
      <c r="U481" s="21" t="s">
        <v>4126</v>
      </c>
      <c r="V481" s="21" t="s">
        <v>127</v>
      </c>
      <c r="W481" s="21" t="s">
        <v>1126</v>
      </c>
      <c r="X481" s="21" t="s">
        <v>4127</v>
      </c>
      <c r="Y481" s="21" t="s">
        <v>4128</v>
      </c>
      <c r="Z481" s="21" t="s">
        <v>127</v>
      </c>
      <c r="AA481" s="21" t="s">
        <v>4129</v>
      </c>
      <c r="AB481" s="21" t="s">
        <v>363</v>
      </c>
      <c r="AC481" s="21" t="s">
        <v>4130</v>
      </c>
      <c r="AD481" s="21" t="s">
        <v>132</v>
      </c>
      <c r="AE481" s="21" t="s">
        <v>365</v>
      </c>
      <c r="AF481" s="21" t="s">
        <v>135</v>
      </c>
      <c r="AG481" s="21" t="s">
        <v>135</v>
      </c>
      <c r="AH481" s="21" t="s">
        <v>135</v>
      </c>
      <c r="AI481" s="21" t="s">
        <v>135</v>
      </c>
      <c r="AJ481" s="21" t="s">
        <v>4131</v>
      </c>
    </row>
    <row r="482" spans="1:36" ht="15.75" customHeight="1" x14ac:dyDescent="0.3">
      <c r="A482" s="21">
        <v>2026</v>
      </c>
      <c r="B482" s="22">
        <v>46124.471495648148</v>
      </c>
      <c r="C482" s="21" t="s">
        <v>183</v>
      </c>
      <c r="D482" s="21" t="s">
        <v>183</v>
      </c>
      <c r="E482" s="21" t="s">
        <v>183</v>
      </c>
      <c r="F482" s="21" t="s">
        <v>183</v>
      </c>
      <c r="G482" s="21" t="s">
        <v>93</v>
      </c>
      <c r="H482" s="21" t="s">
        <v>4132</v>
      </c>
      <c r="I482" s="21" t="s">
        <v>4133</v>
      </c>
      <c r="J482" s="21" t="s">
        <v>281</v>
      </c>
      <c r="K482" s="21" t="e">
        <f t="shared" ca="1" si="2"/>
        <v>#NAME?</v>
      </c>
      <c r="L482" s="24">
        <v>1966</v>
      </c>
      <c r="M482" s="21">
        <v>1993</v>
      </c>
      <c r="N482" s="21" t="s">
        <v>111</v>
      </c>
      <c r="O482" s="21" t="s">
        <v>112</v>
      </c>
      <c r="P482" s="26">
        <v>9885333460</v>
      </c>
      <c r="Q482" s="26" t="e">
        <f t="shared" ca="1" si="3"/>
        <v>#NAME?</v>
      </c>
      <c r="R482" s="21" t="s">
        <v>118</v>
      </c>
      <c r="S482" s="21" t="s">
        <v>4134</v>
      </c>
      <c r="T482" s="21">
        <v>9966406261</v>
      </c>
      <c r="U482" s="21" t="s">
        <v>4135</v>
      </c>
      <c r="V482" s="21" t="s">
        <v>127</v>
      </c>
      <c r="W482" s="21" t="s">
        <v>219</v>
      </c>
      <c r="X482" s="21" t="s">
        <v>478</v>
      </c>
      <c r="Y482" s="21" t="s">
        <v>2442</v>
      </c>
      <c r="Z482" s="21" t="s">
        <v>127</v>
      </c>
      <c r="AA482" s="21" t="s">
        <v>4136</v>
      </c>
      <c r="AB482" s="21" t="s">
        <v>363</v>
      </c>
      <c r="AC482" s="21" t="s">
        <v>4137</v>
      </c>
      <c r="AD482" s="21" t="s">
        <v>287</v>
      </c>
      <c r="AE482" s="21" t="s">
        <v>365</v>
      </c>
      <c r="AF482" s="21" t="s">
        <v>135</v>
      </c>
      <c r="AG482" s="21" t="s">
        <v>135</v>
      </c>
      <c r="AH482" s="21" t="s">
        <v>135</v>
      </c>
      <c r="AI482" s="21" t="s">
        <v>135</v>
      </c>
      <c r="AJ482" s="21" t="s">
        <v>4138</v>
      </c>
    </row>
    <row r="483" spans="1:36" ht="15.75" customHeight="1" x14ac:dyDescent="0.3">
      <c r="A483" s="21">
        <v>2026</v>
      </c>
      <c r="B483" s="22">
        <v>46124.486256342592</v>
      </c>
      <c r="C483" s="21" t="s">
        <v>183</v>
      </c>
      <c r="D483" s="21" t="s">
        <v>183</v>
      </c>
      <c r="E483" s="21" t="s">
        <v>183</v>
      </c>
      <c r="F483" s="21" t="s">
        <v>183</v>
      </c>
      <c r="G483" s="21" t="s">
        <v>93</v>
      </c>
      <c r="H483" s="21" t="s">
        <v>4139</v>
      </c>
      <c r="I483" s="21" t="s">
        <v>4140</v>
      </c>
      <c r="J483" s="21" t="s">
        <v>281</v>
      </c>
      <c r="K483" s="21" t="e">
        <f t="shared" ca="1" si="2"/>
        <v>#NAME?</v>
      </c>
      <c r="L483" s="24">
        <v>1967</v>
      </c>
      <c r="M483" s="21">
        <v>1987</v>
      </c>
      <c r="N483" s="21" t="s">
        <v>111</v>
      </c>
      <c r="O483" s="21" t="s">
        <v>112</v>
      </c>
      <c r="P483" s="26">
        <v>9177776718</v>
      </c>
      <c r="Q483" s="26" t="e">
        <f t="shared" ca="1" si="3"/>
        <v>#NAME?</v>
      </c>
      <c r="R483" s="21" t="s">
        <v>118</v>
      </c>
      <c r="S483" s="21" t="s">
        <v>4141</v>
      </c>
      <c r="T483" s="21" t="s">
        <v>4142</v>
      </c>
      <c r="U483" s="21" t="s">
        <v>1465</v>
      </c>
      <c r="V483" s="21" t="s">
        <v>127</v>
      </c>
      <c r="W483" s="21" t="s">
        <v>210</v>
      </c>
      <c r="X483" s="21" t="s">
        <v>220</v>
      </c>
      <c r="Y483" s="21" t="s">
        <v>220</v>
      </c>
      <c r="Z483" s="21" t="s">
        <v>127</v>
      </c>
      <c r="AA483" s="21" t="s">
        <v>4143</v>
      </c>
      <c r="AB483" s="21" t="s">
        <v>363</v>
      </c>
      <c r="AC483" s="21" t="s">
        <v>4144</v>
      </c>
      <c r="AD483" s="21" t="s">
        <v>132</v>
      </c>
      <c r="AE483" s="21" t="s">
        <v>365</v>
      </c>
      <c r="AF483" s="21" t="s">
        <v>135</v>
      </c>
      <c r="AG483" s="21" t="s">
        <v>135</v>
      </c>
      <c r="AH483" s="21" t="s">
        <v>135</v>
      </c>
      <c r="AI483" s="21" t="s">
        <v>135</v>
      </c>
    </row>
    <row r="484" spans="1:36" ht="15.75" customHeight="1" x14ac:dyDescent="0.3">
      <c r="A484" s="21">
        <v>2026</v>
      </c>
      <c r="B484" s="22">
        <v>46124.717349513885</v>
      </c>
      <c r="C484" s="21" t="s">
        <v>183</v>
      </c>
      <c r="D484" s="21" t="s">
        <v>183</v>
      </c>
      <c r="E484" s="21" t="s">
        <v>183</v>
      </c>
      <c r="F484" s="21" t="s">
        <v>183</v>
      </c>
      <c r="G484" s="21" t="s">
        <v>93</v>
      </c>
      <c r="H484" s="21" t="s">
        <v>4145</v>
      </c>
      <c r="I484" s="21" t="s">
        <v>4146</v>
      </c>
      <c r="J484" s="138" t="s">
        <v>7140</v>
      </c>
      <c r="K484" s="21" t="e">
        <f t="shared" ca="1" si="2"/>
        <v>#NAME?</v>
      </c>
      <c r="L484" s="24">
        <v>1985</v>
      </c>
      <c r="M484" s="21">
        <v>2002</v>
      </c>
      <c r="N484" s="21" t="s">
        <v>260</v>
      </c>
      <c r="O484" s="21" t="s">
        <v>4147</v>
      </c>
      <c r="P484" s="26">
        <v>7466292031</v>
      </c>
      <c r="Q484" s="26" t="e">
        <f t="shared" ca="1" si="3"/>
        <v>#NAME?</v>
      </c>
      <c r="R484" s="21" t="s">
        <v>4148</v>
      </c>
      <c r="S484" s="21" t="s">
        <v>4149</v>
      </c>
      <c r="T484" s="21" t="s">
        <v>4150</v>
      </c>
      <c r="U484" s="21" t="s">
        <v>4151</v>
      </c>
      <c r="V484" s="21" t="s">
        <v>127</v>
      </c>
      <c r="W484" s="21" t="s">
        <v>328</v>
      </c>
      <c r="X484" s="21" t="s">
        <v>308</v>
      </c>
      <c r="Y484" s="21" t="s">
        <v>352</v>
      </c>
      <c r="Z484" s="21" t="s">
        <v>127</v>
      </c>
      <c r="AA484" s="21" t="s">
        <v>297</v>
      </c>
      <c r="AB484" s="21" t="s">
        <v>363</v>
      </c>
      <c r="AC484" s="21" t="s">
        <v>4152</v>
      </c>
      <c r="AD484" s="21" t="s">
        <v>169</v>
      </c>
      <c r="AE484" s="21" t="s">
        <v>365</v>
      </c>
      <c r="AF484" s="21" t="s">
        <v>135</v>
      </c>
      <c r="AG484" s="21" t="s">
        <v>135</v>
      </c>
      <c r="AH484" s="21" t="s">
        <v>135</v>
      </c>
      <c r="AI484" s="21" t="s">
        <v>135</v>
      </c>
      <c r="AJ484" s="21" t="s">
        <v>4153</v>
      </c>
    </row>
    <row r="485" spans="1:36" ht="15.75" customHeight="1" x14ac:dyDescent="0.3">
      <c r="A485" s="21">
        <v>2026</v>
      </c>
      <c r="B485" s="22">
        <v>46124.814438090281</v>
      </c>
      <c r="C485" s="21" t="s">
        <v>183</v>
      </c>
      <c r="D485" s="21" t="s">
        <v>183</v>
      </c>
      <c r="E485" s="21" t="s">
        <v>183</v>
      </c>
      <c r="F485" s="21" t="s">
        <v>183</v>
      </c>
      <c r="G485" s="21" t="s">
        <v>93</v>
      </c>
      <c r="H485" s="21" t="s">
        <v>4154</v>
      </c>
      <c r="I485" s="21" t="s">
        <v>4140</v>
      </c>
      <c r="J485" s="21" t="s">
        <v>4155</v>
      </c>
      <c r="K485" s="21" t="e">
        <f t="shared" ca="1" si="2"/>
        <v>#NAME?</v>
      </c>
      <c r="L485" s="24">
        <v>1996</v>
      </c>
      <c r="M485" s="21">
        <v>2003</v>
      </c>
      <c r="N485" s="21" t="s">
        <v>402</v>
      </c>
      <c r="O485" s="21" t="s">
        <v>316</v>
      </c>
      <c r="P485" s="26">
        <v>8573345576</v>
      </c>
      <c r="Q485" s="26" t="e">
        <f t="shared" ca="1" si="3"/>
        <v>#NAME?</v>
      </c>
      <c r="R485" s="21" t="s">
        <v>4156</v>
      </c>
      <c r="S485" s="21" t="s">
        <v>4141</v>
      </c>
      <c r="T485" s="21" t="s">
        <v>4157</v>
      </c>
      <c r="U485" s="21" t="s">
        <v>127</v>
      </c>
      <c r="V485" s="21" t="s">
        <v>4158</v>
      </c>
      <c r="W485" s="21" t="s">
        <v>219</v>
      </c>
      <c r="X485" s="21" t="s">
        <v>211</v>
      </c>
      <c r="Y485" s="21" t="s">
        <v>220</v>
      </c>
      <c r="Z485" s="21" t="s">
        <v>127</v>
      </c>
      <c r="AA485" s="21" t="s">
        <v>285</v>
      </c>
      <c r="AB485" s="21" t="s">
        <v>363</v>
      </c>
      <c r="AC485" s="21" t="s">
        <v>4159</v>
      </c>
      <c r="AD485" s="21" t="s">
        <v>132</v>
      </c>
      <c r="AE485" s="21" t="s">
        <v>365</v>
      </c>
      <c r="AF485" s="21" t="s">
        <v>135</v>
      </c>
      <c r="AG485" s="21" t="s">
        <v>135</v>
      </c>
      <c r="AH485" s="21" t="s">
        <v>135</v>
      </c>
      <c r="AI485" s="21" t="s">
        <v>135</v>
      </c>
      <c r="AJ485" s="21" t="s">
        <v>4160</v>
      </c>
    </row>
    <row r="486" spans="1:36" ht="15.75" customHeight="1" x14ac:dyDescent="0.3">
      <c r="A486" s="21">
        <v>2026</v>
      </c>
      <c r="B486" s="22">
        <v>46124.875642361112</v>
      </c>
      <c r="C486" s="21" t="s">
        <v>183</v>
      </c>
      <c r="D486" s="21" t="s">
        <v>183</v>
      </c>
      <c r="E486" s="21" t="s">
        <v>183</v>
      </c>
      <c r="F486" s="21" t="s">
        <v>183</v>
      </c>
      <c r="G486" s="21" t="s">
        <v>93</v>
      </c>
      <c r="H486" s="21" t="s">
        <v>4161</v>
      </c>
      <c r="I486" s="21" t="s">
        <v>3723</v>
      </c>
      <c r="J486" s="21" t="s">
        <v>920</v>
      </c>
      <c r="K486" s="21" t="e">
        <f t="shared" ca="1" si="2"/>
        <v>#NAME?</v>
      </c>
      <c r="L486" s="24">
        <v>1965</v>
      </c>
      <c r="M486" s="21">
        <v>1981</v>
      </c>
      <c r="N486" s="21" t="s">
        <v>111</v>
      </c>
      <c r="O486" s="21" t="s">
        <v>112</v>
      </c>
      <c r="P486" s="26">
        <v>9290069069</v>
      </c>
      <c r="Q486" s="26" t="e">
        <f t="shared" ca="1" si="3"/>
        <v>#NAME?</v>
      </c>
      <c r="R486" s="21" t="s">
        <v>118</v>
      </c>
      <c r="S486" s="21" t="s">
        <v>4162</v>
      </c>
      <c r="T486" s="21">
        <v>9010023248</v>
      </c>
      <c r="U486" s="21" t="s">
        <v>4163</v>
      </c>
      <c r="V486" s="21" t="s">
        <v>127</v>
      </c>
      <c r="W486" s="21" t="s">
        <v>219</v>
      </c>
      <c r="X486" s="21" t="s">
        <v>467</v>
      </c>
      <c r="Y486" s="21" t="s">
        <v>4164</v>
      </c>
      <c r="Z486" s="21" t="s">
        <v>127</v>
      </c>
      <c r="AA486" s="21" t="s">
        <v>4165</v>
      </c>
      <c r="AB486" s="21" t="s">
        <v>363</v>
      </c>
      <c r="AC486" s="21" t="s">
        <v>4166</v>
      </c>
      <c r="AD486" s="21" t="s">
        <v>132</v>
      </c>
      <c r="AE486" s="21" t="s">
        <v>365</v>
      </c>
      <c r="AF486" s="21" t="s">
        <v>135</v>
      </c>
      <c r="AG486" s="21" t="s">
        <v>135</v>
      </c>
      <c r="AH486" s="21" t="s">
        <v>135</v>
      </c>
      <c r="AI486" s="21" t="s">
        <v>135</v>
      </c>
      <c r="AJ486" s="21" t="s">
        <v>4167</v>
      </c>
    </row>
    <row r="487" spans="1:36" ht="15.75" customHeight="1" x14ac:dyDescent="0.3">
      <c r="A487" s="21">
        <v>2026</v>
      </c>
      <c r="B487" s="22">
        <v>46124.962511585647</v>
      </c>
      <c r="C487" s="21" t="s">
        <v>183</v>
      </c>
      <c r="D487" s="21" t="s">
        <v>183</v>
      </c>
      <c r="E487" s="21" t="s">
        <v>183</v>
      </c>
      <c r="F487" s="21" t="s">
        <v>183</v>
      </c>
      <c r="G487" s="21" t="s">
        <v>93</v>
      </c>
      <c r="H487" s="21" t="s">
        <v>4168</v>
      </c>
      <c r="I487" s="21" t="s">
        <v>4169</v>
      </c>
      <c r="J487" s="138" t="s">
        <v>4170</v>
      </c>
      <c r="K487" s="21" t="e">
        <f t="shared" ca="1" si="2"/>
        <v>#NAME?</v>
      </c>
      <c r="L487" s="24">
        <v>1990</v>
      </c>
      <c r="M487" s="21">
        <v>2017</v>
      </c>
      <c r="N487" s="21" t="s">
        <v>111</v>
      </c>
      <c r="O487" s="21" t="s">
        <v>112</v>
      </c>
      <c r="P487" s="26">
        <v>9948282819</v>
      </c>
      <c r="Q487" s="26" t="e">
        <f t="shared" ca="1" si="3"/>
        <v>#NAME?</v>
      </c>
      <c r="R487" s="21" t="s">
        <v>4171</v>
      </c>
      <c r="S487" s="21" t="s">
        <v>4172</v>
      </c>
      <c r="T487" s="21">
        <v>9948282819</v>
      </c>
      <c r="U487" s="21" t="s">
        <v>4173</v>
      </c>
      <c r="V487" s="21" t="s">
        <v>127</v>
      </c>
      <c r="W487" s="21" t="s">
        <v>307</v>
      </c>
      <c r="X487" s="21" t="s">
        <v>4174</v>
      </c>
      <c r="Y487" s="21" t="s">
        <v>4174</v>
      </c>
      <c r="Z487" s="21" t="s">
        <v>127</v>
      </c>
      <c r="AA487" s="21" t="s">
        <v>450</v>
      </c>
      <c r="AB487" s="21" t="s">
        <v>363</v>
      </c>
      <c r="AC487" s="21" t="s">
        <v>4175</v>
      </c>
      <c r="AD487" s="21" t="s">
        <v>132</v>
      </c>
      <c r="AE487" s="21" t="s">
        <v>365</v>
      </c>
      <c r="AF487" s="21" t="s">
        <v>135</v>
      </c>
      <c r="AG487" s="21" t="s">
        <v>135</v>
      </c>
      <c r="AH487" s="21" t="s">
        <v>135</v>
      </c>
      <c r="AI487" s="21" t="s">
        <v>135</v>
      </c>
      <c r="AJ487" s="21" t="s">
        <v>4176</v>
      </c>
    </row>
    <row r="488" spans="1:36" ht="15.75" customHeight="1" x14ac:dyDescent="0.3">
      <c r="A488" s="21">
        <v>2026</v>
      </c>
      <c r="B488" s="22">
        <v>46125.195005486108</v>
      </c>
      <c r="C488" s="21" t="s">
        <v>183</v>
      </c>
      <c r="D488" s="21" t="s">
        <v>183</v>
      </c>
      <c r="E488" s="21" t="s">
        <v>183</v>
      </c>
      <c r="F488" s="21" t="s">
        <v>183</v>
      </c>
      <c r="G488" s="21" t="s">
        <v>93</v>
      </c>
      <c r="H488" s="21" t="s">
        <v>4177</v>
      </c>
      <c r="I488" s="21" t="s">
        <v>2122</v>
      </c>
      <c r="J488" s="21" t="s">
        <v>4178</v>
      </c>
      <c r="K488" s="21" t="e">
        <f t="shared" ca="1" si="2"/>
        <v>#NAME?</v>
      </c>
      <c r="L488" s="24">
        <v>1997</v>
      </c>
      <c r="M488" s="21">
        <v>2019</v>
      </c>
      <c r="N488" s="21" t="s">
        <v>111</v>
      </c>
      <c r="O488" s="21" t="s">
        <v>112</v>
      </c>
      <c r="P488" s="26">
        <v>9491936321</v>
      </c>
      <c r="Q488" s="26" t="e">
        <f t="shared" ca="1" si="3"/>
        <v>#NAME?</v>
      </c>
      <c r="R488" s="21" t="s">
        <v>188</v>
      </c>
      <c r="S488" s="21" t="s">
        <v>296</v>
      </c>
      <c r="T488" s="21" t="s">
        <v>296</v>
      </c>
      <c r="U488" s="21" t="s">
        <v>127</v>
      </c>
      <c r="V488" s="21" t="s">
        <v>4179</v>
      </c>
      <c r="W488" s="21" t="s">
        <v>191</v>
      </c>
      <c r="X488" s="21" t="s">
        <v>536</v>
      </c>
      <c r="Y488" s="21" t="s">
        <v>536</v>
      </c>
      <c r="Z488" s="21" t="s">
        <v>127</v>
      </c>
      <c r="AA488" s="21" t="s">
        <v>4180</v>
      </c>
      <c r="AB488" s="21" t="s">
        <v>363</v>
      </c>
      <c r="AC488" s="21" t="s">
        <v>4181</v>
      </c>
      <c r="AD488" s="21" t="s">
        <v>132</v>
      </c>
      <c r="AE488" s="21" t="s">
        <v>365</v>
      </c>
      <c r="AF488" s="21" t="s">
        <v>135</v>
      </c>
      <c r="AG488" s="21" t="s">
        <v>135</v>
      </c>
      <c r="AH488" s="21" t="s">
        <v>135</v>
      </c>
      <c r="AI488" s="21" t="s">
        <v>135</v>
      </c>
      <c r="AJ488" s="21" t="s">
        <v>296</v>
      </c>
    </row>
    <row r="489" spans="1:36" ht="15.75" customHeight="1" x14ac:dyDescent="0.3">
      <c r="A489" s="21">
        <v>2026</v>
      </c>
      <c r="B489" s="22">
        <v>46125.262977233797</v>
      </c>
      <c r="C489" s="21" t="s">
        <v>183</v>
      </c>
      <c r="D489" s="21" t="s">
        <v>183</v>
      </c>
      <c r="E489" s="21" t="s">
        <v>183</v>
      </c>
      <c r="F489" s="21" t="s">
        <v>183</v>
      </c>
      <c r="G489" s="21" t="s">
        <v>93</v>
      </c>
      <c r="H489" s="21" t="s">
        <v>4182</v>
      </c>
      <c r="I489" s="21" t="s">
        <v>4183</v>
      </c>
      <c r="J489" s="21" t="s">
        <v>4184</v>
      </c>
      <c r="K489" s="21" t="e">
        <f t="shared" ca="1" si="2"/>
        <v>#NAME?</v>
      </c>
      <c r="L489" s="24">
        <v>1968</v>
      </c>
      <c r="M489" s="21">
        <v>1991</v>
      </c>
      <c r="N489" s="21" t="s">
        <v>111</v>
      </c>
      <c r="O489" s="21" t="s">
        <v>112</v>
      </c>
      <c r="P489" s="26">
        <v>9866473937</v>
      </c>
      <c r="Q489" s="26" t="e">
        <f t="shared" ca="1" si="3"/>
        <v>#NAME?</v>
      </c>
      <c r="R489" s="21" t="s">
        <v>188</v>
      </c>
      <c r="S489" s="21" t="s">
        <v>4185</v>
      </c>
      <c r="T489" s="21">
        <v>9885600552</v>
      </c>
      <c r="U489" s="21" t="s">
        <v>4186</v>
      </c>
      <c r="V489" s="21" t="s">
        <v>127</v>
      </c>
      <c r="W489" s="21" t="s">
        <v>307</v>
      </c>
      <c r="X489" s="21" t="s">
        <v>1882</v>
      </c>
      <c r="Y489" s="21" t="s">
        <v>1882</v>
      </c>
      <c r="Z489" s="21" t="s">
        <v>127</v>
      </c>
      <c r="AA489" s="21" t="s">
        <v>4187</v>
      </c>
      <c r="AB489" s="21" t="s">
        <v>363</v>
      </c>
      <c r="AC489" s="21" t="s">
        <v>4188</v>
      </c>
      <c r="AD489" s="21" t="s">
        <v>287</v>
      </c>
      <c r="AE489" s="21" t="s">
        <v>365</v>
      </c>
      <c r="AF489" s="21" t="s">
        <v>135</v>
      </c>
      <c r="AG489" s="21" t="s">
        <v>135</v>
      </c>
      <c r="AH489" s="21" t="s">
        <v>135</v>
      </c>
      <c r="AI489" s="21" t="s">
        <v>135</v>
      </c>
      <c r="AJ489" s="21" t="s">
        <v>4189</v>
      </c>
    </row>
    <row r="490" spans="1:36" ht="15.75" customHeight="1" x14ac:dyDescent="0.3">
      <c r="A490" s="21">
        <v>2026</v>
      </c>
      <c r="B490" s="22">
        <v>46125.490170590274</v>
      </c>
      <c r="C490" s="21" t="s">
        <v>183</v>
      </c>
      <c r="D490" s="21" t="s">
        <v>183</v>
      </c>
      <c r="E490" s="21" t="s">
        <v>183</v>
      </c>
      <c r="F490" s="21" t="s">
        <v>183</v>
      </c>
      <c r="G490" s="21" t="s">
        <v>93</v>
      </c>
      <c r="H490" s="21" t="s">
        <v>4190</v>
      </c>
      <c r="I490" s="21" t="s">
        <v>4191</v>
      </c>
      <c r="J490" s="21" t="s">
        <v>4192</v>
      </c>
      <c r="K490" s="21" t="e">
        <f t="shared" ca="1" si="2"/>
        <v>#NAME?</v>
      </c>
      <c r="L490" s="24">
        <v>1983</v>
      </c>
      <c r="M490" s="21">
        <v>2018</v>
      </c>
      <c r="N490" s="21" t="s">
        <v>111</v>
      </c>
      <c r="O490" s="21" t="s">
        <v>112</v>
      </c>
      <c r="P490" s="26">
        <v>9986463337</v>
      </c>
      <c r="Q490" s="26" t="e">
        <f t="shared" ca="1" si="3"/>
        <v>#NAME?</v>
      </c>
      <c r="R490" s="21" t="s">
        <v>188</v>
      </c>
      <c r="S490" s="21" t="s">
        <v>4193</v>
      </c>
      <c r="T490" s="21" t="s">
        <v>4194</v>
      </c>
      <c r="U490" s="21" t="s">
        <v>4195</v>
      </c>
      <c r="V490" s="21" t="s">
        <v>127</v>
      </c>
      <c r="W490" s="21" t="s">
        <v>319</v>
      </c>
      <c r="X490" s="21" t="s">
        <v>4196</v>
      </c>
      <c r="Y490" s="21" t="s">
        <v>467</v>
      </c>
      <c r="Z490" s="21" t="s">
        <v>127</v>
      </c>
      <c r="AA490" s="21" t="s">
        <v>4180</v>
      </c>
      <c r="AB490" s="21" t="s">
        <v>363</v>
      </c>
      <c r="AC490" s="21" t="s">
        <v>4197</v>
      </c>
      <c r="AD490" s="21" t="s">
        <v>169</v>
      </c>
      <c r="AE490" s="21" t="s">
        <v>365</v>
      </c>
      <c r="AF490" s="21" t="s">
        <v>135</v>
      </c>
      <c r="AG490" s="21" t="s">
        <v>135</v>
      </c>
      <c r="AH490" s="21" t="s">
        <v>135</v>
      </c>
      <c r="AI490" s="21" t="s">
        <v>135</v>
      </c>
    </row>
    <row r="491" spans="1:36" ht="15.75" customHeight="1" x14ac:dyDescent="0.3">
      <c r="A491" s="21">
        <v>2026</v>
      </c>
      <c r="B491" s="22">
        <v>46125.521344537032</v>
      </c>
      <c r="C491" s="21" t="s">
        <v>183</v>
      </c>
      <c r="D491" s="21" t="s">
        <v>183</v>
      </c>
      <c r="E491" s="21" t="s">
        <v>183</v>
      </c>
      <c r="F491" s="21" t="s">
        <v>183</v>
      </c>
      <c r="G491" s="21" t="s">
        <v>93</v>
      </c>
      <c r="H491" s="21" t="s">
        <v>4198</v>
      </c>
      <c r="I491" s="21" t="s">
        <v>4199</v>
      </c>
      <c r="J491" s="21" t="s">
        <v>4200</v>
      </c>
      <c r="K491" s="21" t="e">
        <f t="shared" ca="1" si="2"/>
        <v>#NAME?</v>
      </c>
      <c r="L491" s="24">
        <v>2008</v>
      </c>
      <c r="M491" s="21">
        <v>2019</v>
      </c>
      <c r="N491" s="21" t="s">
        <v>111</v>
      </c>
      <c r="O491" s="21" t="s">
        <v>112</v>
      </c>
      <c r="P491" s="26">
        <v>9885125556</v>
      </c>
      <c r="Q491" s="26" t="e">
        <f t="shared" ca="1" si="3"/>
        <v>#NAME?</v>
      </c>
      <c r="R491" s="21" t="s">
        <v>4201</v>
      </c>
      <c r="S491" s="21" t="s">
        <v>4202</v>
      </c>
      <c r="T491" s="21" t="s">
        <v>4203</v>
      </c>
      <c r="U491" s="21" t="s">
        <v>127</v>
      </c>
      <c r="V491" s="21" t="s">
        <v>4204</v>
      </c>
      <c r="W491" s="21" t="s">
        <v>1973</v>
      </c>
      <c r="X491" s="21" t="s">
        <v>179</v>
      </c>
      <c r="Y491" s="21" t="s">
        <v>4205</v>
      </c>
      <c r="Z491" s="21" t="s">
        <v>4206</v>
      </c>
      <c r="AA491" s="21" t="s">
        <v>4207</v>
      </c>
      <c r="AB491" s="21" t="s">
        <v>363</v>
      </c>
      <c r="AC491" s="21" t="s">
        <v>4208</v>
      </c>
      <c r="AD491" s="21" t="s">
        <v>169</v>
      </c>
      <c r="AE491" s="21" t="s">
        <v>365</v>
      </c>
      <c r="AF491" s="21" t="s">
        <v>135</v>
      </c>
      <c r="AG491" s="21" t="s">
        <v>135</v>
      </c>
      <c r="AH491" s="21" t="s">
        <v>135</v>
      </c>
      <c r="AI491" s="21" t="s">
        <v>135</v>
      </c>
      <c r="AJ491" s="21" t="s">
        <v>4209</v>
      </c>
    </row>
    <row r="492" spans="1:36" ht="15.75" customHeight="1" x14ac:dyDescent="0.3">
      <c r="A492" s="21">
        <v>2026</v>
      </c>
      <c r="B492" s="22">
        <v>46125.562161331021</v>
      </c>
      <c r="C492" s="21" t="s">
        <v>183</v>
      </c>
      <c r="D492" s="21" t="s">
        <v>183</v>
      </c>
      <c r="E492" s="21" t="s">
        <v>183</v>
      </c>
      <c r="F492" s="21" t="s">
        <v>183</v>
      </c>
      <c r="G492" s="21" t="s">
        <v>93</v>
      </c>
      <c r="H492" s="21" t="s">
        <v>4210</v>
      </c>
      <c r="I492" s="21" t="s">
        <v>4211</v>
      </c>
      <c r="J492" s="21" t="s">
        <v>4212</v>
      </c>
      <c r="K492" s="21" t="e">
        <f t="shared" ca="1" si="2"/>
        <v>#NAME?</v>
      </c>
      <c r="L492" s="24">
        <v>1972</v>
      </c>
      <c r="M492" s="21">
        <v>1985</v>
      </c>
      <c r="N492" s="21" t="s">
        <v>111</v>
      </c>
      <c r="O492" s="21" t="s">
        <v>112</v>
      </c>
      <c r="P492" s="26">
        <v>9648878888</v>
      </c>
      <c r="Q492" s="26" t="e">
        <f t="shared" ca="1" si="3"/>
        <v>#NAME?</v>
      </c>
      <c r="R492" s="21" t="s">
        <v>4213</v>
      </c>
      <c r="S492" s="21" t="s">
        <v>4214</v>
      </c>
      <c r="T492" s="21" t="s">
        <v>4215</v>
      </c>
      <c r="U492" s="21" t="s">
        <v>4216</v>
      </c>
      <c r="V492" s="21" t="s">
        <v>127</v>
      </c>
      <c r="W492" s="21" t="s">
        <v>1853</v>
      </c>
      <c r="X492" s="21" t="s">
        <v>4217</v>
      </c>
      <c r="Y492" s="21" t="s">
        <v>4218</v>
      </c>
      <c r="Z492" s="21" t="s">
        <v>127</v>
      </c>
      <c r="AA492" s="21" t="s">
        <v>4219</v>
      </c>
      <c r="AB492" s="21" t="s">
        <v>363</v>
      </c>
      <c r="AC492" s="21" t="s">
        <v>4220</v>
      </c>
      <c r="AD492" s="21" t="s">
        <v>287</v>
      </c>
      <c r="AE492" s="21" t="s">
        <v>365</v>
      </c>
      <c r="AF492" s="21" t="s">
        <v>686</v>
      </c>
      <c r="AG492" s="21" t="s">
        <v>135</v>
      </c>
      <c r="AH492" s="21" t="s">
        <v>135</v>
      </c>
      <c r="AI492" s="21" t="s">
        <v>135</v>
      </c>
      <c r="AJ492" s="21" t="s">
        <v>4221</v>
      </c>
    </row>
    <row r="493" spans="1:36" ht="15.75" customHeight="1" x14ac:dyDescent="0.3">
      <c r="A493" s="21">
        <v>2026</v>
      </c>
      <c r="B493" s="22">
        <v>46125.876387939818</v>
      </c>
      <c r="C493" s="21" t="s">
        <v>183</v>
      </c>
      <c r="D493" s="21" t="s">
        <v>183</v>
      </c>
      <c r="E493" s="21" t="s">
        <v>183</v>
      </c>
      <c r="F493" s="21" t="s">
        <v>183</v>
      </c>
      <c r="G493" s="21" t="s">
        <v>93</v>
      </c>
      <c r="H493" s="21" t="s">
        <v>4222</v>
      </c>
      <c r="I493" s="21" t="s">
        <v>4223</v>
      </c>
      <c r="J493" s="21" t="s">
        <v>4224</v>
      </c>
      <c r="K493" s="21" t="e">
        <f t="shared" ca="1" si="2"/>
        <v>#NAME?</v>
      </c>
      <c r="L493" s="24">
        <v>2006</v>
      </c>
      <c r="M493" s="21">
        <v>2022</v>
      </c>
      <c r="N493" s="21" t="s">
        <v>111</v>
      </c>
      <c r="O493" s="21" t="s">
        <v>112</v>
      </c>
      <c r="P493" s="26">
        <v>9398305093</v>
      </c>
      <c r="Q493" s="26" t="e">
        <f t="shared" ca="1" si="3"/>
        <v>#NAME?</v>
      </c>
      <c r="R493" s="21" t="s">
        <v>4225</v>
      </c>
      <c r="S493" s="21" t="s">
        <v>4226</v>
      </c>
      <c r="T493" s="21" t="s">
        <v>4227</v>
      </c>
      <c r="U493" s="21" t="s">
        <v>127</v>
      </c>
      <c r="V493" s="21" t="s">
        <v>4228</v>
      </c>
      <c r="W493" s="21" t="s">
        <v>251</v>
      </c>
      <c r="X493" s="21" t="s">
        <v>536</v>
      </c>
      <c r="Y493" s="21" t="s">
        <v>536</v>
      </c>
      <c r="Z493" s="21" t="s">
        <v>127</v>
      </c>
      <c r="AA493" s="21" t="s">
        <v>2434</v>
      </c>
      <c r="AB493" s="21" t="s">
        <v>3591</v>
      </c>
      <c r="AC493" s="21" t="s">
        <v>2906</v>
      </c>
      <c r="AD493" s="21" t="s">
        <v>169</v>
      </c>
      <c r="AE493" s="21" t="s">
        <v>365</v>
      </c>
      <c r="AF493" s="21" t="s">
        <v>135</v>
      </c>
      <c r="AG493" s="21" t="s">
        <v>135</v>
      </c>
      <c r="AH493" s="21" t="s">
        <v>135</v>
      </c>
      <c r="AI493" s="21" t="s">
        <v>135</v>
      </c>
    </row>
    <row r="494" spans="1:36" ht="15.75" customHeight="1" x14ac:dyDescent="0.3">
      <c r="A494" s="21">
        <v>2026</v>
      </c>
      <c r="B494" s="22">
        <v>46125.931726226852</v>
      </c>
      <c r="C494" s="21" t="s">
        <v>183</v>
      </c>
      <c r="D494" s="21" t="s">
        <v>183</v>
      </c>
      <c r="E494" s="21" t="s">
        <v>183</v>
      </c>
      <c r="F494" s="21" t="s">
        <v>183</v>
      </c>
      <c r="G494" s="21" t="s">
        <v>93</v>
      </c>
      <c r="H494" s="21" t="s">
        <v>4229</v>
      </c>
      <c r="I494" s="21" t="s">
        <v>891</v>
      </c>
      <c r="J494" s="21" t="s">
        <v>4230</v>
      </c>
      <c r="K494" s="21" t="e">
        <f t="shared" ca="1" si="2"/>
        <v>#NAME?</v>
      </c>
      <c r="L494" s="24">
        <v>2000</v>
      </c>
      <c r="M494" s="21">
        <v>2019</v>
      </c>
      <c r="N494" s="21" t="s">
        <v>111</v>
      </c>
      <c r="O494" s="21" t="s">
        <v>112</v>
      </c>
      <c r="P494" s="26">
        <v>9985876613</v>
      </c>
      <c r="Q494" s="26" t="e">
        <f t="shared" ca="1" si="3"/>
        <v>#NAME?</v>
      </c>
      <c r="R494" s="21" t="s">
        <v>118</v>
      </c>
      <c r="S494" s="21" t="s">
        <v>4231</v>
      </c>
      <c r="T494" s="21">
        <v>9290183468</v>
      </c>
      <c r="U494" s="21" t="s">
        <v>127</v>
      </c>
      <c r="V494" s="21" t="s">
        <v>4232</v>
      </c>
      <c r="W494" s="21" t="s">
        <v>328</v>
      </c>
      <c r="X494" s="21" t="s">
        <v>1235</v>
      </c>
      <c r="Y494" s="21" t="s">
        <v>1235</v>
      </c>
      <c r="Z494" s="21" t="s">
        <v>127</v>
      </c>
      <c r="AA494" s="21" t="s">
        <v>4233</v>
      </c>
      <c r="AB494" s="21" t="s">
        <v>363</v>
      </c>
      <c r="AC494" s="21" t="s">
        <v>4234</v>
      </c>
      <c r="AD494" s="21" t="s">
        <v>132</v>
      </c>
      <c r="AE494" s="21" t="s">
        <v>365</v>
      </c>
      <c r="AF494" s="21" t="s">
        <v>135</v>
      </c>
      <c r="AG494" s="21" t="s">
        <v>135</v>
      </c>
      <c r="AH494" s="21" t="s">
        <v>135</v>
      </c>
      <c r="AI494" s="21" t="s">
        <v>135</v>
      </c>
      <c r="AJ494" s="21" t="s">
        <v>4235</v>
      </c>
    </row>
    <row r="495" spans="1:36" ht="15.75" customHeight="1" x14ac:dyDescent="0.3">
      <c r="A495" s="21">
        <v>2026</v>
      </c>
      <c r="B495" s="22">
        <v>46125.991844398144</v>
      </c>
      <c r="C495" s="21" t="s">
        <v>183</v>
      </c>
      <c r="D495" s="21" t="s">
        <v>183</v>
      </c>
      <c r="E495" s="21" t="s">
        <v>183</v>
      </c>
      <c r="F495" s="21" t="s">
        <v>183</v>
      </c>
      <c r="G495" s="21" t="s">
        <v>93</v>
      </c>
      <c r="H495" s="21" t="s">
        <v>4236</v>
      </c>
      <c r="I495" s="21" t="s">
        <v>2537</v>
      </c>
      <c r="J495" s="21" t="s">
        <v>1443</v>
      </c>
      <c r="K495" s="21" t="e">
        <f t="shared" ca="1" si="2"/>
        <v>#NAME?</v>
      </c>
      <c r="L495" s="24">
        <v>1975</v>
      </c>
      <c r="M495" s="21">
        <v>2006</v>
      </c>
      <c r="N495" s="21" t="s">
        <v>111</v>
      </c>
      <c r="O495" s="21" t="s">
        <v>112</v>
      </c>
      <c r="P495" s="26">
        <v>9121551597</v>
      </c>
      <c r="Q495" s="26" t="e">
        <f t="shared" ca="1" si="3"/>
        <v>#NAME?</v>
      </c>
      <c r="R495" s="21" t="s">
        <v>188</v>
      </c>
      <c r="S495" s="21" t="s">
        <v>3088</v>
      </c>
      <c r="T495" s="21" t="s">
        <v>4237</v>
      </c>
      <c r="U495" s="21" t="s">
        <v>4238</v>
      </c>
      <c r="V495" s="21" t="s">
        <v>127</v>
      </c>
      <c r="W495" s="21" t="s">
        <v>328</v>
      </c>
      <c r="X495" s="21" t="s">
        <v>308</v>
      </c>
      <c r="Y495" s="21" t="s">
        <v>308</v>
      </c>
      <c r="Z495" s="21" t="s">
        <v>127</v>
      </c>
      <c r="AA495" s="21" t="s">
        <v>1707</v>
      </c>
      <c r="AB495" s="21" t="s">
        <v>363</v>
      </c>
      <c r="AC495" s="21" t="s">
        <v>4239</v>
      </c>
      <c r="AD495" s="21" t="s">
        <v>169</v>
      </c>
      <c r="AE495" s="21" t="s">
        <v>365</v>
      </c>
      <c r="AF495" s="21" t="s">
        <v>135</v>
      </c>
      <c r="AG495" s="21" t="s">
        <v>135</v>
      </c>
      <c r="AH495" s="21" t="s">
        <v>135</v>
      </c>
      <c r="AI495" s="21" t="s">
        <v>135</v>
      </c>
      <c r="AJ495" s="21" t="s">
        <v>4240</v>
      </c>
    </row>
    <row r="496" spans="1:36" ht="15.75" customHeight="1" x14ac:dyDescent="0.3">
      <c r="A496" s="21">
        <v>2026</v>
      </c>
      <c r="B496" s="22">
        <v>46125.996189652782</v>
      </c>
      <c r="C496" s="21" t="s">
        <v>183</v>
      </c>
      <c r="D496" s="21" t="s">
        <v>183</v>
      </c>
      <c r="E496" s="21" t="s">
        <v>183</v>
      </c>
      <c r="F496" s="21" t="s">
        <v>183</v>
      </c>
      <c r="G496" s="21" t="s">
        <v>93</v>
      </c>
      <c r="H496" s="21" t="s">
        <v>4241</v>
      </c>
      <c r="I496" s="21" t="s">
        <v>4242</v>
      </c>
      <c r="J496" s="21" t="s">
        <v>4243</v>
      </c>
      <c r="K496" s="21" t="e">
        <f t="shared" ca="1" si="2"/>
        <v>#NAME?</v>
      </c>
      <c r="L496" s="24">
        <v>1967</v>
      </c>
      <c r="M496" s="21">
        <v>1989</v>
      </c>
      <c r="N496" s="21" t="s">
        <v>111</v>
      </c>
      <c r="O496" s="21" t="s">
        <v>112</v>
      </c>
      <c r="P496" s="26">
        <v>9030339587</v>
      </c>
      <c r="Q496" s="26" t="e">
        <f t="shared" ca="1" si="3"/>
        <v>#NAME?</v>
      </c>
      <c r="R496" s="21" t="s">
        <v>188</v>
      </c>
      <c r="S496" s="21" t="s">
        <v>4244</v>
      </c>
      <c r="T496" s="21">
        <v>9030339587</v>
      </c>
      <c r="U496" s="21" t="s">
        <v>4245</v>
      </c>
      <c r="V496" s="21" t="s">
        <v>4246</v>
      </c>
      <c r="W496" s="21" t="s">
        <v>4247</v>
      </c>
      <c r="X496" s="21" t="s">
        <v>616</v>
      </c>
      <c r="Y496" s="21" t="s">
        <v>179</v>
      </c>
      <c r="Z496" s="21" t="s">
        <v>127</v>
      </c>
      <c r="AA496" s="21" t="s">
        <v>4248</v>
      </c>
      <c r="AB496" s="21" t="s">
        <v>3591</v>
      </c>
      <c r="AC496" s="21" t="s">
        <v>4249</v>
      </c>
      <c r="AD496" s="21" t="s">
        <v>132</v>
      </c>
      <c r="AE496" s="21" t="s">
        <v>365</v>
      </c>
      <c r="AF496" s="21" t="s">
        <v>686</v>
      </c>
      <c r="AG496" s="21" t="s">
        <v>135</v>
      </c>
      <c r="AH496" s="21" t="s">
        <v>135</v>
      </c>
      <c r="AI496" s="21" t="s">
        <v>135</v>
      </c>
    </row>
    <row r="497" spans="1:36" ht="15.75" customHeight="1" x14ac:dyDescent="0.3">
      <c r="A497" s="21">
        <v>2026</v>
      </c>
      <c r="B497" s="22">
        <v>46126.177433472221</v>
      </c>
      <c r="C497" s="21" t="s">
        <v>183</v>
      </c>
      <c r="D497" s="21" t="s">
        <v>183</v>
      </c>
      <c r="E497" s="21" t="s">
        <v>183</v>
      </c>
      <c r="F497" s="21" t="s">
        <v>183</v>
      </c>
      <c r="G497" s="21" t="s">
        <v>93</v>
      </c>
      <c r="H497" s="21" t="s">
        <v>4250</v>
      </c>
      <c r="I497" s="21" t="s">
        <v>4251</v>
      </c>
      <c r="J497" s="21" t="s">
        <v>4252</v>
      </c>
      <c r="K497" s="21" t="e">
        <f t="shared" ca="1" si="2"/>
        <v>#NAME?</v>
      </c>
      <c r="L497" s="24">
        <v>1985</v>
      </c>
      <c r="M497" s="21">
        <v>2015</v>
      </c>
      <c r="N497" s="21" t="s">
        <v>111</v>
      </c>
      <c r="O497" s="21" t="s">
        <v>112</v>
      </c>
      <c r="P497" s="26">
        <v>9966733447</v>
      </c>
      <c r="Q497" s="26" t="e">
        <f t="shared" ca="1" si="3"/>
        <v>#NAME?</v>
      </c>
      <c r="R497" s="21" t="s">
        <v>4253</v>
      </c>
      <c r="S497" s="21" t="s">
        <v>4254</v>
      </c>
      <c r="T497" s="21">
        <v>9437176540</v>
      </c>
      <c r="U497" s="21" t="s">
        <v>4255</v>
      </c>
      <c r="V497" s="21" t="s">
        <v>4256</v>
      </c>
      <c r="W497" s="21" t="s">
        <v>4257</v>
      </c>
      <c r="X497" s="21" t="s">
        <v>4258</v>
      </c>
      <c r="Y497" s="21" t="s">
        <v>4258</v>
      </c>
      <c r="Z497" s="21" t="s">
        <v>284</v>
      </c>
      <c r="AA497" s="21" t="s">
        <v>4259</v>
      </c>
      <c r="AB497" s="21" t="s">
        <v>363</v>
      </c>
      <c r="AC497" s="21" t="s">
        <v>4260</v>
      </c>
      <c r="AD497" s="21" t="s">
        <v>287</v>
      </c>
      <c r="AE497" s="21" t="s">
        <v>365</v>
      </c>
      <c r="AF497" s="21" t="s">
        <v>686</v>
      </c>
      <c r="AG497" s="21" t="s">
        <v>135</v>
      </c>
      <c r="AH497" s="21" t="s">
        <v>135</v>
      </c>
      <c r="AI497" s="21" t="s">
        <v>135</v>
      </c>
      <c r="AJ497" s="21" t="s">
        <v>4261</v>
      </c>
    </row>
    <row r="498" spans="1:36" ht="15.75" customHeight="1" x14ac:dyDescent="0.3">
      <c r="A498" s="21">
        <v>2026</v>
      </c>
      <c r="B498" s="22">
        <v>46126.445114155096</v>
      </c>
      <c r="C498" s="21" t="s">
        <v>183</v>
      </c>
      <c r="D498" s="21" t="s">
        <v>183</v>
      </c>
      <c r="E498" s="21" t="s">
        <v>183</v>
      </c>
      <c r="F498" s="21" t="s">
        <v>183</v>
      </c>
      <c r="G498" s="21" t="s">
        <v>93</v>
      </c>
      <c r="H498" s="21" t="s">
        <v>4262</v>
      </c>
      <c r="I498" s="21" t="s">
        <v>4263</v>
      </c>
      <c r="J498" s="21" t="s">
        <v>4264</v>
      </c>
      <c r="K498" s="21" t="e">
        <f t="shared" ca="1" si="2"/>
        <v>#NAME?</v>
      </c>
      <c r="L498" s="24">
        <v>1974</v>
      </c>
      <c r="M498" s="21">
        <v>1998</v>
      </c>
      <c r="N498" s="21" t="s">
        <v>111</v>
      </c>
      <c r="O498" s="21" t="s">
        <v>112</v>
      </c>
      <c r="P498" s="26">
        <v>9550290118</v>
      </c>
      <c r="Q498" s="26" t="e">
        <f t="shared" ca="1" si="3"/>
        <v>#NAME?</v>
      </c>
      <c r="R498" s="21" t="s">
        <v>4265</v>
      </c>
      <c r="S498" s="21" t="s">
        <v>797</v>
      </c>
      <c r="T498" s="21" t="s">
        <v>4237</v>
      </c>
      <c r="U498" s="21" t="s">
        <v>4266</v>
      </c>
      <c r="V498" s="21" t="s">
        <v>284</v>
      </c>
      <c r="W498" s="21" t="s">
        <v>307</v>
      </c>
      <c r="X498" s="21" t="s">
        <v>4267</v>
      </c>
      <c r="Y498" s="21" t="s">
        <v>211</v>
      </c>
      <c r="Z498" s="21" t="s">
        <v>284</v>
      </c>
      <c r="AA498" s="21" t="s">
        <v>4268</v>
      </c>
      <c r="AB498" s="21" t="s">
        <v>363</v>
      </c>
      <c r="AC498" s="21" t="s">
        <v>4269</v>
      </c>
      <c r="AD498" s="21" t="s">
        <v>132</v>
      </c>
      <c r="AE498" s="21" t="s">
        <v>365</v>
      </c>
      <c r="AF498" s="21" t="s">
        <v>135</v>
      </c>
      <c r="AG498" s="21" t="s">
        <v>135</v>
      </c>
      <c r="AH498" s="21" t="s">
        <v>135</v>
      </c>
      <c r="AI498" s="21" t="s">
        <v>135</v>
      </c>
      <c r="AJ498" s="21" t="s">
        <v>4270</v>
      </c>
    </row>
    <row r="499" spans="1:36" ht="15.75" customHeight="1" x14ac:dyDescent="0.3">
      <c r="A499" s="21">
        <v>2026</v>
      </c>
      <c r="B499" s="22">
        <v>46126.479141273143</v>
      </c>
      <c r="C499" s="21" t="s">
        <v>183</v>
      </c>
      <c r="D499" s="21" t="s">
        <v>183</v>
      </c>
      <c r="E499" s="21" t="s">
        <v>183</v>
      </c>
      <c r="F499" s="21" t="s">
        <v>183</v>
      </c>
      <c r="G499" s="21" t="s">
        <v>256</v>
      </c>
      <c r="H499" s="21" t="s">
        <v>4271</v>
      </c>
      <c r="I499" s="21" t="s">
        <v>2825</v>
      </c>
      <c r="J499" s="21" t="s">
        <v>2828</v>
      </c>
      <c r="K499" s="21" t="e">
        <f t="shared" ca="1" si="2"/>
        <v>#NAME?</v>
      </c>
      <c r="L499" s="24">
        <v>2011</v>
      </c>
      <c r="M499" s="21">
        <v>2023</v>
      </c>
      <c r="N499" s="21" t="s">
        <v>111</v>
      </c>
      <c r="O499" s="21" t="s">
        <v>112</v>
      </c>
      <c r="P499" s="26">
        <v>8341673687</v>
      </c>
      <c r="Q499" s="26" t="e">
        <f t="shared" ca="1" si="3"/>
        <v>#NAME?</v>
      </c>
      <c r="R499" s="21" t="s">
        <v>118</v>
      </c>
      <c r="S499" s="21" t="s">
        <v>4272</v>
      </c>
      <c r="T499" s="21">
        <v>9704157378</v>
      </c>
      <c r="U499" s="21" t="s">
        <v>127</v>
      </c>
      <c r="V499" s="21" t="s">
        <v>4273</v>
      </c>
      <c r="W499" s="21" t="s">
        <v>307</v>
      </c>
      <c r="X499" s="21" t="s">
        <v>1261</v>
      </c>
      <c r="Y499" s="21" t="s">
        <v>406</v>
      </c>
      <c r="Z499" s="21" t="s">
        <v>4274</v>
      </c>
      <c r="AA499" s="21" t="s">
        <v>2004</v>
      </c>
      <c r="AB499" s="21" t="s">
        <v>363</v>
      </c>
      <c r="AC499" s="21" t="s">
        <v>4275</v>
      </c>
      <c r="AD499" s="21" t="s">
        <v>132</v>
      </c>
      <c r="AE499" s="21" t="s">
        <v>332</v>
      </c>
      <c r="AF499" s="21" t="s">
        <v>135</v>
      </c>
      <c r="AG499" s="21" t="s">
        <v>135</v>
      </c>
      <c r="AH499" s="21" t="s">
        <v>135</v>
      </c>
      <c r="AI499" s="21" t="s">
        <v>135</v>
      </c>
      <c r="AJ499" s="21" t="s">
        <v>4276</v>
      </c>
    </row>
    <row r="500" spans="1:36" ht="15.75" customHeight="1" x14ac:dyDescent="0.3">
      <c r="A500" s="21">
        <v>2026</v>
      </c>
      <c r="B500" s="22">
        <v>46126.51954011574</v>
      </c>
      <c r="C500" s="21" t="s">
        <v>183</v>
      </c>
      <c r="D500" s="21" t="s">
        <v>183</v>
      </c>
      <c r="E500" s="21" t="s">
        <v>183</v>
      </c>
      <c r="F500" s="21" t="s">
        <v>183</v>
      </c>
      <c r="G500" s="21" t="s">
        <v>93</v>
      </c>
      <c r="H500" s="21" t="s">
        <v>4277</v>
      </c>
      <c r="I500" s="21" t="s">
        <v>2113</v>
      </c>
      <c r="J500" s="138" t="s">
        <v>4278</v>
      </c>
      <c r="K500" s="21" t="e">
        <f t="shared" ca="1" si="2"/>
        <v>#NAME?</v>
      </c>
      <c r="L500" s="24">
        <v>1977</v>
      </c>
      <c r="M500" s="21">
        <v>1992</v>
      </c>
      <c r="N500" s="21" t="s">
        <v>111</v>
      </c>
      <c r="O500" s="21" t="s">
        <v>112</v>
      </c>
      <c r="P500" s="26">
        <v>9740480222</v>
      </c>
      <c r="Q500" s="26" t="e">
        <f t="shared" ca="1" si="3"/>
        <v>#NAME?</v>
      </c>
      <c r="R500" s="21" t="s">
        <v>188</v>
      </c>
      <c r="S500" s="21" t="s">
        <v>4279</v>
      </c>
      <c r="T500" s="21">
        <v>9177520607</v>
      </c>
      <c r="U500" s="21" t="s">
        <v>4280</v>
      </c>
      <c r="V500" s="21" t="s">
        <v>4281</v>
      </c>
      <c r="W500" s="21" t="s">
        <v>219</v>
      </c>
      <c r="X500" s="21" t="s">
        <v>220</v>
      </c>
      <c r="Y500" s="21" t="s">
        <v>221</v>
      </c>
      <c r="Z500" s="21" t="s">
        <v>127</v>
      </c>
      <c r="AA500" s="21" t="s">
        <v>608</v>
      </c>
      <c r="AB500" s="21" t="s">
        <v>363</v>
      </c>
      <c r="AC500" s="21" t="s">
        <v>4282</v>
      </c>
      <c r="AD500" s="21" t="s">
        <v>132</v>
      </c>
      <c r="AE500" s="21" t="s">
        <v>332</v>
      </c>
      <c r="AF500" s="21" t="s">
        <v>135</v>
      </c>
      <c r="AG500" s="21" t="s">
        <v>135</v>
      </c>
      <c r="AH500" s="21" t="s">
        <v>135</v>
      </c>
      <c r="AI500" s="21" t="s">
        <v>135</v>
      </c>
    </row>
    <row r="501" spans="1:36" ht="15.75" customHeight="1" x14ac:dyDescent="0.3">
      <c r="A501" s="21">
        <v>2026</v>
      </c>
      <c r="B501" s="22">
        <v>46126.590920659721</v>
      </c>
      <c r="C501" s="21" t="s">
        <v>183</v>
      </c>
      <c r="D501" s="21" t="s">
        <v>183</v>
      </c>
      <c r="E501" s="21" t="s">
        <v>183</v>
      </c>
      <c r="F501" s="21" t="s">
        <v>183</v>
      </c>
      <c r="G501" s="21" t="s">
        <v>93</v>
      </c>
      <c r="H501" s="21" t="s">
        <v>4283</v>
      </c>
      <c r="I501" s="21" t="s">
        <v>4284</v>
      </c>
      <c r="J501" s="21" t="s">
        <v>4285</v>
      </c>
      <c r="K501" s="21" t="e">
        <f t="shared" ca="1" si="2"/>
        <v>#NAME?</v>
      </c>
      <c r="L501" s="24">
        <v>1992</v>
      </c>
      <c r="M501" s="21">
        <v>2019</v>
      </c>
      <c r="N501" s="21" t="s">
        <v>111</v>
      </c>
      <c r="O501" s="21" t="s">
        <v>112</v>
      </c>
      <c r="P501" s="26">
        <v>8374884803</v>
      </c>
      <c r="Q501" s="26" t="e">
        <f t="shared" ca="1" si="3"/>
        <v>#NAME?</v>
      </c>
      <c r="R501" s="21" t="s">
        <v>188</v>
      </c>
      <c r="S501" s="21" t="s">
        <v>4286</v>
      </c>
      <c r="T501" s="21">
        <v>8867194001</v>
      </c>
      <c r="U501" s="21" t="s">
        <v>4287</v>
      </c>
      <c r="V501" s="21" t="s">
        <v>127</v>
      </c>
      <c r="W501" s="21" t="s">
        <v>266</v>
      </c>
      <c r="X501" s="21" t="s">
        <v>211</v>
      </c>
      <c r="Y501" s="21" t="s">
        <v>211</v>
      </c>
      <c r="Z501" s="21" t="s">
        <v>127</v>
      </c>
      <c r="AA501" s="21" t="s">
        <v>450</v>
      </c>
      <c r="AB501" s="21" t="s">
        <v>363</v>
      </c>
      <c r="AC501" s="21" t="s">
        <v>4288</v>
      </c>
      <c r="AD501" s="21" t="s">
        <v>169</v>
      </c>
      <c r="AE501" s="21" t="s">
        <v>365</v>
      </c>
      <c r="AF501" s="21" t="s">
        <v>135</v>
      </c>
      <c r="AG501" s="21" t="s">
        <v>135</v>
      </c>
      <c r="AH501" s="21" t="s">
        <v>135</v>
      </c>
      <c r="AI501" s="21" t="s">
        <v>135</v>
      </c>
      <c r="AJ501" s="21" t="s">
        <v>4289</v>
      </c>
    </row>
    <row r="502" spans="1:36" ht="15.75" customHeight="1" x14ac:dyDescent="0.3">
      <c r="A502" s="21">
        <v>2026</v>
      </c>
      <c r="B502" s="22">
        <v>46126.995874016204</v>
      </c>
      <c r="C502" s="21" t="s">
        <v>183</v>
      </c>
      <c r="D502" s="21" t="s">
        <v>183</v>
      </c>
      <c r="E502" s="21" t="s">
        <v>183</v>
      </c>
      <c r="F502" s="21" t="s">
        <v>183</v>
      </c>
      <c r="G502" s="21" t="s">
        <v>93</v>
      </c>
      <c r="H502" s="21" t="s">
        <v>4290</v>
      </c>
      <c r="I502" s="21" t="s">
        <v>4291</v>
      </c>
      <c r="J502" s="21" t="s">
        <v>4292</v>
      </c>
      <c r="K502" s="21" t="e">
        <f t="shared" ca="1" si="2"/>
        <v>#NAME?</v>
      </c>
      <c r="L502" s="24">
        <v>1987</v>
      </c>
      <c r="M502" s="21">
        <v>2013</v>
      </c>
      <c r="N502" s="21" t="s">
        <v>111</v>
      </c>
      <c r="O502" s="21" t="s">
        <v>112</v>
      </c>
      <c r="P502" s="26">
        <v>9959992278</v>
      </c>
      <c r="Q502" s="26" t="e">
        <f t="shared" ca="1" si="3"/>
        <v>#NAME?</v>
      </c>
      <c r="R502" s="21" t="s">
        <v>188</v>
      </c>
      <c r="S502" s="21" t="s">
        <v>4293</v>
      </c>
      <c r="T502" s="21">
        <v>9885030611</v>
      </c>
      <c r="U502" s="21" t="s">
        <v>284</v>
      </c>
      <c r="V502" s="21" t="s">
        <v>4294</v>
      </c>
      <c r="W502" s="21" t="s">
        <v>884</v>
      </c>
      <c r="X502" s="21" t="s">
        <v>211</v>
      </c>
      <c r="Y502" s="21" t="s">
        <v>308</v>
      </c>
      <c r="Z502" s="21" t="s">
        <v>284</v>
      </c>
      <c r="AA502" s="21" t="s">
        <v>4295</v>
      </c>
      <c r="AB502" s="21" t="s">
        <v>363</v>
      </c>
      <c r="AC502" s="21" t="s">
        <v>4296</v>
      </c>
      <c r="AD502" s="21" t="s">
        <v>132</v>
      </c>
      <c r="AE502" s="21" t="s">
        <v>365</v>
      </c>
      <c r="AF502" s="21" t="s">
        <v>135</v>
      </c>
      <c r="AG502" s="21" t="s">
        <v>135</v>
      </c>
      <c r="AH502" s="21" t="s">
        <v>135</v>
      </c>
      <c r="AI502" s="21" t="s">
        <v>135</v>
      </c>
      <c r="AJ502" s="21" t="s">
        <v>4297</v>
      </c>
    </row>
    <row r="503" spans="1:36" ht="15.75" customHeight="1" x14ac:dyDescent="0.3">
      <c r="A503" s="21">
        <v>2026</v>
      </c>
      <c r="B503" s="22">
        <v>46127.405261377316</v>
      </c>
      <c r="C503" s="21" t="s">
        <v>183</v>
      </c>
      <c r="D503" s="21" t="s">
        <v>183</v>
      </c>
      <c r="E503" s="21" t="s">
        <v>183</v>
      </c>
      <c r="F503" s="21" t="s">
        <v>183</v>
      </c>
      <c r="G503" s="21" t="s">
        <v>93</v>
      </c>
      <c r="H503" s="21" t="s">
        <v>4298</v>
      </c>
      <c r="I503" s="21" t="s">
        <v>4299</v>
      </c>
      <c r="J503" s="21" t="s">
        <v>3889</v>
      </c>
      <c r="K503" s="21" t="e">
        <f t="shared" ca="1" si="2"/>
        <v>#NAME?</v>
      </c>
      <c r="L503" s="24">
        <v>1992</v>
      </c>
      <c r="M503" s="21">
        <v>2025</v>
      </c>
      <c r="N503" s="21" t="s">
        <v>111</v>
      </c>
      <c r="O503" s="21" t="s">
        <v>112</v>
      </c>
      <c r="P503" s="26">
        <v>8985030877</v>
      </c>
      <c r="Q503" s="26" t="e">
        <f t="shared" ca="1" si="3"/>
        <v>#NAME?</v>
      </c>
      <c r="R503" s="21" t="s">
        <v>118</v>
      </c>
      <c r="S503" s="21" t="s">
        <v>4300</v>
      </c>
      <c r="T503" s="21">
        <v>9966920895</v>
      </c>
      <c r="U503" s="21" t="s">
        <v>2671</v>
      </c>
      <c r="V503" s="21" t="s">
        <v>2671</v>
      </c>
      <c r="W503" s="21" t="s">
        <v>219</v>
      </c>
      <c r="X503" s="21" t="s">
        <v>179</v>
      </c>
      <c r="Y503" s="21" t="s">
        <v>192</v>
      </c>
      <c r="Z503" s="21" t="s">
        <v>4301</v>
      </c>
      <c r="AA503" s="21" t="s">
        <v>4302</v>
      </c>
      <c r="AB503" s="21" t="s">
        <v>3591</v>
      </c>
      <c r="AC503" s="21" t="s">
        <v>4303</v>
      </c>
      <c r="AD503" s="21" t="s">
        <v>287</v>
      </c>
      <c r="AE503" s="21" t="s">
        <v>365</v>
      </c>
      <c r="AF503" s="21" t="s">
        <v>135</v>
      </c>
      <c r="AG503" s="21" t="s">
        <v>135</v>
      </c>
      <c r="AH503" s="21" t="s">
        <v>135</v>
      </c>
      <c r="AI503" s="21" t="s">
        <v>135</v>
      </c>
    </row>
    <row r="504" spans="1:36" ht="15.75" customHeight="1" x14ac:dyDescent="0.3">
      <c r="A504" s="21">
        <v>2026</v>
      </c>
      <c r="B504" s="22">
        <v>46127.971681273149</v>
      </c>
      <c r="C504" s="21" t="s">
        <v>183</v>
      </c>
      <c r="D504" s="21" t="s">
        <v>183</v>
      </c>
      <c r="E504" s="21" t="s">
        <v>183</v>
      </c>
      <c r="F504" s="21" t="s">
        <v>183</v>
      </c>
      <c r="G504" s="21" t="s">
        <v>93</v>
      </c>
      <c r="H504" s="21" t="s">
        <v>4304</v>
      </c>
      <c r="I504" s="21" t="s">
        <v>2544</v>
      </c>
      <c r="J504" s="21" t="s">
        <v>4305</v>
      </c>
      <c r="K504" s="21" t="e">
        <f t="shared" ca="1" si="2"/>
        <v>#NAME?</v>
      </c>
      <c r="L504" s="24">
        <v>2000</v>
      </c>
      <c r="M504" s="21">
        <v>2015</v>
      </c>
      <c r="N504" s="21" t="s">
        <v>111</v>
      </c>
      <c r="O504" s="21" t="s">
        <v>112</v>
      </c>
      <c r="P504" s="26">
        <v>8790761286</v>
      </c>
      <c r="Q504" s="26" t="e">
        <f t="shared" ca="1" si="3"/>
        <v>#NAME?</v>
      </c>
      <c r="R504" s="21" t="s">
        <v>188</v>
      </c>
      <c r="S504" s="21" t="s">
        <v>4306</v>
      </c>
      <c r="T504" s="21">
        <v>9885030611</v>
      </c>
      <c r="U504" s="21" t="s">
        <v>127</v>
      </c>
      <c r="V504" s="21" t="s">
        <v>4307</v>
      </c>
      <c r="W504" s="21" t="s">
        <v>307</v>
      </c>
      <c r="X504" s="21" t="s">
        <v>352</v>
      </c>
      <c r="Y504" s="21" t="s">
        <v>467</v>
      </c>
      <c r="Z504" s="21" t="s">
        <v>127</v>
      </c>
      <c r="AA504" s="21" t="s">
        <v>608</v>
      </c>
      <c r="AB504" s="21" t="s">
        <v>363</v>
      </c>
      <c r="AC504" s="21" t="s">
        <v>4308</v>
      </c>
      <c r="AD504" s="21" t="s">
        <v>132</v>
      </c>
      <c r="AE504" s="21" t="s">
        <v>365</v>
      </c>
      <c r="AF504" s="21" t="s">
        <v>135</v>
      </c>
      <c r="AG504" s="21" t="s">
        <v>135</v>
      </c>
      <c r="AH504" s="21" t="s">
        <v>135</v>
      </c>
      <c r="AI504" s="21" t="s">
        <v>135</v>
      </c>
    </row>
    <row r="505" spans="1:36" ht="15.75" customHeight="1" x14ac:dyDescent="0.3">
      <c r="A505" s="21">
        <v>2026</v>
      </c>
      <c r="B505" s="22">
        <v>46128.192483576393</v>
      </c>
      <c r="C505" s="21" t="s">
        <v>183</v>
      </c>
      <c r="D505" s="21" t="s">
        <v>183</v>
      </c>
      <c r="E505" s="21" t="s">
        <v>183</v>
      </c>
      <c r="F505" s="21" t="s">
        <v>183</v>
      </c>
      <c r="G505" s="21" t="s">
        <v>93</v>
      </c>
      <c r="H505" s="21" t="s">
        <v>4309</v>
      </c>
      <c r="I505" s="21" t="s">
        <v>4310</v>
      </c>
      <c r="J505" s="21" t="s">
        <v>48</v>
      </c>
      <c r="K505" s="21" t="e">
        <f t="shared" ca="1" si="2"/>
        <v>#NAME?</v>
      </c>
      <c r="L505" s="24">
        <v>1989</v>
      </c>
      <c r="M505" s="21">
        <v>2013</v>
      </c>
      <c r="N505" s="21" t="s">
        <v>111</v>
      </c>
      <c r="O505" s="21" t="s">
        <v>112</v>
      </c>
      <c r="P505" s="26">
        <v>9848613421</v>
      </c>
      <c r="Q505" s="26" t="e">
        <f t="shared" ca="1" si="3"/>
        <v>#NAME?</v>
      </c>
      <c r="R505" s="21" t="s">
        <v>4311</v>
      </c>
      <c r="S505" s="21" t="s">
        <v>4312</v>
      </c>
      <c r="T505" s="21">
        <v>8309929502</v>
      </c>
      <c r="U505" s="21" t="s">
        <v>127</v>
      </c>
      <c r="V505" s="21" t="s">
        <v>4313</v>
      </c>
      <c r="W505" s="21" t="s">
        <v>219</v>
      </c>
      <c r="X505" s="21" t="s">
        <v>1327</v>
      </c>
      <c r="Y505" s="21" t="s">
        <v>4314</v>
      </c>
      <c r="Z505" s="21" t="s">
        <v>127</v>
      </c>
      <c r="AA505" s="21" t="s">
        <v>4315</v>
      </c>
      <c r="AB505" s="21" t="s">
        <v>363</v>
      </c>
      <c r="AC505" s="21" t="s">
        <v>4316</v>
      </c>
      <c r="AD505" s="21" t="s">
        <v>132</v>
      </c>
      <c r="AE505" s="21" t="s">
        <v>365</v>
      </c>
      <c r="AF505" s="21" t="s">
        <v>135</v>
      </c>
      <c r="AG505" s="21" t="s">
        <v>135</v>
      </c>
      <c r="AH505" s="21" t="s">
        <v>135</v>
      </c>
      <c r="AI505" s="21" t="s">
        <v>135</v>
      </c>
      <c r="AJ505" s="21" t="s">
        <v>4317</v>
      </c>
    </row>
    <row r="506" spans="1:36" ht="15.75" customHeight="1" x14ac:dyDescent="0.3">
      <c r="A506" s="21">
        <v>2026</v>
      </c>
      <c r="B506" s="22">
        <v>46129.292632395838</v>
      </c>
      <c r="C506" s="21" t="s">
        <v>183</v>
      </c>
      <c r="D506" s="21" t="s">
        <v>183</v>
      </c>
      <c r="E506" s="21" t="s">
        <v>183</v>
      </c>
      <c r="F506" s="21" t="s">
        <v>183</v>
      </c>
      <c r="G506" s="21" t="s">
        <v>93</v>
      </c>
      <c r="H506" s="21" t="s">
        <v>4318</v>
      </c>
      <c r="I506" s="21" t="s">
        <v>2761</v>
      </c>
      <c r="J506" s="21" t="s">
        <v>4319</v>
      </c>
      <c r="K506" s="21" t="e">
        <f t="shared" ca="1" si="2"/>
        <v>#NAME?</v>
      </c>
      <c r="L506" s="24">
        <v>1982</v>
      </c>
      <c r="M506" s="21">
        <v>1999</v>
      </c>
      <c r="N506" s="21" t="s">
        <v>402</v>
      </c>
      <c r="O506" s="21" t="s">
        <v>316</v>
      </c>
      <c r="P506" s="26">
        <v>3068804239</v>
      </c>
      <c r="Q506" s="26" t="e">
        <f t="shared" ca="1" si="3"/>
        <v>#NAME?</v>
      </c>
      <c r="R506" s="21" t="s">
        <v>4001</v>
      </c>
      <c r="S506" s="21" t="s">
        <v>4320</v>
      </c>
      <c r="T506" s="21" t="s">
        <v>4321</v>
      </c>
      <c r="U506" s="21" t="s">
        <v>4322</v>
      </c>
      <c r="V506" s="21" t="s">
        <v>127</v>
      </c>
      <c r="W506" s="21" t="s">
        <v>307</v>
      </c>
      <c r="X506" s="21" t="s">
        <v>4323</v>
      </c>
      <c r="Y506" s="21" t="s">
        <v>220</v>
      </c>
      <c r="Z506" s="21" t="s">
        <v>127</v>
      </c>
      <c r="AA506" s="21" t="s">
        <v>4324</v>
      </c>
      <c r="AB506" s="21" t="s">
        <v>363</v>
      </c>
      <c r="AC506" s="21" t="s">
        <v>4325</v>
      </c>
      <c r="AD506" s="21" t="s">
        <v>287</v>
      </c>
      <c r="AE506" s="21" t="s">
        <v>365</v>
      </c>
      <c r="AF506" s="21" t="s">
        <v>135</v>
      </c>
      <c r="AG506" s="21" t="s">
        <v>135</v>
      </c>
      <c r="AH506" s="21" t="s">
        <v>135</v>
      </c>
      <c r="AI506" s="21" t="s">
        <v>135</v>
      </c>
    </row>
    <row r="507" spans="1:36" ht="15.75" customHeight="1" x14ac:dyDescent="0.3">
      <c r="A507" s="21">
        <v>2026</v>
      </c>
      <c r="B507" s="22">
        <v>46129.311755509261</v>
      </c>
      <c r="C507" s="21" t="s">
        <v>183</v>
      </c>
      <c r="D507" s="21" t="s">
        <v>183</v>
      </c>
      <c r="E507" s="21" t="s">
        <v>183</v>
      </c>
      <c r="F507" s="21" t="s">
        <v>183</v>
      </c>
      <c r="G507" s="21" t="s">
        <v>256</v>
      </c>
      <c r="H507" s="21" t="s">
        <v>4318</v>
      </c>
      <c r="I507" s="21" t="s">
        <v>2761</v>
      </c>
      <c r="J507" s="21" t="s">
        <v>2762</v>
      </c>
      <c r="K507" s="21" t="e">
        <f t="shared" ca="1" si="2"/>
        <v>#NAME?</v>
      </c>
      <c r="L507" s="24">
        <v>2013</v>
      </c>
      <c r="M507" s="21">
        <v>2024</v>
      </c>
      <c r="N507" s="21" t="s">
        <v>402</v>
      </c>
      <c r="O507" s="21" t="s">
        <v>316</v>
      </c>
      <c r="P507" s="26">
        <v>3068804239</v>
      </c>
      <c r="Q507" s="26" t="e">
        <f t="shared" ca="1" si="3"/>
        <v>#NAME?</v>
      </c>
      <c r="R507" s="21" t="s">
        <v>4001</v>
      </c>
      <c r="S507" s="21" t="s">
        <v>4320</v>
      </c>
      <c r="T507" s="21" t="s">
        <v>4321</v>
      </c>
      <c r="U507" s="21" t="s">
        <v>127</v>
      </c>
      <c r="V507" s="21" t="s">
        <v>4326</v>
      </c>
      <c r="W507" s="21" t="s">
        <v>307</v>
      </c>
      <c r="X507" s="21" t="s">
        <v>536</v>
      </c>
      <c r="Y507" s="21" t="s">
        <v>553</v>
      </c>
      <c r="Z507" s="21" t="s">
        <v>4327</v>
      </c>
      <c r="AA507" s="21" t="s">
        <v>4328</v>
      </c>
      <c r="AB507" s="21" t="s">
        <v>363</v>
      </c>
      <c r="AC507" s="21" t="s">
        <v>4329</v>
      </c>
      <c r="AD507" s="21" t="s">
        <v>132</v>
      </c>
      <c r="AE507" s="21" t="s">
        <v>365</v>
      </c>
      <c r="AF507" s="21" t="s">
        <v>135</v>
      </c>
      <c r="AG507" s="21" t="s">
        <v>135</v>
      </c>
      <c r="AH507" s="21" t="s">
        <v>135</v>
      </c>
      <c r="AI507" s="21" t="s">
        <v>135</v>
      </c>
      <c r="AJ507" s="21" t="s">
        <v>4330</v>
      </c>
    </row>
    <row r="508" spans="1:36" ht="15.75" customHeight="1" x14ac:dyDescent="0.3">
      <c r="A508" s="21">
        <v>2026</v>
      </c>
      <c r="B508" s="22">
        <v>46130.102117638889</v>
      </c>
      <c r="C508" s="21" t="s">
        <v>183</v>
      </c>
      <c r="D508" s="21" t="s">
        <v>183</v>
      </c>
      <c r="E508" s="21" t="s">
        <v>183</v>
      </c>
      <c r="F508" s="21" t="s">
        <v>183</v>
      </c>
      <c r="G508" s="21" t="s">
        <v>93</v>
      </c>
      <c r="H508" s="21" t="s">
        <v>4331</v>
      </c>
      <c r="I508" s="21" t="s">
        <v>4332</v>
      </c>
      <c r="J508" s="21" t="s">
        <v>3684</v>
      </c>
      <c r="K508" s="21" t="e">
        <f t="shared" ca="1" si="2"/>
        <v>#NAME?</v>
      </c>
      <c r="L508" s="24">
        <v>1988</v>
      </c>
      <c r="M508" s="21">
        <v>2012</v>
      </c>
      <c r="N508" s="21" t="s">
        <v>315</v>
      </c>
      <c r="O508" s="21" t="s">
        <v>316</v>
      </c>
      <c r="P508" s="26">
        <v>8123715995</v>
      </c>
      <c r="Q508" s="26" t="e">
        <f t="shared" ca="1" si="3"/>
        <v>#NAME?</v>
      </c>
      <c r="R508" s="21" t="s">
        <v>521</v>
      </c>
      <c r="S508" s="21" t="s">
        <v>1593</v>
      </c>
      <c r="T508" s="21" t="s">
        <v>4333</v>
      </c>
      <c r="U508" s="21" t="s">
        <v>4334</v>
      </c>
      <c r="V508" s="21" t="s">
        <v>127</v>
      </c>
      <c r="W508" s="21" t="s">
        <v>307</v>
      </c>
      <c r="X508" s="21" t="s">
        <v>179</v>
      </c>
      <c r="Y508" s="21" t="s">
        <v>406</v>
      </c>
      <c r="Z508" s="21" t="s">
        <v>127</v>
      </c>
      <c r="AA508" s="21" t="s">
        <v>608</v>
      </c>
      <c r="AB508" s="21" t="s">
        <v>363</v>
      </c>
      <c r="AC508" s="21" t="s">
        <v>4335</v>
      </c>
      <c r="AD508" s="21" t="s">
        <v>132</v>
      </c>
      <c r="AE508" s="21" t="s">
        <v>365</v>
      </c>
      <c r="AF508" s="21" t="s">
        <v>135</v>
      </c>
      <c r="AG508" s="21" t="s">
        <v>135</v>
      </c>
      <c r="AH508" s="21" t="s">
        <v>135</v>
      </c>
      <c r="AI508" s="21" t="s">
        <v>135</v>
      </c>
    </row>
    <row r="509" spans="1:36" ht="15.75" customHeight="1" x14ac:dyDescent="0.3">
      <c r="A509" s="21">
        <v>2026</v>
      </c>
      <c r="B509" s="22">
        <v>46130.484277175929</v>
      </c>
      <c r="C509" s="21" t="s">
        <v>183</v>
      </c>
      <c r="D509" s="21" t="s">
        <v>183</v>
      </c>
      <c r="E509" s="21" t="s">
        <v>183</v>
      </c>
      <c r="F509" s="21" t="s">
        <v>183</v>
      </c>
      <c r="G509" s="21" t="s">
        <v>93</v>
      </c>
      <c r="H509" s="21" t="s">
        <v>4336</v>
      </c>
      <c r="I509" s="21" t="s">
        <v>4337</v>
      </c>
      <c r="J509" s="21" t="s">
        <v>4338</v>
      </c>
      <c r="K509" s="21" t="e">
        <f t="shared" ca="1" si="2"/>
        <v>#NAME?</v>
      </c>
      <c r="L509" s="24">
        <v>1972</v>
      </c>
      <c r="M509" s="21">
        <v>1997</v>
      </c>
      <c r="N509" s="21" t="s">
        <v>111</v>
      </c>
      <c r="O509" s="21" t="s">
        <v>112</v>
      </c>
      <c r="P509" s="26">
        <v>9000677311</v>
      </c>
      <c r="Q509" s="26" t="e">
        <f t="shared" ca="1" si="3"/>
        <v>#NAME?</v>
      </c>
      <c r="R509" s="21" t="s">
        <v>715</v>
      </c>
      <c r="S509" s="21" t="s">
        <v>4339</v>
      </c>
      <c r="T509" s="21">
        <v>9014956621</v>
      </c>
      <c r="U509" s="21" t="s">
        <v>4340</v>
      </c>
      <c r="V509" s="21" t="s">
        <v>127</v>
      </c>
      <c r="W509" s="21" t="s">
        <v>307</v>
      </c>
      <c r="X509" s="21" t="s">
        <v>1399</v>
      </c>
      <c r="Y509" s="21" t="s">
        <v>1399</v>
      </c>
      <c r="Z509" s="21" t="s">
        <v>127</v>
      </c>
      <c r="AA509" s="21" t="s">
        <v>4341</v>
      </c>
      <c r="AB509" s="21" t="s">
        <v>3591</v>
      </c>
      <c r="AC509" s="21" t="s">
        <v>4342</v>
      </c>
      <c r="AD509" s="21" t="s">
        <v>287</v>
      </c>
      <c r="AE509" s="21" t="s">
        <v>365</v>
      </c>
      <c r="AF509" s="21" t="s">
        <v>135</v>
      </c>
      <c r="AG509" s="21" t="s">
        <v>135</v>
      </c>
      <c r="AH509" s="21" t="s">
        <v>135</v>
      </c>
      <c r="AI509" s="21" t="s">
        <v>135</v>
      </c>
      <c r="AJ509" s="21" t="s">
        <v>4343</v>
      </c>
    </row>
    <row r="510" spans="1:36" ht="15.75" customHeight="1" x14ac:dyDescent="0.3">
      <c r="A510" s="21">
        <v>2026</v>
      </c>
      <c r="B510" s="22">
        <v>46131.384759537032</v>
      </c>
      <c r="C510" s="21" t="s">
        <v>183</v>
      </c>
      <c r="D510" s="21" t="s">
        <v>183</v>
      </c>
      <c r="E510" s="21" t="s">
        <v>183</v>
      </c>
      <c r="F510" s="21" t="s">
        <v>183</v>
      </c>
      <c r="G510" s="21" t="s">
        <v>93</v>
      </c>
      <c r="H510" s="21" t="s">
        <v>4344</v>
      </c>
      <c r="I510" s="21" t="s">
        <v>1813</v>
      </c>
      <c r="J510" s="21" t="s">
        <v>4345</v>
      </c>
      <c r="K510" s="21" t="e">
        <f t="shared" ca="1" si="2"/>
        <v>#NAME?</v>
      </c>
      <c r="L510" s="24">
        <v>1967</v>
      </c>
      <c r="M510" s="21">
        <v>1996</v>
      </c>
      <c r="N510" s="21" t="s">
        <v>402</v>
      </c>
      <c r="O510" s="21" t="s">
        <v>316</v>
      </c>
      <c r="P510" s="26">
        <v>2488852409</v>
      </c>
      <c r="Q510" s="26" t="e">
        <f t="shared" ca="1" si="3"/>
        <v>#NAME?</v>
      </c>
      <c r="R510" s="21" t="s">
        <v>4348</v>
      </c>
      <c r="S510" s="21" t="s">
        <v>4345</v>
      </c>
      <c r="T510" s="21" t="s">
        <v>4349</v>
      </c>
      <c r="U510" s="21" t="s">
        <v>4350</v>
      </c>
      <c r="V510" s="21" t="s">
        <v>127</v>
      </c>
      <c r="W510" s="21" t="s">
        <v>307</v>
      </c>
      <c r="X510" s="21" t="s">
        <v>179</v>
      </c>
      <c r="Y510" s="21" t="s">
        <v>308</v>
      </c>
      <c r="Z510" s="21" t="s">
        <v>127</v>
      </c>
      <c r="AA510" s="21" t="s">
        <v>1581</v>
      </c>
      <c r="AB510" s="21" t="s">
        <v>363</v>
      </c>
      <c r="AC510" s="21" t="s">
        <v>4351</v>
      </c>
      <c r="AD510" s="21" t="s">
        <v>287</v>
      </c>
      <c r="AE510" s="21" t="s">
        <v>365</v>
      </c>
      <c r="AF510" s="21" t="s">
        <v>135</v>
      </c>
      <c r="AG510" s="21" t="s">
        <v>135</v>
      </c>
      <c r="AH510" s="21" t="s">
        <v>135</v>
      </c>
      <c r="AI510" s="21" t="s">
        <v>135</v>
      </c>
    </row>
    <row r="511" spans="1:36" ht="15.75" customHeight="1" x14ac:dyDescent="0.3">
      <c r="A511" s="21">
        <v>2026</v>
      </c>
      <c r="B511" s="22">
        <v>46140.5396903125</v>
      </c>
      <c r="C511" s="21" t="s">
        <v>183</v>
      </c>
      <c r="D511" s="21" t="s">
        <v>183</v>
      </c>
      <c r="E511" s="21" t="s">
        <v>183</v>
      </c>
      <c r="F511" s="21" t="s">
        <v>183</v>
      </c>
      <c r="G511" s="21" t="s">
        <v>93</v>
      </c>
      <c r="H511" s="21" t="s">
        <v>4352</v>
      </c>
      <c r="I511" s="21" t="s">
        <v>1969</v>
      </c>
      <c r="J511" s="21" t="s">
        <v>225</v>
      </c>
      <c r="K511" s="21" t="e">
        <f t="shared" ca="1" si="2"/>
        <v>#NAME?</v>
      </c>
      <c r="L511" s="24">
        <v>1979</v>
      </c>
      <c r="M511" s="21">
        <v>2005</v>
      </c>
      <c r="N511" s="21" t="s">
        <v>315</v>
      </c>
      <c r="O511" s="21" t="s">
        <v>316</v>
      </c>
      <c r="P511" s="26">
        <v>8582310914</v>
      </c>
      <c r="Q511" s="26" t="e">
        <f t="shared" ca="1" si="3"/>
        <v>#NAME?</v>
      </c>
      <c r="R511" s="21" t="s">
        <v>1822</v>
      </c>
      <c r="S511" s="21" t="s">
        <v>4353</v>
      </c>
      <c r="T511" s="21" t="s">
        <v>4354</v>
      </c>
      <c r="U511" s="21" t="s">
        <v>4355</v>
      </c>
      <c r="V511" s="21" t="s">
        <v>127</v>
      </c>
      <c r="W511" s="21" t="s">
        <v>219</v>
      </c>
      <c r="X511" s="21" t="s">
        <v>179</v>
      </c>
      <c r="Y511" s="21" t="s">
        <v>179</v>
      </c>
      <c r="Z511" s="21" t="s">
        <v>127</v>
      </c>
      <c r="AA511" s="21" t="s">
        <v>1581</v>
      </c>
      <c r="AB511" s="21" t="s">
        <v>363</v>
      </c>
      <c r="AC511" s="21" t="s">
        <v>4356</v>
      </c>
      <c r="AD511" s="21" t="s">
        <v>132</v>
      </c>
      <c r="AE511" s="21" t="s">
        <v>365</v>
      </c>
      <c r="AF511" s="21" t="s">
        <v>135</v>
      </c>
      <c r="AG511" s="21" t="s">
        <v>135</v>
      </c>
      <c r="AH511" s="21" t="s">
        <v>135</v>
      </c>
      <c r="AI511" s="21" t="s">
        <v>135</v>
      </c>
    </row>
    <row r="512" spans="1:36" ht="15.75" customHeight="1" x14ac:dyDescent="0.3">
      <c r="A512" s="21">
        <v>2026</v>
      </c>
      <c r="B512" s="22">
        <v>46140.551066782413</v>
      </c>
      <c r="C512" s="21" t="s">
        <v>183</v>
      </c>
      <c r="D512" s="21" t="s">
        <v>183</v>
      </c>
      <c r="E512" s="21" t="s">
        <v>183</v>
      </c>
      <c r="F512" s="21" t="s">
        <v>183</v>
      </c>
      <c r="G512" s="21" t="s">
        <v>93</v>
      </c>
      <c r="H512" s="21" t="s">
        <v>4357</v>
      </c>
      <c r="I512" s="21" t="s">
        <v>2649</v>
      </c>
      <c r="J512" s="138" t="s">
        <v>4358</v>
      </c>
      <c r="K512" s="21" t="e">
        <f t="shared" ref="K512:K766" ca="1" si="4">_xludf.TEXTJOIN(" ",TRUE,I512:J512)</f>
        <v>#NAME?</v>
      </c>
      <c r="L512" s="24">
        <v>1975</v>
      </c>
      <c r="M512" s="21">
        <v>1992</v>
      </c>
      <c r="N512" s="21" t="s">
        <v>474</v>
      </c>
      <c r="O512" s="21" t="s">
        <v>316</v>
      </c>
      <c r="P512" s="26">
        <v>4039918730</v>
      </c>
      <c r="Q512" s="26" t="e">
        <f t="shared" ca="1" si="3"/>
        <v>#NAME?</v>
      </c>
      <c r="R512" s="21" t="s">
        <v>578</v>
      </c>
      <c r="S512" s="21" t="s">
        <v>4359</v>
      </c>
      <c r="T512" s="21" t="s">
        <v>4360</v>
      </c>
      <c r="U512" s="21" t="s">
        <v>4361</v>
      </c>
      <c r="V512" s="21" t="s">
        <v>127</v>
      </c>
      <c r="W512" s="21" t="s">
        <v>307</v>
      </c>
      <c r="X512" s="21" t="s">
        <v>3751</v>
      </c>
      <c r="Y512" s="21" t="s">
        <v>3751</v>
      </c>
      <c r="Z512" s="21" t="s">
        <v>127</v>
      </c>
      <c r="AA512" s="21" t="s">
        <v>727</v>
      </c>
      <c r="AB512" s="21" t="s">
        <v>363</v>
      </c>
      <c r="AC512" s="21" t="s">
        <v>4362</v>
      </c>
      <c r="AD512" s="21" t="s">
        <v>287</v>
      </c>
      <c r="AE512" s="21" t="s">
        <v>365</v>
      </c>
      <c r="AF512" s="21" t="s">
        <v>135</v>
      </c>
      <c r="AG512" s="21" t="s">
        <v>135</v>
      </c>
      <c r="AH512" s="21" t="s">
        <v>135</v>
      </c>
      <c r="AI512" s="21" t="s">
        <v>135</v>
      </c>
    </row>
    <row r="513" spans="1:36" ht="15.75" customHeight="1" x14ac:dyDescent="0.3">
      <c r="A513" s="21">
        <v>2026</v>
      </c>
      <c r="B513" s="22">
        <v>46140.709845231482</v>
      </c>
      <c r="C513" s="21" t="s">
        <v>183</v>
      </c>
      <c r="D513" s="21" t="s">
        <v>183</v>
      </c>
      <c r="E513" s="21" t="s">
        <v>183</v>
      </c>
      <c r="F513" s="21" t="s">
        <v>183</v>
      </c>
      <c r="G513" s="21" t="s">
        <v>93</v>
      </c>
      <c r="H513" s="21" t="s">
        <v>4363</v>
      </c>
      <c r="I513" s="21" t="s">
        <v>3769</v>
      </c>
      <c r="J513" s="21" t="s">
        <v>4364</v>
      </c>
      <c r="K513" s="21" t="e">
        <f t="shared" ca="1" si="4"/>
        <v>#NAME?</v>
      </c>
      <c r="L513" s="24">
        <v>1973</v>
      </c>
      <c r="M513" s="21">
        <v>2002</v>
      </c>
      <c r="N513" s="21" t="s">
        <v>402</v>
      </c>
      <c r="O513" s="21" t="s">
        <v>316</v>
      </c>
      <c r="P513" s="26">
        <v>9592057245</v>
      </c>
      <c r="Q513" s="26" t="e">
        <f t="shared" ref="Q513:Q767" ca="1" si="5">P513&amp;"/"&amp;L513&amp;"/"&amp;K513</f>
        <v>#NAME?</v>
      </c>
      <c r="R513" s="21" t="s">
        <v>4365</v>
      </c>
      <c r="S513" s="21" t="s">
        <v>4366</v>
      </c>
      <c r="T513" s="21" t="s">
        <v>4367</v>
      </c>
      <c r="U513" s="21" t="s">
        <v>4368</v>
      </c>
      <c r="V513" s="21" t="s">
        <v>582</v>
      </c>
      <c r="W513" s="21" t="s">
        <v>706</v>
      </c>
      <c r="X513" s="21" t="s">
        <v>904</v>
      </c>
      <c r="Y513" s="21" t="s">
        <v>4369</v>
      </c>
      <c r="Z513" s="21" t="s">
        <v>127</v>
      </c>
      <c r="AA513" s="21" t="s">
        <v>1127</v>
      </c>
      <c r="AB513" s="21" t="s">
        <v>3591</v>
      </c>
      <c r="AC513" s="21" t="s">
        <v>4370</v>
      </c>
      <c r="AD513" s="21" t="s">
        <v>132</v>
      </c>
      <c r="AE513" s="21" t="s">
        <v>365</v>
      </c>
      <c r="AF513" s="21" t="s">
        <v>135</v>
      </c>
      <c r="AG513" s="21" t="s">
        <v>135</v>
      </c>
      <c r="AH513" s="21" t="s">
        <v>135</v>
      </c>
      <c r="AI513" s="21" t="s">
        <v>135</v>
      </c>
    </row>
    <row r="514" spans="1:36" ht="15.75" customHeight="1" x14ac:dyDescent="0.3">
      <c r="A514" s="21">
        <v>2026</v>
      </c>
      <c r="B514" s="22">
        <v>46140.804027719903</v>
      </c>
      <c r="C514" s="21" t="s">
        <v>183</v>
      </c>
      <c r="D514" s="21" t="s">
        <v>183</v>
      </c>
      <c r="E514" s="21" t="s">
        <v>183</v>
      </c>
      <c r="F514" s="21" t="s">
        <v>183</v>
      </c>
      <c r="G514" s="21" t="s">
        <v>93</v>
      </c>
      <c r="H514" s="21" t="s">
        <v>4371</v>
      </c>
      <c r="I514" s="21" t="s">
        <v>3358</v>
      </c>
      <c r="J514" s="21" t="s">
        <v>4372</v>
      </c>
      <c r="K514" s="21" t="e">
        <f t="shared" ca="1" si="4"/>
        <v>#NAME?</v>
      </c>
      <c r="L514" s="24">
        <v>1986</v>
      </c>
      <c r="M514" s="21">
        <v>2011</v>
      </c>
      <c r="N514" s="21" t="s">
        <v>111</v>
      </c>
      <c r="O514" s="21" t="s">
        <v>112</v>
      </c>
      <c r="P514" s="26">
        <v>9966583961</v>
      </c>
      <c r="Q514" s="26" t="e">
        <f t="shared" ca="1" si="5"/>
        <v>#NAME?</v>
      </c>
      <c r="R514" s="21" t="s">
        <v>118</v>
      </c>
      <c r="S514" s="21" t="s">
        <v>4373</v>
      </c>
      <c r="T514" s="21">
        <v>9985968882</v>
      </c>
      <c r="U514" s="21" t="s">
        <v>4374</v>
      </c>
      <c r="V514" s="21" t="s">
        <v>127</v>
      </c>
      <c r="W514" s="21" t="s">
        <v>307</v>
      </c>
      <c r="X514" s="21" t="s">
        <v>2957</v>
      </c>
      <c r="Y514" s="21" t="s">
        <v>467</v>
      </c>
      <c r="Z514" s="21" t="s">
        <v>127</v>
      </c>
      <c r="AA514" s="21" t="s">
        <v>608</v>
      </c>
      <c r="AB514" s="21" t="s">
        <v>363</v>
      </c>
      <c r="AC514" s="21" t="s">
        <v>4375</v>
      </c>
      <c r="AD514" s="21" t="s">
        <v>132</v>
      </c>
      <c r="AE514" s="21" t="s">
        <v>365</v>
      </c>
      <c r="AF514" s="21" t="s">
        <v>135</v>
      </c>
      <c r="AG514" s="21" t="s">
        <v>135</v>
      </c>
      <c r="AH514" s="21" t="s">
        <v>135</v>
      </c>
      <c r="AI514" s="21" t="s">
        <v>135</v>
      </c>
    </row>
    <row r="515" spans="1:36" ht="15.75" customHeight="1" x14ac:dyDescent="0.3">
      <c r="A515" s="21">
        <v>2026</v>
      </c>
      <c r="B515" s="22">
        <v>46140.820254270831</v>
      </c>
      <c r="C515" s="21" t="s">
        <v>183</v>
      </c>
      <c r="D515" s="21" t="s">
        <v>183</v>
      </c>
      <c r="E515" s="21" t="s">
        <v>183</v>
      </c>
      <c r="F515" s="21" t="s">
        <v>183</v>
      </c>
      <c r="G515" s="21" t="s">
        <v>93</v>
      </c>
      <c r="H515" s="21" t="s">
        <v>2901</v>
      </c>
      <c r="I515" s="21" t="s">
        <v>4376</v>
      </c>
      <c r="J515" s="21" t="s">
        <v>2903</v>
      </c>
      <c r="K515" s="21" t="e">
        <f t="shared" ca="1" si="4"/>
        <v>#NAME?</v>
      </c>
      <c r="L515" s="24">
        <v>1994</v>
      </c>
      <c r="M515" s="21">
        <v>2017</v>
      </c>
      <c r="N515" s="21" t="s">
        <v>111</v>
      </c>
      <c r="O515" s="21" t="s">
        <v>112</v>
      </c>
      <c r="P515" s="26">
        <v>9177554442</v>
      </c>
      <c r="Q515" s="26" t="e">
        <f t="shared" ca="1" si="5"/>
        <v>#NAME?</v>
      </c>
      <c r="R515" s="21" t="s">
        <v>992</v>
      </c>
      <c r="S515" s="21" t="s">
        <v>2904</v>
      </c>
      <c r="T515" s="21" t="s">
        <v>4377</v>
      </c>
      <c r="U515" s="21" t="s">
        <v>4378</v>
      </c>
      <c r="V515" s="21" t="s">
        <v>127</v>
      </c>
      <c r="W515" s="21" t="s">
        <v>219</v>
      </c>
      <c r="X515" s="21" t="s">
        <v>308</v>
      </c>
      <c r="Y515" s="21" t="s">
        <v>553</v>
      </c>
      <c r="Z515" s="21" t="s">
        <v>127</v>
      </c>
      <c r="AA515" s="21" t="s">
        <v>1127</v>
      </c>
      <c r="AB515" s="21" t="s">
        <v>363</v>
      </c>
      <c r="AC515" s="21" t="s">
        <v>4379</v>
      </c>
      <c r="AD515" s="21" t="s">
        <v>287</v>
      </c>
      <c r="AE515" s="21" t="s">
        <v>365</v>
      </c>
      <c r="AF515" s="21" t="s">
        <v>135</v>
      </c>
      <c r="AG515" s="21" t="s">
        <v>135</v>
      </c>
      <c r="AH515" s="21" t="s">
        <v>135</v>
      </c>
      <c r="AI515" s="21" t="s">
        <v>135</v>
      </c>
      <c r="AJ515" s="21" t="s">
        <v>4380</v>
      </c>
    </row>
    <row r="516" spans="1:36" ht="15.75" customHeight="1" x14ac:dyDescent="0.3">
      <c r="A516" s="21">
        <v>2026</v>
      </c>
      <c r="B516" s="22">
        <v>46140.885725868051</v>
      </c>
      <c r="C516" s="21" t="s">
        <v>183</v>
      </c>
      <c r="D516" s="21" t="s">
        <v>183</v>
      </c>
      <c r="E516" s="21" t="s">
        <v>183</v>
      </c>
      <c r="F516" s="21" t="s">
        <v>183</v>
      </c>
      <c r="G516" s="21" t="s">
        <v>93</v>
      </c>
      <c r="H516" s="21" t="s">
        <v>4381</v>
      </c>
      <c r="I516" s="21" t="s">
        <v>1044</v>
      </c>
      <c r="J516" s="21" t="s">
        <v>4382</v>
      </c>
      <c r="K516" s="21" t="e">
        <f t="shared" ca="1" si="4"/>
        <v>#NAME?</v>
      </c>
      <c r="L516" s="24">
        <v>1972</v>
      </c>
      <c r="M516" s="21">
        <v>1996</v>
      </c>
      <c r="N516" s="21" t="s">
        <v>111</v>
      </c>
      <c r="O516" s="21" t="s">
        <v>112</v>
      </c>
      <c r="P516" s="26">
        <v>9866020600</v>
      </c>
      <c r="Q516" s="26" t="e">
        <f t="shared" ca="1" si="5"/>
        <v>#NAME?</v>
      </c>
      <c r="R516" s="21" t="s">
        <v>118</v>
      </c>
      <c r="S516" s="21" t="s">
        <v>4383</v>
      </c>
      <c r="T516" s="21" t="s">
        <v>4384</v>
      </c>
      <c r="U516" s="21" t="s">
        <v>4385</v>
      </c>
      <c r="V516" s="21" t="s">
        <v>127</v>
      </c>
      <c r="W516" s="21" t="s">
        <v>706</v>
      </c>
      <c r="X516" s="21" t="s">
        <v>352</v>
      </c>
      <c r="Y516" s="21" t="s">
        <v>467</v>
      </c>
      <c r="Z516" s="21" t="s">
        <v>127</v>
      </c>
      <c r="AA516" s="21" t="s">
        <v>608</v>
      </c>
      <c r="AB516" s="21" t="s">
        <v>363</v>
      </c>
      <c r="AC516" s="21" t="s">
        <v>4386</v>
      </c>
      <c r="AD516" s="21" t="s">
        <v>132</v>
      </c>
      <c r="AE516" s="21" t="s">
        <v>365</v>
      </c>
      <c r="AF516" s="21" t="s">
        <v>135</v>
      </c>
      <c r="AG516" s="21" t="s">
        <v>135</v>
      </c>
      <c r="AH516" s="21" t="s">
        <v>135</v>
      </c>
      <c r="AI516" s="21" t="s">
        <v>135</v>
      </c>
    </row>
    <row r="517" spans="1:36" ht="15.75" customHeight="1" x14ac:dyDescent="0.3">
      <c r="A517" s="21">
        <v>2026</v>
      </c>
      <c r="B517" s="22">
        <v>46140.917570138889</v>
      </c>
      <c r="C517" s="21" t="s">
        <v>183</v>
      </c>
      <c r="D517" s="21" t="s">
        <v>183</v>
      </c>
      <c r="E517" s="21" t="s">
        <v>183</v>
      </c>
      <c r="F517" s="21" t="s">
        <v>183</v>
      </c>
      <c r="G517" s="21" t="s">
        <v>93</v>
      </c>
      <c r="H517" s="21" t="s">
        <v>4387</v>
      </c>
      <c r="I517" s="138" t="s">
        <v>4388</v>
      </c>
      <c r="J517" s="138" t="s">
        <v>4389</v>
      </c>
      <c r="K517" s="21" t="e">
        <f t="shared" ca="1" si="4"/>
        <v>#NAME?</v>
      </c>
      <c r="L517" s="24">
        <v>1986</v>
      </c>
      <c r="M517" s="21">
        <v>1993</v>
      </c>
      <c r="N517" s="21" t="s">
        <v>111</v>
      </c>
      <c r="O517" s="21" t="s">
        <v>112</v>
      </c>
      <c r="P517" s="26">
        <v>9676009144</v>
      </c>
      <c r="Q517" s="26" t="e">
        <f t="shared" ca="1" si="5"/>
        <v>#NAME?</v>
      </c>
      <c r="R517" s="21" t="s">
        <v>485</v>
      </c>
      <c r="S517" s="21" t="s">
        <v>4390</v>
      </c>
      <c r="T517" s="21">
        <v>9849639880</v>
      </c>
      <c r="U517" s="21" t="s">
        <v>4391</v>
      </c>
      <c r="V517" s="21" t="s">
        <v>127</v>
      </c>
      <c r="W517" s="21" t="s">
        <v>2767</v>
      </c>
      <c r="X517" s="21" t="s">
        <v>1292</v>
      </c>
      <c r="Y517" s="21" t="s">
        <v>3212</v>
      </c>
      <c r="Z517" s="21" t="s">
        <v>127</v>
      </c>
      <c r="AA517" s="21" t="s">
        <v>4392</v>
      </c>
      <c r="AB517" s="21" t="s">
        <v>363</v>
      </c>
      <c r="AC517" s="21" t="s">
        <v>4393</v>
      </c>
      <c r="AD517" s="21" t="s">
        <v>132</v>
      </c>
      <c r="AE517" s="21" t="s">
        <v>365</v>
      </c>
      <c r="AF517" s="21" t="s">
        <v>135</v>
      </c>
      <c r="AG517" s="21" t="s">
        <v>135</v>
      </c>
      <c r="AH517" s="21" t="s">
        <v>135</v>
      </c>
      <c r="AI517" s="21" t="s">
        <v>135</v>
      </c>
    </row>
    <row r="518" spans="1:36" ht="15.75" customHeight="1" x14ac:dyDescent="0.3">
      <c r="A518" s="21">
        <v>2026</v>
      </c>
      <c r="B518" s="22">
        <v>46140.937945729165</v>
      </c>
      <c r="C518" s="21" t="s">
        <v>183</v>
      </c>
      <c r="D518" s="21" t="s">
        <v>183</v>
      </c>
      <c r="E518" s="21" t="s">
        <v>183</v>
      </c>
      <c r="F518" s="21" t="s">
        <v>183</v>
      </c>
      <c r="G518" s="21" t="s">
        <v>93</v>
      </c>
      <c r="H518" s="21" t="s">
        <v>4396</v>
      </c>
      <c r="I518" s="21" t="s">
        <v>4397</v>
      </c>
      <c r="J518" s="21" t="s">
        <v>751</v>
      </c>
      <c r="K518" s="21" t="e">
        <f t="shared" ca="1" si="4"/>
        <v>#NAME?</v>
      </c>
      <c r="L518" s="24">
        <v>1978</v>
      </c>
      <c r="M518" s="21">
        <v>2006</v>
      </c>
      <c r="N518" s="21" t="s">
        <v>474</v>
      </c>
      <c r="O518" s="21" t="s">
        <v>316</v>
      </c>
      <c r="P518" s="26">
        <v>6026533166</v>
      </c>
      <c r="Q518" s="26" t="e">
        <f t="shared" ca="1" si="5"/>
        <v>#NAME?</v>
      </c>
      <c r="R518" s="21" t="s">
        <v>4398</v>
      </c>
      <c r="S518" s="21" t="s">
        <v>3572</v>
      </c>
      <c r="T518" s="21">
        <v>9802293255</v>
      </c>
      <c r="U518" s="21" t="s">
        <v>4399</v>
      </c>
      <c r="V518" s="21" t="s">
        <v>127</v>
      </c>
      <c r="W518" s="21" t="s">
        <v>307</v>
      </c>
      <c r="X518" s="21" t="s">
        <v>211</v>
      </c>
      <c r="Y518" s="21" t="s">
        <v>211</v>
      </c>
      <c r="Z518" s="21" t="s">
        <v>127</v>
      </c>
      <c r="AA518" s="21" t="s">
        <v>450</v>
      </c>
      <c r="AB518" s="21" t="s">
        <v>363</v>
      </c>
      <c r="AC518" s="21" t="s">
        <v>4400</v>
      </c>
      <c r="AD518" s="21" t="s">
        <v>169</v>
      </c>
      <c r="AE518" s="21" t="s">
        <v>365</v>
      </c>
      <c r="AF518" s="21" t="s">
        <v>135</v>
      </c>
      <c r="AG518" s="21" t="s">
        <v>135</v>
      </c>
      <c r="AH518" s="21" t="s">
        <v>135</v>
      </c>
      <c r="AI518" s="21" t="s">
        <v>135</v>
      </c>
    </row>
    <row r="519" spans="1:36" ht="15.75" customHeight="1" x14ac:dyDescent="0.3">
      <c r="A519" s="21">
        <v>2026</v>
      </c>
      <c r="B519" s="22">
        <v>46140.9456134375</v>
      </c>
      <c r="C519" s="21" t="s">
        <v>183</v>
      </c>
      <c r="D519" s="21" t="s">
        <v>183</v>
      </c>
      <c r="E519" s="21" t="s">
        <v>183</v>
      </c>
      <c r="F519" s="21" t="s">
        <v>183</v>
      </c>
      <c r="G519" s="21" t="s">
        <v>93</v>
      </c>
      <c r="H519" s="21" t="s">
        <v>4401</v>
      </c>
      <c r="I519" s="21" t="s">
        <v>634</v>
      </c>
      <c r="J519" s="21" t="s">
        <v>4402</v>
      </c>
      <c r="K519" s="21" t="e">
        <f t="shared" ca="1" si="4"/>
        <v>#NAME?</v>
      </c>
      <c r="L519" s="24">
        <v>2008</v>
      </c>
      <c r="M519" s="21">
        <v>2015</v>
      </c>
      <c r="N519" s="21" t="s">
        <v>111</v>
      </c>
      <c r="O519" s="21" t="s">
        <v>112</v>
      </c>
      <c r="P519" s="26">
        <v>9059346001</v>
      </c>
      <c r="Q519" s="26" t="e">
        <f t="shared" ca="1" si="5"/>
        <v>#NAME?</v>
      </c>
      <c r="R519" s="21" t="s">
        <v>4403</v>
      </c>
      <c r="S519" s="21" t="s">
        <v>4404</v>
      </c>
      <c r="T519" s="21" t="s">
        <v>4405</v>
      </c>
      <c r="U519" s="21" t="s">
        <v>4406</v>
      </c>
      <c r="V519" s="21" t="s">
        <v>4407</v>
      </c>
      <c r="W519" s="21" t="s">
        <v>706</v>
      </c>
      <c r="X519" s="21" t="s">
        <v>2332</v>
      </c>
      <c r="Y519" s="21" t="s">
        <v>179</v>
      </c>
      <c r="Z519" s="21" t="s">
        <v>4408</v>
      </c>
      <c r="AA519" s="21" t="s">
        <v>396</v>
      </c>
      <c r="AB519" s="21" t="s">
        <v>4409</v>
      </c>
      <c r="AC519" s="21" t="s">
        <v>4410</v>
      </c>
      <c r="AD519" s="21" t="s">
        <v>169</v>
      </c>
      <c r="AE519" s="21" t="s">
        <v>365</v>
      </c>
      <c r="AF519" s="21" t="s">
        <v>135</v>
      </c>
      <c r="AG519" s="21" t="s">
        <v>135</v>
      </c>
      <c r="AH519" s="21" t="s">
        <v>135</v>
      </c>
      <c r="AI519" s="21" t="s">
        <v>135</v>
      </c>
      <c r="AJ519" s="21" t="s">
        <v>4411</v>
      </c>
    </row>
    <row r="520" spans="1:36" ht="15.75" customHeight="1" x14ac:dyDescent="0.3">
      <c r="A520" s="21">
        <v>2026</v>
      </c>
      <c r="B520" s="22">
        <v>46141.007536354169</v>
      </c>
      <c r="C520" s="21" t="s">
        <v>183</v>
      </c>
      <c r="D520" s="21" t="s">
        <v>183</v>
      </c>
      <c r="E520" s="21" t="s">
        <v>183</v>
      </c>
      <c r="F520" s="21" t="s">
        <v>183</v>
      </c>
      <c r="G520" s="21" t="s">
        <v>93</v>
      </c>
      <c r="H520" s="21" t="s">
        <v>4412</v>
      </c>
      <c r="I520" s="21" t="s">
        <v>4413</v>
      </c>
      <c r="J520" s="21" t="s">
        <v>4414</v>
      </c>
      <c r="K520" s="21" t="e">
        <f t="shared" ca="1" si="4"/>
        <v>#NAME?</v>
      </c>
      <c r="L520" s="24">
        <v>2006</v>
      </c>
      <c r="M520" s="21">
        <v>2018</v>
      </c>
      <c r="N520" s="21" t="s">
        <v>111</v>
      </c>
      <c r="O520" s="21" t="s">
        <v>112</v>
      </c>
      <c r="P520" s="26">
        <v>8019478323</v>
      </c>
      <c r="Q520" s="26" t="e">
        <f t="shared" ca="1" si="5"/>
        <v>#NAME?</v>
      </c>
      <c r="R520" s="21" t="s">
        <v>188</v>
      </c>
      <c r="S520" s="21" t="s">
        <v>4415</v>
      </c>
      <c r="T520" s="21">
        <v>9704013011</v>
      </c>
      <c r="U520" s="21" t="s">
        <v>582</v>
      </c>
      <c r="V520" s="21" t="s">
        <v>4416</v>
      </c>
      <c r="W520" s="21" t="s">
        <v>219</v>
      </c>
      <c r="X520" s="21" t="s">
        <v>1145</v>
      </c>
      <c r="Y520" s="21" t="s">
        <v>571</v>
      </c>
      <c r="Z520" s="21" t="s">
        <v>582</v>
      </c>
      <c r="AA520" s="21" t="s">
        <v>396</v>
      </c>
      <c r="AB520" s="21" t="s">
        <v>363</v>
      </c>
      <c r="AC520" s="21" t="s">
        <v>4417</v>
      </c>
      <c r="AD520" s="21" t="s">
        <v>287</v>
      </c>
      <c r="AE520" s="21" t="s">
        <v>365</v>
      </c>
      <c r="AF520" s="21" t="s">
        <v>135</v>
      </c>
      <c r="AG520" s="21" t="s">
        <v>135</v>
      </c>
      <c r="AH520" s="21" t="s">
        <v>135</v>
      </c>
      <c r="AI520" s="21" t="s">
        <v>135</v>
      </c>
    </row>
    <row r="521" spans="1:36" ht="15.75" customHeight="1" x14ac:dyDescent="0.3">
      <c r="A521" s="21">
        <v>2026</v>
      </c>
      <c r="B521" s="22">
        <v>46141.011369849541</v>
      </c>
      <c r="C521" s="21" t="s">
        <v>183</v>
      </c>
      <c r="D521" s="21" t="s">
        <v>183</v>
      </c>
      <c r="E521" s="21" t="s">
        <v>183</v>
      </c>
      <c r="F521" s="21" t="s">
        <v>183</v>
      </c>
      <c r="G521" s="21" t="s">
        <v>93</v>
      </c>
      <c r="H521" s="21" t="s">
        <v>4418</v>
      </c>
      <c r="I521" s="21" t="s">
        <v>4419</v>
      </c>
      <c r="J521" s="21" t="s">
        <v>4420</v>
      </c>
      <c r="K521" s="21" t="e">
        <f t="shared" ca="1" si="4"/>
        <v>#NAME?</v>
      </c>
      <c r="L521" s="24">
        <v>1991</v>
      </c>
      <c r="M521" s="21">
        <v>2005</v>
      </c>
      <c r="N521" s="21" t="s">
        <v>111</v>
      </c>
      <c r="O521" s="21" t="s">
        <v>112</v>
      </c>
      <c r="P521" s="26">
        <v>8317601392</v>
      </c>
      <c r="Q521" s="26" t="e">
        <f t="shared" ca="1" si="5"/>
        <v>#NAME?</v>
      </c>
      <c r="R521" s="21" t="s">
        <v>188</v>
      </c>
      <c r="S521" s="21" t="s">
        <v>4415</v>
      </c>
      <c r="T521" s="21">
        <v>9704013011</v>
      </c>
      <c r="U521" s="21" t="s">
        <v>4421</v>
      </c>
      <c r="V521" s="21" t="s">
        <v>284</v>
      </c>
      <c r="W521" s="21" t="s">
        <v>219</v>
      </c>
      <c r="X521" s="21" t="s">
        <v>4174</v>
      </c>
      <c r="Y521" s="21" t="s">
        <v>4174</v>
      </c>
      <c r="Z521" s="21" t="s">
        <v>296</v>
      </c>
      <c r="AA521" s="21" t="s">
        <v>4422</v>
      </c>
      <c r="AB521" s="21" t="s">
        <v>363</v>
      </c>
      <c r="AC521" s="21" t="s">
        <v>4423</v>
      </c>
      <c r="AD521" s="21" t="s">
        <v>287</v>
      </c>
      <c r="AE521" s="21" t="s">
        <v>365</v>
      </c>
      <c r="AF521" s="21" t="s">
        <v>135</v>
      </c>
      <c r="AG521" s="21" t="s">
        <v>135</v>
      </c>
      <c r="AH521" s="21" t="s">
        <v>135</v>
      </c>
      <c r="AI521" s="21" t="s">
        <v>135</v>
      </c>
    </row>
    <row r="522" spans="1:36" ht="15.75" customHeight="1" x14ac:dyDescent="0.3">
      <c r="A522" s="21">
        <v>2026</v>
      </c>
      <c r="B522" s="22">
        <v>46141.032045532411</v>
      </c>
      <c r="C522" s="21" t="s">
        <v>183</v>
      </c>
      <c r="D522" s="21" t="s">
        <v>183</v>
      </c>
      <c r="E522" s="21" t="s">
        <v>183</v>
      </c>
      <c r="F522" s="21" t="s">
        <v>183</v>
      </c>
      <c r="G522" s="21" t="s">
        <v>93</v>
      </c>
      <c r="H522" s="21" t="s">
        <v>4424</v>
      </c>
      <c r="I522" s="21" t="s">
        <v>214</v>
      </c>
      <c r="J522" s="21" t="s">
        <v>1584</v>
      </c>
      <c r="K522" s="21" t="e">
        <f t="shared" ca="1" si="4"/>
        <v>#NAME?</v>
      </c>
      <c r="L522" s="24">
        <v>1963</v>
      </c>
      <c r="M522" s="21">
        <v>1970</v>
      </c>
      <c r="N522" s="21" t="s">
        <v>111</v>
      </c>
      <c r="O522" s="21" t="s">
        <v>112</v>
      </c>
      <c r="P522" s="26">
        <v>9490509285</v>
      </c>
      <c r="Q522" s="26" t="e">
        <f t="shared" ca="1" si="5"/>
        <v>#NAME?</v>
      </c>
      <c r="R522" s="21" t="s">
        <v>4425</v>
      </c>
      <c r="S522" s="21" t="s">
        <v>4426</v>
      </c>
      <c r="T522" s="21">
        <v>7981966069</v>
      </c>
      <c r="U522" s="21" t="s">
        <v>4427</v>
      </c>
      <c r="V522" s="21" t="s">
        <v>127</v>
      </c>
      <c r="W522" s="21" t="s">
        <v>328</v>
      </c>
      <c r="X522" s="21" t="s">
        <v>220</v>
      </c>
      <c r="Y522" s="21" t="s">
        <v>536</v>
      </c>
      <c r="Z522" s="21" t="s">
        <v>127</v>
      </c>
      <c r="AA522" s="21" t="s">
        <v>4428</v>
      </c>
      <c r="AB522" s="21" t="s">
        <v>363</v>
      </c>
      <c r="AC522" s="21" t="s">
        <v>4429</v>
      </c>
      <c r="AD522" s="21" t="s">
        <v>132</v>
      </c>
      <c r="AE522" s="21" t="s">
        <v>365</v>
      </c>
      <c r="AF522" s="21" t="s">
        <v>135</v>
      </c>
      <c r="AG522" s="21" t="s">
        <v>135</v>
      </c>
      <c r="AH522" s="21" t="s">
        <v>135</v>
      </c>
      <c r="AI522" s="21" t="s">
        <v>135</v>
      </c>
    </row>
    <row r="523" spans="1:36" ht="15.75" customHeight="1" x14ac:dyDescent="0.3">
      <c r="A523" s="21">
        <v>2026</v>
      </c>
      <c r="B523" s="22">
        <v>46141.055452986111</v>
      </c>
      <c r="C523" s="21" t="s">
        <v>183</v>
      </c>
      <c r="D523" s="21" t="s">
        <v>183</v>
      </c>
      <c r="E523" s="21" t="s">
        <v>183</v>
      </c>
      <c r="F523" s="21" t="s">
        <v>183</v>
      </c>
      <c r="G523" s="21" t="s">
        <v>256</v>
      </c>
      <c r="H523" s="21" t="s">
        <v>4430</v>
      </c>
      <c r="I523" s="21" t="s">
        <v>3244</v>
      </c>
      <c r="J523" s="21" t="s">
        <v>1642</v>
      </c>
      <c r="K523" s="21" t="e">
        <f t="shared" ca="1" si="4"/>
        <v>#NAME?</v>
      </c>
      <c r="L523" s="24">
        <v>2012</v>
      </c>
      <c r="M523" s="21">
        <v>2019</v>
      </c>
      <c r="N523" s="21" t="s">
        <v>111</v>
      </c>
      <c r="O523" s="21" t="s">
        <v>112</v>
      </c>
      <c r="P523" s="26">
        <v>9440514090</v>
      </c>
      <c r="Q523" s="26" t="e">
        <f t="shared" ca="1" si="5"/>
        <v>#NAME?</v>
      </c>
      <c r="R523" s="21" t="s">
        <v>188</v>
      </c>
      <c r="S523" s="21" t="s">
        <v>4431</v>
      </c>
      <c r="T523" s="21">
        <v>7680021111</v>
      </c>
      <c r="U523" s="21" t="s">
        <v>127</v>
      </c>
      <c r="V523" s="21" t="s">
        <v>4432</v>
      </c>
      <c r="W523" s="21" t="s">
        <v>219</v>
      </c>
      <c r="X523" s="21" t="s">
        <v>308</v>
      </c>
      <c r="Y523" s="21" t="s">
        <v>308</v>
      </c>
      <c r="Z523" s="21" t="s">
        <v>4433</v>
      </c>
      <c r="AA523" s="21" t="s">
        <v>2004</v>
      </c>
      <c r="AB523" s="21" t="s">
        <v>363</v>
      </c>
      <c r="AC523" s="21" t="s">
        <v>4434</v>
      </c>
      <c r="AD523" s="21" t="s">
        <v>169</v>
      </c>
      <c r="AE523" s="21" t="s">
        <v>365</v>
      </c>
      <c r="AF523" s="21" t="s">
        <v>135</v>
      </c>
      <c r="AG523" s="21" t="s">
        <v>135</v>
      </c>
      <c r="AH523" s="21" t="s">
        <v>135</v>
      </c>
      <c r="AI523" s="21" t="s">
        <v>135</v>
      </c>
      <c r="AJ523" s="21" t="s">
        <v>4435</v>
      </c>
    </row>
    <row r="524" spans="1:36" ht="15.75" customHeight="1" x14ac:dyDescent="0.3">
      <c r="A524" s="21">
        <v>2026</v>
      </c>
      <c r="B524" s="22">
        <v>46141.05822337963</v>
      </c>
      <c r="C524" s="21" t="s">
        <v>183</v>
      </c>
      <c r="D524" s="21" t="s">
        <v>183</v>
      </c>
      <c r="E524" s="21" t="s">
        <v>183</v>
      </c>
      <c r="F524" s="21" t="s">
        <v>183</v>
      </c>
      <c r="G524" s="21" t="s">
        <v>93</v>
      </c>
      <c r="H524" s="21" t="s">
        <v>4436</v>
      </c>
      <c r="I524" s="21" t="s">
        <v>4437</v>
      </c>
      <c r="J524" s="21" t="s">
        <v>4438</v>
      </c>
      <c r="K524" s="21" t="e">
        <f t="shared" ca="1" si="4"/>
        <v>#NAME?</v>
      </c>
      <c r="L524" s="24">
        <v>1994</v>
      </c>
      <c r="M524" s="21">
        <v>2016</v>
      </c>
      <c r="N524" s="21" t="s">
        <v>111</v>
      </c>
      <c r="O524" s="21" t="s">
        <v>112</v>
      </c>
      <c r="P524" s="26">
        <v>8328467273</v>
      </c>
      <c r="Q524" s="26" t="e">
        <f t="shared" ca="1" si="5"/>
        <v>#NAME?</v>
      </c>
      <c r="R524" s="21" t="s">
        <v>188</v>
      </c>
      <c r="S524" s="21" t="s">
        <v>4439</v>
      </c>
      <c r="T524" s="21">
        <v>9032502528</v>
      </c>
      <c r="U524" s="21" t="s">
        <v>4440</v>
      </c>
      <c r="V524" s="21" t="s">
        <v>127</v>
      </c>
      <c r="W524" s="21" t="s">
        <v>307</v>
      </c>
      <c r="X524" s="21" t="s">
        <v>571</v>
      </c>
      <c r="Y524" s="21" t="s">
        <v>571</v>
      </c>
      <c r="Z524" s="21" t="s">
        <v>127</v>
      </c>
      <c r="AA524" s="21" t="s">
        <v>297</v>
      </c>
      <c r="AB524" s="21" t="s">
        <v>363</v>
      </c>
      <c r="AC524" s="21" t="s">
        <v>1069</v>
      </c>
      <c r="AD524" s="21" t="s">
        <v>169</v>
      </c>
      <c r="AE524" s="21" t="s">
        <v>365</v>
      </c>
      <c r="AF524" s="21" t="s">
        <v>135</v>
      </c>
      <c r="AG524" s="21" t="s">
        <v>135</v>
      </c>
      <c r="AH524" s="21" t="s">
        <v>135</v>
      </c>
      <c r="AI524" s="21" t="s">
        <v>135</v>
      </c>
      <c r="AJ524" s="21" t="s">
        <v>4441</v>
      </c>
    </row>
    <row r="525" spans="1:36" ht="15.75" customHeight="1" x14ac:dyDescent="0.3">
      <c r="A525" s="21">
        <v>2026</v>
      </c>
      <c r="B525" s="22">
        <v>46141.079370347223</v>
      </c>
      <c r="C525" s="21" t="s">
        <v>183</v>
      </c>
      <c r="D525" s="21" t="s">
        <v>183</v>
      </c>
      <c r="E525" s="21" t="s">
        <v>183</v>
      </c>
      <c r="F525" s="21" t="s">
        <v>183</v>
      </c>
      <c r="G525" s="21" t="s">
        <v>93</v>
      </c>
      <c r="H525" s="21" t="s">
        <v>4442</v>
      </c>
      <c r="I525" s="21" t="s">
        <v>4443</v>
      </c>
      <c r="J525" s="138" t="s">
        <v>4444</v>
      </c>
      <c r="K525" s="21" t="e">
        <f t="shared" ca="1" si="4"/>
        <v>#NAME?</v>
      </c>
      <c r="L525" s="24">
        <v>1983</v>
      </c>
      <c r="M525" s="21">
        <v>1999</v>
      </c>
      <c r="N525" s="21" t="s">
        <v>111</v>
      </c>
      <c r="O525" s="21" t="s">
        <v>112</v>
      </c>
      <c r="P525" s="26">
        <v>9966406261</v>
      </c>
      <c r="Q525" s="26" t="e">
        <f t="shared" ca="1" si="5"/>
        <v>#NAME?</v>
      </c>
      <c r="R525" s="21" t="s">
        <v>188</v>
      </c>
      <c r="S525" s="21" t="s">
        <v>4445</v>
      </c>
      <c r="T525" s="21">
        <v>9966406261</v>
      </c>
      <c r="U525" s="21" t="s">
        <v>4446</v>
      </c>
      <c r="V525" s="21" t="s">
        <v>284</v>
      </c>
      <c r="W525" s="21" t="s">
        <v>219</v>
      </c>
      <c r="X525" s="21" t="s">
        <v>179</v>
      </c>
      <c r="Y525" s="21" t="s">
        <v>179</v>
      </c>
      <c r="Z525" s="21" t="s">
        <v>284</v>
      </c>
      <c r="AA525" s="21" t="s">
        <v>4136</v>
      </c>
      <c r="AB525" s="21" t="s">
        <v>363</v>
      </c>
      <c r="AC525" s="21" t="s">
        <v>4447</v>
      </c>
      <c r="AD525" s="21" t="s">
        <v>132</v>
      </c>
      <c r="AE525" s="21" t="s">
        <v>365</v>
      </c>
      <c r="AF525" s="21" t="s">
        <v>135</v>
      </c>
      <c r="AG525" s="21" t="s">
        <v>135</v>
      </c>
      <c r="AH525" s="21" t="s">
        <v>135</v>
      </c>
      <c r="AI525" s="21" t="s">
        <v>135</v>
      </c>
      <c r="AJ525" s="21" t="s">
        <v>4448</v>
      </c>
    </row>
    <row r="526" spans="1:36" ht="15.75" customHeight="1" x14ac:dyDescent="0.3">
      <c r="A526" s="21">
        <v>2026</v>
      </c>
      <c r="B526" s="22">
        <v>46141.272712916667</v>
      </c>
      <c r="C526" s="21" t="s">
        <v>183</v>
      </c>
      <c r="D526" s="21" t="s">
        <v>183</v>
      </c>
      <c r="E526" s="21" t="s">
        <v>183</v>
      </c>
      <c r="F526" s="21" t="s">
        <v>183</v>
      </c>
      <c r="G526" s="21" t="s">
        <v>93</v>
      </c>
      <c r="H526" s="21" t="s">
        <v>4449</v>
      </c>
      <c r="I526" s="21" t="s">
        <v>1282</v>
      </c>
      <c r="J526" s="21" t="s">
        <v>4450</v>
      </c>
      <c r="K526" s="21" t="e">
        <f t="shared" ca="1" si="4"/>
        <v>#NAME?</v>
      </c>
      <c r="L526" s="24">
        <v>1953</v>
      </c>
      <c r="M526" s="21">
        <v>1977</v>
      </c>
      <c r="N526" s="21" t="s">
        <v>111</v>
      </c>
      <c r="O526" s="21" t="s">
        <v>112</v>
      </c>
      <c r="P526" s="26">
        <v>8008115666</v>
      </c>
      <c r="Q526" s="26" t="e">
        <f t="shared" ca="1" si="5"/>
        <v>#NAME?</v>
      </c>
      <c r="R526" s="21" t="s">
        <v>715</v>
      </c>
      <c r="S526" s="21" t="s">
        <v>1723</v>
      </c>
      <c r="T526" s="21">
        <v>9391944044</v>
      </c>
      <c r="U526" s="21" t="s">
        <v>4451</v>
      </c>
      <c r="V526" s="21" t="s">
        <v>127</v>
      </c>
      <c r="W526" s="21" t="s">
        <v>328</v>
      </c>
      <c r="X526" s="21" t="s">
        <v>211</v>
      </c>
      <c r="Y526" s="21" t="s">
        <v>211</v>
      </c>
      <c r="Z526" s="21" t="s">
        <v>127</v>
      </c>
      <c r="AA526" s="21" t="s">
        <v>4452</v>
      </c>
      <c r="AB526" s="21" t="s">
        <v>363</v>
      </c>
      <c r="AC526" s="21" t="s">
        <v>4453</v>
      </c>
      <c r="AD526" s="21" t="s">
        <v>169</v>
      </c>
      <c r="AE526" s="21" t="s">
        <v>365</v>
      </c>
      <c r="AF526" s="21" t="s">
        <v>135</v>
      </c>
      <c r="AG526" s="21" t="s">
        <v>135</v>
      </c>
      <c r="AH526" s="21" t="s">
        <v>135</v>
      </c>
      <c r="AI526" s="21" t="s">
        <v>135</v>
      </c>
      <c r="AJ526" s="21" t="s">
        <v>4454</v>
      </c>
    </row>
    <row r="527" spans="1:36" ht="15.75" customHeight="1" x14ac:dyDescent="0.3">
      <c r="A527" s="21">
        <v>2026</v>
      </c>
      <c r="B527" s="22">
        <v>46142.217320833333</v>
      </c>
      <c r="C527" s="21" t="s">
        <v>183</v>
      </c>
      <c r="D527" s="21" t="s">
        <v>183</v>
      </c>
      <c r="E527" s="21" t="s">
        <v>183</v>
      </c>
      <c r="F527" s="21" t="s">
        <v>183</v>
      </c>
      <c r="G527" s="21" t="s">
        <v>256</v>
      </c>
      <c r="H527" s="21" t="s">
        <v>4455</v>
      </c>
      <c r="I527" s="21" t="s">
        <v>1534</v>
      </c>
      <c r="J527" s="21" t="s">
        <v>3138</v>
      </c>
      <c r="K527" s="21" t="e">
        <f t="shared" ca="1" si="4"/>
        <v>#NAME?</v>
      </c>
      <c r="L527" s="24">
        <v>2019</v>
      </c>
      <c r="M527" s="21">
        <v>2026</v>
      </c>
      <c r="N527" s="21" t="s">
        <v>111</v>
      </c>
      <c r="O527" s="21" t="s">
        <v>112</v>
      </c>
      <c r="P527" s="26">
        <v>9010586515</v>
      </c>
      <c r="Q527" s="26" t="e">
        <f t="shared" ca="1" si="5"/>
        <v>#NAME?</v>
      </c>
      <c r="R527" s="21" t="s">
        <v>1536</v>
      </c>
      <c r="S527" s="21" t="s">
        <v>4456</v>
      </c>
      <c r="T527" s="21">
        <v>9884178605</v>
      </c>
      <c r="U527" s="21" t="s">
        <v>127</v>
      </c>
      <c r="V527" s="21" t="s">
        <v>4457</v>
      </c>
      <c r="W527" s="21" t="s">
        <v>951</v>
      </c>
      <c r="X527" s="21" t="s">
        <v>707</v>
      </c>
      <c r="Y527" s="21" t="s">
        <v>406</v>
      </c>
      <c r="Z527" s="21" t="s">
        <v>4456</v>
      </c>
      <c r="AA527" s="21" t="s">
        <v>396</v>
      </c>
      <c r="AB527" s="21" t="s">
        <v>3591</v>
      </c>
      <c r="AC527" s="21" t="s">
        <v>4458</v>
      </c>
      <c r="AD527" s="21" t="s">
        <v>169</v>
      </c>
      <c r="AE527" s="21" t="s">
        <v>365</v>
      </c>
      <c r="AF527" s="21" t="s">
        <v>135</v>
      </c>
      <c r="AG527" s="21" t="s">
        <v>135</v>
      </c>
      <c r="AH527" s="21" t="s">
        <v>135</v>
      </c>
      <c r="AI527" s="21" t="s">
        <v>135</v>
      </c>
    </row>
    <row r="528" spans="1:36" ht="15.75" customHeight="1" x14ac:dyDescent="0.3">
      <c r="A528" s="21">
        <v>2026</v>
      </c>
      <c r="B528" s="22">
        <v>46142.936397465281</v>
      </c>
      <c r="C528" s="21" t="s">
        <v>183</v>
      </c>
      <c r="D528" s="21" t="s">
        <v>183</v>
      </c>
      <c r="E528" s="21" t="s">
        <v>183</v>
      </c>
      <c r="F528" s="21" t="s">
        <v>183</v>
      </c>
      <c r="G528" s="21" t="s">
        <v>93</v>
      </c>
      <c r="H528" s="21" t="s">
        <v>4459</v>
      </c>
      <c r="I528" s="21" t="s">
        <v>4460</v>
      </c>
      <c r="J528" s="21" t="s">
        <v>4461</v>
      </c>
      <c r="K528" s="21" t="e">
        <f t="shared" ca="1" si="4"/>
        <v>#NAME?</v>
      </c>
      <c r="L528" s="24">
        <v>1972</v>
      </c>
      <c r="M528" s="21">
        <v>1980</v>
      </c>
      <c r="N528" s="21" t="s">
        <v>111</v>
      </c>
      <c r="O528" s="21" t="s">
        <v>112</v>
      </c>
      <c r="P528" s="26">
        <v>9030925322</v>
      </c>
      <c r="Q528" s="26" t="e">
        <f t="shared" ca="1" si="5"/>
        <v>#NAME?</v>
      </c>
      <c r="R528" s="21" t="s">
        <v>485</v>
      </c>
      <c r="S528" s="21" t="s">
        <v>4462</v>
      </c>
      <c r="T528" s="21">
        <v>9030339587</v>
      </c>
      <c r="U528" s="21" t="s">
        <v>4463</v>
      </c>
      <c r="V528" s="21" t="s">
        <v>284</v>
      </c>
      <c r="W528" s="21" t="s">
        <v>1673</v>
      </c>
      <c r="X528" s="21" t="s">
        <v>4464</v>
      </c>
      <c r="Y528" s="21" t="s">
        <v>4465</v>
      </c>
      <c r="Z528" s="21" t="s">
        <v>284</v>
      </c>
      <c r="AA528" s="21" t="s">
        <v>4466</v>
      </c>
      <c r="AB528" s="21" t="s">
        <v>363</v>
      </c>
      <c r="AC528" s="21" t="s">
        <v>4467</v>
      </c>
      <c r="AD528" s="21" t="s">
        <v>169</v>
      </c>
      <c r="AE528" s="21" t="s">
        <v>365</v>
      </c>
      <c r="AF528" s="21" t="s">
        <v>135</v>
      </c>
      <c r="AG528" s="21" t="s">
        <v>135</v>
      </c>
      <c r="AH528" s="21" t="s">
        <v>135</v>
      </c>
      <c r="AI528" s="21" t="s">
        <v>135</v>
      </c>
      <c r="AJ528" s="21" t="s">
        <v>4468</v>
      </c>
    </row>
    <row r="529" spans="1:36" ht="15.75" customHeight="1" x14ac:dyDescent="0.3">
      <c r="A529" s="21">
        <v>2026</v>
      </c>
      <c r="B529" s="22">
        <v>46142.946785312495</v>
      </c>
      <c r="C529" s="21" t="s">
        <v>183</v>
      </c>
      <c r="D529" s="21" t="s">
        <v>183</v>
      </c>
      <c r="E529" s="21" t="s">
        <v>183</v>
      </c>
      <c r="F529" s="21" t="s">
        <v>183</v>
      </c>
      <c r="G529" s="21" t="s">
        <v>93</v>
      </c>
      <c r="H529" s="21" t="s">
        <v>4469</v>
      </c>
      <c r="I529" s="21" t="s">
        <v>4470</v>
      </c>
      <c r="J529" s="21" t="s">
        <v>4471</v>
      </c>
      <c r="K529" s="21" t="e">
        <f t="shared" ca="1" si="4"/>
        <v>#NAME?</v>
      </c>
      <c r="L529" s="24">
        <v>1979</v>
      </c>
      <c r="M529" s="21">
        <v>1997</v>
      </c>
      <c r="N529" s="21" t="s">
        <v>260</v>
      </c>
      <c r="O529" s="21" t="s">
        <v>261</v>
      </c>
      <c r="P529" s="26">
        <v>428345193</v>
      </c>
      <c r="Q529" s="26" t="e">
        <f t="shared" ca="1" si="5"/>
        <v>#NAME?</v>
      </c>
      <c r="R529" s="21" t="s">
        <v>4472</v>
      </c>
      <c r="S529" s="21" t="s">
        <v>4473</v>
      </c>
      <c r="T529" s="21">
        <v>9490792372</v>
      </c>
      <c r="U529" s="21" t="s">
        <v>4474</v>
      </c>
      <c r="V529" s="21" t="s">
        <v>4475</v>
      </c>
      <c r="W529" s="21" t="s">
        <v>4476</v>
      </c>
      <c r="X529" s="21" t="s">
        <v>581</v>
      </c>
      <c r="Y529" s="21" t="s">
        <v>581</v>
      </c>
      <c r="Z529" s="21" t="s">
        <v>284</v>
      </c>
      <c r="AA529" s="21" t="s">
        <v>285</v>
      </c>
      <c r="AB529" s="21" t="s">
        <v>363</v>
      </c>
      <c r="AC529" s="21" t="s">
        <v>4477</v>
      </c>
      <c r="AD529" s="21" t="s">
        <v>132</v>
      </c>
      <c r="AE529" s="21" t="s">
        <v>365</v>
      </c>
      <c r="AF529" s="21" t="s">
        <v>135</v>
      </c>
      <c r="AG529" s="21" t="s">
        <v>135</v>
      </c>
      <c r="AH529" s="21" t="s">
        <v>135</v>
      </c>
      <c r="AI529" s="21" t="s">
        <v>135</v>
      </c>
      <c r="AJ529" s="21" t="s">
        <v>4478</v>
      </c>
    </row>
    <row r="530" spans="1:36" ht="15.75" customHeight="1" x14ac:dyDescent="0.3">
      <c r="A530" s="21">
        <v>2026</v>
      </c>
      <c r="B530" s="22">
        <v>46142.968666053246</v>
      </c>
      <c r="C530" s="21" t="s">
        <v>183</v>
      </c>
      <c r="D530" s="21" t="s">
        <v>183</v>
      </c>
      <c r="E530" s="21" t="s">
        <v>183</v>
      </c>
      <c r="F530" s="21" t="s">
        <v>183</v>
      </c>
      <c r="G530" s="21" t="s">
        <v>256</v>
      </c>
      <c r="H530" s="21" t="s">
        <v>4479</v>
      </c>
      <c r="I530" s="21" t="s">
        <v>4480</v>
      </c>
      <c r="J530" s="21" t="s">
        <v>4481</v>
      </c>
      <c r="K530" s="21" t="e">
        <f t="shared" ca="1" si="4"/>
        <v>#NAME?</v>
      </c>
      <c r="L530" s="24">
        <v>2019</v>
      </c>
      <c r="M530" s="21">
        <v>2025</v>
      </c>
      <c r="N530" s="21" t="s">
        <v>111</v>
      </c>
      <c r="O530" s="21" t="s">
        <v>112</v>
      </c>
      <c r="P530" s="26">
        <v>9030076089</v>
      </c>
      <c r="Q530" s="26" t="e">
        <f t="shared" ca="1" si="5"/>
        <v>#NAME?</v>
      </c>
      <c r="R530" s="21" t="s">
        <v>595</v>
      </c>
      <c r="S530" s="21" t="s">
        <v>4482</v>
      </c>
      <c r="T530" s="21" t="s">
        <v>4483</v>
      </c>
      <c r="U530" s="21" t="s">
        <v>127</v>
      </c>
      <c r="V530" s="21" t="s">
        <v>4484</v>
      </c>
      <c r="W530" s="21" t="s">
        <v>1169</v>
      </c>
      <c r="X530" s="21" t="s">
        <v>178</v>
      </c>
      <c r="Y530" s="21" t="s">
        <v>178</v>
      </c>
      <c r="Z530" s="21" t="s">
        <v>4485</v>
      </c>
      <c r="AA530" s="21" t="s">
        <v>2434</v>
      </c>
      <c r="AB530" s="21" t="s">
        <v>3657</v>
      </c>
      <c r="AC530" s="21" t="s">
        <v>4486</v>
      </c>
      <c r="AD530" s="21" t="s">
        <v>169</v>
      </c>
      <c r="AE530" s="21" t="s">
        <v>365</v>
      </c>
      <c r="AF530" s="21" t="s">
        <v>135</v>
      </c>
      <c r="AG530" s="21" t="s">
        <v>135</v>
      </c>
      <c r="AH530" s="21" t="s">
        <v>135</v>
      </c>
      <c r="AI530" s="21" t="s">
        <v>135</v>
      </c>
    </row>
    <row r="531" spans="1:36" ht="15.75" customHeight="1" x14ac:dyDescent="0.3">
      <c r="A531" s="21">
        <v>2026</v>
      </c>
      <c r="B531" s="22">
        <v>46142.970248888887</v>
      </c>
      <c r="C531" s="21" t="s">
        <v>183</v>
      </c>
      <c r="D531" s="21" t="s">
        <v>183</v>
      </c>
      <c r="E531" s="21" t="s">
        <v>183</v>
      </c>
      <c r="F531" s="21" t="s">
        <v>183</v>
      </c>
      <c r="G531" s="21" t="s">
        <v>93</v>
      </c>
      <c r="H531" s="21" t="s">
        <v>4487</v>
      </c>
      <c r="I531" s="21" t="s">
        <v>1089</v>
      </c>
      <c r="J531" s="21" t="s">
        <v>2660</v>
      </c>
      <c r="K531" s="21" t="e">
        <f t="shared" ca="1" si="4"/>
        <v>#NAME?</v>
      </c>
      <c r="L531" s="24">
        <v>2008</v>
      </c>
      <c r="M531" s="21">
        <v>2021</v>
      </c>
      <c r="N531" s="21" t="s">
        <v>111</v>
      </c>
      <c r="O531" s="21" t="s">
        <v>112</v>
      </c>
      <c r="P531" s="26">
        <v>9133779696</v>
      </c>
      <c r="Q531" s="26" t="e">
        <f t="shared" ca="1" si="5"/>
        <v>#NAME?</v>
      </c>
      <c r="R531" s="21" t="s">
        <v>188</v>
      </c>
      <c r="S531" s="21" t="s">
        <v>3534</v>
      </c>
      <c r="T531" s="21">
        <v>9133779696</v>
      </c>
      <c r="U531" s="21" t="s">
        <v>127</v>
      </c>
      <c r="V531" s="21" t="s">
        <v>4488</v>
      </c>
      <c r="W531" s="21" t="s">
        <v>307</v>
      </c>
      <c r="X531" s="21" t="s">
        <v>220</v>
      </c>
      <c r="Y531" s="21" t="s">
        <v>211</v>
      </c>
      <c r="Z531" s="21" t="s">
        <v>4489</v>
      </c>
      <c r="AA531" s="21" t="s">
        <v>396</v>
      </c>
      <c r="AB531" s="21" t="s">
        <v>363</v>
      </c>
      <c r="AC531" s="21" t="s">
        <v>4490</v>
      </c>
      <c r="AD531" s="21" t="s">
        <v>169</v>
      </c>
      <c r="AE531" s="21" t="s">
        <v>365</v>
      </c>
      <c r="AF531" s="21" t="s">
        <v>135</v>
      </c>
      <c r="AG531" s="21" t="s">
        <v>135</v>
      </c>
      <c r="AH531" s="21" t="s">
        <v>135</v>
      </c>
      <c r="AI531" s="21" t="s">
        <v>135</v>
      </c>
    </row>
    <row r="532" spans="1:36" ht="15.75" customHeight="1" x14ac:dyDescent="0.3">
      <c r="A532" s="21">
        <v>2026</v>
      </c>
      <c r="B532" s="22">
        <v>46143.119848263887</v>
      </c>
      <c r="C532" s="21" t="s">
        <v>183</v>
      </c>
      <c r="D532" s="21" t="s">
        <v>183</v>
      </c>
      <c r="E532" s="21" t="s">
        <v>183</v>
      </c>
      <c r="F532" s="21" t="s">
        <v>183</v>
      </c>
      <c r="G532" s="21" t="s">
        <v>93</v>
      </c>
      <c r="H532" s="21" t="s">
        <v>4491</v>
      </c>
      <c r="I532" s="21" t="s">
        <v>957</v>
      </c>
      <c r="J532" s="21" t="s">
        <v>3150</v>
      </c>
      <c r="K532" s="21" t="e">
        <f t="shared" ca="1" si="4"/>
        <v>#NAME?</v>
      </c>
      <c r="L532" s="24">
        <v>1971</v>
      </c>
      <c r="M532" s="21">
        <v>1997</v>
      </c>
      <c r="N532" s="21" t="s">
        <v>111</v>
      </c>
      <c r="O532" s="21" t="s">
        <v>112</v>
      </c>
      <c r="P532" s="26">
        <v>9948404499</v>
      </c>
      <c r="Q532" s="26" t="e">
        <f t="shared" ca="1" si="5"/>
        <v>#NAME?</v>
      </c>
      <c r="R532" s="21" t="s">
        <v>118</v>
      </c>
      <c r="S532" s="21" t="s">
        <v>4492</v>
      </c>
      <c r="T532" s="21">
        <v>9948404499</v>
      </c>
      <c r="U532" s="21" t="s">
        <v>4493</v>
      </c>
      <c r="V532" s="21" t="s">
        <v>127</v>
      </c>
      <c r="W532" s="21" t="s">
        <v>266</v>
      </c>
      <c r="X532" s="21" t="s">
        <v>221</v>
      </c>
      <c r="Y532" s="21" t="s">
        <v>2210</v>
      </c>
      <c r="Z532" s="21" t="s">
        <v>127</v>
      </c>
      <c r="AA532" s="21" t="s">
        <v>4494</v>
      </c>
      <c r="AB532" s="21" t="s">
        <v>363</v>
      </c>
      <c r="AC532" s="21" t="s">
        <v>4495</v>
      </c>
      <c r="AD532" s="21" t="s">
        <v>132</v>
      </c>
      <c r="AE532" s="21" t="s">
        <v>365</v>
      </c>
      <c r="AF532" s="21" t="s">
        <v>135</v>
      </c>
      <c r="AG532" s="21" t="s">
        <v>135</v>
      </c>
      <c r="AH532" s="21" t="s">
        <v>135</v>
      </c>
      <c r="AI532" s="21" t="s">
        <v>135</v>
      </c>
      <c r="AJ532" s="21" t="s">
        <v>4496</v>
      </c>
    </row>
    <row r="533" spans="1:36" ht="15.75" customHeight="1" x14ac:dyDescent="0.3">
      <c r="A533" s="21">
        <v>2026</v>
      </c>
      <c r="B533" s="22">
        <v>46143.229745115736</v>
      </c>
      <c r="C533" s="21" t="s">
        <v>183</v>
      </c>
      <c r="D533" s="21" t="s">
        <v>183</v>
      </c>
      <c r="E533" s="21" t="s">
        <v>183</v>
      </c>
      <c r="F533" s="21" t="s">
        <v>183</v>
      </c>
      <c r="G533" s="21" t="s">
        <v>256</v>
      </c>
      <c r="H533" s="21" t="s">
        <v>4497</v>
      </c>
      <c r="I533" s="21" t="s">
        <v>1089</v>
      </c>
      <c r="J533" s="21" t="s">
        <v>4498</v>
      </c>
      <c r="K533" s="21" t="e">
        <f t="shared" ca="1" si="4"/>
        <v>#NAME?</v>
      </c>
      <c r="L533" s="24">
        <v>2012</v>
      </c>
      <c r="M533" s="21">
        <v>2023</v>
      </c>
      <c r="N533" s="21" t="s">
        <v>111</v>
      </c>
      <c r="O533" s="21" t="s">
        <v>112</v>
      </c>
      <c r="P533" s="26">
        <v>9133779696</v>
      </c>
      <c r="Q533" s="26" t="e">
        <f t="shared" ca="1" si="5"/>
        <v>#NAME?</v>
      </c>
      <c r="R533" s="21" t="s">
        <v>188</v>
      </c>
      <c r="S533" s="21" t="s">
        <v>2468</v>
      </c>
      <c r="T533" s="21">
        <v>913377969</v>
      </c>
      <c r="U533" s="21" t="s">
        <v>127</v>
      </c>
      <c r="V533" s="21" t="s">
        <v>4488</v>
      </c>
      <c r="W533" s="21" t="s">
        <v>307</v>
      </c>
      <c r="X533" s="21" t="s">
        <v>220</v>
      </c>
      <c r="Y533" s="21" t="s">
        <v>220</v>
      </c>
      <c r="Z533" s="21" t="s">
        <v>4502</v>
      </c>
      <c r="AA533" s="21" t="s">
        <v>396</v>
      </c>
      <c r="AB533" s="21" t="s">
        <v>363</v>
      </c>
      <c r="AC533" s="21" t="s">
        <v>4503</v>
      </c>
      <c r="AD533" s="21" t="s">
        <v>132</v>
      </c>
      <c r="AE533" s="21" t="s">
        <v>365</v>
      </c>
      <c r="AF533" s="21" t="s">
        <v>135</v>
      </c>
      <c r="AG533" s="21" t="s">
        <v>135</v>
      </c>
      <c r="AH533" s="21" t="s">
        <v>135</v>
      </c>
      <c r="AI533" s="21" t="s">
        <v>135</v>
      </c>
    </row>
    <row r="534" spans="1:36" ht="15.75" customHeight="1" x14ac:dyDescent="0.3">
      <c r="A534" s="21">
        <v>2026</v>
      </c>
      <c r="B534" s="22">
        <v>46143.294047129632</v>
      </c>
      <c r="C534" s="21" t="s">
        <v>183</v>
      </c>
      <c r="D534" s="21" t="s">
        <v>183</v>
      </c>
      <c r="E534" s="21" t="s">
        <v>183</v>
      </c>
      <c r="F534" s="21" t="s">
        <v>183</v>
      </c>
      <c r="G534" s="21" t="s">
        <v>93</v>
      </c>
      <c r="H534" s="21" t="s">
        <v>4504</v>
      </c>
      <c r="I534" s="21" t="s">
        <v>4505</v>
      </c>
      <c r="J534" s="21" t="s">
        <v>4506</v>
      </c>
      <c r="K534" s="21" t="e">
        <f t="shared" ca="1" si="4"/>
        <v>#NAME?</v>
      </c>
      <c r="L534" s="24">
        <v>1986</v>
      </c>
      <c r="M534" s="21">
        <v>2011</v>
      </c>
      <c r="N534" s="21" t="s">
        <v>402</v>
      </c>
      <c r="O534" s="21" t="s">
        <v>316</v>
      </c>
      <c r="P534" s="26">
        <v>2165542584</v>
      </c>
      <c r="Q534" s="26" t="e">
        <f t="shared" ca="1" si="5"/>
        <v>#NAME?</v>
      </c>
      <c r="R534" s="21" t="s">
        <v>4507</v>
      </c>
      <c r="S534" s="21" t="s">
        <v>4508</v>
      </c>
      <c r="T534" s="21" t="s">
        <v>4509</v>
      </c>
      <c r="U534" s="21" t="s">
        <v>4510</v>
      </c>
      <c r="V534" s="21" t="s">
        <v>284</v>
      </c>
      <c r="W534" s="21" t="s">
        <v>307</v>
      </c>
      <c r="X534" s="21" t="s">
        <v>308</v>
      </c>
      <c r="Y534" s="21" t="s">
        <v>4511</v>
      </c>
      <c r="Z534" s="21" t="s">
        <v>284</v>
      </c>
      <c r="AA534" s="21" t="s">
        <v>450</v>
      </c>
      <c r="AB534" s="21" t="s">
        <v>363</v>
      </c>
      <c r="AC534" s="21" t="s">
        <v>4512</v>
      </c>
      <c r="AD534" s="21" t="s">
        <v>132</v>
      </c>
      <c r="AE534" s="21" t="s">
        <v>365</v>
      </c>
      <c r="AF534" s="21" t="s">
        <v>135</v>
      </c>
      <c r="AG534" s="21" t="s">
        <v>135</v>
      </c>
      <c r="AH534" s="21" t="s">
        <v>135</v>
      </c>
      <c r="AI534" s="21" t="s">
        <v>135</v>
      </c>
    </row>
    <row r="535" spans="1:36" ht="15.75" customHeight="1" x14ac:dyDescent="0.3">
      <c r="A535" s="21">
        <v>2026</v>
      </c>
      <c r="B535" s="22">
        <v>46143.33477854167</v>
      </c>
      <c r="C535" s="21" t="s">
        <v>183</v>
      </c>
      <c r="D535" s="21" t="s">
        <v>183</v>
      </c>
      <c r="E535" s="21" t="s">
        <v>183</v>
      </c>
      <c r="F535" s="21" t="s">
        <v>183</v>
      </c>
      <c r="G535" s="21" t="s">
        <v>93</v>
      </c>
      <c r="H535" s="21" t="s">
        <v>4513</v>
      </c>
      <c r="I535" s="21" t="s">
        <v>4514</v>
      </c>
      <c r="J535" s="21" t="s">
        <v>4515</v>
      </c>
      <c r="K535" s="21" t="e">
        <f t="shared" ca="1" si="4"/>
        <v>#NAME?</v>
      </c>
      <c r="L535" s="24">
        <v>1978</v>
      </c>
      <c r="M535" s="21">
        <v>1992</v>
      </c>
      <c r="N535" s="21" t="s">
        <v>402</v>
      </c>
      <c r="O535" s="21" t="s">
        <v>316</v>
      </c>
      <c r="P535" s="26">
        <v>2016061013</v>
      </c>
      <c r="Q535" s="26" t="e">
        <f t="shared" ca="1" si="5"/>
        <v>#NAME?</v>
      </c>
      <c r="R535" s="21" t="s">
        <v>4516</v>
      </c>
      <c r="S535" s="21" t="s">
        <v>4517</v>
      </c>
      <c r="T535" s="21" t="s">
        <v>4518</v>
      </c>
      <c r="U535" s="21" t="s">
        <v>4519</v>
      </c>
      <c r="V535" s="21" t="s">
        <v>127</v>
      </c>
      <c r="W535" s="21" t="s">
        <v>219</v>
      </c>
      <c r="X535" s="21" t="s">
        <v>4520</v>
      </c>
      <c r="Y535" s="21" t="s">
        <v>4521</v>
      </c>
      <c r="Z535" s="21" t="s">
        <v>2810</v>
      </c>
      <c r="AA535" s="21" t="s">
        <v>285</v>
      </c>
      <c r="AB535" s="21" t="s">
        <v>3591</v>
      </c>
      <c r="AC535" s="21" t="s">
        <v>4522</v>
      </c>
      <c r="AD535" s="21" t="s">
        <v>132</v>
      </c>
      <c r="AE535" s="21" t="s">
        <v>365</v>
      </c>
      <c r="AF535" s="21" t="s">
        <v>135</v>
      </c>
      <c r="AG535" s="21" t="s">
        <v>135</v>
      </c>
      <c r="AH535" s="21" t="s">
        <v>135</v>
      </c>
      <c r="AI535" s="21" t="s">
        <v>135</v>
      </c>
    </row>
    <row r="536" spans="1:36" ht="15.75" customHeight="1" x14ac:dyDescent="0.3">
      <c r="A536" s="21">
        <v>2026</v>
      </c>
      <c r="B536" s="22">
        <v>46143.391257361116</v>
      </c>
      <c r="C536" s="21" t="s">
        <v>183</v>
      </c>
      <c r="D536" s="21" t="s">
        <v>183</v>
      </c>
      <c r="E536" s="21" t="s">
        <v>183</v>
      </c>
      <c r="F536" s="21" t="s">
        <v>183</v>
      </c>
      <c r="G536" s="21" t="s">
        <v>93</v>
      </c>
      <c r="H536" s="21" t="s">
        <v>4523</v>
      </c>
      <c r="I536" s="21" t="s">
        <v>4524</v>
      </c>
      <c r="J536" s="21" t="s">
        <v>4525</v>
      </c>
      <c r="K536" s="21" t="e">
        <f t="shared" ca="1" si="4"/>
        <v>#NAME?</v>
      </c>
      <c r="L536" s="24">
        <v>1982</v>
      </c>
      <c r="M536" s="21">
        <v>2006</v>
      </c>
      <c r="N536" s="21" t="s">
        <v>111</v>
      </c>
      <c r="O536" s="21" t="s">
        <v>112</v>
      </c>
      <c r="P536" s="26">
        <v>9948447196</v>
      </c>
      <c r="Q536" s="26" t="e">
        <f t="shared" ca="1" si="5"/>
        <v>#NAME?</v>
      </c>
      <c r="R536" s="21" t="s">
        <v>485</v>
      </c>
      <c r="S536" s="21" t="s">
        <v>4526</v>
      </c>
      <c r="T536" s="21">
        <v>9948447196</v>
      </c>
      <c r="U536" s="21" t="s">
        <v>4527</v>
      </c>
      <c r="V536" s="21" t="s">
        <v>127</v>
      </c>
      <c r="W536" s="21" t="s">
        <v>162</v>
      </c>
      <c r="X536" s="21" t="s">
        <v>1292</v>
      </c>
      <c r="Y536" s="21" t="s">
        <v>4528</v>
      </c>
      <c r="Z536" s="21" t="s">
        <v>127</v>
      </c>
      <c r="AA536" s="21" t="s">
        <v>4529</v>
      </c>
      <c r="AB536" s="21" t="s">
        <v>3591</v>
      </c>
      <c r="AC536" s="21" t="s">
        <v>4530</v>
      </c>
      <c r="AD536" s="21" t="s">
        <v>287</v>
      </c>
      <c r="AE536" s="21" t="s">
        <v>332</v>
      </c>
      <c r="AF536" s="21" t="s">
        <v>135</v>
      </c>
      <c r="AG536" s="21" t="s">
        <v>135</v>
      </c>
      <c r="AH536" s="21" t="s">
        <v>135</v>
      </c>
      <c r="AI536" s="21" t="s">
        <v>135</v>
      </c>
      <c r="AJ536" s="21" t="s">
        <v>4531</v>
      </c>
    </row>
    <row r="537" spans="1:36" ht="15.75" customHeight="1" x14ac:dyDescent="0.3">
      <c r="A537" s="21">
        <v>2026</v>
      </c>
      <c r="B537" s="22">
        <v>46143.498100636571</v>
      </c>
      <c r="C537" s="21" t="s">
        <v>183</v>
      </c>
      <c r="D537" s="21" t="s">
        <v>183</v>
      </c>
      <c r="E537" s="21" t="s">
        <v>183</v>
      </c>
      <c r="F537" s="21" t="s">
        <v>183</v>
      </c>
      <c r="G537" s="21" t="s">
        <v>93</v>
      </c>
      <c r="H537" s="21" t="s">
        <v>4532</v>
      </c>
      <c r="I537" s="21" t="s">
        <v>4533</v>
      </c>
      <c r="J537" s="21" t="s">
        <v>4534</v>
      </c>
      <c r="K537" s="21" t="e">
        <f t="shared" ca="1" si="4"/>
        <v>#NAME?</v>
      </c>
      <c r="L537" s="24">
        <v>1989</v>
      </c>
      <c r="M537" s="21">
        <v>2014</v>
      </c>
      <c r="N537" s="21" t="s">
        <v>111</v>
      </c>
      <c r="O537" s="21" t="s">
        <v>112</v>
      </c>
      <c r="P537" s="26">
        <v>9110595085</v>
      </c>
      <c r="Q537" s="26" t="e">
        <f t="shared" ca="1" si="5"/>
        <v>#NAME?</v>
      </c>
      <c r="R537" s="21" t="s">
        <v>4535</v>
      </c>
      <c r="S537" s="21" t="s">
        <v>4536</v>
      </c>
      <c r="T537" s="21" t="s">
        <v>4537</v>
      </c>
      <c r="U537" s="21" t="s">
        <v>4538</v>
      </c>
      <c r="V537" s="21" t="s">
        <v>127</v>
      </c>
      <c r="W537" s="21" t="s">
        <v>219</v>
      </c>
      <c r="X537" s="21" t="s">
        <v>4539</v>
      </c>
      <c r="Y537" s="21" t="s">
        <v>178</v>
      </c>
      <c r="Z537" s="21" t="s">
        <v>127</v>
      </c>
      <c r="AA537" s="21" t="s">
        <v>4540</v>
      </c>
      <c r="AB537" s="21" t="s">
        <v>3591</v>
      </c>
      <c r="AC537" s="21" t="s">
        <v>2534</v>
      </c>
      <c r="AD537" s="21" t="s">
        <v>132</v>
      </c>
      <c r="AE537" s="21" t="s">
        <v>365</v>
      </c>
      <c r="AF537" s="21" t="s">
        <v>135</v>
      </c>
      <c r="AG537" s="21" t="s">
        <v>135</v>
      </c>
      <c r="AH537" s="21" t="s">
        <v>135</v>
      </c>
      <c r="AI537" s="21" t="s">
        <v>135</v>
      </c>
      <c r="AJ537" s="21" t="s">
        <v>4541</v>
      </c>
    </row>
    <row r="538" spans="1:36" ht="15.75" customHeight="1" x14ac:dyDescent="0.3">
      <c r="A538" s="21">
        <v>2026</v>
      </c>
      <c r="B538" s="22">
        <v>46143.907873692129</v>
      </c>
      <c r="C538" s="21" t="s">
        <v>183</v>
      </c>
      <c r="D538" s="21" t="s">
        <v>183</v>
      </c>
      <c r="E538" s="21" t="s">
        <v>183</v>
      </c>
      <c r="F538" s="21" t="s">
        <v>183</v>
      </c>
      <c r="G538" s="21" t="s">
        <v>93</v>
      </c>
      <c r="H538" s="21" t="s">
        <v>4542</v>
      </c>
      <c r="I538" s="21" t="s">
        <v>1380</v>
      </c>
      <c r="J538" s="21" t="s">
        <v>4064</v>
      </c>
      <c r="K538" s="21" t="e">
        <f t="shared" ca="1" si="4"/>
        <v>#NAME?</v>
      </c>
      <c r="L538" s="24">
        <v>1975</v>
      </c>
      <c r="M538" s="21">
        <v>2005</v>
      </c>
      <c r="N538" s="21" t="s">
        <v>111</v>
      </c>
      <c r="O538" s="21" t="s">
        <v>112</v>
      </c>
      <c r="P538" s="26">
        <v>9701562945</v>
      </c>
      <c r="Q538" s="26" t="e">
        <f t="shared" ca="1" si="5"/>
        <v>#NAME?</v>
      </c>
      <c r="R538" s="21" t="s">
        <v>485</v>
      </c>
      <c r="S538" s="21" t="s">
        <v>4543</v>
      </c>
      <c r="T538" s="21" t="s">
        <v>4544</v>
      </c>
      <c r="U538" s="21" t="s">
        <v>4545</v>
      </c>
      <c r="V538" s="21" t="s">
        <v>127</v>
      </c>
      <c r="W538" s="21" t="s">
        <v>266</v>
      </c>
      <c r="X538" s="21" t="s">
        <v>3862</v>
      </c>
      <c r="Y538" s="21" t="s">
        <v>3862</v>
      </c>
      <c r="Z538" s="21" t="s">
        <v>127</v>
      </c>
      <c r="AA538" s="21" t="s">
        <v>572</v>
      </c>
      <c r="AB538" s="21" t="s">
        <v>363</v>
      </c>
      <c r="AC538" s="21" t="s">
        <v>4546</v>
      </c>
      <c r="AD538" s="21" t="s">
        <v>132</v>
      </c>
      <c r="AE538" s="21" t="s">
        <v>332</v>
      </c>
      <c r="AF538" s="21" t="s">
        <v>135</v>
      </c>
      <c r="AG538" s="21" t="s">
        <v>135</v>
      </c>
      <c r="AH538" s="21" t="s">
        <v>135</v>
      </c>
      <c r="AI538" s="21" t="s">
        <v>135</v>
      </c>
      <c r="AJ538" s="21" t="s">
        <v>3446</v>
      </c>
    </row>
    <row r="539" spans="1:36" ht="15.75" customHeight="1" x14ac:dyDescent="0.3">
      <c r="A539" s="21">
        <v>2026</v>
      </c>
      <c r="B539" s="22">
        <v>46144.002938032412</v>
      </c>
      <c r="C539" s="21" t="s">
        <v>183</v>
      </c>
      <c r="D539" s="21" t="s">
        <v>183</v>
      </c>
      <c r="E539" s="21" t="s">
        <v>183</v>
      </c>
      <c r="F539" s="21" t="s">
        <v>183</v>
      </c>
      <c r="G539" s="21" t="s">
        <v>93</v>
      </c>
      <c r="H539" s="21" t="s">
        <v>4547</v>
      </c>
      <c r="I539" s="21" t="s">
        <v>4548</v>
      </c>
      <c r="J539" s="21" t="s">
        <v>4549</v>
      </c>
      <c r="K539" s="21" t="e">
        <f t="shared" ca="1" si="4"/>
        <v>#NAME?</v>
      </c>
      <c r="L539" s="24">
        <v>1982</v>
      </c>
      <c r="M539" s="21">
        <v>2011</v>
      </c>
      <c r="N539" s="21" t="s">
        <v>111</v>
      </c>
      <c r="O539" s="21" t="s">
        <v>112</v>
      </c>
      <c r="P539" s="26">
        <v>9866789741</v>
      </c>
      <c r="Q539" s="26" t="e">
        <f t="shared" ca="1" si="5"/>
        <v>#NAME?</v>
      </c>
      <c r="R539" s="21" t="s">
        <v>188</v>
      </c>
      <c r="S539" s="21" t="s">
        <v>4550</v>
      </c>
      <c r="T539" s="21">
        <v>9448008686</v>
      </c>
      <c r="U539" s="21" t="s">
        <v>4551</v>
      </c>
      <c r="V539" s="21" t="s">
        <v>284</v>
      </c>
      <c r="W539" s="21" t="s">
        <v>307</v>
      </c>
      <c r="X539" s="21" t="s">
        <v>1573</v>
      </c>
      <c r="Y539" s="21" t="s">
        <v>1573</v>
      </c>
      <c r="Z539" s="21" t="s">
        <v>284</v>
      </c>
      <c r="AA539" s="21" t="s">
        <v>297</v>
      </c>
      <c r="AB539" s="21" t="s">
        <v>363</v>
      </c>
      <c r="AC539" s="21" t="s">
        <v>1169</v>
      </c>
      <c r="AD539" s="21" t="s">
        <v>169</v>
      </c>
      <c r="AE539" s="21" t="s">
        <v>365</v>
      </c>
      <c r="AF539" s="21" t="s">
        <v>135</v>
      </c>
      <c r="AG539" s="21" t="s">
        <v>135</v>
      </c>
      <c r="AH539" s="21" t="s">
        <v>135</v>
      </c>
      <c r="AI539" s="21" t="s">
        <v>135</v>
      </c>
      <c r="AJ539" s="21" t="s">
        <v>4552</v>
      </c>
    </row>
    <row r="540" spans="1:36" ht="15.75" customHeight="1" x14ac:dyDescent="0.3">
      <c r="A540" s="21">
        <v>2026</v>
      </c>
      <c r="B540" s="22">
        <v>46144.058752141209</v>
      </c>
      <c r="C540" s="21" t="s">
        <v>183</v>
      </c>
      <c r="D540" s="21" t="s">
        <v>183</v>
      </c>
      <c r="E540" s="21" t="s">
        <v>183</v>
      </c>
      <c r="F540" s="21" t="s">
        <v>183</v>
      </c>
      <c r="G540" s="21" t="s">
        <v>93</v>
      </c>
      <c r="H540" s="21" t="s">
        <v>4553</v>
      </c>
      <c r="I540" s="21" t="s">
        <v>4554</v>
      </c>
      <c r="J540" s="21" t="s">
        <v>4555</v>
      </c>
      <c r="K540" s="21" t="e">
        <f t="shared" ca="1" si="4"/>
        <v>#NAME?</v>
      </c>
      <c r="L540" s="24">
        <v>1989</v>
      </c>
      <c r="M540" s="21">
        <v>1996</v>
      </c>
      <c r="N540" s="21" t="s">
        <v>111</v>
      </c>
      <c r="O540" s="21" t="s">
        <v>112</v>
      </c>
      <c r="P540" s="26">
        <v>9666850007</v>
      </c>
      <c r="Q540" s="26" t="e">
        <f t="shared" ca="1" si="5"/>
        <v>#NAME?</v>
      </c>
      <c r="R540" s="21" t="s">
        <v>188</v>
      </c>
      <c r="S540" s="21" t="s">
        <v>4517</v>
      </c>
      <c r="T540" s="21">
        <v>9160750001</v>
      </c>
      <c r="U540" s="21" t="s">
        <v>4556</v>
      </c>
      <c r="V540" s="21" t="s">
        <v>127</v>
      </c>
      <c r="W540" s="21" t="s">
        <v>4557</v>
      </c>
      <c r="X540" s="21" t="s">
        <v>308</v>
      </c>
      <c r="Y540" s="21" t="s">
        <v>308</v>
      </c>
      <c r="Z540" s="21" t="s">
        <v>127</v>
      </c>
      <c r="AA540" s="21" t="s">
        <v>608</v>
      </c>
      <c r="AB540" s="21" t="s">
        <v>363</v>
      </c>
      <c r="AC540" s="21" t="s">
        <v>4558</v>
      </c>
      <c r="AD540" s="21" t="s">
        <v>287</v>
      </c>
      <c r="AE540" s="21" t="s">
        <v>365</v>
      </c>
      <c r="AF540" s="21" t="s">
        <v>135</v>
      </c>
      <c r="AG540" s="21" t="s">
        <v>135</v>
      </c>
      <c r="AH540" s="21" t="s">
        <v>135</v>
      </c>
      <c r="AI540" s="21" t="s">
        <v>135</v>
      </c>
    </row>
    <row r="541" spans="1:36" ht="15.75" customHeight="1" x14ac:dyDescent="0.3">
      <c r="A541" s="21">
        <v>2026</v>
      </c>
      <c r="B541" s="22">
        <v>46144.083270046292</v>
      </c>
      <c r="C541" s="21" t="s">
        <v>183</v>
      </c>
      <c r="D541" s="21" t="s">
        <v>183</v>
      </c>
      <c r="E541" s="21" t="s">
        <v>183</v>
      </c>
      <c r="F541" s="21" t="s">
        <v>183</v>
      </c>
      <c r="G541" s="21" t="s">
        <v>256</v>
      </c>
      <c r="H541" s="21" t="s">
        <v>3929</v>
      </c>
      <c r="I541" s="21" t="s">
        <v>919</v>
      </c>
      <c r="J541" s="21" t="s">
        <v>3081</v>
      </c>
      <c r="K541" s="21" t="e">
        <f t="shared" ca="1" si="4"/>
        <v>#NAME?</v>
      </c>
      <c r="L541" s="24">
        <v>2014</v>
      </c>
      <c r="M541" s="21">
        <v>2024</v>
      </c>
      <c r="N541" s="21" t="s">
        <v>111</v>
      </c>
      <c r="O541" s="21" t="s">
        <v>112</v>
      </c>
      <c r="P541" s="26">
        <v>9985404530</v>
      </c>
      <c r="Q541" s="26" t="e">
        <f t="shared" ca="1" si="5"/>
        <v>#NAME?</v>
      </c>
      <c r="R541" s="21" t="s">
        <v>118</v>
      </c>
      <c r="S541" s="21" t="s">
        <v>4559</v>
      </c>
      <c r="T541" s="21" t="s">
        <v>3932</v>
      </c>
      <c r="U541" s="21" t="s">
        <v>127</v>
      </c>
      <c r="V541" s="21" t="s">
        <v>4560</v>
      </c>
      <c r="W541" s="21" t="s">
        <v>307</v>
      </c>
      <c r="X541" s="21" t="s">
        <v>506</v>
      </c>
      <c r="Y541" s="21" t="s">
        <v>1476</v>
      </c>
      <c r="Z541" s="21" t="s">
        <v>4561</v>
      </c>
      <c r="AA541" s="21" t="s">
        <v>2434</v>
      </c>
      <c r="AB541" s="21" t="s">
        <v>4562</v>
      </c>
      <c r="AC541" s="21" t="s">
        <v>4563</v>
      </c>
      <c r="AD541" s="21" t="s">
        <v>132</v>
      </c>
      <c r="AE541" s="21" t="s">
        <v>365</v>
      </c>
      <c r="AF541" s="21" t="s">
        <v>135</v>
      </c>
      <c r="AG541" s="21" t="s">
        <v>135</v>
      </c>
      <c r="AH541" s="21" t="s">
        <v>135</v>
      </c>
      <c r="AI541" s="21" t="s">
        <v>135</v>
      </c>
      <c r="AJ541" s="21" t="s">
        <v>4564</v>
      </c>
    </row>
    <row r="542" spans="1:36" ht="15.75" customHeight="1" x14ac:dyDescent="0.3">
      <c r="A542" s="21">
        <v>2026</v>
      </c>
      <c r="B542" s="22">
        <v>46144.178077476856</v>
      </c>
      <c r="C542" s="21" t="s">
        <v>183</v>
      </c>
      <c r="D542" s="21" t="s">
        <v>183</v>
      </c>
      <c r="E542" s="21" t="s">
        <v>183</v>
      </c>
      <c r="F542" s="21" t="s">
        <v>183</v>
      </c>
      <c r="G542" s="21" t="s">
        <v>93</v>
      </c>
      <c r="H542" s="21" t="s">
        <v>4566</v>
      </c>
      <c r="I542" s="21" t="s">
        <v>4567</v>
      </c>
      <c r="J542" s="21" t="s">
        <v>4568</v>
      </c>
      <c r="K542" s="21" t="e">
        <f t="shared" ca="1" si="4"/>
        <v>#NAME?</v>
      </c>
      <c r="L542" s="24">
        <v>1975</v>
      </c>
      <c r="M542" s="21">
        <v>1987</v>
      </c>
      <c r="N542" s="21" t="s">
        <v>111</v>
      </c>
      <c r="O542" s="21" t="s">
        <v>112</v>
      </c>
      <c r="P542" s="26">
        <v>9985402306</v>
      </c>
      <c r="Q542" s="26" t="e">
        <f t="shared" ca="1" si="5"/>
        <v>#NAME?</v>
      </c>
      <c r="R542" s="21" t="s">
        <v>4570</v>
      </c>
      <c r="S542" s="21" t="s">
        <v>4571</v>
      </c>
      <c r="T542" s="21" t="s">
        <v>4572</v>
      </c>
      <c r="U542" s="21" t="s">
        <v>4573</v>
      </c>
      <c r="V542" s="21" t="s">
        <v>127</v>
      </c>
      <c r="W542" s="21" t="s">
        <v>162</v>
      </c>
      <c r="X542" s="21" t="s">
        <v>4574</v>
      </c>
      <c r="Y542" s="21" t="s">
        <v>4575</v>
      </c>
      <c r="Z542" s="21" t="s">
        <v>127</v>
      </c>
      <c r="AA542" s="21" t="s">
        <v>4576</v>
      </c>
      <c r="AB542" s="21" t="s">
        <v>363</v>
      </c>
      <c r="AC542" s="21" t="s">
        <v>4577</v>
      </c>
      <c r="AD542" s="21" t="s">
        <v>132</v>
      </c>
      <c r="AE542" s="21" t="s">
        <v>365</v>
      </c>
      <c r="AF542" s="21" t="s">
        <v>686</v>
      </c>
      <c r="AG542" s="21" t="s">
        <v>135</v>
      </c>
      <c r="AH542" s="21" t="s">
        <v>135</v>
      </c>
      <c r="AI542" s="21" t="s">
        <v>135</v>
      </c>
    </row>
    <row r="543" spans="1:36" ht="15.75" customHeight="1" x14ac:dyDescent="0.3">
      <c r="A543" s="21">
        <v>2026</v>
      </c>
      <c r="B543" s="22">
        <v>46144.279795983792</v>
      </c>
      <c r="C543" s="21" t="s">
        <v>183</v>
      </c>
      <c r="D543" s="21" t="s">
        <v>183</v>
      </c>
      <c r="E543" s="21" t="s">
        <v>183</v>
      </c>
      <c r="F543" s="21" t="s">
        <v>183</v>
      </c>
      <c r="G543" s="21" t="s">
        <v>93</v>
      </c>
      <c r="H543" s="21" t="s">
        <v>4580</v>
      </c>
      <c r="I543" s="21" t="s">
        <v>4582</v>
      </c>
      <c r="J543" s="21" t="s">
        <v>4583</v>
      </c>
      <c r="K543" s="21" t="e">
        <f t="shared" ca="1" si="4"/>
        <v>#NAME?</v>
      </c>
      <c r="L543" s="24">
        <v>1958</v>
      </c>
      <c r="M543" s="21">
        <v>1978</v>
      </c>
      <c r="N543" s="21" t="s">
        <v>111</v>
      </c>
      <c r="O543" s="21" t="s">
        <v>112</v>
      </c>
      <c r="P543" s="26">
        <v>9247445640</v>
      </c>
      <c r="Q543" s="26" t="e">
        <f t="shared" ca="1" si="5"/>
        <v>#NAME?</v>
      </c>
      <c r="R543" s="21" t="s">
        <v>118</v>
      </c>
      <c r="S543" s="21" t="s">
        <v>4584</v>
      </c>
      <c r="T543" s="21" t="s">
        <v>4585</v>
      </c>
      <c r="U543" s="21" t="s">
        <v>4586</v>
      </c>
      <c r="V543" s="21" t="s">
        <v>4587</v>
      </c>
      <c r="W543" s="21" t="s">
        <v>307</v>
      </c>
      <c r="X543" s="21" t="s">
        <v>352</v>
      </c>
      <c r="Y543" s="21" t="s">
        <v>467</v>
      </c>
      <c r="Z543" s="21" t="s">
        <v>4588</v>
      </c>
      <c r="AA543" s="21" t="s">
        <v>4589</v>
      </c>
      <c r="AB543" s="21" t="s">
        <v>3591</v>
      </c>
      <c r="AC543" s="21" t="s">
        <v>4590</v>
      </c>
      <c r="AD543" s="21" t="s">
        <v>132</v>
      </c>
      <c r="AE543" s="21" t="s">
        <v>365</v>
      </c>
      <c r="AF543" s="21" t="s">
        <v>686</v>
      </c>
      <c r="AG543" s="21" t="s">
        <v>135</v>
      </c>
      <c r="AH543" s="21" t="s">
        <v>135</v>
      </c>
      <c r="AI543" s="21" t="s">
        <v>135</v>
      </c>
      <c r="AJ543" s="21" t="s">
        <v>4591</v>
      </c>
    </row>
    <row r="544" spans="1:36" ht="15.75" customHeight="1" x14ac:dyDescent="0.3">
      <c r="A544" s="21">
        <v>2026</v>
      </c>
      <c r="B544" s="22">
        <v>46144.393774050928</v>
      </c>
      <c r="C544" s="21" t="s">
        <v>183</v>
      </c>
      <c r="D544" s="21" t="s">
        <v>183</v>
      </c>
      <c r="E544" s="21" t="s">
        <v>183</v>
      </c>
      <c r="F544" s="21" t="s">
        <v>183</v>
      </c>
      <c r="G544" s="21" t="s">
        <v>93</v>
      </c>
      <c r="H544" s="21" t="s">
        <v>4592</v>
      </c>
      <c r="I544" s="21" t="s">
        <v>1893</v>
      </c>
      <c r="J544" s="21" t="s">
        <v>2903</v>
      </c>
      <c r="K544" s="21" t="e">
        <f t="shared" ca="1" si="4"/>
        <v>#NAME?</v>
      </c>
      <c r="L544" s="24">
        <v>1989</v>
      </c>
      <c r="M544" s="21">
        <v>2004</v>
      </c>
      <c r="N544" s="21" t="s">
        <v>111</v>
      </c>
      <c r="O544" s="21" t="s">
        <v>112</v>
      </c>
      <c r="P544" s="26">
        <v>8121541398</v>
      </c>
      <c r="Q544" s="26" t="e">
        <f t="shared" ca="1" si="5"/>
        <v>#NAME?</v>
      </c>
      <c r="R544" s="21" t="s">
        <v>188</v>
      </c>
      <c r="S544" s="21" t="s">
        <v>4593</v>
      </c>
      <c r="T544" s="21">
        <v>6383404144</v>
      </c>
      <c r="U544" s="21" t="s">
        <v>4594</v>
      </c>
      <c r="W544" s="21" t="s">
        <v>219</v>
      </c>
      <c r="X544" s="21" t="s">
        <v>179</v>
      </c>
      <c r="Y544" s="21" t="s">
        <v>179</v>
      </c>
      <c r="Z544" s="21" t="s">
        <v>4595</v>
      </c>
      <c r="AA544" s="21" t="s">
        <v>572</v>
      </c>
      <c r="AB544" s="21" t="s">
        <v>363</v>
      </c>
      <c r="AC544" s="21" t="s">
        <v>4596</v>
      </c>
      <c r="AD544" s="21" t="s">
        <v>169</v>
      </c>
      <c r="AE544" s="21" t="s">
        <v>365</v>
      </c>
      <c r="AF544" s="21" t="s">
        <v>135</v>
      </c>
      <c r="AG544" s="21" t="s">
        <v>135</v>
      </c>
      <c r="AH544" s="21" t="s">
        <v>135</v>
      </c>
      <c r="AI544" s="21" t="s">
        <v>135</v>
      </c>
      <c r="AJ544" s="21" t="s">
        <v>4597</v>
      </c>
    </row>
    <row r="545" spans="1:36" ht="15.75" customHeight="1" x14ac:dyDescent="0.3">
      <c r="A545" s="21">
        <v>2026</v>
      </c>
      <c r="B545" s="22">
        <v>46144.414922824071</v>
      </c>
      <c r="C545" s="21" t="s">
        <v>183</v>
      </c>
      <c r="D545" s="21" t="s">
        <v>183</v>
      </c>
      <c r="E545" s="21" t="s">
        <v>183</v>
      </c>
      <c r="F545" s="21" t="s">
        <v>183</v>
      </c>
      <c r="G545" s="21" t="s">
        <v>256</v>
      </c>
      <c r="H545" s="21" t="s">
        <v>4598</v>
      </c>
      <c r="I545" s="21" t="s">
        <v>2984</v>
      </c>
      <c r="J545" s="21" t="s">
        <v>2985</v>
      </c>
      <c r="K545" s="21" t="e">
        <f t="shared" ca="1" si="4"/>
        <v>#NAME?</v>
      </c>
      <c r="L545" s="24">
        <v>2012</v>
      </c>
      <c r="M545" s="21">
        <v>2026</v>
      </c>
      <c r="N545" s="21" t="s">
        <v>111</v>
      </c>
      <c r="O545" s="21" t="s">
        <v>112</v>
      </c>
      <c r="P545" s="26">
        <v>9248585989</v>
      </c>
      <c r="Q545" s="26" t="e">
        <f t="shared" ca="1" si="5"/>
        <v>#NAME?</v>
      </c>
      <c r="R545" s="21" t="s">
        <v>118</v>
      </c>
      <c r="S545" s="21" t="s">
        <v>4599</v>
      </c>
      <c r="T545" s="21">
        <v>9177751693</v>
      </c>
      <c r="U545" s="21" t="s">
        <v>127</v>
      </c>
      <c r="V545" s="21" t="s">
        <v>4600</v>
      </c>
      <c r="W545" s="21" t="s">
        <v>706</v>
      </c>
      <c r="X545" s="21" t="s">
        <v>2936</v>
      </c>
      <c r="Y545" s="21" t="s">
        <v>2936</v>
      </c>
      <c r="Z545" s="21" t="s">
        <v>4601</v>
      </c>
      <c r="AA545" s="21" t="s">
        <v>2604</v>
      </c>
      <c r="AB545" s="21" t="s">
        <v>363</v>
      </c>
      <c r="AC545" s="21" t="s">
        <v>4602</v>
      </c>
      <c r="AD545" s="21" t="s">
        <v>287</v>
      </c>
      <c r="AE545" s="21" t="s">
        <v>332</v>
      </c>
      <c r="AF545" s="21" t="s">
        <v>135</v>
      </c>
      <c r="AG545" s="21" t="s">
        <v>135</v>
      </c>
      <c r="AH545" s="21" t="s">
        <v>135</v>
      </c>
      <c r="AI545" s="21" t="s">
        <v>135</v>
      </c>
    </row>
    <row r="546" spans="1:36" ht="15.75" customHeight="1" x14ac:dyDescent="0.3">
      <c r="A546" s="21">
        <v>2026</v>
      </c>
      <c r="B546" s="22">
        <v>46147.996107106483</v>
      </c>
      <c r="C546" s="21" t="s">
        <v>183</v>
      </c>
      <c r="D546" s="21" t="s">
        <v>183</v>
      </c>
      <c r="E546" s="21" t="s">
        <v>183</v>
      </c>
      <c r="F546" s="21" t="s">
        <v>183</v>
      </c>
      <c r="G546" s="21" t="s">
        <v>256</v>
      </c>
      <c r="H546" s="21" t="s">
        <v>4603</v>
      </c>
      <c r="I546" s="21" t="s">
        <v>1632</v>
      </c>
      <c r="J546" s="21" t="s">
        <v>2660</v>
      </c>
      <c r="K546" s="21" t="e">
        <f t="shared" ca="1" si="4"/>
        <v>#NAME?</v>
      </c>
      <c r="L546" s="24">
        <v>2014</v>
      </c>
      <c r="M546" s="21">
        <v>2026</v>
      </c>
      <c r="N546" s="21" t="s">
        <v>111</v>
      </c>
      <c r="O546" s="21" t="s">
        <v>112</v>
      </c>
      <c r="P546" s="26">
        <v>8106966654</v>
      </c>
      <c r="Q546" s="26" t="e">
        <f t="shared" ca="1" si="5"/>
        <v>#NAME?</v>
      </c>
      <c r="R546" s="21" t="s">
        <v>188</v>
      </c>
      <c r="S546" s="21" t="s">
        <v>4604</v>
      </c>
      <c r="T546" s="21" t="s">
        <v>4605</v>
      </c>
      <c r="U546" s="21" t="s">
        <v>127</v>
      </c>
      <c r="V546" s="21" t="s">
        <v>4606</v>
      </c>
      <c r="W546" s="21" t="s">
        <v>488</v>
      </c>
      <c r="X546" s="21" t="s">
        <v>352</v>
      </c>
      <c r="Y546" s="21" t="s">
        <v>352</v>
      </c>
      <c r="Z546" s="21" t="s">
        <v>4607</v>
      </c>
      <c r="AA546" s="21" t="s">
        <v>2094</v>
      </c>
      <c r="AB546" s="21" t="s">
        <v>3657</v>
      </c>
      <c r="AC546" s="21" t="s">
        <v>4608</v>
      </c>
      <c r="AD546" s="21" t="s">
        <v>287</v>
      </c>
      <c r="AE546" s="21" t="s">
        <v>365</v>
      </c>
      <c r="AF546" s="21" t="s">
        <v>135</v>
      </c>
      <c r="AG546" s="21" t="s">
        <v>135</v>
      </c>
      <c r="AH546" s="21" t="s">
        <v>135</v>
      </c>
      <c r="AI546" s="21" t="s">
        <v>135</v>
      </c>
    </row>
    <row r="547" spans="1:36" ht="15.75" customHeight="1" x14ac:dyDescent="0.3">
      <c r="A547" s="21">
        <v>2026</v>
      </c>
      <c r="B547" s="22">
        <v>46147.998052754629</v>
      </c>
      <c r="C547" s="21" t="s">
        <v>183</v>
      </c>
      <c r="D547" s="21" t="s">
        <v>183</v>
      </c>
      <c r="E547" s="21" t="s">
        <v>183</v>
      </c>
      <c r="F547" s="21" t="s">
        <v>183</v>
      </c>
      <c r="G547" s="21" t="s">
        <v>93</v>
      </c>
      <c r="H547" s="21" t="s">
        <v>4609</v>
      </c>
      <c r="I547" s="21" t="s">
        <v>653</v>
      </c>
      <c r="J547" s="21" t="s">
        <v>4610</v>
      </c>
      <c r="K547" s="21" t="e">
        <f t="shared" ca="1" si="4"/>
        <v>#NAME?</v>
      </c>
      <c r="L547" s="24">
        <v>1993</v>
      </c>
      <c r="M547" s="21">
        <v>2006</v>
      </c>
      <c r="N547" s="21" t="s">
        <v>111</v>
      </c>
      <c r="O547" s="21" t="s">
        <v>112</v>
      </c>
      <c r="P547" s="26">
        <v>7200045038</v>
      </c>
      <c r="Q547" s="26" t="e">
        <f t="shared" ca="1" si="5"/>
        <v>#NAME?</v>
      </c>
      <c r="R547" s="21" t="s">
        <v>188</v>
      </c>
      <c r="S547" s="21" t="s">
        <v>4611</v>
      </c>
      <c r="T547" s="21">
        <v>7601050990</v>
      </c>
      <c r="U547" s="21" t="s">
        <v>4612</v>
      </c>
      <c r="V547" s="21" t="s">
        <v>127</v>
      </c>
      <c r="W547" s="21" t="s">
        <v>488</v>
      </c>
      <c r="X547" s="21" t="s">
        <v>440</v>
      </c>
      <c r="Y547" s="21" t="s">
        <v>352</v>
      </c>
      <c r="Z547" s="21" t="s">
        <v>284</v>
      </c>
      <c r="AA547" s="21" t="s">
        <v>450</v>
      </c>
      <c r="AB547" s="21" t="s">
        <v>363</v>
      </c>
      <c r="AC547" s="21" t="s">
        <v>4613</v>
      </c>
      <c r="AD547" s="21" t="s">
        <v>132</v>
      </c>
      <c r="AE547" s="21" t="s">
        <v>365</v>
      </c>
      <c r="AF547" s="21" t="s">
        <v>686</v>
      </c>
      <c r="AG547" s="21" t="s">
        <v>135</v>
      </c>
      <c r="AH547" s="21" t="s">
        <v>135</v>
      </c>
      <c r="AI547" s="21" t="s">
        <v>135</v>
      </c>
    </row>
    <row r="548" spans="1:36" ht="15.75" customHeight="1" x14ac:dyDescent="0.3">
      <c r="A548" s="21">
        <v>2026</v>
      </c>
      <c r="B548" s="22">
        <v>46148.289711377314</v>
      </c>
      <c r="C548" s="21" t="s">
        <v>183</v>
      </c>
      <c r="D548" s="21" t="s">
        <v>183</v>
      </c>
      <c r="E548" s="21" t="s">
        <v>183</v>
      </c>
      <c r="F548" s="21" t="s">
        <v>183</v>
      </c>
      <c r="G548" s="21" t="s">
        <v>93</v>
      </c>
      <c r="H548" s="21" t="s">
        <v>4614</v>
      </c>
      <c r="I548" s="21" t="s">
        <v>1380</v>
      </c>
      <c r="J548" s="21" t="s">
        <v>751</v>
      </c>
      <c r="K548" s="21" t="e">
        <f t="shared" ca="1" si="4"/>
        <v>#NAME?</v>
      </c>
      <c r="L548" s="24">
        <v>1973</v>
      </c>
      <c r="M548" s="21">
        <v>2000</v>
      </c>
      <c r="N548" s="21" t="s">
        <v>315</v>
      </c>
      <c r="O548" s="21" t="s">
        <v>316</v>
      </c>
      <c r="P548" s="26">
        <v>8328079584</v>
      </c>
      <c r="Q548" s="26" t="e">
        <f t="shared" ca="1" si="5"/>
        <v>#NAME?</v>
      </c>
      <c r="R548" s="21" t="s">
        <v>1297</v>
      </c>
      <c r="S548" s="21" t="s">
        <v>4615</v>
      </c>
      <c r="T548" s="21" t="s">
        <v>4616</v>
      </c>
      <c r="U548" s="21" t="s">
        <v>4617</v>
      </c>
      <c r="V548" s="21" t="s">
        <v>127</v>
      </c>
      <c r="W548" s="21" t="s">
        <v>307</v>
      </c>
      <c r="X548" s="21" t="s">
        <v>506</v>
      </c>
      <c r="Y548" s="21" t="s">
        <v>1762</v>
      </c>
      <c r="Z548" s="21" t="s">
        <v>127</v>
      </c>
      <c r="AA548" s="21" t="s">
        <v>4618</v>
      </c>
      <c r="AB548" s="21" t="s">
        <v>363</v>
      </c>
      <c r="AC548" s="21" t="s">
        <v>4619</v>
      </c>
      <c r="AD548" s="21" t="s">
        <v>132</v>
      </c>
      <c r="AE548" s="21" t="s">
        <v>365</v>
      </c>
      <c r="AF548" s="21" t="s">
        <v>135</v>
      </c>
      <c r="AG548" s="21" t="s">
        <v>135</v>
      </c>
      <c r="AH548" s="21" t="s">
        <v>135</v>
      </c>
      <c r="AI548" s="21" t="s">
        <v>135</v>
      </c>
    </row>
    <row r="549" spans="1:36" ht="15.75" customHeight="1" x14ac:dyDescent="0.3">
      <c r="A549" s="21">
        <v>2026</v>
      </c>
      <c r="B549" s="22">
        <v>46148.850430416671</v>
      </c>
      <c r="C549" s="21" t="s">
        <v>183</v>
      </c>
      <c r="D549" s="21" t="s">
        <v>183</v>
      </c>
      <c r="E549" s="21" t="s">
        <v>183</v>
      </c>
      <c r="F549" s="21" t="s">
        <v>183</v>
      </c>
      <c r="G549" s="21" t="s">
        <v>93</v>
      </c>
      <c r="H549" s="21" t="s">
        <v>4620</v>
      </c>
      <c r="I549" s="21" t="s">
        <v>2825</v>
      </c>
      <c r="J549" s="21" t="s">
        <v>4621</v>
      </c>
      <c r="K549" s="21" t="e">
        <f t="shared" ca="1" si="4"/>
        <v>#NAME?</v>
      </c>
      <c r="L549" s="24">
        <v>1968</v>
      </c>
      <c r="M549" s="21">
        <v>1992</v>
      </c>
      <c r="N549" s="21" t="s">
        <v>111</v>
      </c>
      <c r="O549" s="21" t="s">
        <v>112</v>
      </c>
      <c r="P549" s="26">
        <v>9848608889</v>
      </c>
      <c r="Q549" s="26" t="e">
        <f t="shared" ca="1" si="5"/>
        <v>#NAME?</v>
      </c>
      <c r="R549" s="21" t="s">
        <v>118</v>
      </c>
      <c r="S549" s="21" t="s">
        <v>2828</v>
      </c>
      <c r="T549" s="21">
        <v>8341673687</v>
      </c>
      <c r="U549" s="21" t="s">
        <v>4622</v>
      </c>
      <c r="V549" s="21" t="s">
        <v>127</v>
      </c>
      <c r="W549" s="21" t="s">
        <v>307</v>
      </c>
      <c r="X549" s="21" t="s">
        <v>179</v>
      </c>
      <c r="Y549" s="21" t="s">
        <v>179</v>
      </c>
      <c r="Z549" s="21" t="s">
        <v>127</v>
      </c>
      <c r="AA549" s="21" t="s">
        <v>3047</v>
      </c>
      <c r="AB549" s="21" t="s">
        <v>363</v>
      </c>
      <c r="AC549" s="21" t="s">
        <v>4623</v>
      </c>
      <c r="AD549" s="21" t="s">
        <v>132</v>
      </c>
      <c r="AE549" s="21" t="s">
        <v>365</v>
      </c>
      <c r="AF549" s="21" t="s">
        <v>135</v>
      </c>
      <c r="AG549" s="21" t="s">
        <v>135</v>
      </c>
      <c r="AH549" s="21" t="s">
        <v>135</v>
      </c>
      <c r="AI549" s="21" t="s">
        <v>135</v>
      </c>
      <c r="AJ549" s="21" t="s">
        <v>4624</v>
      </c>
    </row>
    <row r="550" spans="1:36" ht="15.75" customHeight="1" x14ac:dyDescent="0.3">
      <c r="A550" s="21">
        <v>2026</v>
      </c>
      <c r="B550" s="22">
        <v>46148.88461238426</v>
      </c>
      <c r="C550" s="21" t="s">
        <v>183</v>
      </c>
      <c r="D550" s="21" t="s">
        <v>183</v>
      </c>
      <c r="E550" s="21" t="s">
        <v>183</v>
      </c>
      <c r="F550" s="21" t="s">
        <v>183</v>
      </c>
      <c r="G550" s="21" t="s">
        <v>256</v>
      </c>
      <c r="H550" s="21" t="s">
        <v>4625</v>
      </c>
      <c r="I550" s="21" t="s">
        <v>982</v>
      </c>
      <c r="J550" s="21" t="s">
        <v>4626</v>
      </c>
      <c r="K550" s="21" t="e">
        <f t="shared" ca="1" si="4"/>
        <v>#NAME?</v>
      </c>
      <c r="L550" s="24">
        <v>2017</v>
      </c>
      <c r="M550" s="21">
        <v>2026</v>
      </c>
      <c r="N550" s="21" t="s">
        <v>111</v>
      </c>
      <c r="O550" s="21" t="s">
        <v>112</v>
      </c>
      <c r="P550" s="26">
        <v>9666660265</v>
      </c>
      <c r="Q550" s="26" t="e">
        <f t="shared" ca="1" si="5"/>
        <v>#NAME?</v>
      </c>
      <c r="R550" s="21" t="s">
        <v>485</v>
      </c>
      <c r="S550" s="21" t="s">
        <v>4629</v>
      </c>
      <c r="T550" s="21">
        <v>8105178555</v>
      </c>
      <c r="U550" s="21" t="s">
        <v>127</v>
      </c>
      <c r="V550" s="21" t="s">
        <v>4631</v>
      </c>
      <c r="W550" s="21" t="s">
        <v>4632</v>
      </c>
      <c r="X550" s="21" t="s">
        <v>165</v>
      </c>
      <c r="Y550" s="21" t="s">
        <v>3212</v>
      </c>
      <c r="Z550" s="21" t="s">
        <v>4633</v>
      </c>
      <c r="AA550" s="21" t="s">
        <v>2094</v>
      </c>
      <c r="AB550" s="21" t="s">
        <v>3657</v>
      </c>
      <c r="AC550" s="21" t="s">
        <v>4634</v>
      </c>
      <c r="AD550" s="21" t="s">
        <v>287</v>
      </c>
      <c r="AE550" s="21" t="s">
        <v>365</v>
      </c>
      <c r="AF550" s="21" t="s">
        <v>135</v>
      </c>
      <c r="AG550" s="21" t="s">
        <v>135</v>
      </c>
      <c r="AH550" s="21" t="s">
        <v>135</v>
      </c>
      <c r="AI550" s="21" t="s">
        <v>135</v>
      </c>
    </row>
    <row r="551" spans="1:36" ht="15.75" customHeight="1" x14ac:dyDescent="0.3">
      <c r="A551" s="21">
        <v>2026</v>
      </c>
      <c r="B551" s="22">
        <v>46148.90030306713</v>
      </c>
      <c r="C551" s="21" t="s">
        <v>183</v>
      </c>
      <c r="D551" s="21" t="s">
        <v>183</v>
      </c>
      <c r="E551" s="21" t="s">
        <v>183</v>
      </c>
      <c r="F551" s="21" t="s">
        <v>183</v>
      </c>
      <c r="G551" s="21" t="s">
        <v>93</v>
      </c>
      <c r="H551" s="21" t="s">
        <v>4635</v>
      </c>
      <c r="I551" s="21" t="s">
        <v>4636</v>
      </c>
      <c r="J551" s="21" t="s">
        <v>3479</v>
      </c>
      <c r="K551" s="21" t="e">
        <f t="shared" ca="1" si="4"/>
        <v>#NAME?</v>
      </c>
      <c r="L551" s="24">
        <v>1993</v>
      </c>
      <c r="M551" s="21">
        <v>2017</v>
      </c>
      <c r="N551" s="21" t="s">
        <v>111</v>
      </c>
      <c r="O551" s="21" t="s">
        <v>112</v>
      </c>
      <c r="P551" s="26">
        <v>7447763907</v>
      </c>
      <c r="Q551" s="26" t="e">
        <f t="shared" ca="1" si="5"/>
        <v>#NAME?</v>
      </c>
      <c r="R551" s="21" t="s">
        <v>1526</v>
      </c>
      <c r="S551" s="21" t="s">
        <v>4637</v>
      </c>
      <c r="T551" s="21">
        <v>7829553399</v>
      </c>
      <c r="U551" s="21" t="s">
        <v>4638</v>
      </c>
      <c r="V551" s="21" t="s">
        <v>127</v>
      </c>
      <c r="W551" s="21" t="s">
        <v>307</v>
      </c>
      <c r="X551" s="21" t="s">
        <v>211</v>
      </c>
      <c r="Y551" s="21" t="s">
        <v>211</v>
      </c>
      <c r="Z551" s="21" t="s">
        <v>127</v>
      </c>
      <c r="AA551" s="21" t="s">
        <v>285</v>
      </c>
      <c r="AB551" s="21" t="s">
        <v>363</v>
      </c>
      <c r="AC551" s="21" t="s">
        <v>4639</v>
      </c>
      <c r="AD551" s="21" t="s">
        <v>132</v>
      </c>
      <c r="AE551" s="21" t="s">
        <v>365</v>
      </c>
      <c r="AF551" s="21" t="s">
        <v>135</v>
      </c>
      <c r="AG551" s="21" t="s">
        <v>135</v>
      </c>
      <c r="AH551" s="21" t="s">
        <v>135</v>
      </c>
      <c r="AI551" s="21" t="s">
        <v>135</v>
      </c>
    </row>
    <row r="552" spans="1:36" ht="15.75" customHeight="1" x14ac:dyDescent="0.3">
      <c r="A552" s="21">
        <v>2026</v>
      </c>
      <c r="B552" s="22">
        <v>46149.932872395832</v>
      </c>
      <c r="C552" s="21" t="s">
        <v>183</v>
      </c>
      <c r="D552" s="21" t="s">
        <v>183</v>
      </c>
      <c r="E552" s="21" t="s">
        <v>183</v>
      </c>
      <c r="F552" s="21" t="s">
        <v>183</v>
      </c>
      <c r="G552" s="21" t="s">
        <v>93</v>
      </c>
      <c r="H552" s="21" t="s">
        <v>4640</v>
      </c>
      <c r="I552" s="21" t="s">
        <v>4648</v>
      </c>
      <c r="J552" s="138" t="s">
        <v>1397</v>
      </c>
      <c r="K552" s="21" t="e">
        <f t="shared" ca="1" si="4"/>
        <v>#NAME?</v>
      </c>
      <c r="L552" s="24">
        <v>1957</v>
      </c>
      <c r="M552" s="21">
        <v>1971</v>
      </c>
      <c r="N552" s="21" t="s">
        <v>111</v>
      </c>
      <c r="O552" s="21" t="s">
        <v>112</v>
      </c>
      <c r="P552" s="26">
        <v>9246635560</v>
      </c>
      <c r="Q552" s="26" t="e">
        <f t="shared" ca="1" si="5"/>
        <v>#NAME?</v>
      </c>
      <c r="R552" s="21" t="s">
        <v>4641</v>
      </c>
      <c r="S552" s="21" t="s">
        <v>4642</v>
      </c>
      <c r="T552" s="21">
        <v>9490230460</v>
      </c>
      <c r="U552" s="21" t="s">
        <v>4643</v>
      </c>
      <c r="V552" s="21" t="s">
        <v>127</v>
      </c>
      <c r="W552" s="21" t="s">
        <v>1973</v>
      </c>
      <c r="X552" s="21" t="s">
        <v>2048</v>
      </c>
      <c r="Y552" s="21" t="s">
        <v>4644</v>
      </c>
      <c r="Z552" s="21" t="s">
        <v>127</v>
      </c>
      <c r="AA552" s="21" t="s">
        <v>3744</v>
      </c>
      <c r="AB552" s="21" t="s">
        <v>363</v>
      </c>
      <c r="AC552" s="21" t="s">
        <v>4645</v>
      </c>
      <c r="AD552" s="21" t="s">
        <v>169</v>
      </c>
      <c r="AE552" s="21" t="s">
        <v>365</v>
      </c>
      <c r="AF552" s="21" t="s">
        <v>135</v>
      </c>
      <c r="AG552" s="21" t="s">
        <v>135</v>
      </c>
      <c r="AH552" s="21" t="s">
        <v>135</v>
      </c>
      <c r="AI552" s="21" t="s">
        <v>135</v>
      </c>
      <c r="AJ552" s="21" t="s">
        <v>4646</v>
      </c>
    </row>
    <row r="553" spans="1:36" ht="15.75" customHeight="1" x14ac:dyDescent="0.3">
      <c r="A553" s="21">
        <v>2026</v>
      </c>
      <c r="B553" s="22">
        <v>46149.96542734954</v>
      </c>
      <c r="C553" s="21" t="s">
        <v>183</v>
      </c>
      <c r="D553" s="21" t="s">
        <v>183</v>
      </c>
      <c r="E553" s="21" t="s">
        <v>183</v>
      </c>
      <c r="F553" s="21" t="s">
        <v>183</v>
      </c>
      <c r="G553" s="21" t="s">
        <v>93</v>
      </c>
      <c r="H553" s="21" t="s">
        <v>4647</v>
      </c>
      <c r="I553" s="21" t="s">
        <v>4648</v>
      </c>
      <c r="J553" s="21" t="s">
        <v>4649</v>
      </c>
      <c r="K553" s="21" t="e">
        <f t="shared" ca="1" si="4"/>
        <v>#NAME?</v>
      </c>
      <c r="L553" s="24">
        <v>1995</v>
      </c>
      <c r="M553" s="21">
        <v>2008</v>
      </c>
      <c r="N553" s="21" t="s">
        <v>111</v>
      </c>
      <c r="O553" s="21" t="s">
        <v>112</v>
      </c>
      <c r="P553" s="26">
        <v>9490230560</v>
      </c>
      <c r="Q553" s="26" t="e">
        <f t="shared" ca="1" si="5"/>
        <v>#NAME?</v>
      </c>
      <c r="R553" s="21" t="s">
        <v>188</v>
      </c>
      <c r="S553" s="21" t="s">
        <v>4611</v>
      </c>
      <c r="T553" s="21">
        <v>7601050990</v>
      </c>
      <c r="U553" s="21" t="s">
        <v>4650</v>
      </c>
      <c r="V553" s="21" t="s">
        <v>127</v>
      </c>
      <c r="W553" s="21" t="s">
        <v>266</v>
      </c>
      <c r="X553" s="21" t="s">
        <v>352</v>
      </c>
      <c r="Y553" s="21" t="s">
        <v>352</v>
      </c>
      <c r="Z553" s="21" t="s">
        <v>127</v>
      </c>
      <c r="AA553" s="21" t="s">
        <v>450</v>
      </c>
      <c r="AB553" s="21" t="s">
        <v>363</v>
      </c>
      <c r="AC553" s="21" t="s">
        <v>4651</v>
      </c>
      <c r="AD553" s="21" t="s">
        <v>169</v>
      </c>
      <c r="AE553" s="21" t="s">
        <v>365</v>
      </c>
      <c r="AF553" s="21" t="s">
        <v>686</v>
      </c>
      <c r="AG553" s="21" t="s">
        <v>135</v>
      </c>
      <c r="AH553" s="21" t="s">
        <v>135</v>
      </c>
      <c r="AI553" s="21" t="s">
        <v>135</v>
      </c>
      <c r="AJ553" s="21" t="s">
        <v>4652</v>
      </c>
    </row>
    <row r="554" spans="1:36" ht="15.75" customHeight="1" x14ac:dyDescent="0.3">
      <c r="A554" s="21">
        <v>2026</v>
      </c>
      <c r="B554" s="22">
        <v>46150.438587118057</v>
      </c>
      <c r="C554" s="21" t="s">
        <v>183</v>
      </c>
      <c r="D554" s="21" t="s">
        <v>183</v>
      </c>
      <c r="E554" s="21" t="s">
        <v>183</v>
      </c>
      <c r="F554" s="21" t="s">
        <v>183</v>
      </c>
      <c r="G554" s="21" t="s">
        <v>93</v>
      </c>
      <c r="H554" s="21" t="s">
        <v>4653</v>
      </c>
      <c r="I554" s="21" t="s">
        <v>4654</v>
      </c>
      <c r="J554" s="21" t="s">
        <v>4655</v>
      </c>
      <c r="K554" s="21" t="e">
        <f t="shared" ca="1" si="4"/>
        <v>#NAME?</v>
      </c>
      <c r="L554" s="24">
        <v>1995</v>
      </c>
      <c r="M554" s="21">
        <v>2008</v>
      </c>
      <c r="N554" s="21" t="s">
        <v>111</v>
      </c>
      <c r="O554" s="21" t="s">
        <v>112</v>
      </c>
      <c r="P554" s="26">
        <v>9986910650</v>
      </c>
      <c r="Q554" s="26" t="e">
        <f t="shared" ca="1" si="5"/>
        <v>#NAME?</v>
      </c>
      <c r="R554" s="21" t="s">
        <v>4656</v>
      </c>
      <c r="S554" s="21" t="s">
        <v>4657</v>
      </c>
      <c r="T554" s="21">
        <v>8197603680</v>
      </c>
      <c r="U554" s="21" t="s">
        <v>127</v>
      </c>
      <c r="V554" s="21" t="s">
        <v>4658</v>
      </c>
      <c r="W554" s="21" t="s">
        <v>1924</v>
      </c>
      <c r="X554" s="21" t="s">
        <v>4659</v>
      </c>
      <c r="Y554" s="21" t="s">
        <v>4660</v>
      </c>
      <c r="Z554" s="21" t="s">
        <v>127</v>
      </c>
      <c r="AA554" s="21" t="s">
        <v>4661</v>
      </c>
      <c r="AB554" s="21" t="s">
        <v>363</v>
      </c>
      <c r="AC554" s="21" t="s">
        <v>4662</v>
      </c>
      <c r="AD554" s="21" t="s">
        <v>287</v>
      </c>
      <c r="AE554" s="21" t="s">
        <v>332</v>
      </c>
      <c r="AF554" s="21" t="s">
        <v>135</v>
      </c>
      <c r="AG554" s="21" t="s">
        <v>135</v>
      </c>
      <c r="AH554" s="21" t="s">
        <v>135</v>
      </c>
      <c r="AI554" s="21" t="s">
        <v>135</v>
      </c>
    </row>
    <row r="555" spans="1:36" ht="15.75" customHeight="1" x14ac:dyDescent="0.3">
      <c r="A555" s="21">
        <v>2026</v>
      </c>
      <c r="B555" s="22">
        <v>46150.551850914351</v>
      </c>
      <c r="C555" s="21" t="s">
        <v>183</v>
      </c>
      <c r="D555" s="21" t="s">
        <v>183</v>
      </c>
      <c r="E555" s="21" t="s">
        <v>183</v>
      </c>
      <c r="F555" s="21" t="s">
        <v>183</v>
      </c>
      <c r="G555" s="21" t="s">
        <v>93</v>
      </c>
      <c r="H555" s="21" t="s">
        <v>4663</v>
      </c>
      <c r="I555" s="21" t="s">
        <v>4664</v>
      </c>
      <c r="J555" s="21" t="s">
        <v>718</v>
      </c>
      <c r="K555" s="21" t="e">
        <f t="shared" ca="1" si="4"/>
        <v>#NAME?</v>
      </c>
      <c r="L555" s="24">
        <v>1982</v>
      </c>
      <c r="M555" s="21">
        <v>1996</v>
      </c>
      <c r="N555" s="21" t="s">
        <v>402</v>
      </c>
      <c r="O555" s="21" t="s">
        <v>316</v>
      </c>
      <c r="P555" s="26">
        <v>4046673372</v>
      </c>
      <c r="Q555" s="26" t="e">
        <f t="shared" ca="1" si="5"/>
        <v>#NAME?</v>
      </c>
      <c r="R555" s="21" t="s">
        <v>4665</v>
      </c>
      <c r="S555" s="21" t="s">
        <v>4666</v>
      </c>
      <c r="T555" s="21">
        <v>6785499400</v>
      </c>
      <c r="U555" s="21" t="s">
        <v>4667</v>
      </c>
      <c r="V555" s="21" t="s">
        <v>127</v>
      </c>
      <c r="W555" s="21" t="s">
        <v>251</v>
      </c>
      <c r="X555" s="21" t="s">
        <v>467</v>
      </c>
      <c r="Y555" s="21" t="s">
        <v>352</v>
      </c>
      <c r="Z555" s="21" t="s">
        <v>127</v>
      </c>
      <c r="AA555" s="21" t="s">
        <v>4668</v>
      </c>
      <c r="AB555" s="21" t="s">
        <v>363</v>
      </c>
      <c r="AC555" s="21" t="s">
        <v>4669</v>
      </c>
      <c r="AD555" s="21" t="s">
        <v>132</v>
      </c>
      <c r="AE555" s="21" t="s">
        <v>365</v>
      </c>
      <c r="AF555" s="21" t="s">
        <v>135</v>
      </c>
      <c r="AG555" s="21" t="s">
        <v>135</v>
      </c>
      <c r="AH555" s="21" t="s">
        <v>135</v>
      </c>
      <c r="AI555" s="21" t="s">
        <v>135</v>
      </c>
    </row>
    <row r="556" spans="1:36" ht="15.75" customHeight="1" x14ac:dyDescent="0.3">
      <c r="A556" s="21">
        <v>2026</v>
      </c>
      <c r="B556" s="22">
        <v>46150.988111365739</v>
      </c>
      <c r="C556" s="21" t="s">
        <v>183</v>
      </c>
      <c r="D556" s="21" t="s">
        <v>183</v>
      </c>
      <c r="E556" s="21" t="s">
        <v>183</v>
      </c>
      <c r="F556" s="21" t="s">
        <v>183</v>
      </c>
      <c r="G556" s="21" t="s">
        <v>93</v>
      </c>
      <c r="H556" s="21" t="s">
        <v>4670</v>
      </c>
      <c r="I556" s="21" t="s">
        <v>4671</v>
      </c>
      <c r="J556" s="21" t="s">
        <v>4672</v>
      </c>
      <c r="K556" s="21" t="e">
        <f t="shared" ca="1" si="4"/>
        <v>#NAME?</v>
      </c>
      <c r="L556" s="24">
        <v>1972</v>
      </c>
      <c r="M556" s="21">
        <v>2001</v>
      </c>
      <c r="N556" s="21" t="s">
        <v>111</v>
      </c>
      <c r="O556" s="21" t="s">
        <v>112</v>
      </c>
      <c r="P556" s="26">
        <v>9029482570</v>
      </c>
      <c r="Q556" s="26" t="e">
        <f t="shared" ca="1" si="5"/>
        <v>#NAME?</v>
      </c>
      <c r="R556" s="21" t="s">
        <v>118</v>
      </c>
      <c r="S556" s="21" t="s">
        <v>4673</v>
      </c>
      <c r="T556" s="21" t="s">
        <v>4674</v>
      </c>
      <c r="U556" s="21" t="s">
        <v>4675</v>
      </c>
      <c r="V556" s="21" t="s">
        <v>127</v>
      </c>
      <c r="W556" s="21" t="s">
        <v>219</v>
      </c>
      <c r="X556" s="21" t="s">
        <v>178</v>
      </c>
      <c r="Y556" s="21" t="s">
        <v>178</v>
      </c>
      <c r="Z556" s="21" t="s">
        <v>127</v>
      </c>
      <c r="AA556" s="21" t="s">
        <v>450</v>
      </c>
      <c r="AB556" s="21" t="s">
        <v>363</v>
      </c>
      <c r="AC556" s="21" t="s">
        <v>4676</v>
      </c>
      <c r="AD556" s="21" t="s">
        <v>132</v>
      </c>
      <c r="AE556" s="21" t="s">
        <v>365</v>
      </c>
      <c r="AF556" s="21" t="s">
        <v>135</v>
      </c>
      <c r="AG556" s="21" t="s">
        <v>135</v>
      </c>
      <c r="AH556" s="21" t="s">
        <v>135</v>
      </c>
      <c r="AI556" s="21" t="s">
        <v>135</v>
      </c>
    </row>
    <row r="557" spans="1:36" ht="15.75" customHeight="1" x14ac:dyDescent="0.3">
      <c r="A557" s="21">
        <v>2026</v>
      </c>
      <c r="B557" s="22">
        <v>46151.595203148143</v>
      </c>
      <c r="C557" s="21" t="s">
        <v>183</v>
      </c>
      <c r="D557" s="21" t="s">
        <v>183</v>
      </c>
      <c r="E557" s="21" t="s">
        <v>183</v>
      </c>
      <c r="F557" s="21" t="s">
        <v>183</v>
      </c>
      <c r="G557" s="21" t="s">
        <v>93</v>
      </c>
      <c r="H557" s="21" t="s">
        <v>4677</v>
      </c>
      <c r="I557" s="21" t="s">
        <v>4678</v>
      </c>
      <c r="J557" s="21" t="s">
        <v>4679</v>
      </c>
      <c r="K557" s="21" t="e">
        <f t="shared" ca="1" si="4"/>
        <v>#NAME?</v>
      </c>
      <c r="L557" s="24">
        <v>1975</v>
      </c>
      <c r="M557" s="21">
        <v>2004</v>
      </c>
      <c r="N557" s="21" t="s">
        <v>315</v>
      </c>
      <c r="O557" s="21" t="s">
        <v>316</v>
      </c>
      <c r="P557" s="26">
        <v>9197256031</v>
      </c>
      <c r="Q557" s="26" t="e">
        <f t="shared" ca="1" si="5"/>
        <v>#NAME?</v>
      </c>
      <c r="R557" s="21" t="s">
        <v>1501</v>
      </c>
      <c r="S557" s="21" t="s">
        <v>4682</v>
      </c>
      <c r="T557" s="21" t="s">
        <v>4683</v>
      </c>
      <c r="U557" s="21" t="s">
        <v>4684</v>
      </c>
      <c r="V557" s="21" t="s">
        <v>127</v>
      </c>
      <c r="W557" s="21" t="s">
        <v>319</v>
      </c>
      <c r="X557" s="21" t="s">
        <v>221</v>
      </c>
      <c r="Y557" s="21" t="s">
        <v>581</v>
      </c>
      <c r="Z557" s="21" t="s">
        <v>127</v>
      </c>
      <c r="AA557" s="21" t="s">
        <v>608</v>
      </c>
      <c r="AB557" s="21" t="s">
        <v>363</v>
      </c>
      <c r="AC557" s="21" t="s">
        <v>4685</v>
      </c>
      <c r="AD557" s="21" t="s">
        <v>132</v>
      </c>
      <c r="AE557" s="21" t="s">
        <v>365</v>
      </c>
      <c r="AF557" s="21" t="s">
        <v>135</v>
      </c>
      <c r="AG557" s="21" t="s">
        <v>135</v>
      </c>
      <c r="AH557" s="21" t="s">
        <v>135</v>
      </c>
      <c r="AI557" s="21" t="s">
        <v>135</v>
      </c>
    </row>
    <row r="558" spans="1:36" ht="15.75" customHeight="1" x14ac:dyDescent="0.3">
      <c r="A558" s="21">
        <v>2026</v>
      </c>
      <c r="B558" s="22">
        <v>46159.368887291668</v>
      </c>
      <c r="C558" s="21" t="s">
        <v>183</v>
      </c>
      <c r="D558" s="21" t="s">
        <v>183</v>
      </c>
      <c r="E558" s="21" t="s">
        <v>183</v>
      </c>
      <c r="F558" s="21" t="s">
        <v>183</v>
      </c>
      <c r="G558" s="21" t="s">
        <v>93</v>
      </c>
      <c r="H558" s="21" t="s">
        <v>4686</v>
      </c>
      <c r="I558" s="21" t="s">
        <v>2016</v>
      </c>
      <c r="J558" s="21" t="s">
        <v>4687</v>
      </c>
      <c r="K558" s="21" t="e">
        <f t="shared" ca="1" si="4"/>
        <v>#NAME?</v>
      </c>
      <c r="L558" s="24">
        <v>1990</v>
      </c>
      <c r="M558" s="21">
        <v>2008</v>
      </c>
      <c r="N558" s="21" t="s">
        <v>402</v>
      </c>
      <c r="O558" s="21" t="s">
        <v>316</v>
      </c>
      <c r="P558" s="26">
        <v>6315121073</v>
      </c>
      <c r="Q558" s="26" t="e">
        <f t="shared" ca="1" si="5"/>
        <v>#NAME?</v>
      </c>
      <c r="R558" s="21" t="s">
        <v>1780</v>
      </c>
      <c r="S558" s="21" t="s">
        <v>976</v>
      </c>
      <c r="T558" s="21" t="s">
        <v>2793</v>
      </c>
      <c r="U558" s="21" t="s">
        <v>4688</v>
      </c>
      <c r="V558" s="21" t="s">
        <v>127</v>
      </c>
      <c r="W558" s="21" t="s">
        <v>210</v>
      </c>
      <c r="X558" s="21" t="s">
        <v>179</v>
      </c>
      <c r="Y558" s="21" t="s">
        <v>179</v>
      </c>
      <c r="Z558" s="21" t="s">
        <v>127</v>
      </c>
      <c r="AA558" s="21" t="s">
        <v>4689</v>
      </c>
      <c r="AB558" s="21" t="s">
        <v>363</v>
      </c>
      <c r="AC558" s="21" t="s">
        <v>4690</v>
      </c>
      <c r="AD558" s="21" t="s">
        <v>132</v>
      </c>
      <c r="AE558" s="21" t="s">
        <v>332</v>
      </c>
      <c r="AF558" s="21" t="s">
        <v>135</v>
      </c>
      <c r="AG558" s="21" t="s">
        <v>135</v>
      </c>
      <c r="AH558" s="21" t="s">
        <v>135</v>
      </c>
      <c r="AI558" s="21" t="s">
        <v>135</v>
      </c>
      <c r="AJ558" s="21" t="s">
        <v>4691</v>
      </c>
    </row>
    <row r="559" spans="1:36" ht="15.75" customHeight="1" x14ac:dyDescent="0.3">
      <c r="A559" s="21">
        <v>2026</v>
      </c>
      <c r="B559" s="22">
        <v>46159.816329710651</v>
      </c>
      <c r="C559" s="21" t="s">
        <v>183</v>
      </c>
      <c r="D559" s="21" t="s">
        <v>183</v>
      </c>
      <c r="E559" s="21" t="s">
        <v>183</v>
      </c>
      <c r="F559" s="21" t="s">
        <v>183</v>
      </c>
      <c r="G559" s="21" t="s">
        <v>93</v>
      </c>
      <c r="H559" s="21" t="s">
        <v>4692</v>
      </c>
      <c r="I559" s="21" t="s">
        <v>4693</v>
      </c>
      <c r="J559" s="21" t="s">
        <v>4694</v>
      </c>
      <c r="K559" s="21" t="e">
        <f t="shared" ca="1" si="4"/>
        <v>#NAME?</v>
      </c>
      <c r="L559" s="24">
        <v>1979</v>
      </c>
      <c r="M559" s="21">
        <v>2007</v>
      </c>
      <c r="N559" s="21" t="s">
        <v>402</v>
      </c>
      <c r="O559" s="21" t="s">
        <v>316</v>
      </c>
      <c r="P559" s="26">
        <v>7047437476</v>
      </c>
      <c r="Q559" s="26" t="e">
        <f t="shared" ca="1" si="5"/>
        <v>#NAME?</v>
      </c>
      <c r="R559" s="21" t="s">
        <v>4695</v>
      </c>
      <c r="S559" s="21" t="s">
        <v>976</v>
      </c>
      <c r="T559" s="21">
        <v>7042943580</v>
      </c>
      <c r="U559" s="21" t="s">
        <v>4696</v>
      </c>
      <c r="V559" s="21" t="s">
        <v>127</v>
      </c>
      <c r="W559" s="21" t="s">
        <v>162</v>
      </c>
      <c r="X559" s="21" t="s">
        <v>308</v>
      </c>
      <c r="Y559" s="21" t="s">
        <v>308</v>
      </c>
      <c r="Z559" s="21" t="s">
        <v>127</v>
      </c>
      <c r="AA559" s="21" t="s">
        <v>4697</v>
      </c>
      <c r="AB559" s="21" t="s">
        <v>363</v>
      </c>
      <c r="AC559" s="21" t="s">
        <v>4698</v>
      </c>
      <c r="AD559" s="21" t="s">
        <v>132</v>
      </c>
      <c r="AE559" s="21" t="s">
        <v>365</v>
      </c>
      <c r="AF559" s="21" t="s">
        <v>135</v>
      </c>
      <c r="AG559" s="21" t="s">
        <v>135</v>
      </c>
      <c r="AH559" s="21" t="s">
        <v>135</v>
      </c>
      <c r="AI559" s="21" t="s">
        <v>135</v>
      </c>
    </row>
    <row r="560" spans="1:36" ht="15.75" customHeight="1" x14ac:dyDescent="0.3">
      <c r="A560" s="21">
        <v>2026</v>
      </c>
      <c r="B560" s="22">
        <v>46164.41816538194</v>
      </c>
      <c r="C560" s="21" t="s">
        <v>183</v>
      </c>
      <c r="D560" s="21" t="s">
        <v>183</v>
      </c>
      <c r="E560" s="21" t="s">
        <v>183</v>
      </c>
      <c r="F560" s="21" t="s">
        <v>183</v>
      </c>
      <c r="G560" s="21" t="s">
        <v>93</v>
      </c>
      <c r="H560" s="21" t="s">
        <v>4699</v>
      </c>
      <c r="I560" s="21" t="s">
        <v>4700</v>
      </c>
      <c r="J560" s="21" t="s">
        <v>4701</v>
      </c>
      <c r="K560" s="21" t="e">
        <f t="shared" ca="1" si="4"/>
        <v>#NAME?</v>
      </c>
      <c r="L560" s="24">
        <v>1972</v>
      </c>
      <c r="M560" s="21">
        <v>1992</v>
      </c>
      <c r="N560" s="21" t="s">
        <v>111</v>
      </c>
      <c r="O560" s="21" t="s">
        <v>112</v>
      </c>
      <c r="P560" s="26">
        <v>8919823937</v>
      </c>
      <c r="Q560" s="26" t="e">
        <f t="shared" ca="1" si="5"/>
        <v>#NAME?</v>
      </c>
      <c r="R560" s="21" t="s">
        <v>118</v>
      </c>
      <c r="S560" s="21" t="s">
        <v>4702</v>
      </c>
      <c r="T560" s="21" t="s">
        <v>3982</v>
      </c>
      <c r="U560" s="21" t="s">
        <v>4703</v>
      </c>
      <c r="V560" s="21" t="s">
        <v>127</v>
      </c>
      <c r="W560" s="21" t="s">
        <v>191</v>
      </c>
      <c r="X560" s="21" t="s">
        <v>616</v>
      </c>
      <c r="Y560" s="21" t="s">
        <v>616</v>
      </c>
      <c r="Z560" s="21" t="s">
        <v>127</v>
      </c>
      <c r="AA560" s="21" t="s">
        <v>4704</v>
      </c>
      <c r="AB560" s="21" t="s">
        <v>363</v>
      </c>
      <c r="AC560" s="21" t="s">
        <v>4705</v>
      </c>
      <c r="AD560" s="21" t="s">
        <v>132</v>
      </c>
      <c r="AE560" s="21" t="s">
        <v>365</v>
      </c>
      <c r="AF560" s="21" t="s">
        <v>135</v>
      </c>
      <c r="AG560" s="21" t="s">
        <v>135</v>
      </c>
      <c r="AH560" s="21" t="s">
        <v>135</v>
      </c>
      <c r="AI560" s="21" t="s">
        <v>135</v>
      </c>
      <c r="AJ560" s="21" t="s">
        <v>4706</v>
      </c>
    </row>
    <row r="561" spans="1:36" ht="15.75" customHeight="1" x14ac:dyDescent="0.3">
      <c r="A561" s="21">
        <v>2026</v>
      </c>
      <c r="B561" s="22">
        <v>46188.316420509262</v>
      </c>
      <c r="C561" s="21" t="s">
        <v>183</v>
      </c>
      <c r="D561" s="21" t="s">
        <v>183</v>
      </c>
      <c r="E561" s="21" t="s">
        <v>183</v>
      </c>
      <c r="F561" s="21" t="s">
        <v>183</v>
      </c>
      <c r="G561" s="21" t="s">
        <v>256</v>
      </c>
      <c r="H561" s="21" t="s">
        <v>4707</v>
      </c>
      <c r="I561" s="21" t="s">
        <v>2351</v>
      </c>
      <c r="J561" s="21" t="s">
        <v>2353</v>
      </c>
      <c r="K561" s="21" t="e">
        <f t="shared" ca="1" si="4"/>
        <v>#NAME?</v>
      </c>
      <c r="L561" s="24">
        <v>2015</v>
      </c>
      <c r="M561" s="21">
        <v>2022</v>
      </c>
      <c r="N561" s="21" t="s">
        <v>315</v>
      </c>
      <c r="O561" s="21" t="s">
        <v>316</v>
      </c>
      <c r="P561" s="26">
        <v>8327481679</v>
      </c>
      <c r="Q561" s="26" t="e">
        <f t="shared" ca="1" si="5"/>
        <v>#NAME?</v>
      </c>
      <c r="R561" s="21" t="s">
        <v>4708</v>
      </c>
      <c r="S561" s="21" t="s">
        <v>4709</v>
      </c>
      <c r="T561" s="21">
        <v>8327481679</v>
      </c>
      <c r="U561" s="21" t="s">
        <v>2671</v>
      </c>
      <c r="V561" s="21" t="s">
        <v>4710</v>
      </c>
      <c r="W561" s="21" t="s">
        <v>123</v>
      </c>
      <c r="X561" s="21" t="s">
        <v>536</v>
      </c>
      <c r="Y561" s="21" t="s">
        <v>536</v>
      </c>
      <c r="Z561" s="21" t="s">
        <v>4711</v>
      </c>
      <c r="AA561" s="21" t="s">
        <v>3388</v>
      </c>
      <c r="AB561" s="21" t="s">
        <v>4562</v>
      </c>
      <c r="AC561" s="21" t="s">
        <v>4712</v>
      </c>
      <c r="AD561" s="21" t="s">
        <v>132</v>
      </c>
      <c r="AE561" s="21" t="s">
        <v>332</v>
      </c>
      <c r="AF561" s="21" t="s">
        <v>135</v>
      </c>
      <c r="AG561" s="21" t="s">
        <v>135</v>
      </c>
      <c r="AH561" s="21" t="s">
        <v>135</v>
      </c>
      <c r="AI561" s="21" t="s">
        <v>135</v>
      </c>
    </row>
    <row r="562" spans="1:36" ht="15.75" customHeight="1" x14ac:dyDescent="0.3">
      <c r="A562" s="21">
        <v>2026</v>
      </c>
      <c r="B562" s="22">
        <v>46191.511284016204</v>
      </c>
      <c r="C562" s="21" t="s">
        <v>183</v>
      </c>
      <c r="D562" s="21" t="s">
        <v>183</v>
      </c>
      <c r="E562" s="21" t="s">
        <v>183</v>
      </c>
      <c r="F562" s="21" t="s">
        <v>183</v>
      </c>
      <c r="G562" s="21" t="s">
        <v>93</v>
      </c>
      <c r="H562" s="21" t="s">
        <v>4713</v>
      </c>
      <c r="I562" s="21" t="s">
        <v>4714</v>
      </c>
      <c r="J562" s="21" t="s">
        <v>4715</v>
      </c>
      <c r="K562" s="21" t="e">
        <f t="shared" ca="1" si="4"/>
        <v>#NAME?</v>
      </c>
      <c r="L562" s="24">
        <v>1953</v>
      </c>
      <c r="M562" s="21">
        <v>1970</v>
      </c>
      <c r="N562" s="21" t="s">
        <v>111</v>
      </c>
      <c r="O562" s="21" t="s">
        <v>112</v>
      </c>
      <c r="P562" s="26">
        <v>9908799850</v>
      </c>
      <c r="Q562" s="26" t="e">
        <f t="shared" ca="1" si="5"/>
        <v>#NAME?</v>
      </c>
      <c r="R562" s="21" t="s">
        <v>4716</v>
      </c>
      <c r="S562" s="21" t="s">
        <v>4717</v>
      </c>
      <c r="T562" s="21">
        <v>9866306410</v>
      </c>
      <c r="U562" s="21" t="s">
        <v>4718</v>
      </c>
      <c r="V562" s="21" t="s">
        <v>127</v>
      </c>
      <c r="W562" s="21" t="s">
        <v>123</v>
      </c>
      <c r="X562" s="21" t="s">
        <v>667</v>
      </c>
      <c r="Y562" s="21" t="s">
        <v>4719</v>
      </c>
      <c r="Z562" s="21" t="s">
        <v>127</v>
      </c>
      <c r="AA562" s="21" t="s">
        <v>4720</v>
      </c>
      <c r="AB562" s="21" t="s">
        <v>363</v>
      </c>
      <c r="AC562" s="21" t="s">
        <v>4721</v>
      </c>
      <c r="AD562" s="21" t="s">
        <v>132</v>
      </c>
      <c r="AE562" s="21" t="s">
        <v>365</v>
      </c>
      <c r="AF562" s="21" t="s">
        <v>135</v>
      </c>
      <c r="AG562" s="21" t="s">
        <v>135</v>
      </c>
      <c r="AH562" s="21" t="s">
        <v>135</v>
      </c>
      <c r="AI562" s="21" t="s">
        <v>135</v>
      </c>
      <c r="AJ562" s="21" t="s">
        <v>4722</v>
      </c>
    </row>
    <row r="563" spans="1:36" ht="15.75" customHeight="1" x14ac:dyDescent="0.3">
      <c r="A563" s="21">
        <v>2026</v>
      </c>
      <c r="B563" s="21">
        <v>46196.451296296298</v>
      </c>
      <c r="C563" s="21" t="s">
        <v>183</v>
      </c>
      <c r="D563" s="21" t="s">
        <v>183</v>
      </c>
      <c r="E563" s="21" t="s">
        <v>183</v>
      </c>
      <c r="F563" s="21" t="s">
        <v>183</v>
      </c>
      <c r="G563" s="21" t="s">
        <v>256</v>
      </c>
      <c r="H563" s="21" t="s">
        <v>4723</v>
      </c>
      <c r="I563" s="21" t="s">
        <v>2431</v>
      </c>
      <c r="J563" s="21" t="s">
        <v>2433</v>
      </c>
      <c r="K563" s="21" t="e">
        <f t="shared" ca="1" si="4"/>
        <v>#NAME?</v>
      </c>
      <c r="L563" s="63">
        <v>2010</v>
      </c>
      <c r="M563" s="63">
        <v>2024</v>
      </c>
      <c r="N563" s="64" t="s">
        <v>402</v>
      </c>
      <c r="O563" s="21" t="s">
        <v>316</v>
      </c>
      <c r="P563" s="63">
        <v>8382620227</v>
      </c>
      <c r="Q563" s="26" t="e">
        <f t="shared" ca="1" si="5"/>
        <v>#NAME?</v>
      </c>
      <c r="R563" s="65" t="s">
        <v>2776</v>
      </c>
      <c r="S563" s="65" t="s">
        <v>4687</v>
      </c>
      <c r="T563" s="65" t="s">
        <v>4724</v>
      </c>
      <c r="U563" s="65" t="s">
        <v>127</v>
      </c>
      <c r="V563" s="65" t="s">
        <v>4725</v>
      </c>
      <c r="W563" s="65" t="s">
        <v>219</v>
      </c>
      <c r="X563" s="66" t="s">
        <v>406</v>
      </c>
      <c r="Y563" s="66" t="s">
        <v>406</v>
      </c>
      <c r="Z563" s="66" t="s">
        <v>4726</v>
      </c>
      <c r="AA563" s="66" t="s">
        <v>2004</v>
      </c>
      <c r="AB563" s="65" t="s">
        <v>363</v>
      </c>
      <c r="AC563" s="67" t="s">
        <v>4727</v>
      </c>
      <c r="AD563" s="67" t="s">
        <v>132</v>
      </c>
      <c r="AE563" s="67" t="s">
        <v>365</v>
      </c>
      <c r="AF563" s="67" t="s">
        <v>135</v>
      </c>
      <c r="AG563" s="67" t="s">
        <v>135</v>
      </c>
      <c r="AH563" s="67" t="s">
        <v>135</v>
      </c>
      <c r="AI563" s="67" t="s">
        <v>135</v>
      </c>
      <c r="AJ563" s="67" t="s">
        <v>4728</v>
      </c>
    </row>
    <row r="564" spans="1:36" ht="15.75" customHeight="1" x14ac:dyDescent="0.3">
      <c r="A564" s="21">
        <v>2013</v>
      </c>
      <c r="B564" s="22"/>
      <c r="H564" s="21" t="s">
        <v>4729</v>
      </c>
      <c r="I564" s="21" t="s">
        <v>4730</v>
      </c>
      <c r="J564" s="21" t="s">
        <v>4731</v>
      </c>
      <c r="K564" s="21" t="e">
        <f t="shared" ca="1" si="4"/>
        <v>#NAME?</v>
      </c>
      <c r="L564" s="24">
        <v>1972</v>
      </c>
      <c r="N564" s="21" t="s">
        <v>315</v>
      </c>
      <c r="O564" s="21" t="s">
        <v>316</v>
      </c>
      <c r="P564" s="26">
        <v>9727959925</v>
      </c>
      <c r="Q564" s="26" t="e">
        <f t="shared" ca="1" si="5"/>
        <v>#NAME?</v>
      </c>
      <c r="R564" s="21" t="s">
        <v>4732</v>
      </c>
      <c r="U564" s="21" t="s">
        <v>393</v>
      </c>
      <c r="V564" s="21" t="s">
        <v>393</v>
      </c>
    </row>
    <row r="565" spans="1:36" ht="15.75" customHeight="1" x14ac:dyDescent="0.3">
      <c r="A565" s="21">
        <v>2013</v>
      </c>
      <c r="B565" s="22"/>
      <c r="H565" s="21" t="s">
        <v>4735</v>
      </c>
      <c r="I565" s="21" t="s">
        <v>4730</v>
      </c>
      <c r="J565" s="21" t="s">
        <v>4736</v>
      </c>
      <c r="K565" s="21" t="e">
        <f t="shared" ca="1" si="4"/>
        <v>#NAME?</v>
      </c>
      <c r="L565" s="24">
        <v>2003</v>
      </c>
      <c r="N565" s="21" t="s">
        <v>315</v>
      </c>
      <c r="O565" s="21" t="s">
        <v>316</v>
      </c>
      <c r="P565" s="26">
        <v>5128036503</v>
      </c>
      <c r="Q565" s="26" t="e">
        <f t="shared" ca="1" si="5"/>
        <v>#NAME?</v>
      </c>
      <c r="R565" s="21" t="s">
        <v>4737</v>
      </c>
      <c r="S565" s="21" t="s">
        <v>4738</v>
      </c>
      <c r="U565" s="21" t="s">
        <v>4606</v>
      </c>
      <c r="V565" s="21" t="s">
        <v>4606</v>
      </c>
    </row>
    <row r="566" spans="1:36" ht="15.75" customHeight="1" x14ac:dyDescent="0.3">
      <c r="A566" s="21">
        <v>2015</v>
      </c>
      <c r="B566" s="22"/>
      <c r="H566" s="21" t="s">
        <v>4739</v>
      </c>
      <c r="I566" s="21" t="s">
        <v>1380</v>
      </c>
      <c r="J566" s="21" t="s">
        <v>1914</v>
      </c>
      <c r="K566" s="21" t="e">
        <f t="shared" ca="1" si="4"/>
        <v>#NAME?</v>
      </c>
      <c r="L566" s="24">
        <v>2005</v>
      </c>
      <c r="N566" s="21" t="s">
        <v>474</v>
      </c>
      <c r="O566" s="21" t="s">
        <v>316</v>
      </c>
      <c r="P566" s="26">
        <v>6616703089</v>
      </c>
      <c r="Q566" s="26" t="e">
        <f t="shared" ca="1" si="5"/>
        <v>#NAME?</v>
      </c>
      <c r="R566" s="21" t="s">
        <v>4740</v>
      </c>
      <c r="S566" s="21" t="s">
        <v>4741</v>
      </c>
      <c r="U566" s="21" t="s">
        <v>4742</v>
      </c>
      <c r="V566" s="21" t="s">
        <v>4742</v>
      </c>
    </row>
    <row r="567" spans="1:36" ht="15.75" customHeight="1" x14ac:dyDescent="0.3">
      <c r="A567" s="21">
        <v>2015</v>
      </c>
      <c r="B567" s="22"/>
      <c r="H567" s="21" t="s">
        <v>4743</v>
      </c>
      <c r="I567" s="21" t="s">
        <v>1380</v>
      </c>
      <c r="J567" s="21" t="s">
        <v>4744</v>
      </c>
      <c r="K567" s="21" t="e">
        <f t="shared" ca="1" si="4"/>
        <v>#NAME?</v>
      </c>
      <c r="L567" s="24">
        <v>1968</v>
      </c>
      <c r="N567" s="21" t="s">
        <v>474</v>
      </c>
      <c r="O567" s="21" t="s">
        <v>316</v>
      </c>
      <c r="P567" s="26">
        <v>6614761497</v>
      </c>
      <c r="Q567" s="26" t="e">
        <f t="shared" ca="1" si="5"/>
        <v>#NAME?</v>
      </c>
      <c r="R567" s="21" t="s">
        <v>4745</v>
      </c>
      <c r="S567" s="21" t="s">
        <v>4746</v>
      </c>
      <c r="U567" s="21" t="s">
        <v>4742</v>
      </c>
      <c r="V567" s="21" t="s">
        <v>4742</v>
      </c>
    </row>
    <row r="568" spans="1:36" ht="15.75" customHeight="1" x14ac:dyDescent="0.3">
      <c r="A568" s="21">
        <v>2015</v>
      </c>
      <c r="B568" s="22"/>
      <c r="H568" s="21" t="s">
        <v>4747</v>
      </c>
      <c r="I568" s="21" t="s">
        <v>4554</v>
      </c>
      <c r="J568" s="21" t="s">
        <v>4748</v>
      </c>
      <c r="K568" s="21" t="e">
        <f t="shared" ca="1" si="4"/>
        <v>#NAME?</v>
      </c>
      <c r="L568" s="24">
        <v>1972</v>
      </c>
      <c r="N568" s="21" t="s">
        <v>315</v>
      </c>
      <c r="O568" s="21" t="s">
        <v>316</v>
      </c>
      <c r="P568" s="26">
        <v>2814338164</v>
      </c>
      <c r="Q568" s="26" t="e">
        <f t="shared" ca="1" si="5"/>
        <v>#NAME?</v>
      </c>
      <c r="R568" s="21" t="s">
        <v>4749</v>
      </c>
      <c r="S568" s="21" t="s">
        <v>4750</v>
      </c>
      <c r="U568" s="21" t="s">
        <v>4751</v>
      </c>
      <c r="V568" s="21" t="s">
        <v>4751</v>
      </c>
    </row>
    <row r="569" spans="1:36" ht="15.75" customHeight="1" x14ac:dyDescent="0.3">
      <c r="A569" s="21">
        <v>2016</v>
      </c>
      <c r="B569" s="22"/>
      <c r="H569" s="21" t="s">
        <v>4752</v>
      </c>
      <c r="I569" s="21" t="s">
        <v>4753</v>
      </c>
      <c r="J569" s="21" t="s">
        <v>1033</v>
      </c>
      <c r="K569" s="21" t="e">
        <f t="shared" ca="1" si="4"/>
        <v>#NAME?</v>
      </c>
      <c r="L569" s="24">
        <v>2006</v>
      </c>
      <c r="N569" s="21" t="s">
        <v>111</v>
      </c>
      <c r="O569" s="21" t="s">
        <v>112</v>
      </c>
      <c r="P569" s="26">
        <v>9100911403</v>
      </c>
      <c r="Q569" s="26" t="e">
        <f t="shared" ca="1" si="5"/>
        <v>#NAME?</v>
      </c>
      <c r="R569" s="21" t="s">
        <v>4754</v>
      </c>
      <c r="S569" s="21" t="s">
        <v>4755</v>
      </c>
      <c r="U569" s="21" t="s">
        <v>2671</v>
      </c>
      <c r="V569" s="21" t="s">
        <v>2671</v>
      </c>
    </row>
    <row r="570" spans="1:36" ht="15.75" customHeight="1" x14ac:dyDescent="0.3">
      <c r="A570" s="21">
        <v>2016</v>
      </c>
      <c r="B570" s="22"/>
      <c r="H570" s="21" t="s">
        <v>4756</v>
      </c>
      <c r="I570" s="21" t="s">
        <v>4757</v>
      </c>
      <c r="J570" s="21" t="s">
        <v>1605</v>
      </c>
      <c r="K570" s="21" t="e">
        <f t="shared" ca="1" si="4"/>
        <v>#NAME?</v>
      </c>
      <c r="L570" s="24">
        <v>1975</v>
      </c>
      <c r="N570" s="21" t="s">
        <v>402</v>
      </c>
      <c r="O570" s="21" t="s">
        <v>316</v>
      </c>
      <c r="P570" s="26">
        <v>7246126299</v>
      </c>
      <c r="Q570" s="26" t="e">
        <f t="shared" ca="1" si="5"/>
        <v>#NAME?</v>
      </c>
      <c r="R570" s="21" t="s">
        <v>4758</v>
      </c>
      <c r="U570" s="21" t="s">
        <v>4759</v>
      </c>
      <c r="V570" s="21" t="s">
        <v>4759</v>
      </c>
    </row>
    <row r="571" spans="1:36" ht="15.75" customHeight="1" x14ac:dyDescent="0.3">
      <c r="A571" s="21">
        <v>2016</v>
      </c>
      <c r="B571" s="22"/>
      <c r="H571" s="21" t="s">
        <v>4756</v>
      </c>
      <c r="I571" s="21" t="s">
        <v>4757</v>
      </c>
      <c r="J571" s="21" t="s">
        <v>4760</v>
      </c>
      <c r="K571" s="21" t="e">
        <f t="shared" ca="1" si="4"/>
        <v>#NAME?</v>
      </c>
      <c r="L571" s="24">
        <v>2008</v>
      </c>
      <c r="N571" s="21" t="s">
        <v>402</v>
      </c>
      <c r="O571" s="21" t="s">
        <v>316</v>
      </c>
      <c r="P571" s="26">
        <v>7246126299</v>
      </c>
      <c r="Q571" s="26" t="e">
        <f t="shared" ca="1" si="5"/>
        <v>#NAME?</v>
      </c>
      <c r="R571" s="21" t="s">
        <v>4761</v>
      </c>
      <c r="S571" s="21" t="s">
        <v>4762</v>
      </c>
      <c r="U571" s="21" t="s">
        <v>4759</v>
      </c>
      <c r="V571" s="21" t="s">
        <v>4759</v>
      </c>
    </row>
    <row r="572" spans="1:36" ht="15.75" customHeight="1" x14ac:dyDescent="0.3">
      <c r="A572" s="21">
        <v>2016</v>
      </c>
      <c r="B572" s="22"/>
      <c r="H572" s="21" t="s">
        <v>4763</v>
      </c>
      <c r="I572" s="21" t="s">
        <v>4733</v>
      </c>
      <c r="J572" s="21" t="s">
        <v>4734</v>
      </c>
      <c r="K572" s="21" t="e">
        <f t="shared" ca="1" si="4"/>
        <v>#NAME?</v>
      </c>
      <c r="L572" s="24">
        <v>1997</v>
      </c>
      <c r="N572" s="21" t="s">
        <v>402</v>
      </c>
      <c r="O572" s="21" t="s">
        <v>316</v>
      </c>
      <c r="P572" s="26">
        <v>5129065000</v>
      </c>
      <c r="Q572" s="26" t="e">
        <f t="shared" ca="1" si="5"/>
        <v>#NAME?</v>
      </c>
      <c r="R572" s="21" t="s">
        <v>4764</v>
      </c>
      <c r="U572" s="21" t="s">
        <v>4765</v>
      </c>
      <c r="V572" s="21" t="s">
        <v>4765</v>
      </c>
    </row>
    <row r="573" spans="1:36" ht="15.75" customHeight="1" x14ac:dyDescent="0.3">
      <c r="A573" s="21">
        <v>2017</v>
      </c>
      <c r="B573" s="22"/>
      <c r="H573" s="21" t="s">
        <v>4766</v>
      </c>
      <c r="I573" s="21" t="s">
        <v>4767</v>
      </c>
      <c r="J573" s="21" t="s">
        <v>4768</v>
      </c>
      <c r="K573" s="21" t="e">
        <f t="shared" ca="1" si="4"/>
        <v>#NAME?</v>
      </c>
      <c r="L573" s="24">
        <v>1958</v>
      </c>
      <c r="N573" s="21" t="s">
        <v>474</v>
      </c>
      <c r="O573" s="21" t="s">
        <v>316</v>
      </c>
      <c r="P573" s="26">
        <v>4259799136</v>
      </c>
      <c r="Q573" s="26" t="e">
        <f t="shared" ca="1" si="5"/>
        <v>#NAME?</v>
      </c>
      <c r="R573" s="21" t="s">
        <v>4769</v>
      </c>
      <c r="U573" s="21" t="s">
        <v>2671</v>
      </c>
      <c r="V573" s="21" t="s">
        <v>2671</v>
      </c>
    </row>
    <row r="574" spans="1:36" ht="15.75" customHeight="1" x14ac:dyDescent="0.3">
      <c r="A574" s="21">
        <v>2018</v>
      </c>
      <c r="B574" s="22"/>
      <c r="H574" s="21" t="s">
        <v>4770</v>
      </c>
      <c r="I574" s="21" t="s">
        <v>1380</v>
      </c>
      <c r="J574" s="21" t="s">
        <v>4771</v>
      </c>
      <c r="K574" s="21" t="e">
        <f t="shared" ca="1" si="4"/>
        <v>#NAME?</v>
      </c>
      <c r="L574" s="24">
        <v>2009</v>
      </c>
      <c r="N574" s="21" t="s">
        <v>474</v>
      </c>
      <c r="O574" s="21" t="s">
        <v>316</v>
      </c>
      <c r="P574" s="26">
        <v>8585884123</v>
      </c>
      <c r="Q574" s="26" t="e">
        <f t="shared" ca="1" si="5"/>
        <v>#NAME?</v>
      </c>
      <c r="R574" s="21" t="s">
        <v>4745</v>
      </c>
      <c r="S574" s="21" t="s">
        <v>4772</v>
      </c>
      <c r="U574" s="21" t="s">
        <v>4742</v>
      </c>
      <c r="V574" s="21" t="s">
        <v>4742</v>
      </c>
    </row>
    <row r="575" spans="1:36" ht="15.75" customHeight="1" x14ac:dyDescent="0.3">
      <c r="A575" s="21">
        <v>2017</v>
      </c>
      <c r="B575" s="22"/>
      <c r="H575" s="21" t="s">
        <v>4773</v>
      </c>
      <c r="I575" s="21" t="s">
        <v>4774</v>
      </c>
      <c r="J575" s="21" t="s">
        <v>4775</v>
      </c>
      <c r="K575" s="21" t="e">
        <f t="shared" ca="1" si="4"/>
        <v>#NAME?</v>
      </c>
      <c r="L575" s="24">
        <v>2006</v>
      </c>
      <c r="N575" s="21" t="s">
        <v>111</v>
      </c>
      <c r="O575" s="21" t="s">
        <v>112</v>
      </c>
      <c r="P575" s="26">
        <v>9885493443</v>
      </c>
      <c r="Q575" s="26" t="e">
        <f t="shared" ca="1" si="5"/>
        <v>#NAME?</v>
      </c>
      <c r="R575" s="21" t="s">
        <v>4776</v>
      </c>
      <c r="S575" s="21" t="s">
        <v>4777</v>
      </c>
      <c r="U575" s="21" t="s">
        <v>4778</v>
      </c>
      <c r="V575" s="21" t="s">
        <v>4778</v>
      </c>
    </row>
    <row r="576" spans="1:36" ht="15.75" customHeight="1" x14ac:dyDescent="0.3">
      <c r="A576" s="21">
        <v>2017</v>
      </c>
      <c r="B576" s="22"/>
      <c r="H576" s="21" t="s">
        <v>4779</v>
      </c>
      <c r="I576" s="21" t="s">
        <v>3200</v>
      </c>
      <c r="J576" s="21" t="s">
        <v>2216</v>
      </c>
      <c r="K576" s="21" t="e">
        <f t="shared" ca="1" si="4"/>
        <v>#NAME?</v>
      </c>
      <c r="L576" s="24">
        <v>1962</v>
      </c>
      <c r="N576" s="21" t="s">
        <v>111</v>
      </c>
      <c r="O576" s="21" t="s">
        <v>112</v>
      </c>
      <c r="P576" s="26">
        <v>9959423084</v>
      </c>
      <c r="Q576" s="26" t="e">
        <f t="shared" ca="1" si="5"/>
        <v>#NAME?</v>
      </c>
      <c r="R576" s="21" t="s">
        <v>188</v>
      </c>
      <c r="U576" s="21" t="s">
        <v>4457</v>
      </c>
      <c r="V576" s="21" t="s">
        <v>4457</v>
      </c>
    </row>
    <row r="577" spans="1:22" ht="15.75" customHeight="1" x14ac:dyDescent="0.3">
      <c r="A577" s="21">
        <v>2017</v>
      </c>
      <c r="B577" s="22"/>
      <c r="H577" s="21" t="s">
        <v>4780</v>
      </c>
      <c r="I577" s="21" t="s">
        <v>1758</v>
      </c>
      <c r="J577" s="21" t="s">
        <v>2485</v>
      </c>
      <c r="K577" s="21" t="e">
        <f t="shared" ca="1" si="4"/>
        <v>#NAME?</v>
      </c>
      <c r="L577" s="24">
        <v>1953</v>
      </c>
      <c r="N577" s="21" t="s">
        <v>111</v>
      </c>
      <c r="O577" s="21" t="s">
        <v>112</v>
      </c>
      <c r="P577" s="26">
        <v>9490792828</v>
      </c>
      <c r="Q577" s="26" t="e">
        <f t="shared" ca="1" si="5"/>
        <v>#NAME?</v>
      </c>
      <c r="R577" s="21" t="s">
        <v>485</v>
      </c>
      <c r="U577" s="21" t="s">
        <v>4457</v>
      </c>
      <c r="V577" s="21" t="s">
        <v>4457</v>
      </c>
    </row>
    <row r="578" spans="1:22" ht="15.75" customHeight="1" x14ac:dyDescent="0.3">
      <c r="A578" s="21">
        <v>2017</v>
      </c>
      <c r="B578" s="22"/>
      <c r="H578" s="21" t="s">
        <v>4781</v>
      </c>
      <c r="I578" s="21" t="s">
        <v>1758</v>
      </c>
      <c r="J578" s="21" t="s">
        <v>4782</v>
      </c>
      <c r="K578" s="21" t="e">
        <f t="shared" ca="1" si="4"/>
        <v>#NAME?</v>
      </c>
      <c r="L578" s="24">
        <v>1980</v>
      </c>
      <c r="N578" s="21" t="s">
        <v>111</v>
      </c>
      <c r="O578" s="21" t="s">
        <v>112</v>
      </c>
      <c r="P578" s="26">
        <v>9490792372</v>
      </c>
      <c r="Q578" s="26" t="e">
        <f t="shared" ca="1" si="5"/>
        <v>#NAME?</v>
      </c>
      <c r="R578" s="21" t="s">
        <v>485</v>
      </c>
      <c r="U578" s="21" t="s">
        <v>4457</v>
      </c>
      <c r="V578" s="21" t="s">
        <v>4457</v>
      </c>
    </row>
    <row r="579" spans="1:22" ht="15.75" customHeight="1" x14ac:dyDescent="0.3">
      <c r="A579" s="21">
        <v>2017</v>
      </c>
      <c r="B579" s="22"/>
      <c r="H579" s="21" t="s">
        <v>4783</v>
      </c>
      <c r="I579" s="21" t="s">
        <v>3723</v>
      </c>
      <c r="J579" s="21" t="s">
        <v>4784</v>
      </c>
      <c r="K579" s="21" t="e">
        <f t="shared" ca="1" si="4"/>
        <v>#NAME?</v>
      </c>
      <c r="L579" s="24">
        <v>2009</v>
      </c>
      <c r="N579" s="21" t="s">
        <v>111</v>
      </c>
      <c r="O579" s="21" t="s">
        <v>112</v>
      </c>
      <c r="P579" s="26">
        <v>9963978672</v>
      </c>
      <c r="Q579" s="26" t="e">
        <f t="shared" ca="1" si="5"/>
        <v>#NAME?</v>
      </c>
      <c r="R579" s="21" t="s">
        <v>4785</v>
      </c>
      <c r="S579" s="21" t="s">
        <v>4786</v>
      </c>
      <c r="U579" s="21" t="s">
        <v>4787</v>
      </c>
      <c r="V579" s="21" t="s">
        <v>4787</v>
      </c>
    </row>
    <row r="580" spans="1:22" ht="15.75" customHeight="1" x14ac:dyDescent="0.3">
      <c r="A580" s="21">
        <v>2017</v>
      </c>
      <c r="B580" s="22"/>
      <c r="H580" s="21" t="s">
        <v>4788</v>
      </c>
      <c r="I580" s="21" t="s">
        <v>3763</v>
      </c>
      <c r="J580" s="21" t="s">
        <v>4789</v>
      </c>
      <c r="K580" s="21" t="e">
        <f t="shared" ca="1" si="4"/>
        <v>#NAME?</v>
      </c>
      <c r="L580" s="24">
        <v>1971</v>
      </c>
      <c r="N580" s="21" t="s">
        <v>111</v>
      </c>
      <c r="O580" s="21" t="s">
        <v>112</v>
      </c>
      <c r="P580" s="26">
        <v>9849489908</v>
      </c>
      <c r="Q580" s="26" t="e">
        <f t="shared" ca="1" si="5"/>
        <v>#NAME?</v>
      </c>
      <c r="R580" s="21" t="s">
        <v>3799</v>
      </c>
      <c r="U580" s="21" t="s">
        <v>276</v>
      </c>
      <c r="V580" s="21" t="s">
        <v>276</v>
      </c>
    </row>
    <row r="581" spans="1:22" ht="15.75" customHeight="1" x14ac:dyDescent="0.3">
      <c r="A581" s="21">
        <v>2017</v>
      </c>
      <c r="B581" s="22"/>
      <c r="H581" s="21" t="s">
        <v>4790</v>
      </c>
      <c r="I581" s="21" t="s">
        <v>4791</v>
      </c>
      <c r="J581" s="21" t="s">
        <v>4792</v>
      </c>
      <c r="K581" s="21" t="e">
        <f t="shared" ca="1" si="4"/>
        <v>#NAME?</v>
      </c>
      <c r="L581" s="24">
        <v>2009</v>
      </c>
      <c r="N581" s="21" t="s">
        <v>111</v>
      </c>
      <c r="O581" s="21" t="s">
        <v>112</v>
      </c>
      <c r="P581" s="26">
        <v>8008064818</v>
      </c>
      <c r="Q581" s="26" t="e">
        <f t="shared" ca="1" si="5"/>
        <v>#NAME?</v>
      </c>
      <c r="R581" s="21" t="s">
        <v>188</v>
      </c>
      <c r="S581" s="21" t="s">
        <v>4793</v>
      </c>
      <c r="U581" s="21" t="s">
        <v>276</v>
      </c>
      <c r="V581" s="21" t="s">
        <v>276</v>
      </c>
    </row>
    <row r="582" spans="1:22" ht="15.75" customHeight="1" x14ac:dyDescent="0.3">
      <c r="A582" s="21">
        <v>2017</v>
      </c>
      <c r="B582" s="22"/>
      <c r="H582" s="21" t="s">
        <v>4795</v>
      </c>
      <c r="I582" s="21" t="s">
        <v>4796</v>
      </c>
      <c r="J582" s="21" t="s">
        <v>731</v>
      </c>
      <c r="K582" s="21" t="e">
        <f t="shared" ca="1" si="4"/>
        <v>#NAME?</v>
      </c>
      <c r="L582" s="24">
        <v>1951</v>
      </c>
      <c r="N582" s="21" t="s">
        <v>111</v>
      </c>
      <c r="O582" s="21" t="s">
        <v>112</v>
      </c>
      <c r="P582" s="26">
        <v>9441697852</v>
      </c>
      <c r="Q582" s="26" t="e">
        <f t="shared" ca="1" si="5"/>
        <v>#NAME?</v>
      </c>
      <c r="R582" s="21" t="s">
        <v>4797</v>
      </c>
      <c r="U582" s="21" t="s">
        <v>4798</v>
      </c>
      <c r="V582" s="21" t="s">
        <v>4798</v>
      </c>
    </row>
    <row r="583" spans="1:22" ht="15.75" customHeight="1" x14ac:dyDescent="0.3">
      <c r="A583" s="21">
        <v>2017</v>
      </c>
      <c r="B583" s="22"/>
      <c r="H583" s="21" t="s">
        <v>4799</v>
      </c>
      <c r="I583" s="21" t="s">
        <v>3004</v>
      </c>
      <c r="J583" s="21" t="s">
        <v>4800</v>
      </c>
      <c r="K583" s="21" t="e">
        <f t="shared" ca="1" si="4"/>
        <v>#NAME?</v>
      </c>
      <c r="L583" s="24">
        <v>1982</v>
      </c>
      <c r="N583" s="21" t="s">
        <v>111</v>
      </c>
      <c r="O583" s="21" t="s">
        <v>112</v>
      </c>
      <c r="P583" s="26">
        <v>9000377973</v>
      </c>
      <c r="Q583" s="26" t="e">
        <f t="shared" ca="1" si="5"/>
        <v>#NAME?</v>
      </c>
      <c r="R583" s="21" t="s">
        <v>188</v>
      </c>
      <c r="U583" s="21" t="s">
        <v>276</v>
      </c>
      <c r="V583" s="21" t="s">
        <v>276</v>
      </c>
    </row>
    <row r="584" spans="1:22" ht="15.75" customHeight="1" x14ac:dyDescent="0.3">
      <c r="A584" s="21">
        <v>2018</v>
      </c>
      <c r="B584" s="22"/>
      <c r="H584" s="21" t="s">
        <v>4801</v>
      </c>
      <c r="I584" s="21" t="s">
        <v>2544</v>
      </c>
      <c r="J584" s="21" t="s">
        <v>4802</v>
      </c>
      <c r="K584" s="21" t="e">
        <f t="shared" ca="1" si="4"/>
        <v>#NAME?</v>
      </c>
      <c r="L584" s="24">
        <v>1972</v>
      </c>
      <c r="N584" s="21" t="s">
        <v>111</v>
      </c>
      <c r="O584" s="21" t="s">
        <v>112</v>
      </c>
      <c r="P584" s="26">
        <v>7032054611</v>
      </c>
      <c r="Q584" s="26" t="e">
        <f t="shared" ca="1" si="5"/>
        <v>#NAME?</v>
      </c>
      <c r="R584" s="21" t="s">
        <v>188</v>
      </c>
      <c r="U584" s="21" t="s">
        <v>4803</v>
      </c>
      <c r="V584" s="21" t="s">
        <v>4803</v>
      </c>
    </row>
    <row r="585" spans="1:22" ht="15.75" customHeight="1" x14ac:dyDescent="0.3">
      <c r="A585" s="21">
        <v>2018</v>
      </c>
      <c r="B585" s="22"/>
      <c r="H585" s="21" t="s">
        <v>4804</v>
      </c>
      <c r="I585" s="21" t="s">
        <v>4805</v>
      </c>
      <c r="J585" s="21" t="s">
        <v>3297</v>
      </c>
      <c r="K585" s="21" t="e">
        <f t="shared" ca="1" si="4"/>
        <v>#NAME?</v>
      </c>
      <c r="L585" s="24">
        <v>1980</v>
      </c>
      <c r="N585" s="21" t="s">
        <v>111</v>
      </c>
      <c r="O585" s="21" t="s">
        <v>112</v>
      </c>
      <c r="P585" s="26">
        <v>9491349149</v>
      </c>
      <c r="Q585" s="26" t="e">
        <f t="shared" ca="1" si="5"/>
        <v>#NAME?</v>
      </c>
      <c r="R585" s="21" t="s">
        <v>188</v>
      </c>
      <c r="U585" s="21" t="s">
        <v>4806</v>
      </c>
      <c r="V585" s="21" t="s">
        <v>4806</v>
      </c>
    </row>
    <row r="586" spans="1:22" ht="15.75" customHeight="1" x14ac:dyDescent="0.3">
      <c r="A586" s="21">
        <v>2018</v>
      </c>
      <c r="B586" s="22"/>
      <c r="H586" s="21" t="s">
        <v>4807</v>
      </c>
      <c r="I586" s="21" t="s">
        <v>4808</v>
      </c>
      <c r="J586" s="21" t="s">
        <v>4809</v>
      </c>
      <c r="K586" s="21" t="e">
        <f t="shared" ca="1" si="4"/>
        <v>#NAME?</v>
      </c>
      <c r="L586" s="24">
        <v>1972</v>
      </c>
      <c r="N586" s="21" t="s">
        <v>111</v>
      </c>
      <c r="O586" s="21" t="s">
        <v>112</v>
      </c>
      <c r="P586" s="26">
        <v>9246556902</v>
      </c>
      <c r="Q586" s="26" t="e">
        <f t="shared" ca="1" si="5"/>
        <v>#NAME?</v>
      </c>
      <c r="R586" s="21" t="s">
        <v>2584</v>
      </c>
      <c r="U586" s="21" t="s">
        <v>276</v>
      </c>
      <c r="V586" s="21" t="s">
        <v>276</v>
      </c>
    </row>
    <row r="587" spans="1:22" ht="15.75" customHeight="1" x14ac:dyDescent="0.3">
      <c r="A587" s="21">
        <v>2018</v>
      </c>
      <c r="B587" s="22"/>
      <c r="H587" s="21" t="s">
        <v>4810</v>
      </c>
      <c r="I587" s="21" t="s">
        <v>4811</v>
      </c>
      <c r="J587" s="21" t="s">
        <v>4812</v>
      </c>
      <c r="K587" s="21" t="e">
        <f t="shared" ca="1" si="4"/>
        <v>#NAME?</v>
      </c>
      <c r="L587" s="24">
        <v>1966</v>
      </c>
      <c r="N587" s="21" t="s">
        <v>111</v>
      </c>
      <c r="O587" s="21" t="s">
        <v>112</v>
      </c>
      <c r="P587" s="26">
        <v>8790933872</v>
      </c>
      <c r="Q587" s="26" t="e">
        <f t="shared" ca="1" si="5"/>
        <v>#NAME?</v>
      </c>
      <c r="R587" s="21" t="s">
        <v>4813</v>
      </c>
      <c r="U587" s="21" t="s">
        <v>4814</v>
      </c>
      <c r="V587" s="21" t="s">
        <v>4814</v>
      </c>
    </row>
    <row r="588" spans="1:22" ht="15.75" customHeight="1" x14ac:dyDescent="0.3">
      <c r="A588" s="21">
        <v>2018</v>
      </c>
      <c r="B588" s="22"/>
      <c r="H588" s="21" t="s">
        <v>4815</v>
      </c>
      <c r="I588" s="21" t="s">
        <v>4816</v>
      </c>
      <c r="J588" s="21" t="s">
        <v>4817</v>
      </c>
      <c r="K588" s="21" t="e">
        <f t="shared" ca="1" si="4"/>
        <v>#NAME?</v>
      </c>
      <c r="L588" s="24">
        <v>1970</v>
      </c>
      <c r="N588" s="21" t="s">
        <v>111</v>
      </c>
      <c r="O588" s="21" t="s">
        <v>112</v>
      </c>
      <c r="P588" s="26">
        <v>9848021413</v>
      </c>
      <c r="Q588" s="26" t="e">
        <f t="shared" ca="1" si="5"/>
        <v>#NAME?</v>
      </c>
      <c r="R588" s="21" t="s">
        <v>3799</v>
      </c>
      <c r="U588" s="21" t="s">
        <v>4806</v>
      </c>
      <c r="V588" s="21" t="s">
        <v>4806</v>
      </c>
    </row>
    <row r="589" spans="1:22" ht="15.75" customHeight="1" x14ac:dyDescent="0.3">
      <c r="A589" s="21">
        <v>2018</v>
      </c>
      <c r="B589" s="22"/>
      <c r="H589" s="21" t="s">
        <v>4818</v>
      </c>
      <c r="I589" s="21" t="s">
        <v>4816</v>
      </c>
      <c r="J589" s="21" t="s">
        <v>4819</v>
      </c>
      <c r="K589" s="21" t="e">
        <f t="shared" ca="1" si="4"/>
        <v>#NAME?</v>
      </c>
      <c r="L589" s="24">
        <v>2010</v>
      </c>
      <c r="N589" s="21" t="s">
        <v>111</v>
      </c>
      <c r="O589" s="21" t="s">
        <v>112</v>
      </c>
      <c r="P589" s="26">
        <v>9121401419</v>
      </c>
      <c r="Q589" s="26" t="e">
        <f t="shared" ca="1" si="5"/>
        <v>#NAME?</v>
      </c>
      <c r="R589" s="21" t="s">
        <v>3799</v>
      </c>
      <c r="S589" s="21" t="s">
        <v>4820</v>
      </c>
      <c r="U589" s="21" t="s">
        <v>4806</v>
      </c>
      <c r="V589" s="21" t="s">
        <v>4806</v>
      </c>
    </row>
    <row r="590" spans="1:22" ht="15.75" customHeight="1" x14ac:dyDescent="0.3">
      <c r="A590" s="21">
        <v>2018</v>
      </c>
      <c r="B590" s="22"/>
      <c r="H590" s="21" t="s">
        <v>4821</v>
      </c>
      <c r="I590" s="21" t="s">
        <v>4548</v>
      </c>
      <c r="J590" s="21" t="s">
        <v>4415</v>
      </c>
      <c r="K590" s="21" t="e">
        <f t="shared" ca="1" si="4"/>
        <v>#NAME?</v>
      </c>
      <c r="L590" s="24">
        <v>1994</v>
      </c>
      <c r="N590" s="21" t="s">
        <v>111</v>
      </c>
      <c r="O590" s="21" t="s">
        <v>112</v>
      </c>
      <c r="P590" s="26">
        <v>9704013011</v>
      </c>
      <c r="Q590" s="26" t="e">
        <f t="shared" ca="1" si="5"/>
        <v>#NAME?</v>
      </c>
      <c r="R590" s="21" t="s">
        <v>3799</v>
      </c>
      <c r="U590" s="21" t="s">
        <v>2671</v>
      </c>
      <c r="V590" s="21" t="s">
        <v>2671</v>
      </c>
    </row>
    <row r="591" spans="1:22" ht="15.75" customHeight="1" x14ac:dyDescent="0.3">
      <c r="A591" s="21">
        <v>2019</v>
      </c>
      <c r="B591" s="22"/>
      <c r="H591" s="21" t="s">
        <v>4783</v>
      </c>
      <c r="I591" s="21" t="s">
        <v>3723</v>
      </c>
      <c r="J591" s="138" t="s">
        <v>4822</v>
      </c>
      <c r="K591" s="21" t="e">
        <f t="shared" ca="1" si="4"/>
        <v>#NAME?</v>
      </c>
      <c r="L591" s="24">
        <v>1975</v>
      </c>
      <c r="N591" s="21" t="s">
        <v>111</v>
      </c>
      <c r="O591" s="21" t="s">
        <v>112</v>
      </c>
      <c r="P591" s="26">
        <v>9849992608</v>
      </c>
      <c r="Q591" s="26" t="e">
        <f t="shared" ca="1" si="5"/>
        <v>#NAME?</v>
      </c>
      <c r="R591" s="21" t="s">
        <v>4785</v>
      </c>
      <c r="U591" s="21" t="s">
        <v>4823</v>
      </c>
      <c r="V591" s="21" t="s">
        <v>4823</v>
      </c>
    </row>
    <row r="592" spans="1:22" ht="15.75" customHeight="1" x14ac:dyDescent="0.3">
      <c r="A592" s="21">
        <v>2019</v>
      </c>
      <c r="B592" s="22"/>
      <c r="H592" s="21" t="s">
        <v>4824</v>
      </c>
      <c r="I592" s="21" t="s">
        <v>1287</v>
      </c>
      <c r="J592" s="21" t="s">
        <v>4825</v>
      </c>
      <c r="K592" s="21" t="e">
        <f t="shared" ca="1" si="4"/>
        <v>#NAME?</v>
      </c>
      <c r="L592" s="24">
        <v>1974</v>
      </c>
      <c r="N592" s="21" t="s">
        <v>111</v>
      </c>
      <c r="O592" s="21" t="s">
        <v>112</v>
      </c>
      <c r="P592" s="26">
        <v>9985098395</v>
      </c>
      <c r="Q592" s="26" t="e">
        <f t="shared" ca="1" si="5"/>
        <v>#NAME?</v>
      </c>
      <c r="R592" s="21" t="s">
        <v>188</v>
      </c>
      <c r="U592" s="21" t="s">
        <v>276</v>
      </c>
      <c r="V592" s="21" t="s">
        <v>276</v>
      </c>
    </row>
    <row r="593" spans="1:27" ht="15.75" customHeight="1" x14ac:dyDescent="0.3">
      <c r="A593" s="21">
        <v>2019</v>
      </c>
      <c r="B593" s="22"/>
      <c r="H593" s="21" t="s">
        <v>4752</v>
      </c>
      <c r="I593" s="21" t="s">
        <v>4753</v>
      </c>
      <c r="J593" s="21" t="s">
        <v>1071</v>
      </c>
      <c r="K593" s="21" t="e">
        <f t="shared" ca="1" si="4"/>
        <v>#NAME?</v>
      </c>
      <c r="L593" s="24">
        <v>1975</v>
      </c>
      <c r="N593" s="21" t="s">
        <v>111</v>
      </c>
      <c r="O593" s="21" t="s">
        <v>112</v>
      </c>
      <c r="P593" s="26">
        <v>9949054060</v>
      </c>
      <c r="Q593" s="26" t="e">
        <f t="shared" ca="1" si="5"/>
        <v>#NAME?</v>
      </c>
      <c r="R593" s="21" t="s">
        <v>4776</v>
      </c>
      <c r="U593" s="21" t="s">
        <v>393</v>
      </c>
      <c r="V593" s="21" t="s">
        <v>393</v>
      </c>
    </row>
    <row r="594" spans="1:27" ht="15.75" customHeight="1" x14ac:dyDescent="0.3">
      <c r="A594" s="21">
        <v>2019</v>
      </c>
      <c r="B594" s="22"/>
      <c r="H594" s="21" t="s">
        <v>4826</v>
      </c>
      <c r="I594" s="21" t="s">
        <v>4733</v>
      </c>
      <c r="J594" s="21" t="s">
        <v>4827</v>
      </c>
      <c r="K594" s="21" t="e">
        <f t="shared" ca="1" si="4"/>
        <v>#NAME?</v>
      </c>
      <c r="L594" s="24">
        <v>1946</v>
      </c>
      <c r="N594" s="21" t="s">
        <v>111</v>
      </c>
      <c r="O594" s="21" t="s">
        <v>112</v>
      </c>
      <c r="P594" s="26">
        <v>9441723716</v>
      </c>
      <c r="Q594" s="26" t="e">
        <f t="shared" ca="1" si="5"/>
        <v>#NAME?</v>
      </c>
      <c r="R594" s="21" t="s">
        <v>188</v>
      </c>
      <c r="U594" s="21" t="s">
        <v>276</v>
      </c>
      <c r="V594" s="21" t="s">
        <v>276</v>
      </c>
    </row>
    <row r="595" spans="1:27" ht="15.75" customHeight="1" x14ac:dyDescent="0.3">
      <c r="A595" s="21">
        <v>2019</v>
      </c>
      <c r="B595" s="22"/>
      <c r="H595" s="21" t="s">
        <v>4799</v>
      </c>
      <c r="I595" s="21" t="s">
        <v>3004</v>
      </c>
      <c r="J595" s="21" t="s">
        <v>4828</v>
      </c>
      <c r="K595" s="21" t="e">
        <f t="shared" ca="1" si="4"/>
        <v>#NAME?</v>
      </c>
      <c r="L595" s="24">
        <v>2010</v>
      </c>
      <c r="N595" s="21" t="s">
        <v>111</v>
      </c>
      <c r="O595" s="21" t="s">
        <v>112</v>
      </c>
      <c r="P595" s="26">
        <v>9000377973</v>
      </c>
      <c r="Q595" s="26" t="e">
        <f t="shared" ca="1" si="5"/>
        <v>#NAME?</v>
      </c>
      <c r="R595" s="21" t="s">
        <v>188</v>
      </c>
      <c r="S595" s="21" t="s">
        <v>4829</v>
      </c>
      <c r="U595" s="21" t="s">
        <v>276</v>
      </c>
      <c r="V595" s="21" t="s">
        <v>276</v>
      </c>
    </row>
    <row r="596" spans="1:27" ht="15.75" customHeight="1" x14ac:dyDescent="0.3">
      <c r="A596" s="21">
        <v>2019</v>
      </c>
      <c r="B596" s="22"/>
      <c r="H596" s="21" t="s">
        <v>4830</v>
      </c>
      <c r="I596" s="21" t="s">
        <v>1433</v>
      </c>
      <c r="J596" s="21" t="s">
        <v>4831</v>
      </c>
      <c r="K596" s="21" t="e">
        <f t="shared" ca="1" si="4"/>
        <v>#NAME?</v>
      </c>
      <c r="L596" s="24">
        <v>1966</v>
      </c>
      <c r="N596" s="21" t="s">
        <v>260</v>
      </c>
      <c r="O596" s="21" t="s">
        <v>4147</v>
      </c>
      <c r="P596" s="26">
        <v>7726614080</v>
      </c>
      <c r="Q596" s="26" t="e">
        <f t="shared" ca="1" si="5"/>
        <v>#NAME?</v>
      </c>
      <c r="R596" s="21" t="s">
        <v>4832</v>
      </c>
      <c r="S596" s="21" t="s">
        <v>4833</v>
      </c>
      <c r="U596" s="21" t="s">
        <v>4834</v>
      </c>
      <c r="V596" s="21" t="s">
        <v>4834</v>
      </c>
      <c r="W596" s="21" t="s">
        <v>1408</v>
      </c>
      <c r="X596" s="21" t="s">
        <v>179</v>
      </c>
      <c r="Y596" s="21" t="s">
        <v>179</v>
      </c>
    </row>
    <row r="597" spans="1:27" ht="15.75" customHeight="1" x14ac:dyDescent="0.3">
      <c r="A597" s="21">
        <v>2019</v>
      </c>
      <c r="B597" s="22"/>
      <c r="H597" s="21" t="s">
        <v>4835</v>
      </c>
      <c r="I597" s="21" t="s">
        <v>4836</v>
      </c>
      <c r="J597" s="21" t="s">
        <v>4837</v>
      </c>
      <c r="K597" s="21" t="e">
        <f t="shared" ca="1" si="4"/>
        <v>#NAME?</v>
      </c>
      <c r="L597" s="24">
        <v>1960</v>
      </c>
      <c r="N597" s="21" t="s">
        <v>474</v>
      </c>
      <c r="O597" s="21" t="s">
        <v>316</v>
      </c>
      <c r="P597" s="26">
        <v>8585396170</v>
      </c>
      <c r="Q597" s="26" t="e">
        <f t="shared" ca="1" si="5"/>
        <v>#NAME?</v>
      </c>
      <c r="R597" s="21" t="s">
        <v>4838</v>
      </c>
      <c r="U597" s="21" t="s">
        <v>2671</v>
      </c>
      <c r="V597" s="21" t="s">
        <v>2671</v>
      </c>
    </row>
    <row r="598" spans="1:27" ht="15.75" customHeight="1" x14ac:dyDescent="0.3">
      <c r="A598" s="21">
        <v>2021</v>
      </c>
      <c r="B598" s="22"/>
      <c r="H598" s="21" t="s">
        <v>4839</v>
      </c>
      <c r="I598" s="21" t="s">
        <v>821</v>
      </c>
      <c r="J598" s="21" t="s">
        <v>4840</v>
      </c>
      <c r="K598" s="21" t="e">
        <f t="shared" ca="1" si="4"/>
        <v>#NAME?</v>
      </c>
      <c r="L598" s="24">
        <v>1966</v>
      </c>
      <c r="N598" s="21" t="s">
        <v>111</v>
      </c>
      <c r="O598" s="21" t="s">
        <v>112</v>
      </c>
      <c r="P598" s="26">
        <v>8125002004</v>
      </c>
      <c r="Q598" s="26" t="e">
        <f t="shared" ca="1" si="5"/>
        <v>#NAME?</v>
      </c>
      <c r="R598" s="21" t="s">
        <v>188</v>
      </c>
      <c r="U598" s="21" t="s">
        <v>4841</v>
      </c>
      <c r="V598" s="21" t="s">
        <v>4841</v>
      </c>
    </row>
    <row r="599" spans="1:27" ht="15.75" customHeight="1" x14ac:dyDescent="0.3">
      <c r="A599" s="21">
        <v>2021</v>
      </c>
      <c r="B599" s="22"/>
      <c r="H599" s="21" t="s">
        <v>4842</v>
      </c>
      <c r="I599" s="21" t="s">
        <v>4844</v>
      </c>
      <c r="J599" s="21" t="s">
        <v>2988</v>
      </c>
      <c r="K599" s="21" t="e">
        <f t="shared" ca="1" si="4"/>
        <v>#NAME?</v>
      </c>
      <c r="L599" s="24">
        <v>1962</v>
      </c>
      <c r="N599" s="21" t="s">
        <v>111</v>
      </c>
      <c r="O599" s="21" t="s">
        <v>112</v>
      </c>
      <c r="P599" s="26">
        <v>9849455548</v>
      </c>
      <c r="Q599" s="26" t="e">
        <f t="shared" ca="1" si="5"/>
        <v>#NAME?</v>
      </c>
      <c r="R599" s="21" t="s">
        <v>188</v>
      </c>
      <c r="S599" s="21" t="s">
        <v>4846</v>
      </c>
      <c r="U599" s="21" t="s">
        <v>4847</v>
      </c>
      <c r="V599" s="21" t="s">
        <v>4847</v>
      </c>
    </row>
    <row r="600" spans="1:27" ht="15.75" customHeight="1" x14ac:dyDescent="0.3">
      <c r="A600" s="21">
        <v>2021</v>
      </c>
      <c r="B600" s="22"/>
      <c r="H600" s="21" t="s">
        <v>4848</v>
      </c>
      <c r="I600" s="21" t="s">
        <v>2987</v>
      </c>
      <c r="J600" s="21" t="s">
        <v>4840</v>
      </c>
      <c r="K600" s="21" t="e">
        <f t="shared" ca="1" si="4"/>
        <v>#NAME?</v>
      </c>
      <c r="L600" s="24">
        <v>1973</v>
      </c>
      <c r="N600" s="21" t="s">
        <v>111</v>
      </c>
      <c r="O600" s="21" t="s">
        <v>112</v>
      </c>
      <c r="P600" s="26">
        <v>8008302195</v>
      </c>
      <c r="Q600" s="26" t="e">
        <f t="shared" ca="1" si="5"/>
        <v>#NAME?</v>
      </c>
      <c r="R600" s="21" t="s">
        <v>188</v>
      </c>
      <c r="U600" s="21" t="s">
        <v>4849</v>
      </c>
      <c r="V600" s="21" t="s">
        <v>4849</v>
      </c>
    </row>
    <row r="601" spans="1:27" ht="15.75" customHeight="1" x14ac:dyDescent="0.3">
      <c r="A601" s="21">
        <v>2021</v>
      </c>
      <c r="B601" s="22"/>
      <c r="H601" s="21" t="s">
        <v>4850</v>
      </c>
      <c r="I601" s="21" t="s">
        <v>4505</v>
      </c>
      <c r="J601" s="21" t="s">
        <v>4851</v>
      </c>
      <c r="K601" s="21" t="e">
        <f t="shared" ca="1" si="4"/>
        <v>#NAME?</v>
      </c>
      <c r="L601" s="24">
        <v>1976</v>
      </c>
      <c r="N601" s="21" t="s">
        <v>111</v>
      </c>
      <c r="O601" s="21" t="s">
        <v>112</v>
      </c>
      <c r="P601" s="26">
        <v>9491235028</v>
      </c>
      <c r="Q601" s="26" t="e">
        <f t="shared" ca="1" si="5"/>
        <v>#NAME?</v>
      </c>
      <c r="R601" s="21" t="s">
        <v>724</v>
      </c>
      <c r="U601" s="21" t="s">
        <v>4457</v>
      </c>
      <c r="V601" s="21" t="s">
        <v>4457</v>
      </c>
    </row>
    <row r="602" spans="1:27" ht="15.75" customHeight="1" x14ac:dyDescent="0.3">
      <c r="A602" s="21">
        <v>2021</v>
      </c>
      <c r="B602" s="22"/>
      <c r="H602" s="21" t="s">
        <v>4852</v>
      </c>
      <c r="I602" s="21" t="s">
        <v>937</v>
      </c>
      <c r="J602" s="21" t="s">
        <v>4853</v>
      </c>
      <c r="K602" s="21" t="e">
        <f t="shared" ca="1" si="4"/>
        <v>#NAME?</v>
      </c>
      <c r="L602" s="24">
        <v>1973</v>
      </c>
      <c r="N602" s="21" t="s">
        <v>111</v>
      </c>
      <c r="O602" s="21" t="s">
        <v>112</v>
      </c>
      <c r="P602" s="26">
        <v>9618240243</v>
      </c>
      <c r="Q602" s="26" t="e">
        <f t="shared" ca="1" si="5"/>
        <v>#NAME?</v>
      </c>
      <c r="R602" s="21" t="s">
        <v>188</v>
      </c>
      <c r="U602" s="21" t="s">
        <v>4778</v>
      </c>
      <c r="V602" s="21" t="s">
        <v>4778</v>
      </c>
    </row>
    <row r="603" spans="1:27" ht="15.75" customHeight="1" x14ac:dyDescent="0.3">
      <c r="A603" s="21">
        <v>2021</v>
      </c>
      <c r="B603" s="22"/>
      <c r="H603" s="21" t="s">
        <v>4854</v>
      </c>
      <c r="I603" s="21" t="s">
        <v>937</v>
      </c>
      <c r="J603" s="21" t="s">
        <v>4855</v>
      </c>
      <c r="K603" s="21" t="e">
        <f t="shared" ca="1" si="4"/>
        <v>#NAME?</v>
      </c>
      <c r="L603" s="24">
        <v>1966</v>
      </c>
      <c r="N603" s="21" t="s">
        <v>111</v>
      </c>
      <c r="O603" s="21" t="s">
        <v>112</v>
      </c>
      <c r="P603" s="26">
        <v>9603135460</v>
      </c>
      <c r="Q603" s="26" t="e">
        <f t="shared" ca="1" si="5"/>
        <v>#NAME?</v>
      </c>
      <c r="R603" s="21" t="s">
        <v>715</v>
      </c>
      <c r="U603" s="21" t="s">
        <v>4778</v>
      </c>
      <c r="V603" s="21" t="s">
        <v>4778</v>
      </c>
    </row>
    <row r="604" spans="1:27" ht="15.75" customHeight="1" x14ac:dyDescent="0.3">
      <c r="A604" s="21">
        <v>2021</v>
      </c>
      <c r="B604" s="22"/>
      <c r="H604" s="21" t="s">
        <v>4856</v>
      </c>
      <c r="I604" s="21" t="s">
        <v>4811</v>
      </c>
      <c r="J604" s="21" t="s">
        <v>718</v>
      </c>
      <c r="K604" s="21" t="e">
        <f t="shared" ca="1" si="4"/>
        <v>#NAME?</v>
      </c>
      <c r="L604" s="24">
        <v>1963</v>
      </c>
      <c r="N604" s="21" t="s">
        <v>111</v>
      </c>
      <c r="O604" s="21" t="s">
        <v>112</v>
      </c>
      <c r="P604" s="26">
        <v>9969227612</v>
      </c>
      <c r="Q604" s="26" t="e">
        <f t="shared" ca="1" si="5"/>
        <v>#NAME?</v>
      </c>
      <c r="R604" s="21" t="s">
        <v>4857</v>
      </c>
      <c r="S604" s="21" t="s">
        <v>4858</v>
      </c>
      <c r="U604" s="21" t="s">
        <v>4859</v>
      </c>
      <c r="V604" s="21" t="s">
        <v>4859</v>
      </c>
    </row>
    <row r="605" spans="1:27" ht="15.75" customHeight="1" x14ac:dyDescent="0.3">
      <c r="A605" s="21">
        <v>2021</v>
      </c>
      <c r="B605" s="22"/>
      <c r="H605" s="21" t="s">
        <v>4860</v>
      </c>
      <c r="I605" s="21" t="s">
        <v>4861</v>
      </c>
      <c r="J605" s="21" t="s">
        <v>4862</v>
      </c>
      <c r="K605" s="21" t="e">
        <f t="shared" ca="1" si="4"/>
        <v>#NAME?</v>
      </c>
      <c r="L605" s="24">
        <v>2008</v>
      </c>
      <c r="N605" s="21" t="s">
        <v>111</v>
      </c>
      <c r="O605" s="21" t="s">
        <v>112</v>
      </c>
      <c r="P605" s="26">
        <v>9849348898</v>
      </c>
      <c r="Q605" s="26" t="e">
        <f t="shared" ca="1" si="5"/>
        <v>#NAME?</v>
      </c>
      <c r="R605" s="21" t="s">
        <v>715</v>
      </c>
      <c r="S605" s="21" t="s">
        <v>4863</v>
      </c>
      <c r="U605" s="21" t="s">
        <v>2671</v>
      </c>
      <c r="V605" s="21" t="s">
        <v>2671</v>
      </c>
    </row>
    <row r="606" spans="1:27" ht="15.75" customHeight="1" x14ac:dyDescent="0.3">
      <c r="A606" s="21">
        <v>2021</v>
      </c>
      <c r="B606" s="22"/>
      <c r="H606" s="21" t="s">
        <v>4864</v>
      </c>
      <c r="I606" s="21" t="s">
        <v>4865</v>
      </c>
      <c r="J606" s="21" t="s">
        <v>4866</v>
      </c>
      <c r="K606" s="21" t="e">
        <f t="shared" ca="1" si="4"/>
        <v>#NAME?</v>
      </c>
      <c r="L606" s="24">
        <v>2009</v>
      </c>
      <c r="N606" s="21" t="s">
        <v>111</v>
      </c>
      <c r="O606" s="21" t="s">
        <v>112</v>
      </c>
      <c r="P606" s="26">
        <v>9293941213</v>
      </c>
      <c r="Q606" s="26" t="e">
        <f t="shared" ca="1" si="5"/>
        <v>#NAME?</v>
      </c>
      <c r="R606" s="21" t="s">
        <v>4867</v>
      </c>
      <c r="S606" s="21" t="s">
        <v>4868</v>
      </c>
      <c r="U606" s="21" t="s">
        <v>4869</v>
      </c>
      <c r="V606" s="21" t="s">
        <v>4869</v>
      </c>
      <c r="W606" s="21" t="s">
        <v>488</v>
      </c>
      <c r="X606" s="21" t="s">
        <v>179</v>
      </c>
      <c r="Y606" s="21" t="s">
        <v>179</v>
      </c>
      <c r="Z606" s="21" t="s">
        <v>4870</v>
      </c>
      <c r="AA606" s="21" t="s">
        <v>4871</v>
      </c>
    </row>
    <row r="607" spans="1:27" ht="15.75" customHeight="1" x14ac:dyDescent="0.3">
      <c r="A607" s="21">
        <v>2021</v>
      </c>
      <c r="B607" s="22"/>
      <c r="H607" s="21" t="s">
        <v>4872</v>
      </c>
      <c r="I607" s="21" t="s">
        <v>4873</v>
      </c>
      <c r="J607" s="21" t="s">
        <v>4874</v>
      </c>
      <c r="K607" s="21" t="e">
        <f t="shared" ca="1" si="4"/>
        <v>#NAME?</v>
      </c>
      <c r="L607" s="24">
        <v>2005</v>
      </c>
      <c r="N607" s="21" t="s">
        <v>111</v>
      </c>
      <c r="O607" s="21" t="s">
        <v>112</v>
      </c>
      <c r="P607" s="26">
        <v>9908622217</v>
      </c>
      <c r="Q607" s="26" t="e">
        <f t="shared" ca="1" si="5"/>
        <v>#NAME?</v>
      </c>
      <c r="R607" s="21" t="s">
        <v>485</v>
      </c>
      <c r="S607" s="21" t="s">
        <v>4875</v>
      </c>
      <c r="U607" s="21" t="s">
        <v>4457</v>
      </c>
      <c r="V607" s="21" t="s">
        <v>4457</v>
      </c>
    </row>
    <row r="608" spans="1:27" ht="15.75" customHeight="1" x14ac:dyDescent="0.3">
      <c r="A608" s="21">
        <v>2021</v>
      </c>
      <c r="B608" s="22"/>
      <c r="H608" s="21" t="s">
        <v>890</v>
      </c>
      <c r="I608" s="21" t="s">
        <v>4876</v>
      </c>
      <c r="J608" s="21" t="s">
        <v>4877</v>
      </c>
      <c r="K608" s="21" t="e">
        <f t="shared" ca="1" si="4"/>
        <v>#NAME?</v>
      </c>
      <c r="L608" s="24">
        <v>1985</v>
      </c>
      <c r="N608" s="21" t="s">
        <v>111</v>
      </c>
      <c r="O608" s="21" t="s">
        <v>112</v>
      </c>
      <c r="P608" s="26">
        <v>9494858601</v>
      </c>
      <c r="Q608" s="26" t="e">
        <f t="shared" ca="1" si="5"/>
        <v>#NAME?</v>
      </c>
      <c r="R608" s="21" t="s">
        <v>485</v>
      </c>
      <c r="S608" s="21" t="s">
        <v>4878</v>
      </c>
      <c r="U608" s="21" t="s">
        <v>4879</v>
      </c>
      <c r="V608" s="21" t="s">
        <v>4879</v>
      </c>
      <c r="W608" s="21" t="s">
        <v>1135</v>
      </c>
      <c r="X608" s="21" t="s">
        <v>179</v>
      </c>
      <c r="Y608" s="21" t="s">
        <v>179</v>
      </c>
      <c r="Z608" s="21" t="s">
        <v>4880</v>
      </c>
      <c r="AA608" s="21" t="s">
        <v>4881</v>
      </c>
    </row>
    <row r="609" spans="1:22" ht="15.75" customHeight="1" x14ac:dyDescent="0.3">
      <c r="A609" s="21">
        <v>2021</v>
      </c>
      <c r="B609" s="22"/>
      <c r="H609" s="21" t="s">
        <v>4882</v>
      </c>
      <c r="I609" s="21" t="s">
        <v>4883</v>
      </c>
      <c r="J609" s="21" t="s">
        <v>4884</v>
      </c>
      <c r="K609" s="21" t="e">
        <f t="shared" ca="1" si="4"/>
        <v>#NAME?</v>
      </c>
      <c r="L609" s="24">
        <v>2008</v>
      </c>
      <c r="N609" s="21" t="s">
        <v>111</v>
      </c>
      <c r="O609" s="21" t="s">
        <v>112</v>
      </c>
      <c r="P609" s="26">
        <v>7816041584</v>
      </c>
      <c r="Q609" s="26" t="e">
        <f t="shared" ca="1" si="5"/>
        <v>#NAME?</v>
      </c>
      <c r="R609" s="21" t="s">
        <v>715</v>
      </c>
      <c r="U609" s="21" t="s">
        <v>2671</v>
      </c>
      <c r="V609" s="21" t="s">
        <v>2671</v>
      </c>
    </row>
    <row r="610" spans="1:22" ht="15.75" customHeight="1" x14ac:dyDescent="0.3">
      <c r="A610" s="21">
        <v>2021</v>
      </c>
      <c r="B610" s="22"/>
      <c r="H610" s="21" t="s">
        <v>493</v>
      </c>
      <c r="I610" s="21" t="s">
        <v>494</v>
      </c>
      <c r="J610" s="21" t="s">
        <v>4885</v>
      </c>
      <c r="K610" s="21" t="e">
        <f t="shared" ca="1" si="4"/>
        <v>#NAME?</v>
      </c>
      <c r="L610" s="24">
        <v>2010</v>
      </c>
      <c r="N610" s="21" t="s">
        <v>111</v>
      </c>
      <c r="O610" s="21" t="s">
        <v>112</v>
      </c>
      <c r="P610" s="26">
        <v>9885981818</v>
      </c>
      <c r="Q610" s="26" t="e">
        <f t="shared" ca="1" si="5"/>
        <v>#NAME?</v>
      </c>
      <c r="R610" s="21" t="s">
        <v>4813</v>
      </c>
      <c r="S610" s="21" t="s">
        <v>4887</v>
      </c>
      <c r="U610" s="21" t="s">
        <v>4806</v>
      </c>
      <c r="V610" s="21" t="s">
        <v>4806</v>
      </c>
    </row>
    <row r="611" spans="1:22" ht="15.75" customHeight="1" x14ac:dyDescent="0.3">
      <c r="A611" s="21">
        <v>2021</v>
      </c>
      <c r="B611" s="22"/>
      <c r="H611" s="21" t="s">
        <v>4890</v>
      </c>
      <c r="I611" s="21" t="s">
        <v>4891</v>
      </c>
      <c r="J611" s="21" t="s">
        <v>4184</v>
      </c>
      <c r="K611" s="21" t="e">
        <f t="shared" ca="1" si="4"/>
        <v>#NAME?</v>
      </c>
      <c r="L611" s="24">
        <v>1975</v>
      </c>
      <c r="N611" s="21" t="s">
        <v>111</v>
      </c>
      <c r="O611" s="21" t="s">
        <v>112</v>
      </c>
      <c r="P611" s="26">
        <v>9676983737</v>
      </c>
      <c r="Q611" s="26" t="e">
        <f t="shared" ca="1" si="5"/>
        <v>#NAME?</v>
      </c>
      <c r="R611" s="21" t="s">
        <v>118</v>
      </c>
      <c r="U611" s="21" t="s">
        <v>276</v>
      </c>
      <c r="V611" s="21" t="s">
        <v>276</v>
      </c>
    </row>
    <row r="612" spans="1:22" ht="15.75" customHeight="1" x14ac:dyDescent="0.3">
      <c r="A612" s="21">
        <v>2021</v>
      </c>
      <c r="B612" s="22"/>
      <c r="H612" s="21" t="s">
        <v>4841</v>
      </c>
      <c r="I612" s="21" t="s">
        <v>4892</v>
      </c>
      <c r="J612" s="21" t="s">
        <v>4893</v>
      </c>
      <c r="K612" s="21" t="e">
        <f t="shared" ca="1" si="4"/>
        <v>#NAME?</v>
      </c>
      <c r="L612" s="24">
        <v>1955</v>
      </c>
      <c r="N612" s="21" t="s">
        <v>111</v>
      </c>
      <c r="O612" s="21" t="s">
        <v>112</v>
      </c>
      <c r="P612" s="26">
        <v>9618034994</v>
      </c>
      <c r="Q612" s="26" t="e">
        <f t="shared" ca="1" si="5"/>
        <v>#NAME?</v>
      </c>
      <c r="R612" s="21" t="s">
        <v>188</v>
      </c>
      <c r="U612" s="21" t="s">
        <v>4778</v>
      </c>
      <c r="V612" s="21" t="s">
        <v>4778</v>
      </c>
    </row>
    <row r="613" spans="1:22" ht="15.75" customHeight="1" x14ac:dyDescent="0.3">
      <c r="A613" s="21">
        <v>2021</v>
      </c>
      <c r="B613" s="22"/>
      <c r="H613" s="21" t="s">
        <v>4894</v>
      </c>
      <c r="I613" s="21" t="s">
        <v>4895</v>
      </c>
      <c r="J613" s="21" t="s">
        <v>2221</v>
      </c>
      <c r="K613" s="21" t="e">
        <f t="shared" ca="1" si="4"/>
        <v>#NAME?</v>
      </c>
      <c r="L613" s="24">
        <v>1967</v>
      </c>
      <c r="N613" s="21" t="s">
        <v>111</v>
      </c>
      <c r="O613" s="21" t="s">
        <v>112</v>
      </c>
      <c r="P613" s="26">
        <v>9912111027</v>
      </c>
      <c r="Q613" s="26" t="e">
        <f t="shared" ca="1" si="5"/>
        <v>#NAME?</v>
      </c>
      <c r="R613" s="21" t="s">
        <v>4896</v>
      </c>
      <c r="U613" s="21" t="s">
        <v>4778</v>
      </c>
      <c r="V613" s="21" t="s">
        <v>4778</v>
      </c>
    </row>
    <row r="614" spans="1:22" ht="15.75" customHeight="1" x14ac:dyDescent="0.3">
      <c r="A614" s="21">
        <v>2021</v>
      </c>
      <c r="B614" s="22"/>
      <c r="H614" s="21" t="s">
        <v>4841</v>
      </c>
      <c r="I614" s="21" t="s">
        <v>4897</v>
      </c>
      <c r="J614" s="21" t="s">
        <v>4898</v>
      </c>
      <c r="K614" s="21" t="e">
        <f t="shared" ca="1" si="4"/>
        <v>#NAME?</v>
      </c>
      <c r="L614" s="24">
        <v>1960</v>
      </c>
      <c r="N614" s="21" t="s">
        <v>111</v>
      </c>
      <c r="O614" s="21" t="s">
        <v>112</v>
      </c>
      <c r="P614" s="26">
        <v>9912221966</v>
      </c>
      <c r="Q614" s="26" t="e">
        <f t="shared" ca="1" si="5"/>
        <v>#NAME?</v>
      </c>
      <c r="R614" s="21" t="s">
        <v>4899</v>
      </c>
      <c r="S614" s="21" t="s">
        <v>4900</v>
      </c>
      <c r="U614" s="21" t="s">
        <v>4457</v>
      </c>
      <c r="V614" s="21" t="s">
        <v>4457</v>
      </c>
    </row>
    <row r="615" spans="1:22" ht="15.75" customHeight="1" x14ac:dyDescent="0.3">
      <c r="A615" s="21">
        <v>2021</v>
      </c>
      <c r="B615" s="22"/>
      <c r="H615" s="21" t="s">
        <v>4901</v>
      </c>
      <c r="I615" s="21" t="s">
        <v>4902</v>
      </c>
      <c r="J615" s="21" t="s">
        <v>4903</v>
      </c>
      <c r="K615" s="21" t="e">
        <f t="shared" ca="1" si="4"/>
        <v>#NAME?</v>
      </c>
      <c r="L615" s="24">
        <v>2007</v>
      </c>
      <c r="N615" s="21" t="s">
        <v>111</v>
      </c>
      <c r="O615" s="21" t="s">
        <v>112</v>
      </c>
      <c r="P615" s="26">
        <v>8309883120</v>
      </c>
      <c r="Q615" s="26" t="e">
        <f t="shared" ca="1" si="5"/>
        <v>#NAME?</v>
      </c>
      <c r="R615" s="21" t="s">
        <v>4797</v>
      </c>
      <c r="S615" s="21" t="s">
        <v>4904</v>
      </c>
      <c r="U615" s="21" t="s">
        <v>4457</v>
      </c>
      <c r="V615" s="21" t="s">
        <v>4457</v>
      </c>
    </row>
    <row r="616" spans="1:22" ht="15.75" customHeight="1" x14ac:dyDescent="0.3">
      <c r="A616" s="21">
        <v>2021</v>
      </c>
      <c r="B616" s="22"/>
      <c r="H616" s="21" t="s">
        <v>4905</v>
      </c>
      <c r="I616" s="21" t="s">
        <v>4906</v>
      </c>
      <c r="J616" s="21" t="s">
        <v>1759</v>
      </c>
      <c r="K616" s="21" t="e">
        <f t="shared" ca="1" si="4"/>
        <v>#NAME?</v>
      </c>
      <c r="L616" s="24">
        <v>1973</v>
      </c>
      <c r="N616" s="21" t="s">
        <v>111</v>
      </c>
      <c r="O616" s="21" t="s">
        <v>112</v>
      </c>
      <c r="P616" s="26">
        <v>8328271521</v>
      </c>
      <c r="Q616" s="26" t="e">
        <f t="shared" ca="1" si="5"/>
        <v>#NAME?</v>
      </c>
      <c r="R616" s="21" t="s">
        <v>4907</v>
      </c>
      <c r="S616" s="21" t="s">
        <v>4908</v>
      </c>
      <c r="U616" s="21" t="s">
        <v>276</v>
      </c>
      <c r="V616" s="21" t="s">
        <v>276</v>
      </c>
    </row>
    <row r="617" spans="1:22" ht="15.75" customHeight="1" x14ac:dyDescent="0.3">
      <c r="A617" s="21">
        <v>2021</v>
      </c>
      <c r="B617" s="22"/>
      <c r="H617" s="21" t="s">
        <v>4909</v>
      </c>
      <c r="I617" s="21" t="s">
        <v>4910</v>
      </c>
      <c r="J617" s="21" t="s">
        <v>2820</v>
      </c>
      <c r="K617" s="21" t="e">
        <f t="shared" ca="1" si="4"/>
        <v>#NAME?</v>
      </c>
      <c r="L617" s="24">
        <v>1975</v>
      </c>
      <c r="N617" s="21" t="s">
        <v>111</v>
      </c>
      <c r="O617" s="21" t="s">
        <v>112</v>
      </c>
      <c r="P617" s="26">
        <v>9998871717</v>
      </c>
      <c r="Q617" s="26" t="e">
        <f t="shared" ca="1" si="5"/>
        <v>#NAME?</v>
      </c>
      <c r="R617" s="21" t="s">
        <v>118</v>
      </c>
      <c r="S617" s="21" t="s">
        <v>4911</v>
      </c>
      <c r="U617" s="21" t="s">
        <v>4912</v>
      </c>
      <c r="V617" s="21" t="s">
        <v>4912</v>
      </c>
    </row>
    <row r="618" spans="1:22" ht="15.75" customHeight="1" x14ac:dyDescent="0.3">
      <c r="A618" s="21">
        <v>2021</v>
      </c>
      <c r="B618" s="22"/>
      <c r="H618" s="21" t="s">
        <v>4913</v>
      </c>
      <c r="I618" s="21" t="s">
        <v>2044</v>
      </c>
      <c r="J618" s="21" t="s">
        <v>4914</v>
      </c>
      <c r="K618" s="21" t="e">
        <f t="shared" ca="1" si="4"/>
        <v>#NAME?</v>
      </c>
      <c r="L618" s="24">
        <v>2005</v>
      </c>
      <c r="N618" s="21" t="s">
        <v>111</v>
      </c>
      <c r="O618" s="21" t="s">
        <v>112</v>
      </c>
      <c r="P618" s="26">
        <v>8309925915</v>
      </c>
      <c r="Q618" s="26" t="e">
        <f t="shared" ca="1" si="5"/>
        <v>#NAME?</v>
      </c>
      <c r="R618" s="21" t="s">
        <v>4915</v>
      </c>
      <c r="S618" s="21" t="s">
        <v>4916</v>
      </c>
      <c r="U618" s="21" t="s">
        <v>4778</v>
      </c>
      <c r="V618" s="21" t="s">
        <v>4778</v>
      </c>
    </row>
    <row r="619" spans="1:22" ht="15.75" customHeight="1" x14ac:dyDescent="0.3">
      <c r="A619" s="21">
        <v>2021</v>
      </c>
      <c r="B619" s="22"/>
      <c r="H619" s="21" t="s">
        <v>4917</v>
      </c>
      <c r="I619" s="21" t="s">
        <v>4918</v>
      </c>
      <c r="J619" s="21" t="s">
        <v>281</v>
      </c>
      <c r="K619" s="21" t="e">
        <f t="shared" ca="1" si="4"/>
        <v>#NAME?</v>
      </c>
      <c r="L619" s="24">
        <v>1973</v>
      </c>
      <c r="N619" s="21" t="s">
        <v>111</v>
      </c>
      <c r="O619" s="21" t="s">
        <v>112</v>
      </c>
      <c r="P619" s="26">
        <v>8008348494</v>
      </c>
      <c r="Q619" s="26" t="e">
        <f t="shared" ca="1" si="5"/>
        <v>#NAME?</v>
      </c>
      <c r="R619" s="21" t="s">
        <v>188</v>
      </c>
      <c r="U619" s="21" t="s">
        <v>276</v>
      </c>
      <c r="V619" s="21" t="s">
        <v>276</v>
      </c>
    </row>
    <row r="620" spans="1:22" ht="15.75" customHeight="1" x14ac:dyDescent="0.3">
      <c r="A620" s="21">
        <v>2021</v>
      </c>
      <c r="B620" s="22"/>
      <c r="H620" s="21" t="s">
        <v>4919</v>
      </c>
      <c r="I620" s="21" t="s">
        <v>4920</v>
      </c>
      <c r="J620" s="21" t="s">
        <v>4921</v>
      </c>
      <c r="K620" s="21" t="e">
        <f t="shared" ca="1" si="4"/>
        <v>#NAME?</v>
      </c>
      <c r="L620" s="24">
        <v>1975</v>
      </c>
      <c r="N620" s="21" t="s">
        <v>111</v>
      </c>
      <c r="O620" s="21" t="s">
        <v>112</v>
      </c>
      <c r="P620" s="26">
        <v>9849984452</v>
      </c>
      <c r="Q620" s="26" t="e">
        <f t="shared" ca="1" si="5"/>
        <v>#NAME?</v>
      </c>
      <c r="R620" s="21" t="s">
        <v>4922</v>
      </c>
      <c r="S620" s="21" t="s">
        <v>4923</v>
      </c>
      <c r="U620" s="21" t="s">
        <v>4924</v>
      </c>
      <c r="V620" s="21" t="s">
        <v>4924</v>
      </c>
    </row>
    <row r="621" spans="1:22" ht="15.75" customHeight="1" x14ac:dyDescent="0.3">
      <c r="A621" s="21">
        <v>2021</v>
      </c>
      <c r="B621" s="22"/>
      <c r="H621" s="21" t="s">
        <v>4925</v>
      </c>
      <c r="I621" s="21" t="s">
        <v>4811</v>
      </c>
      <c r="J621" s="21" t="s">
        <v>4926</v>
      </c>
      <c r="K621" s="21" t="e">
        <f t="shared" ca="1" si="4"/>
        <v>#NAME?</v>
      </c>
      <c r="L621" s="24">
        <v>2013</v>
      </c>
      <c r="N621" s="21" t="s">
        <v>111</v>
      </c>
      <c r="O621" s="21" t="s">
        <v>112</v>
      </c>
      <c r="P621" s="26">
        <v>9951531441</v>
      </c>
      <c r="Q621" s="26" t="e">
        <f t="shared" ca="1" si="5"/>
        <v>#NAME?</v>
      </c>
      <c r="R621" s="21" t="s">
        <v>4927</v>
      </c>
      <c r="S621" s="21" t="s">
        <v>4928</v>
      </c>
      <c r="U621" s="21" t="s">
        <v>4814</v>
      </c>
      <c r="V621" s="21" t="s">
        <v>4814</v>
      </c>
    </row>
    <row r="622" spans="1:22" ht="15.75" customHeight="1" x14ac:dyDescent="0.3">
      <c r="A622" s="21">
        <v>2021</v>
      </c>
      <c r="B622" s="22"/>
      <c r="H622" s="21" t="s">
        <v>4925</v>
      </c>
      <c r="I622" s="21" t="s">
        <v>4811</v>
      </c>
      <c r="J622" s="138" t="s">
        <v>2659</v>
      </c>
      <c r="K622" s="21" t="e">
        <f t="shared" ca="1" si="4"/>
        <v>#NAME?</v>
      </c>
      <c r="L622" s="24">
        <v>1954</v>
      </c>
      <c r="N622" s="21" t="s">
        <v>111</v>
      </c>
      <c r="O622" s="21" t="s">
        <v>112</v>
      </c>
      <c r="P622" s="26">
        <v>9951531441</v>
      </c>
      <c r="Q622" s="26" t="e">
        <f t="shared" ca="1" si="5"/>
        <v>#NAME?</v>
      </c>
      <c r="R622" s="21" t="s">
        <v>4927</v>
      </c>
      <c r="S622" s="21" t="s">
        <v>4929</v>
      </c>
      <c r="U622" s="21" t="s">
        <v>4814</v>
      </c>
      <c r="V622" s="21" t="s">
        <v>4814</v>
      </c>
    </row>
    <row r="623" spans="1:22" ht="15.75" customHeight="1" x14ac:dyDescent="0.3">
      <c r="A623" s="21">
        <v>2021</v>
      </c>
      <c r="B623" s="22"/>
      <c r="H623" s="21" t="s">
        <v>4856</v>
      </c>
      <c r="I623" s="21" t="s">
        <v>4811</v>
      </c>
      <c r="J623" s="21" t="s">
        <v>4840</v>
      </c>
      <c r="K623" s="21" t="e">
        <f t="shared" ca="1" si="4"/>
        <v>#NAME?</v>
      </c>
      <c r="L623" s="24">
        <v>1971</v>
      </c>
      <c r="N623" s="21" t="s">
        <v>111</v>
      </c>
      <c r="O623" s="21" t="s">
        <v>112</v>
      </c>
      <c r="P623" s="26">
        <v>9885774264</v>
      </c>
      <c r="Q623" s="26" t="e">
        <f t="shared" ca="1" si="5"/>
        <v>#NAME?</v>
      </c>
      <c r="R623" s="21" t="s">
        <v>4930</v>
      </c>
      <c r="S623" s="21" t="s">
        <v>4858</v>
      </c>
      <c r="U623" s="21" t="s">
        <v>4814</v>
      </c>
      <c r="V623" s="21" t="s">
        <v>4814</v>
      </c>
    </row>
    <row r="624" spans="1:22" ht="15.75" customHeight="1" x14ac:dyDescent="0.3">
      <c r="A624" s="21">
        <v>2021</v>
      </c>
      <c r="B624" s="22"/>
      <c r="H624" s="21" t="s">
        <v>4931</v>
      </c>
      <c r="I624" s="21" t="s">
        <v>4811</v>
      </c>
      <c r="J624" s="138" t="s">
        <v>4932</v>
      </c>
      <c r="K624" s="21" t="e">
        <f t="shared" ca="1" si="4"/>
        <v>#NAME?</v>
      </c>
      <c r="L624" s="24">
        <v>1962</v>
      </c>
      <c r="N624" s="21" t="s">
        <v>111</v>
      </c>
      <c r="O624" s="21" t="s">
        <v>112</v>
      </c>
      <c r="P624" s="26">
        <v>9885339659</v>
      </c>
      <c r="Q624" s="26" t="e">
        <f t="shared" ca="1" si="5"/>
        <v>#NAME?</v>
      </c>
      <c r="R624" s="21" t="s">
        <v>4933</v>
      </c>
      <c r="S624" s="21" t="s">
        <v>4934</v>
      </c>
      <c r="U624" s="21" t="s">
        <v>4859</v>
      </c>
      <c r="V624" s="21" t="s">
        <v>4859</v>
      </c>
    </row>
    <row r="625" spans="1:27" ht="15.75" customHeight="1" x14ac:dyDescent="0.3">
      <c r="A625" s="21">
        <v>2021</v>
      </c>
      <c r="B625" s="22"/>
      <c r="H625" s="21" t="s">
        <v>4935</v>
      </c>
      <c r="I625" s="21" t="s">
        <v>4811</v>
      </c>
      <c r="J625" s="21" t="s">
        <v>4936</v>
      </c>
      <c r="K625" s="21" t="e">
        <f t="shared" ca="1" si="4"/>
        <v>#NAME?</v>
      </c>
      <c r="L625" s="24">
        <v>1998</v>
      </c>
      <c r="N625" s="21" t="s">
        <v>111</v>
      </c>
      <c r="O625" s="21" t="s">
        <v>112</v>
      </c>
      <c r="P625" s="26">
        <v>9866297159</v>
      </c>
      <c r="Q625" s="26" t="e">
        <f t="shared" ca="1" si="5"/>
        <v>#NAME?</v>
      </c>
      <c r="R625" s="21" t="s">
        <v>4933</v>
      </c>
      <c r="S625" s="21" t="s">
        <v>4937</v>
      </c>
      <c r="U625" s="21" t="s">
        <v>4814</v>
      </c>
      <c r="V625" s="21" t="s">
        <v>4814</v>
      </c>
    </row>
    <row r="626" spans="1:27" ht="15.75" customHeight="1" x14ac:dyDescent="0.3">
      <c r="A626" s="21">
        <v>2021</v>
      </c>
      <c r="B626" s="22"/>
      <c r="H626" s="21" t="s">
        <v>4938</v>
      </c>
      <c r="I626" s="21" t="s">
        <v>4811</v>
      </c>
      <c r="J626" s="21" t="s">
        <v>4939</v>
      </c>
      <c r="K626" s="21" t="e">
        <f t="shared" ca="1" si="4"/>
        <v>#NAME?</v>
      </c>
      <c r="L626" s="24">
        <v>1956</v>
      </c>
      <c r="N626" s="21" t="s">
        <v>111</v>
      </c>
      <c r="O626" s="21" t="s">
        <v>112</v>
      </c>
      <c r="P626" s="26">
        <v>9848682870</v>
      </c>
      <c r="Q626" s="26" t="e">
        <f t="shared" ca="1" si="5"/>
        <v>#NAME?</v>
      </c>
      <c r="R626" s="21" t="s">
        <v>4857</v>
      </c>
      <c r="S626" s="21" t="s">
        <v>4929</v>
      </c>
      <c r="U626" s="21" t="s">
        <v>4814</v>
      </c>
      <c r="V626" s="21" t="s">
        <v>4814</v>
      </c>
    </row>
    <row r="627" spans="1:27" ht="15.75" customHeight="1" x14ac:dyDescent="0.3">
      <c r="A627" s="21">
        <v>2021</v>
      </c>
      <c r="B627" s="22"/>
      <c r="H627" s="21" t="s">
        <v>4940</v>
      </c>
      <c r="I627" s="21" t="s">
        <v>4941</v>
      </c>
      <c r="J627" s="21" t="s">
        <v>225</v>
      </c>
      <c r="K627" s="21" t="e">
        <f t="shared" ca="1" si="4"/>
        <v>#NAME?</v>
      </c>
      <c r="L627" s="24">
        <v>1979</v>
      </c>
      <c r="N627" s="21" t="s">
        <v>111</v>
      </c>
      <c r="O627" s="21" t="s">
        <v>112</v>
      </c>
      <c r="P627" s="26">
        <v>9849309295</v>
      </c>
      <c r="Q627" s="26" t="e">
        <f t="shared" ca="1" si="5"/>
        <v>#NAME?</v>
      </c>
      <c r="R627" s="21" t="s">
        <v>236</v>
      </c>
      <c r="U627" s="21" t="s">
        <v>276</v>
      </c>
      <c r="V627" s="21" t="s">
        <v>276</v>
      </c>
    </row>
    <row r="628" spans="1:27" ht="15.75" customHeight="1" x14ac:dyDescent="0.3">
      <c r="A628" s="21">
        <v>2021</v>
      </c>
      <c r="B628" s="22"/>
      <c r="H628" s="21" t="s">
        <v>4942</v>
      </c>
      <c r="I628" s="21" t="s">
        <v>4943</v>
      </c>
      <c r="J628" s="21" t="s">
        <v>586</v>
      </c>
      <c r="K628" s="21" t="e">
        <f t="shared" ca="1" si="4"/>
        <v>#NAME?</v>
      </c>
      <c r="L628" s="24">
        <v>1974</v>
      </c>
      <c r="N628" s="21" t="s">
        <v>111</v>
      </c>
      <c r="O628" s="21" t="s">
        <v>112</v>
      </c>
      <c r="P628" s="26">
        <v>9849079509</v>
      </c>
      <c r="Q628" s="26" t="e">
        <f t="shared" ca="1" si="5"/>
        <v>#NAME?</v>
      </c>
      <c r="R628" s="21" t="s">
        <v>188</v>
      </c>
      <c r="S628" s="21" t="s">
        <v>4944</v>
      </c>
      <c r="U628" s="21" t="s">
        <v>4457</v>
      </c>
      <c r="V628" s="21" t="s">
        <v>4457</v>
      </c>
    </row>
    <row r="629" spans="1:27" ht="15.75" customHeight="1" x14ac:dyDescent="0.3">
      <c r="A629" s="21">
        <v>2021</v>
      </c>
      <c r="B629" s="22"/>
      <c r="H629" s="21" t="s">
        <v>4945</v>
      </c>
      <c r="I629" s="21" t="s">
        <v>4946</v>
      </c>
      <c r="J629" s="21" t="s">
        <v>4947</v>
      </c>
      <c r="K629" s="21" t="e">
        <f t="shared" ca="1" si="4"/>
        <v>#NAME?</v>
      </c>
      <c r="L629" s="24">
        <v>2003</v>
      </c>
      <c r="N629" s="21" t="s">
        <v>111</v>
      </c>
      <c r="O629" s="21" t="s">
        <v>112</v>
      </c>
      <c r="P629" s="26">
        <v>9963362288</v>
      </c>
      <c r="Q629" s="26" t="e">
        <f t="shared" ca="1" si="5"/>
        <v>#NAME?</v>
      </c>
      <c r="R629" s="21" t="s">
        <v>304</v>
      </c>
      <c r="S629" s="21" t="s">
        <v>4948</v>
      </c>
      <c r="U629" s="21" t="s">
        <v>4949</v>
      </c>
      <c r="V629" s="21" t="s">
        <v>4949</v>
      </c>
      <c r="AA629" s="21" t="s">
        <v>4950</v>
      </c>
    </row>
    <row r="630" spans="1:27" ht="15.75" customHeight="1" x14ac:dyDescent="0.3">
      <c r="A630" s="21">
        <v>2021</v>
      </c>
      <c r="B630" s="22"/>
      <c r="H630" s="21" t="s">
        <v>4951</v>
      </c>
      <c r="I630" s="21" t="s">
        <v>4952</v>
      </c>
      <c r="J630" s="21" t="s">
        <v>4953</v>
      </c>
      <c r="K630" s="21" t="e">
        <f t="shared" ca="1" si="4"/>
        <v>#NAME?</v>
      </c>
      <c r="L630" s="24">
        <v>1968</v>
      </c>
      <c r="N630" s="21" t="s">
        <v>111</v>
      </c>
      <c r="O630" s="21" t="s">
        <v>112</v>
      </c>
      <c r="P630" s="26">
        <v>9440684179</v>
      </c>
      <c r="Q630" s="26" t="e">
        <f t="shared" ca="1" si="5"/>
        <v>#NAME?</v>
      </c>
      <c r="R630" s="21" t="s">
        <v>188</v>
      </c>
      <c r="U630" s="21" t="s">
        <v>276</v>
      </c>
      <c r="V630" s="21" t="s">
        <v>276</v>
      </c>
    </row>
    <row r="631" spans="1:27" ht="15.75" customHeight="1" x14ac:dyDescent="0.3">
      <c r="A631" s="21">
        <v>2021</v>
      </c>
      <c r="B631" s="22"/>
      <c r="H631" s="21" t="s">
        <v>4954</v>
      </c>
      <c r="I631" s="21" t="s">
        <v>4955</v>
      </c>
      <c r="J631" s="21" t="s">
        <v>4827</v>
      </c>
      <c r="K631" s="21" t="e">
        <f t="shared" ca="1" si="4"/>
        <v>#NAME?</v>
      </c>
      <c r="L631" s="24">
        <v>1982</v>
      </c>
      <c r="N631" s="21" t="s">
        <v>111</v>
      </c>
      <c r="O631" s="21" t="s">
        <v>112</v>
      </c>
      <c r="P631" s="26">
        <v>9703158899</v>
      </c>
      <c r="Q631" s="26" t="e">
        <f t="shared" ca="1" si="5"/>
        <v>#NAME?</v>
      </c>
      <c r="R631" s="21" t="s">
        <v>4922</v>
      </c>
      <c r="U631" s="21" t="s">
        <v>4806</v>
      </c>
      <c r="V631" s="21" t="s">
        <v>4806</v>
      </c>
    </row>
    <row r="632" spans="1:27" ht="15.75" customHeight="1" x14ac:dyDescent="0.3">
      <c r="A632" s="21">
        <v>2021</v>
      </c>
      <c r="B632" s="22"/>
      <c r="H632" s="21" t="s">
        <v>4956</v>
      </c>
      <c r="I632" s="21" t="s">
        <v>4733</v>
      </c>
      <c r="J632" s="21" t="s">
        <v>4957</v>
      </c>
      <c r="K632" s="21" t="e">
        <f t="shared" ca="1" si="4"/>
        <v>#NAME?</v>
      </c>
      <c r="L632" s="24">
        <v>2003</v>
      </c>
      <c r="N632" s="21" t="s">
        <v>111</v>
      </c>
      <c r="O632" s="21" t="s">
        <v>112</v>
      </c>
      <c r="P632" s="26">
        <v>9969535055</v>
      </c>
      <c r="Q632" s="26" t="e">
        <f t="shared" ca="1" si="5"/>
        <v>#NAME?</v>
      </c>
      <c r="R632" s="21" t="s">
        <v>4958</v>
      </c>
      <c r="S632" s="21" t="s">
        <v>4959</v>
      </c>
      <c r="U632" s="21" t="s">
        <v>4765</v>
      </c>
      <c r="V632" s="21" t="s">
        <v>4765</v>
      </c>
    </row>
    <row r="633" spans="1:27" ht="15.75" customHeight="1" x14ac:dyDescent="0.3">
      <c r="A633" s="21">
        <v>2021</v>
      </c>
      <c r="B633" s="22"/>
      <c r="H633" s="21" t="s">
        <v>4960</v>
      </c>
      <c r="I633" s="21" t="s">
        <v>4733</v>
      </c>
      <c r="J633" s="21" t="s">
        <v>4961</v>
      </c>
      <c r="K633" s="21" t="e">
        <f t="shared" ca="1" si="4"/>
        <v>#NAME?</v>
      </c>
      <c r="L633" s="24">
        <v>1969</v>
      </c>
      <c r="N633" s="21" t="s">
        <v>111</v>
      </c>
      <c r="O633" s="21" t="s">
        <v>112</v>
      </c>
      <c r="P633" s="26">
        <v>9757169309</v>
      </c>
      <c r="Q633" s="26" t="e">
        <f t="shared" ca="1" si="5"/>
        <v>#NAME?</v>
      </c>
      <c r="R633" s="21" t="s">
        <v>4933</v>
      </c>
      <c r="S633" s="21" t="s">
        <v>4750</v>
      </c>
      <c r="U633" s="21" t="s">
        <v>276</v>
      </c>
      <c r="V633" s="21" t="s">
        <v>276</v>
      </c>
    </row>
    <row r="634" spans="1:27" ht="15.75" customHeight="1" x14ac:dyDescent="0.3">
      <c r="A634" s="21">
        <v>2021</v>
      </c>
      <c r="B634" s="22"/>
      <c r="H634" s="21" t="s">
        <v>4962</v>
      </c>
      <c r="I634" s="21" t="s">
        <v>4963</v>
      </c>
      <c r="J634" s="21" t="s">
        <v>1831</v>
      </c>
      <c r="K634" s="21" t="e">
        <f t="shared" ca="1" si="4"/>
        <v>#NAME?</v>
      </c>
      <c r="L634" s="24">
        <v>1983</v>
      </c>
      <c r="N634" s="21" t="s">
        <v>111</v>
      </c>
      <c r="O634" s="21" t="s">
        <v>112</v>
      </c>
      <c r="P634" s="26">
        <v>9959950151</v>
      </c>
      <c r="Q634" s="26" t="e">
        <f t="shared" ca="1" si="5"/>
        <v>#NAME?</v>
      </c>
      <c r="R634" s="21" t="s">
        <v>4964</v>
      </c>
      <c r="S634" s="21" t="s">
        <v>718</v>
      </c>
      <c r="U634" s="21" t="s">
        <v>2671</v>
      </c>
      <c r="V634" s="21" t="s">
        <v>2671</v>
      </c>
    </row>
    <row r="635" spans="1:27" ht="15.75" customHeight="1" x14ac:dyDescent="0.3">
      <c r="A635" s="21">
        <v>2021</v>
      </c>
      <c r="B635" s="22"/>
      <c r="H635" s="21" t="s">
        <v>4965</v>
      </c>
      <c r="I635" s="21" t="s">
        <v>4963</v>
      </c>
      <c r="J635" s="138" t="s">
        <v>4966</v>
      </c>
      <c r="K635" s="21" t="e">
        <f t="shared" ca="1" si="4"/>
        <v>#NAME?</v>
      </c>
      <c r="L635" s="24">
        <v>1977</v>
      </c>
      <c r="N635" s="21" t="s">
        <v>111</v>
      </c>
      <c r="O635" s="21" t="s">
        <v>112</v>
      </c>
      <c r="P635" s="26">
        <v>9398653667</v>
      </c>
      <c r="Q635" s="26" t="e">
        <f t="shared" ca="1" si="5"/>
        <v>#NAME?</v>
      </c>
      <c r="R635" s="21" t="s">
        <v>4967</v>
      </c>
      <c r="S635" s="21" t="s">
        <v>4968</v>
      </c>
      <c r="U635" s="21" t="s">
        <v>2671</v>
      </c>
      <c r="V635" s="21" t="s">
        <v>2671</v>
      </c>
    </row>
    <row r="636" spans="1:27" ht="15.75" customHeight="1" x14ac:dyDescent="0.3">
      <c r="A636" s="21">
        <v>2021</v>
      </c>
      <c r="B636" s="22"/>
      <c r="H636" s="21" t="s">
        <v>3980</v>
      </c>
      <c r="I636" s="21" t="s">
        <v>1034</v>
      </c>
      <c r="J636" s="21" t="s">
        <v>1642</v>
      </c>
      <c r="K636" s="21" t="e">
        <f t="shared" ca="1" si="4"/>
        <v>#NAME?</v>
      </c>
      <c r="L636" s="24">
        <v>2001</v>
      </c>
      <c r="N636" s="21" t="s">
        <v>111</v>
      </c>
      <c r="O636" s="21" t="s">
        <v>112</v>
      </c>
      <c r="P636" s="26">
        <v>7981396801</v>
      </c>
      <c r="Q636" s="26" t="e">
        <f t="shared" ca="1" si="5"/>
        <v>#NAME?</v>
      </c>
      <c r="R636" s="21" t="s">
        <v>4776</v>
      </c>
      <c r="S636" s="21" t="s">
        <v>4969</v>
      </c>
      <c r="U636" s="21" t="s">
        <v>4742</v>
      </c>
      <c r="V636" s="21" t="s">
        <v>4742</v>
      </c>
    </row>
    <row r="637" spans="1:27" ht="15.75" customHeight="1" x14ac:dyDescent="0.3">
      <c r="A637" s="21">
        <v>2021</v>
      </c>
      <c r="B637" s="22"/>
      <c r="H637" s="21" t="s">
        <v>4970</v>
      </c>
      <c r="I637" s="21" t="s">
        <v>2065</v>
      </c>
      <c r="J637" s="138" t="s">
        <v>4971</v>
      </c>
      <c r="K637" s="21" t="e">
        <f t="shared" ca="1" si="4"/>
        <v>#NAME?</v>
      </c>
      <c r="L637" s="24">
        <v>2012</v>
      </c>
      <c r="N637" s="21" t="s">
        <v>111</v>
      </c>
      <c r="O637" s="21" t="s">
        <v>112</v>
      </c>
      <c r="P637" s="26">
        <v>9969722268</v>
      </c>
      <c r="Q637" s="26" t="e">
        <f t="shared" ca="1" si="5"/>
        <v>#NAME?</v>
      </c>
      <c r="R637" s="21" t="s">
        <v>358</v>
      </c>
      <c r="S637" s="21" t="s">
        <v>4972</v>
      </c>
      <c r="U637" s="21" t="s">
        <v>2671</v>
      </c>
      <c r="V637" s="21" t="s">
        <v>2671</v>
      </c>
    </row>
    <row r="638" spans="1:27" ht="15.75" customHeight="1" x14ac:dyDescent="0.3">
      <c r="A638" s="21">
        <v>2021</v>
      </c>
      <c r="B638" s="22"/>
      <c r="H638" s="21" t="s">
        <v>4973</v>
      </c>
      <c r="I638" s="21" t="s">
        <v>2062</v>
      </c>
      <c r="J638" s="21" t="s">
        <v>4974</v>
      </c>
      <c r="K638" s="21" t="e">
        <f t="shared" ca="1" si="4"/>
        <v>#NAME?</v>
      </c>
      <c r="L638" s="24">
        <v>1954</v>
      </c>
      <c r="N638" s="21" t="s">
        <v>111</v>
      </c>
      <c r="O638" s="21" t="s">
        <v>112</v>
      </c>
      <c r="P638" s="26">
        <v>8977392910</v>
      </c>
      <c r="Q638" s="26" t="e">
        <f t="shared" ca="1" si="5"/>
        <v>#NAME?</v>
      </c>
      <c r="R638" s="21" t="s">
        <v>4933</v>
      </c>
      <c r="S638" s="21" t="s">
        <v>4975</v>
      </c>
      <c r="U638" s="21" t="s">
        <v>4759</v>
      </c>
      <c r="V638" s="21" t="s">
        <v>4759</v>
      </c>
    </row>
    <row r="639" spans="1:27" ht="15.75" customHeight="1" x14ac:dyDescent="0.3">
      <c r="A639" s="21">
        <v>2021</v>
      </c>
      <c r="B639" s="22"/>
      <c r="H639" s="21" t="s">
        <v>4976</v>
      </c>
      <c r="I639" s="21" t="s">
        <v>891</v>
      </c>
      <c r="J639" s="21" t="s">
        <v>3201</v>
      </c>
      <c r="K639" s="21" t="e">
        <f t="shared" ca="1" si="4"/>
        <v>#NAME?</v>
      </c>
      <c r="L639" s="24">
        <v>1973</v>
      </c>
      <c r="N639" s="21" t="s">
        <v>111</v>
      </c>
      <c r="O639" s="21" t="s">
        <v>112</v>
      </c>
      <c r="P639" s="26">
        <v>9419125122</v>
      </c>
      <c r="Q639" s="26" t="e">
        <f t="shared" ca="1" si="5"/>
        <v>#NAME?</v>
      </c>
      <c r="R639" s="21" t="s">
        <v>4977</v>
      </c>
      <c r="S639" s="21" t="s">
        <v>2479</v>
      </c>
      <c r="U639" s="21" t="s">
        <v>2671</v>
      </c>
      <c r="V639" s="21" t="s">
        <v>2671</v>
      </c>
    </row>
    <row r="640" spans="1:27" ht="15.75" customHeight="1" x14ac:dyDescent="0.3">
      <c r="A640" s="21">
        <v>2021</v>
      </c>
      <c r="B640" s="22"/>
      <c r="H640" s="21" t="s">
        <v>4978</v>
      </c>
      <c r="I640" s="21" t="s">
        <v>4979</v>
      </c>
      <c r="J640" s="21" t="s">
        <v>4980</v>
      </c>
      <c r="K640" s="21" t="e">
        <f t="shared" ca="1" si="4"/>
        <v>#NAME?</v>
      </c>
      <c r="L640" s="24">
        <v>1973</v>
      </c>
      <c r="N640" s="21" t="s">
        <v>111</v>
      </c>
      <c r="O640" s="21" t="s">
        <v>112</v>
      </c>
      <c r="P640" s="26">
        <v>9492317540</v>
      </c>
      <c r="Q640" s="26" t="e">
        <f t="shared" ca="1" si="5"/>
        <v>#NAME?</v>
      </c>
      <c r="R640" s="21" t="s">
        <v>4981</v>
      </c>
      <c r="S640" s="21" t="s">
        <v>4982</v>
      </c>
      <c r="U640" s="21" t="s">
        <v>4806</v>
      </c>
      <c r="V640" s="21" t="s">
        <v>4806</v>
      </c>
    </row>
    <row r="641" spans="1:22" ht="15.75" customHeight="1" x14ac:dyDescent="0.3">
      <c r="A641" s="21">
        <v>2021</v>
      </c>
      <c r="B641" s="22"/>
      <c r="H641" s="21" t="s">
        <v>4983</v>
      </c>
      <c r="I641" s="21" t="s">
        <v>4836</v>
      </c>
      <c r="J641" s="21" t="s">
        <v>4984</v>
      </c>
      <c r="K641" s="21" t="e">
        <f t="shared" ca="1" si="4"/>
        <v>#NAME?</v>
      </c>
      <c r="L641" s="24">
        <v>1990</v>
      </c>
      <c r="N641" s="21" t="s">
        <v>111</v>
      </c>
      <c r="O641" s="21" t="s">
        <v>112</v>
      </c>
      <c r="P641" s="26">
        <v>9949275934</v>
      </c>
      <c r="Q641" s="26" t="e">
        <f t="shared" ca="1" si="5"/>
        <v>#NAME?</v>
      </c>
      <c r="R641" s="21" t="s">
        <v>4776</v>
      </c>
      <c r="U641" s="21" t="s">
        <v>2671</v>
      </c>
      <c r="V641" s="21" t="s">
        <v>2671</v>
      </c>
    </row>
    <row r="642" spans="1:22" ht="15.75" customHeight="1" x14ac:dyDescent="0.3">
      <c r="A642" s="21">
        <v>2021</v>
      </c>
      <c r="B642" s="22"/>
      <c r="H642" s="21" t="s">
        <v>4985</v>
      </c>
      <c r="I642" s="21" t="s">
        <v>1682</v>
      </c>
      <c r="J642" s="21" t="s">
        <v>4986</v>
      </c>
      <c r="K642" s="21" t="e">
        <f t="shared" ca="1" si="4"/>
        <v>#NAME?</v>
      </c>
      <c r="L642" s="24">
        <v>1954</v>
      </c>
      <c r="N642" s="21" t="s">
        <v>111</v>
      </c>
      <c r="O642" s="21" t="s">
        <v>112</v>
      </c>
      <c r="P642" s="26">
        <v>8374456655</v>
      </c>
      <c r="Q642" s="26" t="e">
        <f t="shared" ca="1" si="5"/>
        <v>#NAME?</v>
      </c>
      <c r="R642" s="21" t="s">
        <v>4987</v>
      </c>
      <c r="S642" s="21" t="s">
        <v>4988</v>
      </c>
      <c r="U642" s="21" t="s">
        <v>4778</v>
      </c>
      <c r="V642" s="21" t="s">
        <v>4778</v>
      </c>
    </row>
    <row r="643" spans="1:22" ht="15.75" customHeight="1" x14ac:dyDescent="0.3">
      <c r="A643" s="21">
        <v>2021</v>
      </c>
      <c r="B643" s="22"/>
      <c r="H643" s="21" t="s">
        <v>4989</v>
      </c>
      <c r="I643" s="21" t="s">
        <v>3819</v>
      </c>
      <c r="J643" s="21" t="s">
        <v>4990</v>
      </c>
      <c r="K643" s="21" t="e">
        <f t="shared" ca="1" si="4"/>
        <v>#NAME?</v>
      </c>
      <c r="L643" s="24">
        <v>1971</v>
      </c>
      <c r="N643" s="21" t="s">
        <v>111</v>
      </c>
      <c r="O643" s="21" t="s">
        <v>112</v>
      </c>
      <c r="P643" s="26">
        <v>9885888814</v>
      </c>
      <c r="Q643" s="26" t="e">
        <f t="shared" ca="1" si="5"/>
        <v>#NAME?</v>
      </c>
      <c r="R643" s="21" t="s">
        <v>4754</v>
      </c>
      <c r="U643" s="21" t="s">
        <v>4457</v>
      </c>
      <c r="V643" s="21" t="s">
        <v>4457</v>
      </c>
    </row>
    <row r="644" spans="1:22" ht="15.75" customHeight="1" x14ac:dyDescent="0.3">
      <c r="A644" s="21">
        <v>2021</v>
      </c>
      <c r="B644" s="22"/>
      <c r="H644" s="21" t="s">
        <v>4991</v>
      </c>
      <c r="I644" s="21" t="s">
        <v>4992</v>
      </c>
      <c r="J644" s="21" t="s">
        <v>577</v>
      </c>
      <c r="K644" s="21" t="e">
        <f t="shared" ca="1" si="4"/>
        <v>#NAME?</v>
      </c>
      <c r="L644" s="24">
        <v>1987</v>
      </c>
      <c r="N644" s="21" t="s">
        <v>111</v>
      </c>
      <c r="O644" s="21" t="s">
        <v>112</v>
      </c>
      <c r="P644" s="26">
        <v>7411589102</v>
      </c>
      <c r="Q644" s="26" t="e">
        <f t="shared" ca="1" si="5"/>
        <v>#NAME?</v>
      </c>
      <c r="R644" s="21" t="s">
        <v>4993</v>
      </c>
      <c r="S644" s="21" t="s">
        <v>4994</v>
      </c>
      <c r="U644" s="21" t="s">
        <v>4995</v>
      </c>
      <c r="V644" s="21" t="s">
        <v>4995</v>
      </c>
    </row>
    <row r="645" spans="1:22" ht="15.75" customHeight="1" x14ac:dyDescent="0.3">
      <c r="A645" s="21">
        <v>2021</v>
      </c>
      <c r="B645" s="22"/>
      <c r="H645" s="21" t="s">
        <v>4996</v>
      </c>
      <c r="I645" s="21" t="s">
        <v>4997</v>
      </c>
      <c r="J645" s="21" t="s">
        <v>4998</v>
      </c>
      <c r="K645" s="21" t="e">
        <f t="shared" ca="1" si="4"/>
        <v>#NAME?</v>
      </c>
      <c r="L645" s="24">
        <v>1996</v>
      </c>
      <c r="N645" s="21" t="s">
        <v>111</v>
      </c>
      <c r="O645" s="21" t="s">
        <v>112</v>
      </c>
      <c r="P645" s="26">
        <v>9553784304</v>
      </c>
      <c r="Q645" s="26" t="e">
        <f t="shared" ca="1" si="5"/>
        <v>#NAME?</v>
      </c>
      <c r="R645" s="21" t="s">
        <v>2584</v>
      </c>
      <c r="U645" s="21" t="s">
        <v>4806</v>
      </c>
      <c r="V645" s="21" t="s">
        <v>4806</v>
      </c>
    </row>
    <row r="646" spans="1:22" ht="15.75" customHeight="1" x14ac:dyDescent="0.3">
      <c r="A646" s="21">
        <v>2021</v>
      </c>
      <c r="B646" s="22"/>
      <c r="H646" s="21" t="s">
        <v>4999</v>
      </c>
      <c r="I646" s="21" t="s">
        <v>5000</v>
      </c>
      <c r="J646" s="21" t="s">
        <v>5001</v>
      </c>
      <c r="K646" s="21" t="e">
        <f t="shared" ca="1" si="4"/>
        <v>#NAME?</v>
      </c>
      <c r="L646" s="24">
        <v>1976</v>
      </c>
      <c r="N646" s="21" t="s">
        <v>111</v>
      </c>
      <c r="O646" s="21" t="s">
        <v>112</v>
      </c>
      <c r="P646" s="26">
        <v>9490993668</v>
      </c>
      <c r="Q646" s="26" t="e">
        <f t="shared" ca="1" si="5"/>
        <v>#NAME?</v>
      </c>
      <c r="R646" s="21" t="s">
        <v>4776</v>
      </c>
      <c r="U646" s="21" t="s">
        <v>276</v>
      </c>
      <c r="V646" s="21" t="s">
        <v>276</v>
      </c>
    </row>
    <row r="647" spans="1:22" ht="15.75" customHeight="1" x14ac:dyDescent="0.3">
      <c r="A647" s="21">
        <v>2021</v>
      </c>
      <c r="B647" s="22"/>
      <c r="H647" s="21" t="s">
        <v>4999</v>
      </c>
      <c r="I647" s="21" t="s">
        <v>5000</v>
      </c>
      <c r="J647" s="21" t="s">
        <v>5002</v>
      </c>
      <c r="K647" s="21" t="e">
        <f t="shared" ca="1" si="4"/>
        <v>#NAME?</v>
      </c>
      <c r="L647" s="24">
        <v>2010</v>
      </c>
      <c r="N647" s="21" t="s">
        <v>111</v>
      </c>
      <c r="O647" s="21" t="s">
        <v>112</v>
      </c>
      <c r="P647" s="26">
        <v>9490993668</v>
      </c>
      <c r="Q647" s="26" t="e">
        <f t="shared" ca="1" si="5"/>
        <v>#NAME?</v>
      </c>
      <c r="R647" s="21" t="s">
        <v>4776</v>
      </c>
      <c r="U647" s="21" t="s">
        <v>276</v>
      </c>
      <c r="V647" s="21" t="s">
        <v>276</v>
      </c>
    </row>
    <row r="648" spans="1:22" ht="15.75" customHeight="1" x14ac:dyDescent="0.3">
      <c r="A648" s="21">
        <v>2021</v>
      </c>
      <c r="B648" s="22"/>
      <c r="H648" s="21" t="s">
        <v>5003</v>
      </c>
      <c r="I648" s="21" t="s">
        <v>982</v>
      </c>
      <c r="J648" s="21" t="s">
        <v>5004</v>
      </c>
      <c r="K648" s="21" t="e">
        <f t="shared" ca="1" si="4"/>
        <v>#NAME?</v>
      </c>
      <c r="L648" s="24">
        <v>1958</v>
      </c>
      <c r="N648" s="21" t="s">
        <v>111</v>
      </c>
      <c r="O648" s="21" t="s">
        <v>112</v>
      </c>
      <c r="P648" s="26">
        <v>9441478679</v>
      </c>
      <c r="Q648" s="26" t="e">
        <f t="shared" ca="1" si="5"/>
        <v>#NAME?</v>
      </c>
      <c r="R648" s="21" t="s">
        <v>724</v>
      </c>
      <c r="U648" s="21" t="s">
        <v>4457</v>
      </c>
      <c r="V648" s="21" t="s">
        <v>4457</v>
      </c>
    </row>
    <row r="649" spans="1:22" ht="15.75" customHeight="1" x14ac:dyDescent="0.3">
      <c r="A649" s="21">
        <v>2021</v>
      </c>
      <c r="B649" s="22"/>
      <c r="H649" s="21" t="s">
        <v>5005</v>
      </c>
      <c r="I649" s="21" t="s">
        <v>5006</v>
      </c>
      <c r="J649" s="21" t="s">
        <v>5007</v>
      </c>
      <c r="K649" s="21" t="e">
        <f t="shared" ca="1" si="4"/>
        <v>#NAME?</v>
      </c>
      <c r="L649" s="24">
        <v>1980</v>
      </c>
      <c r="N649" s="21" t="s">
        <v>260</v>
      </c>
      <c r="O649" s="21" t="s">
        <v>5008</v>
      </c>
      <c r="P649" s="26">
        <v>82681670</v>
      </c>
      <c r="Q649" s="26" t="e">
        <f t="shared" ca="1" si="5"/>
        <v>#NAME?</v>
      </c>
      <c r="R649" s="21" t="s">
        <v>5009</v>
      </c>
      <c r="U649" s="21" t="s">
        <v>4742</v>
      </c>
      <c r="V649" s="21" t="s">
        <v>4742</v>
      </c>
    </row>
    <row r="650" spans="1:22" ht="15.75" customHeight="1" x14ac:dyDescent="0.3">
      <c r="A650" s="21">
        <v>2021</v>
      </c>
      <c r="B650" s="22"/>
      <c r="H650" s="21" t="s">
        <v>5010</v>
      </c>
      <c r="I650" s="21" t="s">
        <v>5011</v>
      </c>
      <c r="J650" s="21" t="s">
        <v>1225</v>
      </c>
      <c r="K650" s="21" t="e">
        <f t="shared" ca="1" si="4"/>
        <v>#NAME?</v>
      </c>
      <c r="L650" s="24">
        <v>1977</v>
      </c>
      <c r="N650" s="21" t="s">
        <v>315</v>
      </c>
      <c r="O650" s="21" t="s">
        <v>316</v>
      </c>
      <c r="P650" s="26">
        <v>7329867320</v>
      </c>
      <c r="Q650" s="26" t="e">
        <f t="shared" ca="1" si="5"/>
        <v>#NAME?</v>
      </c>
      <c r="R650" s="21" t="s">
        <v>5012</v>
      </c>
      <c r="U650" s="21" t="s">
        <v>276</v>
      </c>
      <c r="V650" s="21" t="s">
        <v>276</v>
      </c>
    </row>
    <row r="651" spans="1:22" ht="15.75" customHeight="1" x14ac:dyDescent="0.3">
      <c r="A651" s="21">
        <v>2021</v>
      </c>
      <c r="B651" s="22"/>
      <c r="H651" s="21" t="s">
        <v>5013</v>
      </c>
      <c r="I651" s="21" t="s">
        <v>5014</v>
      </c>
      <c r="J651" s="21" t="s">
        <v>5015</v>
      </c>
      <c r="K651" s="21" t="e">
        <f t="shared" ca="1" si="4"/>
        <v>#NAME?</v>
      </c>
      <c r="L651" s="24">
        <v>1975</v>
      </c>
      <c r="N651" s="21" t="s">
        <v>315</v>
      </c>
      <c r="O651" s="21" t="s">
        <v>316</v>
      </c>
      <c r="P651" s="26">
        <v>7322134574</v>
      </c>
      <c r="Q651" s="26" t="e">
        <f t="shared" ca="1" si="5"/>
        <v>#NAME?</v>
      </c>
      <c r="R651" s="21" t="s">
        <v>521</v>
      </c>
      <c r="S651" s="21" t="s">
        <v>5016</v>
      </c>
      <c r="U651" s="21" t="s">
        <v>4457</v>
      </c>
      <c r="V651" s="21" t="s">
        <v>4457</v>
      </c>
    </row>
    <row r="652" spans="1:22" ht="15.75" customHeight="1" x14ac:dyDescent="0.3">
      <c r="A652" s="21">
        <v>2021</v>
      </c>
      <c r="B652" s="22"/>
      <c r="H652" s="21" t="s">
        <v>5017</v>
      </c>
      <c r="I652" s="21" t="s">
        <v>5018</v>
      </c>
      <c r="J652" s="21" t="s">
        <v>1259</v>
      </c>
      <c r="K652" s="21" t="e">
        <f t="shared" ca="1" si="4"/>
        <v>#NAME?</v>
      </c>
      <c r="L652" s="24">
        <v>1967</v>
      </c>
      <c r="N652" s="21" t="s">
        <v>315</v>
      </c>
      <c r="O652" s="21" t="s">
        <v>316</v>
      </c>
      <c r="P652" s="26">
        <v>5122939073</v>
      </c>
      <c r="Q652" s="26" t="e">
        <f t="shared" ca="1" si="5"/>
        <v>#NAME?</v>
      </c>
      <c r="R652" s="21" t="s">
        <v>5019</v>
      </c>
      <c r="U652" s="21" t="s">
        <v>5020</v>
      </c>
      <c r="V652" s="21" t="s">
        <v>5020</v>
      </c>
    </row>
    <row r="653" spans="1:22" ht="15.75" customHeight="1" x14ac:dyDescent="0.3">
      <c r="A653" s="21">
        <v>2021</v>
      </c>
      <c r="B653" s="22"/>
      <c r="H653" s="21" t="s">
        <v>5021</v>
      </c>
      <c r="I653" s="21" t="s">
        <v>370</v>
      </c>
      <c r="J653" s="21" t="s">
        <v>224</v>
      </c>
      <c r="K653" s="21" t="e">
        <f t="shared" ca="1" si="4"/>
        <v>#NAME?</v>
      </c>
      <c r="L653" s="24">
        <v>1972</v>
      </c>
      <c r="N653" s="21" t="s">
        <v>315</v>
      </c>
      <c r="O653" s="21" t="s">
        <v>316</v>
      </c>
      <c r="P653" s="26">
        <v>5126998557</v>
      </c>
      <c r="Q653" s="26" t="e">
        <f t="shared" ca="1" si="5"/>
        <v>#NAME?</v>
      </c>
      <c r="R653" s="21" t="s">
        <v>5022</v>
      </c>
      <c r="S653" s="21" t="s">
        <v>284</v>
      </c>
      <c r="U653" s="21" t="s">
        <v>2671</v>
      </c>
      <c r="V653" s="21" t="s">
        <v>2671</v>
      </c>
    </row>
    <row r="654" spans="1:22" ht="15.75" customHeight="1" x14ac:dyDescent="0.3">
      <c r="A654" s="21">
        <v>2021</v>
      </c>
      <c r="B654" s="22"/>
      <c r="H654" s="21" t="s">
        <v>5023</v>
      </c>
      <c r="I654" s="21" t="s">
        <v>2199</v>
      </c>
      <c r="J654" s="21" t="s">
        <v>5024</v>
      </c>
      <c r="K654" s="21" t="e">
        <f t="shared" ca="1" si="4"/>
        <v>#NAME?</v>
      </c>
      <c r="L654" s="24">
        <v>1956</v>
      </c>
      <c r="N654" s="21" t="s">
        <v>315</v>
      </c>
      <c r="O654" s="21" t="s">
        <v>316</v>
      </c>
      <c r="P654" s="26">
        <v>5126338532</v>
      </c>
      <c r="Q654" s="26" t="e">
        <f t="shared" ca="1" si="5"/>
        <v>#NAME?</v>
      </c>
      <c r="R654" s="21" t="s">
        <v>521</v>
      </c>
      <c r="U654" s="21" t="s">
        <v>4778</v>
      </c>
      <c r="V654" s="21" t="s">
        <v>4778</v>
      </c>
    </row>
    <row r="655" spans="1:22" ht="15.75" customHeight="1" x14ac:dyDescent="0.3">
      <c r="A655" s="21">
        <v>2021</v>
      </c>
      <c r="B655" s="22"/>
      <c r="H655" s="21" t="s">
        <v>5025</v>
      </c>
      <c r="I655" s="21" t="s">
        <v>1366</v>
      </c>
      <c r="J655" s="21" t="s">
        <v>5026</v>
      </c>
      <c r="K655" s="21" t="e">
        <f t="shared" ca="1" si="4"/>
        <v>#NAME?</v>
      </c>
      <c r="L655" s="24">
        <v>1975</v>
      </c>
      <c r="N655" s="21" t="s">
        <v>315</v>
      </c>
      <c r="O655" s="21" t="s">
        <v>316</v>
      </c>
      <c r="P655" s="26">
        <v>5127738654</v>
      </c>
      <c r="Q655" s="26" t="e">
        <f t="shared" ca="1" si="5"/>
        <v>#NAME?</v>
      </c>
      <c r="R655" s="21" t="s">
        <v>521</v>
      </c>
      <c r="U655" s="21" t="s">
        <v>4457</v>
      </c>
      <c r="V655" s="21" t="s">
        <v>4457</v>
      </c>
    </row>
    <row r="656" spans="1:22" ht="15.75" customHeight="1" x14ac:dyDescent="0.3">
      <c r="A656" s="21">
        <v>2021</v>
      </c>
      <c r="B656" s="22"/>
      <c r="H656" s="21" t="s">
        <v>5027</v>
      </c>
      <c r="I656" s="21" t="s">
        <v>5028</v>
      </c>
      <c r="J656" s="21" t="s">
        <v>991</v>
      </c>
      <c r="K656" s="21" t="e">
        <f t="shared" ca="1" si="4"/>
        <v>#NAME?</v>
      </c>
      <c r="L656" s="24">
        <v>1969</v>
      </c>
      <c r="N656" s="21" t="s">
        <v>315</v>
      </c>
      <c r="O656" s="21" t="s">
        <v>316</v>
      </c>
      <c r="P656" s="26">
        <v>5122964536</v>
      </c>
      <c r="Q656" s="26" t="e">
        <f t="shared" ca="1" si="5"/>
        <v>#NAME?</v>
      </c>
      <c r="R656" s="21" t="s">
        <v>5019</v>
      </c>
      <c r="U656" s="21" t="s">
        <v>2671</v>
      </c>
      <c r="V656" s="21" t="s">
        <v>2671</v>
      </c>
    </row>
    <row r="657" spans="1:27" ht="15.75" customHeight="1" x14ac:dyDescent="0.3">
      <c r="A657" s="21">
        <v>2021</v>
      </c>
      <c r="B657" s="22"/>
      <c r="H657" s="21" t="s">
        <v>5029</v>
      </c>
      <c r="I657" s="21" t="s">
        <v>5030</v>
      </c>
      <c r="J657" s="21" t="s">
        <v>446</v>
      </c>
      <c r="K657" s="21" t="e">
        <f t="shared" ca="1" si="4"/>
        <v>#NAME?</v>
      </c>
      <c r="L657" s="24">
        <v>1993</v>
      </c>
      <c r="N657" s="21" t="s">
        <v>315</v>
      </c>
      <c r="O657" s="21" t="s">
        <v>316</v>
      </c>
      <c r="P657" s="26">
        <v>2036857473</v>
      </c>
      <c r="Q657" s="26" t="e">
        <f t="shared" ca="1" si="5"/>
        <v>#NAME?</v>
      </c>
      <c r="R657" s="21" t="s">
        <v>5031</v>
      </c>
      <c r="S657" s="21" t="s">
        <v>5032</v>
      </c>
      <c r="U657" s="21" t="s">
        <v>5033</v>
      </c>
      <c r="V657" s="21" t="s">
        <v>5033</v>
      </c>
    </row>
    <row r="658" spans="1:27" ht="15.75" customHeight="1" x14ac:dyDescent="0.3">
      <c r="A658" s="21">
        <v>2021</v>
      </c>
      <c r="B658" s="22"/>
      <c r="H658" s="21" t="s">
        <v>5034</v>
      </c>
      <c r="I658" s="21" t="s">
        <v>5035</v>
      </c>
      <c r="J658" s="21" t="s">
        <v>3390</v>
      </c>
      <c r="K658" s="21" t="e">
        <f t="shared" ca="1" si="4"/>
        <v>#NAME?</v>
      </c>
      <c r="L658" s="24">
        <v>1971</v>
      </c>
      <c r="N658" s="21" t="s">
        <v>315</v>
      </c>
      <c r="O658" s="21" t="s">
        <v>316</v>
      </c>
      <c r="P658" s="26">
        <v>3146029803</v>
      </c>
      <c r="Q658" s="26" t="e">
        <f t="shared" ca="1" si="5"/>
        <v>#NAME?</v>
      </c>
      <c r="R658" s="21" t="s">
        <v>5036</v>
      </c>
      <c r="S658" s="21" t="s">
        <v>5037</v>
      </c>
      <c r="U658" s="21" t="s">
        <v>5038</v>
      </c>
      <c r="V658" s="21" t="s">
        <v>5038</v>
      </c>
    </row>
    <row r="659" spans="1:27" ht="15.75" customHeight="1" x14ac:dyDescent="0.3">
      <c r="A659" s="21">
        <v>2021</v>
      </c>
      <c r="B659" s="22"/>
      <c r="H659" s="21" t="s">
        <v>5039</v>
      </c>
      <c r="I659" s="21" t="s">
        <v>5040</v>
      </c>
      <c r="J659" s="21" t="s">
        <v>5041</v>
      </c>
      <c r="K659" s="21" t="e">
        <f t="shared" ca="1" si="4"/>
        <v>#NAME?</v>
      </c>
      <c r="L659" s="24">
        <v>1946</v>
      </c>
      <c r="N659" s="21" t="s">
        <v>315</v>
      </c>
      <c r="O659" s="21" t="s">
        <v>316</v>
      </c>
      <c r="P659" s="26">
        <v>2674957677</v>
      </c>
      <c r="Q659" s="26" t="e">
        <f t="shared" ca="1" si="5"/>
        <v>#NAME?</v>
      </c>
      <c r="R659" s="21" t="s">
        <v>5036</v>
      </c>
      <c r="U659" s="21" t="s">
        <v>5042</v>
      </c>
      <c r="V659" s="21" t="s">
        <v>5042</v>
      </c>
    </row>
    <row r="660" spans="1:27" ht="15.75" customHeight="1" x14ac:dyDescent="0.3">
      <c r="A660" s="21">
        <v>2021</v>
      </c>
      <c r="B660" s="22"/>
      <c r="H660" s="21" t="s">
        <v>5043</v>
      </c>
      <c r="I660" s="21" t="s">
        <v>1709</v>
      </c>
      <c r="J660" s="21" t="s">
        <v>281</v>
      </c>
      <c r="K660" s="21" t="e">
        <f t="shared" ca="1" si="4"/>
        <v>#NAME?</v>
      </c>
      <c r="L660" s="24">
        <v>1979</v>
      </c>
      <c r="N660" s="21" t="s">
        <v>402</v>
      </c>
      <c r="O660" s="21" t="s">
        <v>316</v>
      </c>
      <c r="P660" s="26">
        <v>3132442083</v>
      </c>
      <c r="Q660" s="26" t="e">
        <f t="shared" ca="1" si="5"/>
        <v>#NAME?</v>
      </c>
      <c r="R660" s="21" t="s">
        <v>5044</v>
      </c>
      <c r="U660" s="21" t="s">
        <v>2671</v>
      </c>
      <c r="V660" s="21" t="s">
        <v>2671</v>
      </c>
    </row>
    <row r="661" spans="1:27" ht="15.75" customHeight="1" x14ac:dyDescent="0.3">
      <c r="A661" s="21">
        <v>2021</v>
      </c>
      <c r="B661" s="22"/>
      <c r="H661" s="21" t="s">
        <v>5045</v>
      </c>
      <c r="I661" s="21" t="s">
        <v>4578</v>
      </c>
      <c r="J661" s="21" t="s">
        <v>1563</v>
      </c>
      <c r="K661" s="21" t="e">
        <f t="shared" ca="1" si="4"/>
        <v>#NAME?</v>
      </c>
      <c r="L661" s="24">
        <v>1981</v>
      </c>
      <c r="N661" s="21" t="s">
        <v>315</v>
      </c>
      <c r="O661" s="21" t="s">
        <v>316</v>
      </c>
      <c r="P661" s="26">
        <v>4083293168</v>
      </c>
      <c r="Q661" s="26" t="e">
        <f t="shared" ca="1" si="5"/>
        <v>#NAME?</v>
      </c>
      <c r="R661" s="21" t="s">
        <v>5046</v>
      </c>
      <c r="U661" s="21" t="s">
        <v>4806</v>
      </c>
      <c r="V661" s="21" t="s">
        <v>4806</v>
      </c>
    </row>
    <row r="662" spans="1:27" ht="15.75" customHeight="1" x14ac:dyDescent="0.3">
      <c r="A662" s="21">
        <v>2021</v>
      </c>
      <c r="B662" s="22"/>
      <c r="H662" s="21" t="s">
        <v>5047</v>
      </c>
      <c r="I662" s="21" t="s">
        <v>781</v>
      </c>
      <c r="J662" s="21" t="s">
        <v>5048</v>
      </c>
      <c r="K662" s="21" t="e">
        <f t="shared" ca="1" si="4"/>
        <v>#NAME?</v>
      </c>
      <c r="L662" s="24">
        <v>1969</v>
      </c>
      <c r="N662" s="21" t="s">
        <v>402</v>
      </c>
      <c r="O662" s="21" t="s">
        <v>316</v>
      </c>
      <c r="P662" s="26">
        <v>2489826166</v>
      </c>
      <c r="Q662" s="26" t="e">
        <f t="shared" ca="1" si="5"/>
        <v>#NAME?</v>
      </c>
      <c r="R662" s="21" t="s">
        <v>5049</v>
      </c>
      <c r="U662" s="21" t="s">
        <v>4457</v>
      </c>
      <c r="V662" s="21" t="s">
        <v>4457</v>
      </c>
    </row>
    <row r="663" spans="1:27" ht="15.75" customHeight="1" x14ac:dyDescent="0.3">
      <c r="A663" s="21">
        <v>2021</v>
      </c>
      <c r="B663" s="22"/>
      <c r="H663" s="21" t="s">
        <v>5050</v>
      </c>
      <c r="I663" s="21" t="s">
        <v>5051</v>
      </c>
      <c r="J663" s="21" t="s">
        <v>5052</v>
      </c>
      <c r="K663" s="21" t="e">
        <f t="shared" ca="1" si="4"/>
        <v>#NAME?</v>
      </c>
      <c r="L663" s="24">
        <v>2012</v>
      </c>
      <c r="N663" s="21" t="s">
        <v>315</v>
      </c>
      <c r="O663" s="21" t="s">
        <v>316</v>
      </c>
      <c r="P663" s="26">
        <v>8178296430</v>
      </c>
      <c r="Q663" s="26" t="e">
        <f t="shared" ca="1" si="5"/>
        <v>#NAME?</v>
      </c>
      <c r="R663" s="21" t="s">
        <v>5053</v>
      </c>
      <c r="S663" s="21" t="s">
        <v>5054</v>
      </c>
      <c r="U663" s="21" t="s">
        <v>276</v>
      </c>
      <c r="V663" s="21" t="s">
        <v>276</v>
      </c>
    </row>
    <row r="664" spans="1:27" ht="15.75" customHeight="1" x14ac:dyDescent="0.3">
      <c r="A664" s="21">
        <v>2021</v>
      </c>
      <c r="B664" s="22"/>
      <c r="H664" s="21" t="s">
        <v>5050</v>
      </c>
      <c r="I664" s="21" t="s">
        <v>5051</v>
      </c>
      <c r="J664" s="21" t="s">
        <v>5055</v>
      </c>
      <c r="K664" s="21" t="e">
        <f t="shared" ca="1" si="4"/>
        <v>#NAME?</v>
      </c>
      <c r="L664" s="24">
        <v>2008</v>
      </c>
      <c r="N664" s="21" t="s">
        <v>315</v>
      </c>
      <c r="O664" s="21" t="s">
        <v>316</v>
      </c>
      <c r="P664" s="26">
        <v>8178296430</v>
      </c>
      <c r="Q664" s="26" t="e">
        <f t="shared" ca="1" si="5"/>
        <v>#NAME?</v>
      </c>
      <c r="R664" s="21" t="s">
        <v>5053</v>
      </c>
      <c r="S664" s="21" t="s">
        <v>5054</v>
      </c>
      <c r="U664" s="21" t="s">
        <v>276</v>
      </c>
      <c r="V664" s="21" t="s">
        <v>276</v>
      </c>
    </row>
    <row r="665" spans="1:27" ht="15.75" customHeight="1" x14ac:dyDescent="0.3">
      <c r="A665" s="21">
        <v>2021</v>
      </c>
      <c r="B665" s="22"/>
      <c r="H665" s="21" t="s">
        <v>5056</v>
      </c>
      <c r="I665" s="21" t="s">
        <v>567</v>
      </c>
      <c r="J665" s="21" t="s">
        <v>1142</v>
      </c>
      <c r="K665" s="21" t="e">
        <f t="shared" ca="1" si="4"/>
        <v>#NAME?</v>
      </c>
      <c r="L665" s="24">
        <v>1977</v>
      </c>
      <c r="N665" s="21" t="s">
        <v>315</v>
      </c>
      <c r="O665" s="21" t="s">
        <v>316</v>
      </c>
      <c r="P665" s="26">
        <v>4053347235</v>
      </c>
      <c r="Q665" s="26" t="e">
        <f t="shared" ca="1" si="5"/>
        <v>#NAME?</v>
      </c>
      <c r="R665" s="21" t="s">
        <v>5057</v>
      </c>
      <c r="S665" s="21" t="s">
        <v>5058</v>
      </c>
      <c r="U665" s="21" t="s">
        <v>4814</v>
      </c>
      <c r="V665" s="21" t="s">
        <v>4814</v>
      </c>
    </row>
    <row r="666" spans="1:27" ht="15.75" customHeight="1" x14ac:dyDescent="0.3">
      <c r="A666" s="21">
        <v>2021</v>
      </c>
      <c r="B666" s="22"/>
      <c r="H666" s="21" t="s">
        <v>5059</v>
      </c>
      <c r="I666" s="21" t="s">
        <v>5060</v>
      </c>
      <c r="J666" s="21" t="s">
        <v>1563</v>
      </c>
      <c r="K666" s="21" t="e">
        <f t="shared" ca="1" si="4"/>
        <v>#NAME?</v>
      </c>
      <c r="L666" s="24">
        <v>1974</v>
      </c>
      <c r="N666" s="21" t="s">
        <v>402</v>
      </c>
      <c r="O666" s="21" t="s">
        <v>316</v>
      </c>
      <c r="P666" s="26">
        <v>3144892402</v>
      </c>
      <c r="Q666" s="26" t="e">
        <f t="shared" ca="1" si="5"/>
        <v>#NAME?</v>
      </c>
      <c r="R666" s="21" t="s">
        <v>5061</v>
      </c>
      <c r="U666" s="21" t="s">
        <v>4778</v>
      </c>
      <c r="V666" s="21" t="s">
        <v>4778</v>
      </c>
    </row>
    <row r="667" spans="1:27" ht="15.75" customHeight="1" x14ac:dyDescent="0.3">
      <c r="A667" s="21">
        <v>2021</v>
      </c>
      <c r="B667" s="22"/>
      <c r="H667" s="21" t="s">
        <v>5062</v>
      </c>
      <c r="I667" s="21" t="s">
        <v>5063</v>
      </c>
      <c r="J667" s="21" t="s">
        <v>5064</v>
      </c>
      <c r="K667" s="21" t="e">
        <f t="shared" ca="1" si="4"/>
        <v>#NAME?</v>
      </c>
      <c r="L667" s="24">
        <v>1971</v>
      </c>
      <c r="N667" s="21" t="s">
        <v>315</v>
      </c>
      <c r="O667" s="21" t="s">
        <v>316</v>
      </c>
      <c r="P667" s="26">
        <v>2038028862</v>
      </c>
      <c r="Q667" s="26" t="e">
        <f t="shared" ca="1" si="5"/>
        <v>#NAME?</v>
      </c>
      <c r="R667" s="21" t="s">
        <v>5065</v>
      </c>
      <c r="U667" s="21" t="s">
        <v>5066</v>
      </c>
      <c r="V667" s="21" t="s">
        <v>5066</v>
      </c>
      <c r="W667" s="21" t="s">
        <v>488</v>
      </c>
      <c r="X667" s="21" t="s">
        <v>5067</v>
      </c>
      <c r="Y667" s="21" t="s">
        <v>5067</v>
      </c>
    </row>
    <row r="668" spans="1:27" ht="15.75" customHeight="1" x14ac:dyDescent="0.3">
      <c r="A668" s="21">
        <v>2021</v>
      </c>
      <c r="B668" s="22"/>
      <c r="H668" s="21" t="s">
        <v>5068</v>
      </c>
      <c r="I668" s="21" t="s">
        <v>4627</v>
      </c>
      <c r="J668" s="21" t="s">
        <v>5069</v>
      </c>
      <c r="K668" s="21" t="e">
        <f t="shared" ca="1" si="4"/>
        <v>#NAME?</v>
      </c>
      <c r="L668" s="24">
        <v>1981</v>
      </c>
      <c r="N668" s="21" t="s">
        <v>315</v>
      </c>
      <c r="O668" s="21" t="s">
        <v>316</v>
      </c>
      <c r="P668" s="26">
        <v>8458915357</v>
      </c>
      <c r="Q668" s="26" t="e">
        <f t="shared" ca="1" si="5"/>
        <v>#NAME?</v>
      </c>
      <c r="R668" s="21" t="s">
        <v>5070</v>
      </c>
      <c r="U668" s="21" t="s">
        <v>4806</v>
      </c>
      <c r="V668" s="21" t="s">
        <v>4806</v>
      </c>
    </row>
    <row r="669" spans="1:27" ht="15.75" customHeight="1" x14ac:dyDescent="0.3">
      <c r="A669" s="21">
        <v>2021</v>
      </c>
      <c r="B669" s="22"/>
      <c r="H669" s="21" t="s">
        <v>5071</v>
      </c>
      <c r="I669" s="21" t="s">
        <v>5072</v>
      </c>
      <c r="J669" s="21" t="s">
        <v>4345</v>
      </c>
      <c r="K669" s="21" t="e">
        <f t="shared" ca="1" si="4"/>
        <v>#NAME?</v>
      </c>
      <c r="L669" s="24">
        <v>1971</v>
      </c>
      <c r="N669" s="21" t="s">
        <v>402</v>
      </c>
      <c r="O669" s="21" t="s">
        <v>316</v>
      </c>
      <c r="P669" s="26">
        <v>2486319180</v>
      </c>
      <c r="Q669" s="26" t="e">
        <f t="shared" ca="1" si="5"/>
        <v>#NAME?</v>
      </c>
      <c r="R669" s="21" t="s">
        <v>5073</v>
      </c>
      <c r="U669" s="21" t="s">
        <v>2671</v>
      </c>
      <c r="V669" s="21" t="s">
        <v>2671</v>
      </c>
    </row>
    <row r="670" spans="1:27" ht="15.75" customHeight="1" x14ac:dyDescent="0.3">
      <c r="A670" s="21">
        <v>2021</v>
      </c>
      <c r="B670" s="22"/>
      <c r="H670" s="21" t="s">
        <v>5074</v>
      </c>
      <c r="I670" s="21" t="s">
        <v>5075</v>
      </c>
      <c r="J670" s="21" t="s">
        <v>5076</v>
      </c>
      <c r="K670" s="21" t="e">
        <f t="shared" ca="1" si="4"/>
        <v>#NAME?</v>
      </c>
      <c r="L670" s="24">
        <v>1971</v>
      </c>
      <c r="N670" s="21" t="s">
        <v>315</v>
      </c>
      <c r="O670" s="21" t="s">
        <v>316</v>
      </c>
      <c r="P670" s="26">
        <v>5124846766</v>
      </c>
      <c r="Q670" s="26" t="e">
        <f t="shared" ca="1" si="5"/>
        <v>#NAME?</v>
      </c>
      <c r="R670" s="21" t="s">
        <v>4732</v>
      </c>
      <c r="U670" s="21" t="s">
        <v>2671</v>
      </c>
      <c r="V670" s="21" t="s">
        <v>2671</v>
      </c>
    </row>
    <row r="671" spans="1:27" ht="15.75" customHeight="1" x14ac:dyDescent="0.3">
      <c r="A671" s="21">
        <v>2021</v>
      </c>
      <c r="B671" s="22"/>
      <c r="H671" s="21" t="s">
        <v>5077</v>
      </c>
      <c r="I671" s="21" t="s">
        <v>5006</v>
      </c>
      <c r="J671" s="21" t="s">
        <v>5078</v>
      </c>
      <c r="K671" s="21" t="e">
        <f t="shared" ca="1" si="4"/>
        <v>#NAME?</v>
      </c>
      <c r="L671" s="24">
        <v>1983</v>
      </c>
      <c r="N671" s="21" t="s">
        <v>402</v>
      </c>
      <c r="O671" s="21" t="s">
        <v>316</v>
      </c>
      <c r="P671" s="26">
        <v>3133775741</v>
      </c>
      <c r="Q671" s="26" t="e">
        <f t="shared" ca="1" si="5"/>
        <v>#NAME?</v>
      </c>
      <c r="R671" s="21" t="s">
        <v>5079</v>
      </c>
      <c r="U671" s="21" t="s">
        <v>4742</v>
      </c>
      <c r="V671" s="21" t="s">
        <v>4742</v>
      </c>
    </row>
    <row r="672" spans="1:27" ht="15.75" customHeight="1" x14ac:dyDescent="0.3">
      <c r="A672" s="21">
        <v>2022</v>
      </c>
      <c r="B672" s="22"/>
      <c r="H672" s="21" t="s">
        <v>5080</v>
      </c>
      <c r="I672" s="21" t="s">
        <v>5081</v>
      </c>
      <c r="J672" s="21" t="s">
        <v>1831</v>
      </c>
      <c r="K672" s="21" t="e">
        <f t="shared" ca="1" si="4"/>
        <v>#NAME?</v>
      </c>
      <c r="L672" s="24">
        <v>1983</v>
      </c>
      <c r="N672" s="21" t="s">
        <v>111</v>
      </c>
      <c r="O672" s="21" t="s">
        <v>112</v>
      </c>
      <c r="P672" s="26">
        <v>9820672287</v>
      </c>
      <c r="Q672" s="26" t="e">
        <f t="shared" ca="1" si="5"/>
        <v>#NAME?</v>
      </c>
      <c r="R672" s="21" t="s">
        <v>5082</v>
      </c>
      <c r="S672" s="21" t="s">
        <v>4948</v>
      </c>
      <c r="U672" s="21" t="s">
        <v>4011</v>
      </c>
      <c r="V672" s="21" t="s">
        <v>4011</v>
      </c>
      <c r="AA672" s="21" t="s">
        <v>5083</v>
      </c>
    </row>
    <row r="673" spans="1:27" ht="15.75" customHeight="1" x14ac:dyDescent="0.3">
      <c r="A673" s="21">
        <v>2022</v>
      </c>
      <c r="B673" s="22"/>
      <c r="H673" s="21" t="s">
        <v>5084</v>
      </c>
      <c r="I673" s="21" t="s">
        <v>5085</v>
      </c>
      <c r="J673" s="21" t="s">
        <v>5086</v>
      </c>
      <c r="K673" s="21" t="e">
        <f t="shared" ca="1" si="4"/>
        <v>#NAME?</v>
      </c>
      <c r="L673" s="24">
        <v>2008</v>
      </c>
      <c r="N673" s="21" t="s">
        <v>111</v>
      </c>
      <c r="O673" s="21" t="s">
        <v>112</v>
      </c>
      <c r="P673" s="26">
        <v>8179669987</v>
      </c>
      <c r="Q673" s="26" t="e">
        <f t="shared" ca="1" si="5"/>
        <v>#NAME?</v>
      </c>
      <c r="R673" s="21" t="s">
        <v>188</v>
      </c>
      <c r="S673" s="21" t="s">
        <v>5087</v>
      </c>
      <c r="U673" s="21" t="s">
        <v>5088</v>
      </c>
      <c r="V673" s="21" t="s">
        <v>5088</v>
      </c>
      <c r="W673" s="21" t="s">
        <v>775</v>
      </c>
      <c r="X673" s="21" t="s">
        <v>179</v>
      </c>
      <c r="Z673" s="21" t="s">
        <v>5089</v>
      </c>
    </row>
    <row r="674" spans="1:27" ht="15.75" customHeight="1" x14ac:dyDescent="0.3">
      <c r="A674" s="21">
        <v>2022</v>
      </c>
      <c r="B674" s="22"/>
      <c r="H674" s="21" t="s">
        <v>5090</v>
      </c>
      <c r="I674" s="21" t="s">
        <v>1380</v>
      </c>
      <c r="J674" s="21" t="s">
        <v>5091</v>
      </c>
      <c r="K674" s="21" t="e">
        <f t="shared" ca="1" si="4"/>
        <v>#NAME?</v>
      </c>
      <c r="L674" s="24">
        <v>1984</v>
      </c>
      <c r="N674" s="21" t="s">
        <v>111</v>
      </c>
      <c r="O674" s="21" t="s">
        <v>112</v>
      </c>
      <c r="P674" s="26">
        <v>9701015511</v>
      </c>
      <c r="Q674" s="26" t="e">
        <f t="shared" ca="1" si="5"/>
        <v>#NAME?</v>
      </c>
      <c r="R674" s="21" t="s">
        <v>4776</v>
      </c>
      <c r="S674" s="21" t="s">
        <v>5092</v>
      </c>
      <c r="U674" s="21" t="s">
        <v>5093</v>
      </c>
      <c r="V674" s="21" t="s">
        <v>5093</v>
      </c>
      <c r="AA674" s="21" t="s">
        <v>5094</v>
      </c>
    </row>
    <row r="675" spans="1:27" ht="15.75" customHeight="1" x14ac:dyDescent="0.3">
      <c r="A675" s="21">
        <v>2022</v>
      </c>
      <c r="B675" s="22"/>
      <c r="H675" s="21" t="s">
        <v>5095</v>
      </c>
      <c r="I675" s="21" t="s">
        <v>5096</v>
      </c>
      <c r="J675" s="21" t="s">
        <v>5097</v>
      </c>
      <c r="K675" s="21" t="e">
        <f t="shared" ca="1" si="4"/>
        <v>#NAME?</v>
      </c>
      <c r="L675" s="24">
        <v>1986</v>
      </c>
      <c r="N675" s="21" t="s">
        <v>111</v>
      </c>
      <c r="O675" s="21" t="s">
        <v>112</v>
      </c>
      <c r="P675" s="26">
        <v>9886133677</v>
      </c>
      <c r="Q675" s="26" t="e">
        <f t="shared" ca="1" si="5"/>
        <v>#NAME?</v>
      </c>
      <c r="R675" s="21" t="s">
        <v>188</v>
      </c>
      <c r="S675" s="21" t="s">
        <v>4948</v>
      </c>
      <c r="U675" s="21" t="s">
        <v>5098</v>
      </c>
      <c r="V675" s="21" t="s">
        <v>5098</v>
      </c>
      <c r="AA675" s="21" t="s">
        <v>5099</v>
      </c>
    </row>
    <row r="676" spans="1:27" ht="15.75" customHeight="1" x14ac:dyDescent="0.3">
      <c r="A676" s="21">
        <v>2022</v>
      </c>
      <c r="B676" s="22"/>
      <c r="H676" s="21" t="s">
        <v>5100</v>
      </c>
      <c r="I676" s="21" t="s">
        <v>5101</v>
      </c>
      <c r="J676" s="21" t="s">
        <v>5102</v>
      </c>
      <c r="K676" s="21" t="e">
        <f t="shared" ca="1" si="4"/>
        <v>#NAME?</v>
      </c>
      <c r="L676" s="24">
        <v>1984</v>
      </c>
      <c r="N676" s="21" t="s">
        <v>111</v>
      </c>
      <c r="O676" s="21" t="s">
        <v>112</v>
      </c>
      <c r="P676" s="26">
        <v>9030365054</v>
      </c>
      <c r="Q676" s="26" t="e">
        <f t="shared" ca="1" si="5"/>
        <v>#NAME?</v>
      </c>
      <c r="R676" s="21" t="s">
        <v>4776</v>
      </c>
      <c r="S676" s="21" t="s">
        <v>5103</v>
      </c>
      <c r="U676" s="21" t="s">
        <v>5104</v>
      </c>
      <c r="V676" s="21" t="s">
        <v>5104</v>
      </c>
      <c r="W676" s="21" t="s">
        <v>219</v>
      </c>
      <c r="X676" s="21" t="s">
        <v>179</v>
      </c>
      <c r="Y676" s="21" t="s">
        <v>5105</v>
      </c>
      <c r="AA676" s="21" t="s">
        <v>5106</v>
      </c>
    </row>
    <row r="677" spans="1:27" ht="15.75" customHeight="1" x14ac:dyDescent="0.3">
      <c r="A677" s="21">
        <v>2022</v>
      </c>
      <c r="B677" s="22"/>
      <c r="H677" s="21" t="s">
        <v>5107</v>
      </c>
      <c r="I677" s="21" t="s">
        <v>5108</v>
      </c>
      <c r="J677" s="21" t="s">
        <v>5109</v>
      </c>
      <c r="K677" s="21" t="e">
        <f t="shared" ca="1" si="4"/>
        <v>#NAME?</v>
      </c>
      <c r="L677" s="24">
        <v>1995</v>
      </c>
      <c r="N677" s="21" t="s">
        <v>111</v>
      </c>
      <c r="O677" s="21" t="s">
        <v>112</v>
      </c>
      <c r="P677" s="26">
        <v>9573831069</v>
      </c>
      <c r="Q677" s="26" t="e">
        <f t="shared" ca="1" si="5"/>
        <v>#NAME?</v>
      </c>
      <c r="R677" s="21" t="s">
        <v>5110</v>
      </c>
      <c r="S677" s="21" t="s">
        <v>5111</v>
      </c>
      <c r="U677" s="21" t="s">
        <v>5112</v>
      </c>
      <c r="V677" s="21" t="s">
        <v>5112</v>
      </c>
      <c r="AA677" s="21" t="s">
        <v>5113</v>
      </c>
    </row>
    <row r="678" spans="1:27" ht="15.75" customHeight="1" x14ac:dyDescent="0.3">
      <c r="A678" s="21">
        <v>2022</v>
      </c>
      <c r="B678" s="22"/>
      <c r="H678" s="21" t="s">
        <v>5114</v>
      </c>
      <c r="I678" s="21" t="s">
        <v>5115</v>
      </c>
      <c r="J678" s="21" t="s">
        <v>5116</v>
      </c>
      <c r="K678" s="21" t="e">
        <f t="shared" ca="1" si="4"/>
        <v>#NAME?</v>
      </c>
      <c r="L678" s="24">
        <v>2009</v>
      </c>
      <c r="N678" s="21" t="s">
        <v>111</v>
      </c>
      <c r="O678" s="21" t="s">
        <v>112</v>
      </c>
      <c r="P678" s="26">
        <v>9908800155</v>
      </c>
      <c r="Q678" s="26" t="e">
        <f t="shared" ca="1" si="5"/>
        <v>#NAME?</v>
      </c>
      <c r="R678" s="21" t="s">
        <v>188</v>
      </c>
      <c r="S678" s="21" t="s">
        <v>5117</v>
      </c>
      <c r="U678" s="21" t="s">
        <v>4765</v>
      </c>
      <c r="V678" s="21" t="s">
        <v>4765</v>
      </c>
      <c r="W678" s="21" t="s">
        <v>3482</v>
      </c>
      <c r="X678" s="21" t="s">
        <v>179</v>
      </c>
      <c r="Y678" s="21" t="s">
        <v>179</v>
      </c>
      <c r="Z678" s="21" t="s">
        <v>5118</v>
      </c>
      <c r="AA678" s="21" t="s">
        <v>5119</v>
      </c>
    </row>
    <row r="679" spans="1:27" ht="15.75" customHeight="1" x14ac:dyDescent="0.3">
      <c r="A679" s="21">
        <v>2022</v>
      </c>
      <c r="B679" s="22"/>
      <c r="H679" s="21" t="s">
        <v>5120</v>
      </c>
      <c r="I679" s="21" t="s">
        <v>5121</v>
      </c>
      <c r="J679" s="21" t="s">
        <v>5122</v>
      </c>
      <c r="K679" s="21" t="e">
        <f t="shared" ca="1" si="4"/>
        <v>#NAME?</v>
      </c>
      <c r="L679" s="24">
        <v>1961</v>
      </c>
      <c r="N679" s="21" t="s">
        <v>111</v>
      </c>
      <c r="O679" s="21" t="s">
        <v>112</v>
      </c>
      <c r="P679" s="26">
        <v>9866998620</v>
      </c>
      <c r="Q679" s="26" t="e">
        <f t="shared" ca="1" si="5"/>
        <v>#NAME?</v>
      </c>
      <c r="R679" s="21" t="s">
        <v>485</v>
      </c>
      <c r="S679" s="21" t="s">
        <v>5123</v>
      </c>
      <c r="U679" s="21" t="s">
        <v>5124</v>
      </c>
      <c r="V679" s="21" t="s">
        <v>5124</v>
      </c>
      <c r="AA679" s="21" t="s">
        <v>5125</v>
      </c>
    </row>
    <row r="680" spans="1:27" ht="15.75" customHeight="1" x14ac:dyDescent="0.3">
      <c r="A680" s="21">
        <v>2022</v>
      </c>
      <c r="B680" s="22"/>
      <c r="H680" s="21" t="s">
        <v>5126</v>
      </c>
      <c r="I680" s="21" t="s">
        <v>3200</v>
      </c>
      <c r="J680" s="21" t="s">
        <v>5127</v>
      </c>
      <c r="K680" s="21" t="e">
        <f t="shared" ca="1" si="4"/>
        <v>#NAME?</v>
      </c>
      <c r="L680" s="24">
        <v>1988</v>
      </c>
      <c r="N680" s="21" t="s">
        <v>111</v>
      </c>
      <c r="O680" s="21" t="s">
        <v>112</v>
      </c>
      <c r="P680" s="26">
        <v>9902365460</v>
      </c>
      <c r="Q680" s="26" t="e">
        <f t="shared" ca="1" si="5"/>
        <v>#NAME?</v>
      </c>
      <c r="R680" s="21" t="s">
        <v>551</v>
      </c>
      <c r="S680" s="21" t="s">
        <v>4948</v>
      </c>
      <c r="U680" s="21" t="s">
        <v>5128</v>
      </c>
      <c r="V680" s="21" t="s">
        <v>5128</v>
      </c>
      <c r="AA680" s="21" t="s">
        <v>5129</v>
      </c>
    </row>
    <row r="681" spans="1:27" ht="15.75" customHeight="1" x14ac:dyDescent="0.3">
      <c r="A681" s="21">
        <v>2022</v>
      </c>
      <c r="B681" s="22"/>
      <c r="H681" s="21" t="s">
        <v>5126</v>
      </c>
      <c r="I681" s="21" t="s">
        <v>3200</v>
      </c>
      <c r="J681" s="21" t="s">
        <v>3944</v>
      </c>
      <c r="K681" s="21" t="e">
        <f t="shared" ca="1" si="4"/>
        <v>#NAME?</v>
      </c>
      <c r="L681" s="24">
        <v>2012</v>
      </c>
      <c r="N681" s="21" t="s">
        <v>111</v>
      </c>
      <c r="O681" s="21" t="s">
        <v>112</v>
      </c>
      <c r="P681" s="26">
        <v>9538199720</v>
      </c>
      <c r="Q681" s="26" t="e">
        <f t="shared" ca="1" si="5"/>
        <v>#NAME?</v>
      </c>
      <c r="R681" s="21" t="s">
        <v>4922</v>
      </c>
      <c r="S681" s="21" t="s">
        <v>5130</v>
      </c>
      <c r="U681" s="21" t="s">
        <v>5131</v>
      </c>
      <c r="V681" s="21" t="s">
        <v>5131</v>
      </c>
      <c r="W681" s="21" t="s">
        <v>266</v>
      </c>
      <c r="X681" s="21" t="s">
        <v>179</v>
      </c>
      <c r="Y681" s="21" t="s">
        <v>179</v>
      </c>
      <c r="Z681" s="21" t="s">
        <v>5132</v>
      </c>
      <c r="AA681" s="21" t="s">
        <v>5133</v>
      </c>
    </row>
    <row r="682" spans="1:27" ht="15.75" customHeight="1" x14ac:dyDescent="0.3">
      <c r="A682" s="21">
        <v>2022</v>
      </c>
      <c r="B682" s="22"/>
      <c r="H682" s="21" t="s">
        <v>5134</v>
      </c>
      <c r="I682" s="21" t="s">
        <v>5063</v>
      </c>
      <c r="J682" s="21" t="s">
        <v>5135</v>
      </c>
      <c r="K682" s="21" t="e">
        <f t="shared" ca="1" si="4"/>
        <v>#NAME?</v>
      </c>
      <c r="L682" s="24">
        <v>2006</v>
      </c>
      <c r="N682" s="21" t="s">
        <v>111</v>
      </c>
      <c r="O682" s="21" t="s">
        <v>112</v>
      </c>
      <c r="P682" s="26">
        <v>9154524355</v>
      </c>
      <c r="Q682" s="26" t="e">
        <f t="shared" ca="1" si="5"/>
        <v>#NAME?</v>
      </c>
      <c r="R682" s="21" t="s">
        <v>188</v>
      </c>
      <c r="S682" s="21" t="s">
        <v>5136</v>
      </c>
      <c r="U682" s="21" t="s">
        <v>5137</v>
      </c>
      <c r="V682" s="21" t="s">
        <v>5137</v>
      </c>
      <c r="AA682" s="21" t="s">
        <v>5138</v>
      </c>
    </row>
    <row r="683" spans="1:27" ht="15.75" customHeight="1" x14ac:dyDescent="0.3">
      <c r="A683" s="21">
        <v>2022</v>
      </c>
      <c r="B683" s="22"/>
      <c r="H683" s="21" t="s">
        <v>5139</v>
      </c>
      <c r="I683" s="21" t="s">
        <v>3368</v>
      </c>
      <c r="J683" s="21" t="s">
        <v>3369</v>
      </c>
      <c r="K683" s="21" t="e">
        <f t="shared" ca="1" si="4"/>
        <v>#NAME?</v>
      </c>
      <c r="L683" s="24">
        <v>2010</v>
      </c>
      <c r="N683" s="21" t="s">
        <v>111</v>
      </c>
      <c r="O683" s="21" t="s">
        <v>112</v>
      </c>
      <c r="P683" s="26">
        <v>9866462617</v>
      </c>
      <c r="Q683" s="26" t="e">
        <f t="shared" ca="1" si="5"/>
        <v>#NAME?</v>
      </c>
      <c r="R683" s="21" t="s">
        <v>188</v>
      </c>
      <c r="S683" s="21" t="s">
        <v>5140</v>
      </c>
      <c r="U683" s="21" t="s">
        <v>5141</v>
      </c>
      <c r="V683" s="21" t="s">
        <v>5141</v>
      </c>
      <c r="W683" s="21" t="s">
        <v>488</v>
      </c>
      <c r="X683" s="21" t="s">
        <v>179</v>
      </c>
      <c r="Y683" s="21" t="s">
        <v>179</v>
      </c>
      <c r="Z683" s="21" t="s">
        <v>5142</v>
      </c>
      <c r="AA683" s="21" t="s">
        <v>5143</v>
      </c>
    </row>
    <row r="684" spans="1:27" ht="15.75" customHeight="1" x14ac:dyDescent="0.3">
      <c r="A684" s="21">
        <v>2022</v>
      </c>
      <c r="B684" s="22"/>
      <c r="H684" s="21" t="s">
        <v>5144</v>
      </c>
      <c r="I684" s="21" t="s">
        <v>5145</v>
      </c>
      <c r="J684" s="21" t="s">
        <v>5146</v>
      </c>
      <c r="K684" s="21" t="e">
        <f t="shared" ca="1" si="4"/>
        <v>#NAME?</v>
      </c>
      <c r="L684" s="24">
        <v>1974</v>
      </c>
      <c r="N684" s="21" t="s">
        <v>111</v>
      </c>
      <c r="O684" s="21" t="s">
        <v>112</v>
      </c>
      <c r="P684" s="26">
        <v>8985971814</v>
      </c>
      <c r="Q684" s="26" t="e">
        <f t="shared" ca="1" si="5"/>
        <v>#NAME?</v>
      </c>
      <c r="R684" s="21" t="s">
        <v>188</v>
      </c>
      <c r="S684" s="21" t="s">
        <v>5147</v>
      </c>
      <c r="U684" s="21" t="s">
        <v>4232</v>
      </c>
      <c r="V684" s="21" t="s">
        <v>4232</v>
      </c>
      <c r="AA684" s="21" t="s">
        <v>5148</v>
      </c>
    </row>
    <row r="685" spans="1:27" ht="15.75" customHeight="1" x14ac:dyDescent="0.3">
      <c r="A685" s="21">
        <v>2022</v>
      </c>
      <c r="B685" s="22"/>
      <c r="H685" s="21" t="s">
        <v>5149</v>
      </c>
      <c r="I685" s="21" t="s">
        <v>5150</v>
      </c>
      <c r="J685" s="21" t="s">
        <v>2820</v>
      </c>
      <c r="K685" s="21" t="e">
        <f t="shared" ca="1" si="4"/>
        <v>#NAME?</v>
      </c>
      <c r="L685" s="24">
        <v>1982</v>
      </c>
      <c r="N685" s="21" t="s">
        <v>111</v>
      </c>
      <c r="O685" s="21" t="s">
        <v>112</v>
      </c>
      <c r="P685" s="26">
        <v>8374329155</v>
      </c>
      <c r="Q685" s="26" t="e">
        <f t="shared" ca="1" si="5"/>
        <v>#NAME?</v>
      </c>
      <c r="R685" s="21" t="s">
        <v>188</v>
      </c>
      <c r="S685" s="21" t="s">
        <v>5151</v>
      </c>
      <c r="U685" s="21" t="s">
        <v>5152</v>
      </c>
      <c r="V685" s="21" t="s">
        <v>5152</v>
      </c>
      <c r="W685" s="21" t="s">
        <v>3482</v>
      </c>
      <c r="X685" s="21" t="s">
        <v>179</v>
      </c>
      <c r="Y685" s="21" t="s">
        <v>179</v>
      </c>
      <c r="AA685" s="21" t="s">
        <v>818</v>
      </c>
    </row>
    <row r="686" spans="1:27" ht="15.75" customHeight="1" x14ac:dyDescent="0.3">
      <c r="A686" s="21">
        <v>2022</v>
      </c>
      <c r="B686" s="22"/>
      <c r="H686" s="21" t="s">
        <v>5153</v>
      </c>
      <c r="I686" s="21" t="s">
        <v>5150</v>
      </c>
      <c r="J686" s="21" t="s">
        <v>5154</v>
      </c>
      <c r="K686" s="21" t="e">
        <f t="shared" ca="1" si="4"/>
        <v>#NAME?</v>
      </c>
      <c r="L686" s="24">
        <v>1968</v>
      </c>
      <c r="N686" s="21" t="s">
        <v>111</v>
      </c>
      <c r="O686" s="21" t="s">
        <v>112</v>
      </c>
      <c r="P686" s="26">
        <v>9490391402</v>
      </c>
      <c r="Q686" s="26" t="e">
        <f t="shared" ca="1" si="5"/>
        <v>#NAME?</v>
      </c>
      <c r="R686" s="21" t="s">
        <v>5155</v>
      </c>
      <c r="S686" s="21" t="s">
        <v>5156</v>
      </c>
      <c r="U686" s="21" t="s">
        <v>5112</v>
      </c>
      <c r="V686" s="21" t="s">
        <v>5112</v>
      </c>
      <c r="W686" s="21" t="s">
        <v>229</v>
      </c>
      <c r="X686" s="21" t="s">
        <v>179</v>
      </c>
      <c r="Y686" s="21" t="s">
        <v>179</v>
      </c>
      <c r="Z686" s="21" t="s">
        <v>296</v>
      </c>
      <c r="AA686" s="21" t="s">
        <v>5157</v>
      </c>
    </row>
    <row r="687" spans="1:27" ht="15.75" customHeight="1" x14ac:dyDescent="0.3">
      <c r="A687" s="21">
        <v>2022</v>
      </c>
      <c r="B687" s="22"/>
      <c r="H687" s="21" t="s">
        <v>5158</v>
      </c>
      <c r="I687" s="21" t="s">
        <v>3427</v>
      </c>
      <c r="J687" s="21" t="s">
        <v>3428</v>
      </c>
      <c r="K687" s="21" t="e">
        <f t="shared" ca="1" si="4"/>
        <v>#NAME?</v>
      </c>
      <c r="L687" s="24">
        <v>2014</v>
      </c>
      <c r="N687" s="21" t="s">
        <v>111</v>
      </c>
      <c r="O687" s="21" t="s">
        <v>112</v>
      </c>
      <c r="P687" s="26">
        <v>9491380172</v>
      </c>
      <c r="Q687" s="26" t="e">
        <f t="shared" ca="1" si="5"/>
        <v>#NAME?</v>
      </c>
      <c r="R687" s="21" t="s">
        <v>4776</v>
      </c>
      <c r="S687" s="21" t="s">
        <v>5159</v>
      </c>
      <c r="U687" s="21" t="s">
        <v>5160</v>
      </c>
      <c r="V687" s="21" t="s">
        <v>5160</v>
      </c>
      <c r="W687" s="21" t="s">
        <v>123</v>
      </c>
      <c r="X687" s="21" t="s">
        <v>179</v>
      </c>
      <c r="Y687" s="21" t="s">
        <v>179</v>
      </c>
      <c r="Z687" s="21" t="s">
        <v>5161</v>
      </c>
      <c r="AA687" s="21" t="s">
        <v>5162</v>
      </c>
    </row>
    <row r="688" spans="1:27" ht="15.75" customHeight="1" x14ac:dyDescent="0.3">
      <c r="A688" s="21">
        <v>2022</v>
      </c>
      <c r="B688" s="22"/>
      <c r="H688" s="21" t="s">
        <v>5163</v>
      </c>
      <c r="I688" s="21" t="s">
        <v>5164</v>
      </c>
      <c r="J688" s="21" t="s">
        <v>2485</v>
      </c>
      <c r="K688" s="21" t="e">
        <f t="shared" ca="1" si="4"/>
        <v>#NAME?</v>
      </c>
      <c r="L688" s="24">
        <v>1958</v>
      </c>
      <c r="N688" s="21" t="s">
        <v>111</v>
      </c>
      <c r="O688" s="21" t="s">
        <v>112</v>
      </c>
      <c r="P688" s="26">
        <v>9390520060</v>
      </c>
      <c r="Q688" s="26" t="e">
        <f t="shared" ca="1" si="5"/>
        <v>#NAME?</v>
      </c>
      <c r="R688" s="21" t="s">
        <v>188</v>
      </c>
      <c r="S688" s="21" t="s">
        <v>5165</v>
      </c>
      <c r="U688" s="21" t="s">
        <v>5166</v>
      </c>
      <c r="V688" s="21" t="s">
        <v>5166</v>
      </c>
      <c r="AA688" s="21" t="s">
        <v>5167</v>
      </c>
    </row>
    <row r="689" spans="1:27" ht="15.75" customHeight="1" x14ac:dyDescent="0.3">
      <c r="A689" s="21">
        <v>2022</v>
      </c>
      <c r="B689" s="22"/>
      <c r="H689" s="21" t="s">
        <v>5168</v>
      </c>
      <c r="I689" s="21" t="s">
        <v>5169</v>
      </c>
      <c r="J689" s="21" t="s">
        <v>5154</v>
      </c>
      <c r="K689" s="21" t="e">
        <f t="shared" ca="1" si="4"/>
        <v>#NAME?</v>
      </c>
      <c r="L689" s="24">
        <v>1954</v>
      </c>
      <c r="N689" s="21" t="s">
        <v>111</v>
      </c>
      <c r="O689" s="21" t="s">
        <v>112</v>
      </c>
      <c r="P689" s="26">
        <v>8886458765</v>
      </c>
      <c r="Q689" s="26" t="e">
        <f t="shared" ca="1" si="5"/>
        <v>#NAME?</v>
      </c>
      <c r="R689" s="21" t="s">
        <v>5170</v>
      </c>
      <c r="S689" s="21" t="s">
        <v>5171</v>
      </c>
      <c r="U689" s="21" t="s">
        <v>5172</v>
      </c>
      <c r="V689" s="21" t="s">
        <v>5172</v>
      </c>
      <c r="X689" s="21" t="s">
        <v>5173</v>
      </c>
      <c r="Y689" s="21" t="s">
        <v>179</v>
      </c>
      <c r="AA689" s="21" t="s">
        <v>5174</v>
      </c>
    </row>
    <row r="690" spans="1:27" ht="15.75" customHeight="1" x14ac:dyDescent="0.3">
      <c r="A690" s="21">
        <v>2022</v>
      </c>
      <c r="B690" s="22"/>
      <c r="H690" s="21" t="s">
        <v>5175</v>
      </c>
      <c r="I690" s="21" t="s">
        <v>1433</v>
      </c>
      <c r="J690" s="21" t="s">
        <v>5176</v>
      </c>
      <c r="K690" s="21" t="e">
        <f t="shared" ca="1" si="4"/>
        <v>#NAME?</v>
      </c>
      <c r="L690" s="24">
        <v>2005</v>
      </c>
      <c r="N690" s="21" t="s">
        <v>111</v>
      </c>
      <c r="O690" s="21" t="s">
        <v>112</v>
      </c>
      <c r="P690" s="26">
        <v>9701982007</v>
      </c>
      <c r="Q690" s="26" t="e">
        <f t="shared" ca="1" si="5"/>
        <v>#NAME?</v>
      </c>
      <c r="R690" s="21" t="s">
        <v>3799</v>
      </c>
      <c r="S690" s="21" t="s">
        <v>5177</v>
      </c>
      <c r="U690" s="21" t="s">
        <v>5178</v>
      </c>
      <c r="V690" s="21" t="s">
        <v>5178</v>
      </c>
      <c r="W690" s="21" t="s">
        <v>5179</v>
      </c>
      <c r="X690" s="21" t="s">
        <v>1093</v>
      </c>
      <c r="Y690" s="21" t="s">
        <v>179</v>
      </c>
      <c r="Z690" s="21" t="s">
        <v>5180</v>
      </c>
      <c r="AA690" s="21" t="s">
        <v>5181</v>
      </c>
    </row>
    <row r="691" spans="1:27" ht="15.75" customHeight="1" x14ac:dyDescent="0.3">
      <c r="A691" s="21">
        <v>2022</v>
      </c>
      <c r="B691" s="22"/>
      <c r="H691" s="21" t="s">
        <v>5182</v>
      </c>
      <c r="I691" s="21" t="s">
        <v>4902</v>
      </c>
      <c r="J691" s="21" t="s">
        <v>1944</v>
      </c>
      <c r="K691" s="21" t="e">
        <f t="shared" ca="1" si="4"/>
        <v>#NAME?</v>
      </c>
      <c r="L691" s="24">
        <v>1970</v>
      </c>
      <c r="N691" s="21" t="s">
        <v>111</v>
      </c>
      <c r="O691" s="21" t="s">
        <v>112</v>
      </c>
      <c r="P691" s="26">
        <v>9295042504</v>
      </c>
      <c r="Q691" s="26" t="e">
        <f t="shared" ca="1" si="5"/>
        <v>#NAME?</v>
      </c>
      <c r="R691" s="21" t="s">
        <v>4776</v>
      </c>
      <c r="S691" s="21" t="s">
        <v>5183</v>
      </c>
      <c r="U691" s="21" t="s">
        <v>5184</v>
      </c>
      <c r="V691" s="21" t="s">
        <v>5184</v>
      </c>
      <c r="AA691" s="21" t="s">
        <v>5185</v>
      </c>
    </row>
    <row r="692" spans="1:27" ht="15.75" customHeight="1" x14ac:dyDescent="0.3">
      <c r="A692" s="21">
        <v>2022</v>
      </c>
      <c r="B692" s="22"/>
      <c r="H692" s="21" t="s">
        <v>5186</v>
      </c>
      <c r="I692" s="21" t="s">
        <v>4902</v>
      </c>
      <c r="J692" s="21" t="s">
        <v>5187</v>
      </c>
      <c r="K692" s="21" t="e">
        <f t="shared" ca="1" si="4"/>
        <v>#NAME?</v>
      </c>
      <c r="L692" s="24">
        <v>1988</v>
      </c>
      <c r="N692" s="21" t="s">
        <v>111</v>
      </c>
      <c r="O692" s="21" t="s">
        <v>112</v>
      </c>
      <c r="P692" s="26">
        <v>8500642543</v>
      </c>
      <c r="Q692" s="26" t="e">
        <f t="shared" ca="1" si="5"/>
        <v>#NAME?</v>
      </c>
      <c r="R692" s="21" t="s">
        <v>715</v>
      </c>
      <c r="S692" s="21" t="s">
        <v>5188</v>
      </c>
      <c r="U692" s="21" t="s">
        <v>265</v>
      </c>
      <c r="V692" s="21" t="s">
        <v>265</v>
      </c>
      <c r="AA692" s="21" t="s">
        <v>5189</v>
      </c>
    </row>
    <row r="693" spans="1:27" ht="15.75" customHeight="1" x14ac:dyDescent="0.3">
      <c r="A693" s="21">
        <v>2022</v>
      </c>
      <c r="B693" s="22"/>
      <c r="H693" s="21" t="s">
        <v>5190</v>
      </c>
      <c r="I693" s="21" t="s">
        <v>5191</v>
      </c>
      <c r="J693" s="21" t="s">
        <v>5192</v>
      </c>
      <c r="K693" s="21" t="e">
        <f t="shared" ca="1" si="4"/>
        <v>#NAME?</v>
      </c>
      <c r="L693" s="24">
        <v>1989</v>
      </c>
      <c r="N693" s="21" t="s">
        <v>111</v>
      </c>
      <c r="O693" s="21" t="s">
        <v>112</v>
      </c>
      <c r="P693" s="26">
        <v>8374599228</v>
      </c>
      <c r="Q693" s="26" t="e">
        <f t="shared" ca="1" si="5"/>
        <v>#NAME?</v>
      </c>
      <c r="R693" s="21" t="s">
        <v>188</v>
      </c>
      <c r="S693" s="21" t="s">
        <v>4948</v>
      </c>
      <c r="U693" s="21" t="s">
        <v>5193</v>
      </c>
      <c r="V693" s="21" t="s">
        <v>5193</v>
      </c>
      <c r="AA693" s="21" t="s">
        <v>5194</v>
      </c>
    </row>
    <row r="694" spans="1:27" ht="15.75" customHeight="1" x14ac:dyDescent="0.3">
      <c r="A694" s="21">
        <v>2022</v>
      </c>
      <c r="B694" s="22"/>
      <c r="H694" s="21" t="s">
        <v>5195</v>
      </c>
      <c r="I694" s="21" t="s">
        <v>3010</v>
      </c>
      <c r="J694" s="21" t="s">
        <v>5196</v>
      </c>
      <c r="K694" s="21" t="e">
        <f t="shared" ca="1" si="4"/>
        <v>#NAME?</v>
      </c>
      <c r="L694" s="24">
        <v>1991</v>
      </c>
      <c r="N694" s="21" t="s">
        <v>111</v>
      </c>
      <c r="O694" s="21" t="s">
        <v>112</v>
      </c>
      <c r="P694" s="26">
        <v>8121734847</v>
      </c>
      <c r="Q694" s="26" t="e">
        <f t="shared" ca="1" si="5"/>
        <v>#NAME?</v>
      </c>
      <c r="R694" s="21" t="s">
        <v>4776</v>
      </c>
      <c r="S694" s="21" t="s">
        <v>5197</v>
      </c>
      <c r="U694" s="21" t="s">
        <v>5198</v>
      </c>
      <c r="V694" s="21" t="s">
        <v>5198</v>
      </c>
      <c r="AA694" s="21" t="s">
        <v>5199</v>
      </c>
    </row>
    <row r="695" spans="1:27" ht="15.75" customHeight="1" x14ac:dyDescent="0.3">
      <c r="A695" s="21">
        <v>2022</v>
      </c>
      <c r="B695" s="22"/>
      <c r="H695" s="21" t="s">
        <v>5200</v>
      </c>
      <c r="I695" s="21" t="s">
        <v>5201</v>
      </c>
      <c r="J695" s="138" t="s">
        <v>5202</v>
      </c>
      <c r="K695" s="21" t="e">
        <f t="shared" ca="1" si="4"/>
        <v>#NAME?</v>
      </c>
      <c r="L695" s="24">
        <v>1991</v>
      </c>
      <c r="N695" s="21" t="s">
        <v>111</v>
      </c>
      <c r="O695" s="21" t="s">
        <v>112</v>
      </c>
      <c r="P695" s="26">
        <v>9032598770</v>
      </c>
      <c r="Q695" s="26" t="e">
        <f t="shared" ca="1" si="5"/>
        <v>#NAME?</v>
      </c>
      <c r="R695" s="21" t="s">
        <v>188</v>
      </c>
      <c r="S695" s="21" t="s">
        <v>5203</v>
      </c>
      <c r="U695" s="21" t="s">
        <v>5204</v>
      </c>
      <c r="V695" s="21" t="s">
        <v>5204</v>
      </c>
      <c r="AA695" s="21" t="s">
        <v>5205</v>
      </c>
    </row>
    <row r="696" spans="1:27" ht="15.75" customHeight="1" x14ac:dyDescent="0.3">
      <c r="A696" s="21">
        <v>2022</v>
      </c>
      <c r="B696" s="22"/>
      <c r="H696" s="21" t="s">
        <v>5206</v>
      </c>
      <c r="I696" s="21" t="s">
        <v>5207</v>
      </c>
      <c r="J696" s="138" t="s">
        <v>5208</v>
      </c>
      <c r="K696" s="21" t="e">
        <f t="shared" ca="1" si="4"/>
        <v>#NAME?</v>
      </c>
      <c r="L696" s="24">
        <v>2011</v>
      </c>
      <c r="N696" s="21" t="s">
        <v>111</v>
      </c>
      <c r="O696" s="21" t="s">
        <v>112</v>
      </c>
      <c r="P696" s="26">
        <v>7337359261</v>
      </c>
      <c r="Q696" s="26" t="e">
        <f t="shared" ca="1" si="5"/>
        <v>#NAME?</v>
      </c>
      <c r="R696" s="21" t="s">
        <v>5209</v>
      </c>
      <c r="S696" s="21" t="s">
        <v>5210</v>
      </c>
      <c r="U696" s="21" t="s">
        <v>5211</v>
      </c>
      <c r="V696" s="21" t="s">
        <v>5211</v>
      </c>
      <c r="W696" s="21" t="s">
        <v>498</v>
      </c>
      <c r="X696" s="21" t="s">
        <v>179</v>
      </c>
      <c r="Y696" s="21" t="s">
        <v>5212</v>
      </c>
      <c r="Z696" s="21" t="s">
        <v>5213</v>
      </c>
      <c r="AA696" s="21" t="s">
        <v>5214</v>
      </c>
    </row>
    <row r="697" spans="1:27" ht="15.75" customHeight="1" x14ac:dyDescent="0.3">
      <c r="A697" s="21">
        <v>2022</v>
      </c>
      <c r="B697" s="22"/>
      <c r="H697" s="21" t="s">
        <v>3325</v>
      </c>
      <c r="I697" s="21" t="s">
        <v>5215</v>
      </c>
      <c r="J697" s="21" t="s">
        <v>5216</v>
      </c>
      <c r="K697" s="21" t="e">
        <f t="shared" ca="1" si="4"/>
        <v>#NAME?</v>
      </c>
      <c r="L697" s="24">
        <v>2002</v>
      </c>
      <c r="N697" s="21" t="s">
        <v>111</v>
      </c>
      <c r="O697" s="21" t="s">
        <v>112</v>
      </c>
      <c r="P697" s="26">
        <v>9121549672</v>
      </c>
      <c r="Q697" s="26" t="e">
        <f t="shared" ca="1" si="5"/>
        <v>#NAME?</v>
      </c>
      <c r="R697" s="21" t="s">
        <v>4922</v>
      </c>
      <c r="S697" s="21" t="s">
        <v>5217</v>
      </c>
      <c r="U697" s="21" t="s">
        <v>5218</v>
      </c>
      <c r="V697" s="21" t="s">
        <v>5218</v>
      </c>
      <c r="W697" s="21" t="s">
        <v>5219</v>
      </c>
      <c r="X697" s="21" t="s">
        <v>179</v>
      </c>
      <c r="Y697" s="21" t="s">
        <v>179</v>
      </c>
      <c r="Z697" s="21" t="s">
        <v>5220</v>
      </c>
      <c r="AA697" s="21" t="s">
        <v>5221</v>
      </c>
    </row>
    <row r="698" spans="1:27" ht="15.75" customHeight="1" x14ac:dyDescent="0.3">
      <c r="A698" s="21">
        <v>2022</v>
      </c>
      <c r="B698" s="22"/>
      <c r="H698" s="21" t="s">
        <v>5222</v>
      </c>
      <c r="I698" s="21" t="s">
        <v>4514</v>
      </c>
      <c r="J698" s="21" t="s">
        <v>5223</v>
      </c>
      <c r="K698" s="21" t="e">
        <f t="shared" ca="1" si="4"/>
        <v>#NAME?</v>
      </c>
      <c r="L698" s="24">
        <v>1946</v>
      </c>
      <c r="N698" s="21" t="s">
        <v>111</v>
      </c>
      <c r="O698" s="21" t="s">
        <v>112</v>
      </c>
      <c r="P698" s="26">
        <v>9848132151</v>
      </c>
      <c r="Q698" s="26" t="e">
        <f t="shared" ca="1" si="5"/>
        <v>#NAME?</v>
      </c>
      <c r="R698" s="21" t="s">
        <v>188</v>
      </c>
      <c r="S698" s="21" t="s">
        <v>5224</v>
      </c>
      <c r="U698" s="21" t="s">
        <v>5225</v>
      </c>
      <c r="V698" s="21" t="s">
        <v>5225</v>
      </c>
      <c r="W698" s="21" t="s">
        <v>5226</v>
      </c>
      <c r="X698" s="21" t="s">
        <v>5227</v>
      </c>
      <c r="Y698" s="21" t="s">
        <v>179</v>
      </c>
      <c r="AA698" s="21" t="s">
        <v>386</v>
      </c>
    </row>
    <row r="699" spans="1:27" ht="15.75" customHeight="1" x14ac:dyDescent="0.3">
      <c r="A699" s="21">
        <v>2022</v>
      </c>
      <c r="B699" s="22"/>
      <c r="H699" s="21" t="s">
        <v>5228</v>
      </c>
      <c r="I699" s="21" t="s">
        <v>5229</v>
      </c>
      <c r="J699" s="21" t="s">
        <v>187</v>
      </c>
      <c r="K699" s="21" t="e">
        <f t="shared" ca="1" si="4"/>
        <v>#NAME?</v>
      </c>
      <c r="L699" s="24">
        <v>2009</v>
      </c>
      <c r="N699" s="21" t="s">
        <v>111</v>
      </c>
      <c r="O699" s="21" t="s">
        <v>112</v>
      </c>
      <c r="P699" s="26">
        <v>6363356636</v>
      </c>
      <c r="Q699" s="26" t="e">
        <f t="shared" ca="1" si="5"/>
        <v>#NAME?</v>
      </c>
      <c r="R699" s="21" t="s">
        <v>551</v>
      </c>
      <c r="S699" s="21" t="s">
        <v>5230</v>
      </c>
      <c r="U699" s="21" t="s">
        <v>5231</v>
      </c>
      <c r="V699" s="21" t="s">
        <v>5231</v>
      </c>
      <c r="W699" s="21" t="s">
        <v>266</v>
      </c>
      <c r="X699" s="21" t="s">
        <v>3549</v>
      </c>
      <c r="Y699" s="21" t="s">
        <v>5232</v>
      </c>
      <c r="Z699" s="21" t="s">
        <v>5233</v>
      </c>
      <c r="AA699" s="21" t="s">
        <v>1059</v>
      </c>
    </row>
    <row r="700" spans="1:27" ht="15.75" customHeight="1" x14ac:dyDescent="0.3">
      <c r="A700" s="21">
        <v>2022</v>
      </c>
      <c r="B700" s="22"/>
      <c r="H700" s="21" t="s">
        <v>5234</v>
      </c>
      <c r="I700" s="21" t="s">
        <v>5060</v>
      </c>
      <c r="J700" s="21" t="s">
        <v>5235</v>
      </c>
      <c r="K700" s="21" t="e">
        <f t="shared" ca="1" si="4"/>
        <v>#NAME?</v>
      </c>
      <c r="L700" s="24">
        <v>1971</v>
      </c>
      <c r="N700" s="21" t="s">
        <v>111</v>
      </c>
      <c r="O700" s="21" t="s">
        <v>112</v>
      </c>
      <c r="P700" s="26">
        <v>9959499559</v>
      </c>
      <c r="Q700" s="26" t="e">
        <f t="shared" ca="1" si="5"/>
        <v>#NAME?</v>
      </c>
      <c r="R700" s="21" t="s">
        <v>4896</v>
      </c>
      <c r="S700" s="21" t="s">
        <v>5236</v>
      </c>
      <c r="U700" s="21" t="s">
        <v>5237</v>
      </c>
      <c r="V700" s="21" t="s">
        <v>5237</v>
      </c>
    </row>
    <row r="701" spans="1:27" ht="15.75" customHeight="1" x14ac:dyDescent="0.3">
      <c r="A701" s="21">
        <v>2022</v>
      </c>
      <c r="B701" s="22"/>
      <c r="H701" s="21" t="s">
        <v>5238</v>
      </c>
      <c r="I701" s="21" t="s">
        <v>5060</v>
      </c>
      <c r="J701" s="21" t="s">
        <v>5239</v>
      </c>
      <c r="K701" s="21" t="e">
        <f t="shared" ca="1" si="4"/>
        <v>#NAME?</v>
      </c>
      <c r="L701" s="24">
        <v>1964</v>
      </c>
      <c r="N701" s="21" t="s">
        <v>111</v>
      </c>
      <c r="O701" s="21" t="s">
        <v>112</v>
      </c>
      <c r="P701" s="26">
        <v>9481342903</v>
      </c>
      <c r="Q701" s="26" t="e">
        <f t="shared" ca="1" si="5"/>
        <v>#NAME?</v>
      </c>
      <c r="R701" s="21" t="s">
        <v>485</v>
      </c>
      <c r="S701" s="21" t="s">
        <v>5240</v>
      </c>
      <c r="U701" s="21" t="s">
        <v>5241</v>
      </c>
      <c r="V701" s="21" t="s">
        <v>5241</v>
      </c>
    </row>
    <row r="702" spans="1:27" ht="15.75" customHeight="1" x14ac:dyDescent="0.3">
      <c r="A702" s="21">
        <v>2022</v>
      </c>
      <c r="B702" s="22"/>
      <c r="H702" s="21" t="s">
        <v>5242</v>
      </c>
      <c r="I702" s="21" t="s">
        <v>5060</v>
      </c>
      <c r="J702" s="21" t="s">
        <v>5243</v>
      </c>
      <c r="K702" s="21" t="e">
        <f t="shared" ca="1" si="4"/>
        <v>#NAME?</v>
      </c>
      <c r="L702" s="24">
        <v>2012</v>
      </c>
      <c r="N702" s="21" t="s">
        <v>111</v>
      </c>
      <c r="O702" s="21" t="s">
        <v>112</v>
      </c>
      <c r="P702" s="26">
        <v>9000969622</v>
      </c>
      <c r="Q702" s="26" t="e">
        <f t="shared" ca="1" si="5"/>
        <v>#NAME?</v>
      </c>
      <c r="R702" s="21" t="s">
        <v>5244</v>
      </c>
      <c r="S702" s="21" t="s">
        <v>4731</v>
      </c>
      <c r="U702" s="21" t="s">
        <v>5245</v>
      </c>
      <c r="V702" s="21" t="s">
        <v>5245</v>
      </c>
    </row>
    <row r="703" spans="1:27" ht="15.75" customHeight="1" x14ac:dyDescent="0.3">
      <c r="A703" s="21">
        <v>2022</v>
      </c>
      <c r="B703" s="22"/>
      <c r="H703" s="21" t="s">
        <v>5246</v>
      </c>
      <c r="I703" s="21" t="s">
        <v>1747</v>
      </c>
      <c r="J703" s="21" t="s">
        <v>4029</v>
      </c>
      <c r="K703" s="21" t="e">
        <f t="shared" ca="1" si="4"/>
        <v>#NAME?</v>
      </c>
      <c r="L703" s="24">
        <v>1960</v>
      </c>
      <c r="N703" s="21" t="s">
        <v>111</v>
      </c>
      <c r="O703" s="21" t="s">
        <v>112</v>
      </c>
      <c r="P703" s="26">
        <v>9848369594</v>
      </c>
      <c r="Q703" s="26" t="e">
        <f t="shared" ca="1" si="5"/>
        <v>#NAME?</v>
      </c>
      <c r="R703" s="21" t="s">
        <v>4776</v>
      </c>
      <c r="S703" s="21" t="s">
        <v>5247</v>
      </c>
      <c r="U703" s="21" t="s">
        <v>5248</v>
      </c>
      <c r="V703" s="21" t="s">
        <v>5248</v>
      </c>
    </row>
    <row r="704" spans="1:27" ht="15.75" customHeight="1" x14ac:dyDescent="0.3">
      <c r="A704" s="21">
        <v>2022</v>
      </c>
      <c r="B704" s="22"/>
      <c r="H704" s="21" t="s">
        <v>712</v>
      </c>
      <c r="I704" s="21" t="s">
        <v>1199</v>
      </c>
      <c r="J704" s="21" t="s">
        <v>5249</v>
      </c>
      <c r="K704" s="21" t="e">
        <f t="shared" ca="1" si="4"/>
        <v>#NAME?</v>
      </c>
      <c r="L704" s="24">
        <v>2012</v>
      </c>
      <c r="N704" s="21" t="s">
        <v>111</v>
      </c>
      <c r="O704" s="21" t="s">
        <v>112</v>
      </c>
      <c r="P704" s="26">
        <v>9398433313</v>
      </c>
      <c r="Q704" s="26" t="e">
        <f t="shared" ca="1" si="5"/>
        <v>#NAME?</v>
      </c>
      <c r="R704" s="21" t="s">
        <v>715</v>
      </c>
      <c r="S704" s="21" t="s">
        <v>2751</v>
      </c>
      <c r="U704" s="21" t="s">
        <v>5250</v>
      </c>
      <c r="V704" s="21" t="s">
        <v>5250</v>
      </c>
      <c r="W704" s="21" t="s">
        <v>5251</v>
      </c>
      <c r="X704" s="21" t="s">
        <v>179</v>
      </c>
      <c r="Y704" s="21" t="s">
        <v>179</v>
      </c>
      <c r="Z704" s="21" t="s">
        <v>5252</v>
      </c>
      <c r="AA704" s="21" t="s">
        <v>5253</v>
      </c>
    </row>
    <row r="705" spans="1:27" ht="15.75" customHeight="1" x14ac:dyDescent="0.3">
      <c r="A705" s="21">
        <v>2022</v>
      </c>
      <c r="B705" s="22"/>
      <c r="H705" s="21" t="s">
        <v>5254</v>
      </c>
      <c r="I705" s="21" t="s">
        <v>5255</v>
      </c>
      <c r="J705" s="21" t="s">
        <v>5256</v>
      </c>
      <c r="K705" s="21" t="e">
        <f t="shared" ca="1" si="4"/>
        <v>#NAME?</v>
      </c>
      <c r="L705" s="24">
        <v>2012</v>
      </c>
      <c r="N705" s="21" t="s">
        <v>111</v>
      </c>
      <c r="O705" s="21" t="s">
        <v>112</v>
      </c>
      <c r="P705" s="26">
        <v>7095150110</v>
      </c>
      <c r="Q705" s="26" t="e">
        <f t="shared" ca="1" si="5"/>
        <v>#NAME?</v>
      </c>
      <c r="R705" s="21" t="s">
        <v>188</v>
      </c>
      <c r="S705" s="21" t="s">
        <v>5257</v>
      </c>
      <c r="U705" s="21" t="s">
        <v>5258</v>
      </c>
      <c r="V705" s="21" t="s">
        <v>5258</v>
      </c>
      <c r="W705" s="21" t="s">
        <v>266</v>
      </c>
      <c r="X705" s="21" t="s">
        <v>179</v>
      </c>
      <c r="Y705" s="21" t="s">
        <v>179</v>
      </c>
      <c r="Z705" s="21" t="s">
        <v>5259</v>
      </c>
      <c r="AA705" s="21" t="s">
        <v>5260</v>
      </c>
    </row>
    <row r="706" spans="1:27" ht="15.75" customHeight="1" x14ac:dyDescent="0.3">
      <c r="A706" s="21">
        <v>2022</v>
      </c>
      <c r="B706" s="22"/>
      <c r="H706" s="21" t="s">
        <v>5261</v>
      </c>
      <c r="I706" s="21" t="s">
        <v>4920</v>
      </c>
      <c r="J706" s="21" t="s">
        <v>5262</v>
      </c>
      <c r="K706" s="21" t="e">
        <f t="shared" ca="1" si="4"/>
        <v>#NAME?</v>
      </c>
      <c r="L706" s="24">
        <v>2008</v>
      </c>
      <c r="N706" s="21" t="s">
        <v>111</v>
      </c>
      <c r="O706" s="21" t="s">
        <v>112</v>
      </c>
      <c r="P706" s="26">
        <v>9000963245</v>
      </c>
      <c r="Q706" s="26" t="e">
        <f t="shared" ca="1" si="5"/>
        <v>#NAME?</v>
      </c>
      <c r="R706" s="21" t="s">
        <v>4922</v>
      </c>
      <c r="S706" s="21" t="s">
        <v>5263</v>
      </c>
      <c r="U706" s="21" t="s">
        <v>5264</v>
      </c>
      <c r="V706" s="21" t="s">
        <v>5264</v>
      </c>
    </row>
    <row r="707" spans="1:27" ht="15.75" customHeight="1" x14ac:dyDescent="0.3">
      <c r="A707" s="21">
        <v>2022</v>
      </c>
      <c r="B707" s="22"/>
      <c r="H707" s="21" t="s">
        <v>5265</v>
      </c>
      <c r="I707" s="21" t="s">
        <v>5266</v>
      </c>
      <c r="J707" s="21" t="s">
        <v>5267</v>
      </c>
      <c r="K707" s="21" t="e">
        <f t="shared" ca="1" si="4"/>
        <v>#NAME?</v>
      </c>
      <c r="L707" s="24">
        <v>1988</v>
      </c>
      <c r="N707" s="21" t="s">
        <v>111</v>
      </c>
      <c r="O707" s="21" t="s">
        <v>112</v>
      </c>
      <c r="P707" s="26">
        <v>9966667678</v>
      </c>
      <c r="Q707" s="26" t="e">
        <f t="shared" ca="1" si="5"/>
        <v>#NAME?</v>
      </c>
      <c r="R707" s="21" t="s">
        <v>188</v>
      </c>
      <c r="S707" s="21" t="s">
        <v>4948</v>
      </c>
      <c r="U707" s="21" t="s">
        <v>5268</v>
      </c>
      <c r="V707" s="21" t="s">
        <v>5268</v>
      </c>
      <c r="AA707" s="21" t="s">
        <v>5269</v>
      </c>
    </row>
    <row r="708" spans="1:27" ht="15.75" customHeight="1" x14ac:dyDescent="0.3">
      <c r="A708" s="21">
        <v>2022</v>
      </c>
      <c r="B708" s="22"/>
      <c r="H708" s="21" t="s">
        <v>5270</v>
      </c>
      <c r="I708" s="21" t="s">
        <v>3358</v>
      </c>
      <c r="J708" s="21" t="s">
        <v>2083</v>
      </c>
      <c r="K708" s="21" t="e">
        <f t="shared" ca="1" si="4"/>
        <v>#NAME?</v>
      </c>
      <c r="L708" s="24">
        <v>1985</v>
      </c>
      <c r="N708" s="21" t="s">
        <v>111</v>
      </c>
      <c r="O708" s="21" t="s">
        <v>112</v>
      </c>
      <c r="P708" s="26">
        <v>9030358546</v>
      </c>
      <c r="Q708" s="26" t="e">
        <f t="shared" ca="1" si="5"/>
        <v>#NAME?</v>
      </c>
      <c r="R708" s="21" t="s">
        <v>188</v>
      </c>
      <c r="S708" s="21" t="s">
        <v>5271</v>
      </c>
      <c r="U708" s="21" t="s">
        <v>5272</v>
      </c>
      <c r="V708" s="21" t="s">
        <v>5272</v>
      </c>
      <c r="W708" s="21" t="s">
        <v>488</v>
      </c>
      <c r="X708" s="21" t="s">
        <v>179</v>
      </c>
      <c r="Y708" s="21" t="s">
        <v>179</v>
      </c>
      <c r="Z708" s="21" t="s">
        <v>5273</v>
      </c>
      <c r="AA708" s="21" t="s">
        <v>968</v>
      </c>
    </row>
    <row r="709" spans="1:27" ht="15.75" customHeight="1" x14ac:dyDescent="0.3">
      <c r="A709" s="21">
        <v>2022</v>
      </c>
      <c r="B709" s="22"/>
      <c r="H709" s="21" t="s">
        <v>5274</v>
      </c>
      <c r="I709" s="21" t="s">
        <v>781</v>
      </c>
      <c r="J709" s="21" t="s">
        <v>2216</v>
      </c>
      <c r="K709" s="21" t="e">
        <f t="shared" ca="1" si="4"/>
        <v>#NAME?</v>
      </c>
      <c r="L709" s="24">
        <v>1976</v>
      </c>
      <c r="N709" s="21" t="s">
        <v>111</v>
      </c>
      <c r="O709" s="21" t="s">
        <v>112</v>
      </c>
      <c r="P709" s="26">
        <v>9052880307</v>
      </c>
      <c r="Q709" s="26" t="e">
        <f t="shared" ca="1" si="5"/>
        <v>#NAME?</v>
      </c>
      <c r="R709" s="21" t="s">
        <v>5275</v>
      </c>
      <c r="S709" s="21" t="s">
        <v>5276</v>
      </c>
      <c r="U709" s="21" t="s">
        <v>5277</v>
      </c>
      <c r="V709" s="21" t="s">
        <v>5277</v>
      </c>
      <c r="W709" s="21" t="s">
        <v>5278</v>
      </c>
      <c r="X709" s="21" t="s">
        <v>5279</v>
      </c>
      <c r="Y709" s="21" t="s">
        <v>165</v>
      </c>
      <c r="AA709" s="21" t="s">
        <v>3499</v>
      </c>
    </row>
    <row r="710" spans="1:27" ht="15.75" customHeight="1" x14ac:dyDescent="0.3">
      <c r="A710" s="21">
        <v>2022</v>
      </c>
      <c r="B710" s="22"/>
      <c r="H710" s="21" t="s">
        <v>5280</v>
      </c>
      <c r="I710" s="21" t="s">
        <v>5281</v>
      </c>
      <c r="J710" s="21" t="s">
        <v>5282</v>
      </c>
      <c r="K710" s="21" t="e">
        <f t="shared" ca="1" si="4"/>
        <v>#NAME?</v>
      </c>
      <c r="L710" s="24">
        <v>2009</v>
      </c>
      <c r="N710" s="21" t="s">
        <v>111</v>
      </c>
      <c r="O710" s="21" t="s">
        <v>112</v>
      </c>
      <c r="P710" s="26">
        <v>9491441244</v>
      </c>
      <c r="Q710" s="26" t="e">
        <f t="shared" ca="1" si="5"/>
        <v>#NAME?</v>
      </c>
      <c r="R710" s="21" t="s">
        <v>5283</v>
      </c>
      <c r="S710" s="21" t="s">
        <v>5284</v>
      </c>
      <c r="U710" s="21" t="s">
        <v>5285</v>
      </c>
      <c r="V710" s="21" t="s">
        <v>5285</v>
      </c>
      <c r="W710" s="21" t="s">
        <v>498</v>
      </c>
      <c r="X710" s="21" t="s">
        <v>179</v>
      </c>
      <c r="Y710" s="21" t="s">
        <v>179</v>
      </c>
      <c r="Z710" s="21" t="s">
        <v>5286</v>
      </c>
      <c r="AA710" s="21" t="s">
        <v>5287</v>
      </c>
    </row>
    <row r="711" spans="1:27" ht="15.75" customHeight="1" x14ac:dyDescent="0.3">
      <c r="A711" s="21">
        <v>2022</v>
      </c>
      <c r="B711" s="22"/>
      <c r="H711" s="21" t="s">
        <v>4801</v>
      </c>
      <c r="I711" s="21" t="s">
        <v>2544</v>
      </c>
      <c r="J711" s="21" t="s">
        <v>5288</v>
      </c>
      <c r="K711" s="21" t="e">
        <f t="shared" ca="1" si="4"/>
        <v>#NAME?</v>
      </c>
      <c r="L711" s="24">
        <v>2006</v>
      </c>
      <c r="N711" s="21" t="s">
        <v>111</v>
      </c>
      <c r="O711" s="21" t="s">
        <v>112</v>
      </c>
      <c r="P711" s="26">
        <v>9573806773</v>
      </c>
      <c r="Q711" s="26" t="e">
        <f t="shared" ca="1" si="5"/>
        <v>#NAME?</v>
      </c>
      <c r="R711" s="21" t="s">
        <v>188</v>
      </c>
      <c r="S711" s="21" t="s">
        <v>5289</v>
      </c>
      <c r="U711" s="21" t="s">
        <v>4803</v>
      </c>
      <c r="V711" s="21" t="s">
        <v>4803</v>
      </c>
    </row>
    <row r="712" spans="1:27" ht="15.75" customHeight="1" x14ac:dyDescent="0.3">
      <c r="A712" s="21">
        <v>2022</v>
      </c>
      <c r="B712" s="22"/>
      <c r="H712" s="21" t="s">
        <v>5290</v>
      </c>
      <c r="I712" s="21" t="s">
        <v>531</v>
      </c>
      <c r="J712" s="21" t="s">
        <v>3783</v>
      </c>
      <c r="K712" s="21" t="e">
        <f t="shared" ca="1" si="4"/>
        <v>#NAME?</v>
      </c>
      <c r="L712" s="24">
        <v>2010</v>
      </c>
      <c r="N712" s="21" t="s">
        <v>111</v>
      </c>
      <c r="O712" s="21" t="s">
        <v>112</v>
      </c>
      <c r="P712" s="26">
        <v>7799558759</v>
      </c>
      <c r="Q712" s="26" t="e">
        <f t="shared" ca="1" si="5"/>
        <v>#NAME?</v>
      </c>
      <c r="R712" s="21" t="s">
        <v>188</v>
      </c>
      <c r="S712" s="21" t="s">
        <v>5291</v>
      </c>
      <c r="U712" s="21" t="s">
        <v>5292</v>
      </c>
      <c r="V712" s="21" t="s">
        <v>5292</v>
      </c>
      <c r="W712" s="21" t="s">
        <v>884</v>
      </c>
      <c r="X712" s="21" t="s">
        <v>179</v>
      </c>
      <c r="Y712" s="21" t="s">
        <v>267</v>
      </c>
      <c r="Z712" s="21" t="s">
        <v>5293</v>
      </c>
      <c r="AA712" s="21" t="s">
        <v>5294</v>
      </c>
    </row>
    <row r="713" spans="1:27" ht="15.75" customHeight="1" x14ac:dyDescent="0.3">
      <c r="A713" s="21">
        <v>2022</v>
      </c>
      <c r="B713" s="22"/>
      <c r="H713" s="21" t="s">
        <v>5295</v>
      </c>
      <c r="I713" s="21" t="s">
        <v>5296</v>
      </c>
      <c r="J713" s="21" t="s">
        <v>4568</v>
      </c>
      <c r="K713" s="21" t="e">
        <f t="shared" ca="1" si="4"/>
        <v>#NAME?</v>
      </c>
      <c r="L713" s="24">
        <v>1992</v>
      </c>
      <c r="N713" s="21" t="s">
        <v>111</v>
      </c>
      <c r="O713" s="21" t="s">
        <v>112</v>
      </c>
      <c r="P713" s="26">
        <v>9494501664</v>
      </c>
      <c r="Q713" s="26" t="e">
        <f t="shared" ca="1" si="5"/>
        <v>#NAME?</v>
      </c>
      <c r="R713" s="21" t="s">
        <v>188</v>
      </c>
      <c r="S713" s="21" t="s">
        <v>5297</v>
      </c>
      <c r="U713" s="21" t="s">
        <v>5298</v>
      </c>
      <c r="V713" s="21" t="s">
        <v>5298</v>
      </c>
      <c r="AA713" s="21" t="s">
        <v>5299</v>
      </c>
    </row>
    <row r="714" spans="1:27" ht="15.75" customHeight="1" x14ac:dyDescent="0.3">
      <c r="A714" s="21">
        <v>2022</v>
      </c>
      <c r="B714" s="22"/>
      <c r="H714" s="21" t="s">
        <v>5300</v>
      </c>
      <c r="I714" s="21" t="s">
        <v>5301</v>
      </c>
      <c r="J714" s="21" t="s">
        <v>5302</v>
      </c>
      <c r="K714" s="21" t="e">
        <f t="shared" ca="1" si="4"/>
        <v>#NAME?</v>
      </c>
      <c r="L714" s="24">
        <v>1981</v>
      </c>
      <c r="N714" s="21" t="s">
        <v>111</v>
      </c>
      <c r="O714" s="21" t="s">
        <v>112</v>
      </c>
      <c r="P714" s="26">
        <v>9640380005</v>
      </c>
      <c r="Q714" s="26" t="e">
        <f t="shared" ca="1" si="5"/>
        <v>#NAME?</v>
      </c>
      <c r="R714" s="21" t="s">
        <v>188</v>
      </c>
      <c r="S714" s="21" t="s">
        <v>5303</v>
      </c>
      <c r="U714" s="21" t="s">
        <v>5304</v>
      </c>
      <c r="V714" s="21" t="s">
        <v>5304</v>
      </c>
      <c r="AA714" s="21" t="s">
        <v>5305</v>
      </c>
    </row>
    <row r="715" spans="1:27" ht="15.75" customHeight="1" x14ac:dyDescent="0.3">
      <c r="A715" s="21">
        <v>2022</v>
      </c>
      <c r="B715" s="22"/>
      <c r="H715" s="21" t="s">
        <v>5306</v>
      </c>
      <c r="I715" s="21" t="s">
        <v>5301</v>
      </c>
      <c r="J715" s="21" t="s">
        <v>5307</v>
      </c>
      <c r="K715" s="21" t="e">
        <f t="shared" ca="1" si="4"/>
        <v>#NAME?</v>
      </c>
      <c r="L715" s="24">
        <v>1982</v>
      </c>
      <c r="N715" s="21" t="s">
        <v>111</v>
      </c>
      <c r="O715" s="21" t="s">
        <v>112</v>
      </c>
      <c r="P715" s="26">
        <v>6300931371</v>
      </c>
      <c r="Q715" s="26" t="e">
        <f t="shared" ca="1" si="5"/>
        <v>#NAME?</v>
      </c>
      <c r="R715" s="21" t="s">
        <v>188</v>
      </c>
      <c r="S715" s="21" t="s">
        <v>5308</v>
      </c>
      <c r="U715" s="21" t="s">
        <v>5309</v>
      </c>
      <c r="V715" s="21" t="s">
        <v>5309</v>
      </c>
      <c r="AA715" s="21" t="s">
        <v>5310</v>
      </c>
    </row>
    <row r="716" spans="1:27" ht="15.75" customHeight="1" x14ac:dyDescent="0.3">
      <c r="A716" s="21">
        <v>2022</v>
      </c>
      <c r="B716" s="22"/>
      <c r="H716" s="21" t="s">
        <v>5311</v>
      </c>
      <c r="I716" s="21" t="s">
        <v>3975</v>
      </c>
      <c r="J716" s="21" t="s">
        <v>5312</v>
      </c>
      <c r="K716" s="21" t="e">
        <f t="shared" ca="1" si="4"/>
        <v>#NAME?</v>
      </c>
      <c r="L716" s="24">
        <v>1968</v>
      </c>
      <c r="N716" s="21" t="s">
        <v>111</v>
      </c>
      <c r="O716" s="21" t="s">
        <v>112</v>
      </c>
      <c r="P716" s="26">
        <v>9989277757</v>
      </c>
      <c r="Q716" s="26" t="e">
        <f t="shared" ca="1" si="5"/>
        <v>#NAME?</v>
      </c>
      <c r="R716" s="21" t="s">
        <v>4776</v>
      </c>
      <c r="S716" s="21" t="s">
        <v>5313</v>
      </c>
      <c r="U716" s="21" t="s">
        <v>5314</v>
      </c>
      <c r="V716" s="21" t="s">
        <v>5314</v>
      </c>
      <c r="AA716" s="21" t="s">
        <v>5315</v>
      </c>
    </row>
    <row r="717" spans="1:27" ht="15.75" customHeight="1" x14ac:dyDescent="0.3">
      <c r="A717" s="21">
        <v>2022</v>
      </c>
      <c r="B717" s="22"/>
      <c r="H717" s="21" t="s">
        <v>5316</v>
      </c>
      <c r="I717" s="21" t="s">
        <v>5317</v>
      </c>
      <c r="J717" s="21" t="s">
        <v>5318</v>
      </c>
      <c r="K717" s="21" t="e">
        <f t="shared" ca="1" si="4"/>
        <v>#NAME?</v>
      </c>
      <c r="L717" s="24">
        <v>2016</v>
      </c>
      <c r="N717" s="21" t="s">
        <v>111</v>
      </c>
      <c r="O717" s="21" t="s">
        <v>112</v>
      </c>
      <c r="P717" s="26">
        <v>8142558444</v>
      </c>
      <c r="Q717" s="26" t="e">
        <f t="shared" ca="1" si="5"/>
        <v>#NAME?</v>
      </c>
      <c r="R717" s="21" t="s">
        <v>5319</v>
      </c>
      <c r="S717" s="21" t="s">
        <v>5320</v>
      </c>
      <c r="U717" s="21" t="s">
        <v>5321</v>
      </c>
      <c r="V717" s="21" t="s">
        <v>5321</v>
      </c>
      <c r="W717" s="21" t="s">
        <v>1135</v>
      </c>
      <c r="X717" s="21" t="s">
        <v>179</v>
      </c>
      <c r="Y717" s="21" t="s">
        <v>179</v>
      </c>
      <c r="Z717" s="21" t="s">
        <v>5322</v>
      </c>
      <c r="AA717" s="21" t="s">
        <v>818</v>
      </c>
    </row>
    <row r="718" spans="1:27" ht="15.75" customHeight="1" x14ac:dyDescent="0.3">
      <c r="A718" s="21">
        <v>2022</v>
      </c>
      <c r="B718" s="22"/>
      <c r="H718" s="21" t="s">
        <v>5316</v>
      </c>
      <c r="I718" s="21" t="s">
        <v>5317</v>
      </c>
      <c r="J718" s="21" t="s">
        <v>5323</v>
      </c>
      <c r="K718" s="21" t="e">
        <f t="shared" ca="1" si="4"/>
        <v>#NAME?</v>
      </c>
      <c r="L718" s="24">
        <v>1987</v>
      </c>
      <c r="N718" s="21" t="s">
        <v>111</v>
      </c>
      <c r="O718" s="21" t="s">
        <v>112</v>
      </c>
      <c r="P718" s="26">
        <v>8142558444</v>
      </c>
      <c r="Q718" s="26" t="e">
        <f t="shared" ca="1" si="5"/>
        <v>#NAME?</v>
      </c>
      <c r="R718" s="21" t="s">
        <v>5319</v>
      </c>
      <c r="S718" s="21" t="s">
        <v>4948</v>
      </c>
      <c r="U718" s="21" t="s">
        <v>5324</v>
      </c>
      <c r="V718" s="21" t="s">
        <v>5324</v>
      </c>
      <c r="AA718" s="21" t="s">
        <v>5325</v>
      </c>
    </row>
    <row r="719" spans="1:27" ht="15.75" customHeight="1" x14ac:dyDescent="0.3">
      <c r="A719" s="21">
        <v>2022</v>
      </c>
      <c r="B719" s="22"/>
      <c r="H719" s="21" t="s">
        <v>5326</v>
      </c>
      <c r="I719" s="21" t="s">
        <v>5327</v>
      </c>
      <c r="J719" s="21" t="s">
        <v>5328</v>
      </c>
      <c r="K719" s="21" t="e">
        <f t="shared" ca="1" si="4"/>
        <v>#NAME?</v>
      </c>
      <c r="L719" s="24">
        <v>2011</v>
      </c>
      <c r="N719" s="21" t="s">
        <v>111</v>
      </c>
      <c r="O719" s="21" t="s">
        <v>112</v>
      </c>
      <c r="P719" s="26">
        <v>9618888108</v>
      </c>
      <c r="Q719" s="26" t="e">
        <f t="shared" ca="1" si="5"/>
        <v>#NAME?</v>
      </c>
      <c r="R719" s="21" t="s">
        <v>4922</v>
      </c>
      <c r="S719" s="21" t="s">
        <v>5329</v>
      </c>
      <c r="U719" s="21" t="s">
        <v>5330</v>
      </c>
      <c r="V719" s="21" t="s">
        <v>5330</v>
      </c>
      <c r="W719" s="21" t="s">
        <v>884</v>
      </c>
      <c r="X719" s="21" t="s">
        <v>179</v>
      </c>
      <c r="Y719" s="21" t="s">
        <v>179</v>
      </c>
      <c r="Z719" s="21" t="s">
        <v>5331</v>
      </c>
      <c r="AA719" s="21" t="s">
        <v>396</v>
      </c>
    </row>
    <row r="720" spans="1:27" ht="15.75" customHeight="1" x14ac:dyDescent="0.3">
      <c r="A720" s="21">
        <v>2022</v>
      </c>
      <c r="B720" s="22"/>
      <c r="H720" s="21" t="s">
        <v>5332</v>
      </c>
      <c r="I720" s="21" t="s">
        <v>4943</v>
      </c>
      <c r="J720" s="21" t="s">
        <v>5333</v>
      </c>
      <c r="K720" s="21" t="e">
        <f t="shared" ca="1" si="4"/>
        <v>#NAME?</v>
      </c>
      <c r="L720" s="24">
        <v>1959</v>
      </c>
      <c r="N720" s="21" t="s">
        <v>111</v>
      </c>
      <c r="O720" s="21" t="s">
        <v>112</v>
      </c>
      <c r="P720" s="26">
        <v>8317618088</v>
      </c>
      <c r="Q720" s="26" t="e">
        <f t="shared" ca="1" si="5"/>
        <v>#NAME?</v>
      </c>
      <c r="R720" s="21" t="s">
        <v>1536</v>
      </c>
      <c r="S720" s="21" t="s">
        <v>5313</v>
      </c>
      <c r="U720" s="21" t="s">
        <v>5334</v>
      </c>
      <c r="V720" s="21" t="s">
        <v>5334</v>
      </c>
      <c r="AA720" s="21" t="s">
        <v>5335</v>
      </c>
    </row>
    <row r="721" spans="1:27" ht="15.75" customHeight="1" x14ac:dyDescent="0.3">
      <c r="A721" s="21">
        <v>2022</v>
      </c>
      <c r="B721" s="22"/>
      <c r="H721" s="21" t="s">
        <v>5336</v>
      </c>
      <c r="I721" s="21" t="s">
        <v>4636</v>
      </c>
      <c r="J721" s="21" t="s">
        <v>5337</v>
      </c>
      <c r="K721" s="21" t="e">
        <f t="shared" ca="1" si="4"/>
        <v>#NAME?</v>
      </c>
      <c r="L721" s="24">
        <v>1956</v>
      </c>
      <c r="N721" s="21" t="s">
        <v>111</v>
      </c>
      <c r="O721" s="21" t="s">
        <v>112</v>
      </c>
      <c r="P721" s="26">
        <v>9948833662</v>
      </c>
      <c r="Q721" s="26" t="e">
        <f t="shared" ca="1" si="5"/>
        <v>#NAME?</v>
      </c>
      <c r="R721" s="21" t="s">
        <v>1536</v>
      </c>
      <c r="S721" s="21" t="s">
        <v>5338</v>
      </c>
      <c r="U721" s="21" t="s">
        <v>5314</v>
      </c>
      <c r="V721" s="21" t="s">
        <v>5314</v>
      </c>
      <c r="W721" s="21" t="s">
        <v>488</v>
      </c>
      <c r="X721" s="21" t="s">
        <v>179</v>
      </c>
      <c r="Y721" s="21" t="s">
        <v>179</v>
      </c>
    </row>
    <row r="722" spans="1:27" ht="15.75" customHeight="1" x14ac:dyDescent="0.3">
      <c r="A722" s="21">
        <v>2022</v>
      </c>
      <c r="B722" s="22"/>
      <c r="H722" s="21" t="s">
        <v>5339</v>
      </c>
      <c r="I722" s="21" t="s">
        <v>1471</v>
      </c>
      <c r="J722" s="21" t="s">
        <v>5340</v>
      </c>
      <c r="K722" s="21" t="e">
        <f t="shared" ca="1" si="4"/>
        <v>#NAME?</v>
      </c>
      <c r="L722" s="24">
        <v>1992</v>
      </c>
      <c r="N722" s="21" t="s">
        <v>111</v>
      </c>
      <c r="O722" s="21" t="s">
        <v>112</v>
      </c>
      <c r="P722" s="26">
        <v>9052293220</v>
      </c>
      <c r="Q722" s="26" t="e">
        <f t="shared" ca="1" si="5"/>
        <v>#NAME?</v>
      </c>
      <c r="R722" s="21" t="s">
        <v>664</v>
      </c>
      <c r="S722" s="21" t="s">
        <v>5341</v>
      </c>
      <c r="U722" s="21" t="s">
        <v>5342</v>
      </c>
      <c r="V722" s="21" t="s">
        <v>5342</v>
      </c>
      <c r="AA722" s="21" t="s">
        <v>5343</v>
      </c>
    </row>
    <row r="723" spans="1:27" ht="15.75" customHeight="1" x14ac:dyDescent="0.3">
      <c r="A723" s="21">
        <v>2022</v>
      </c>
      <c r="B723" s="22"/>
      <c r="H723" s="21" t="s">
        <v>5344</v>
      </c>
      <c r="I723" s="21" t="s">
        <v>5345</v>
      </c>
      <c r="J723" s="21" t="s">
        <v>5346</v>
      </c>
      <c r="K723" s="21" t="e">
        <f t="shared" ca="1" si="4"/>
        <v>#NAME?</v>
      </c>
      <c r="L723" s="24">
        <v>1992</v>
      </c>
      <c r="N723" s="21" t="s">
        <v>111</v>
      </c>
      <c r="O723" s="21" t="s">
        <v>112</v>
      </c>
      <c r="P723" s="26">
        <v>9700833507</v>
      </c>
      <c r="Q723" s="26" t="e">
        <f t="shared" ca="1" si="5"/>
        <v>#NAME?</v>
      </c>
      <c r="R723" s="21" t="s">
        <v>188</v>
      </c>
      <c r="S723" s="21" t="s">
        <v>5347</v>
      </c>
      <c r="U723" s="21" t="s">
        <v>5348</v>
      </c>
      <c r="V723" s="21" t="s">
        <v>5348</v>
      </c>
      <c r="AA723" s="21" t="s">
        <v>5349</v>
      </c>
    </row>
    <row r="724" spans="1:27" ht="15.75" customHeight="1" x14ac:dyDescent="0.3">
      <c r="A724" s="21">
        <v>2022</v>
      </c>
      <c r="B724" s="22"/>
      <c r="H724" s="21" t="s">
        <v>5350</v>
      </c>
      <c r="I724" s="21" t="s">
        <v>5351</v>
      </c>
      <c r="J724" s="21" t="s">
        <v>5352</v>
      </c>
      <c r="K724" s="21" t="e">
        <f t="shared" ca="1" si="4"/>
        <v>#NAME?</v>
      </c>
      <c r="L724" s="24">
        <v>1974</v>
      </c>
      <c r="N724" s="21" t="s">
        <v>111</v>
      </c>
      <c r="O724" s="21" t="s">
        <v>112</v>
      </c>
      <c r="P724" s="26">
        <v>9849062337</v>
      </c>
      <c r="Q724" s="26" t="e">
        <f t="shared" ca="1" si="5"/>
        <v>#NAME?</v>
      </c>
      <c r="R724" s="21" t="s">
        <v>5353</v>
      </c>
      <c r="S724" s="21" t="s">
        <v>5188</v>
      </c>
      <c r="U724" s="21" t="s">
        <v>5354</v>
      </c>
      <c r="V724" s="21" t="s">
        <v>5354</v>
      </c>
      <c r="AA724" s="21" t="s">
        <v>5355</v>
      </c>
    </row>
    <row r="725" spans="1:27" ht="15.75" customHeight="1" x14ac:dyDescent="0.3">
      <c r="A725" s="21">
        <v>2022</v>
      </c>
      <c r="B725" s="22"/>
      <c r="H725" s="21" t="s">
        <v>5356</v>
      </c>
      <c r="I725" s="21" t="s">
        <v>5351</v>
      </c>
      <c r="J725" s="21" t="s">
        <v>1642</v>
      </c>
      <c r="K725" s="21" t="e">
        <f t="shared" ca="1" si="4"/>
        <v>#NAME?</v>
      </c>
      <c r="L725" s="24">
        <v>2006</v>
      </c>
      <c r="N725" s="21" t="s">
        <v>111</v>
      </c>
      <c r="O725" s="21" t="s">
        <v>112</v>
      </c>
      <c r="P725" s="26">
        <v>9849062337</v>
      </c>
      <c r="Q725" s="26" t="e">
        <f t="shared" ca="1" si="5"/>
        <v>#NAME?</v>
      </c>
      <c r="R725" s="21" t="s">
        <v>485</v>
      </c>
      <c r="S725" s="21" t="s">
        <v>5357</v>
      </c>
      <c r="U725" s="21" t="s">
        <v>5358</v>
      </c>
      <c r="V725" s="21" t="s">
        <v>5358</v>
      </c>
      <c r="W725" s="21" t="s">
        <v>5359</v>
      </c>
      <c r="X725" s="21" t="s">
        <v>179</v>
      </c>
      <c r="Y725" s="21" t="s">
        <v>179</v>
      </c>
      <c r="Z725" s="21" t="s">
        <v>5360</v>
      </c>
      <c r="AA725" s="21" t="s">
        <v>5361</v>
      </c>
    </row>
    <row r="726" spans="1:27" ht="15.75" customHeight="1" x14ac:dyDescent="0.3">
      <c r="A726" s="21">
        <v>2022</v>
      </c>
      <c r="B726" s="22"/>
      <c r="H726" s="21" t="s">
        <v>5362</v>
      </c>
      <c r="I726" s="21" t="s">
        <v>4680</v>
      </c>
      <c r="J726" s="21" t="s">
        <v>4681</v>
      </c>
      <c r="K726" s="21" t="e">
        <f t="shared" ca="1" si="4"/>
        <v>#NAME?</v>
      </c>
      <c r="L726" s="24">
        <v>2009</v>
      </c>
      <c r="N726" s="21" t="s">
        <v>111</v>
      </c>
      <c r="O726" s="21" t="s">
        <v>112</v>
      </c>
      <c r="P726" s="26">
        <v>8767128990</v>
      </c>
      <c r="Q726" s="26" t="e">
        <f t="shared" ca="1" si="5"/>
        <v>#NAME?</v>
      </c>
      <c r="R726" s="21" t="s">
        <v>5209</v>
      </c>
      <c r="S726" s="21" t="s">
        <v>5363</v>
      </c>
      <c r="U726" s="21" t="s">
        <v>5364</v>
      </c>
      <c r="V726" s="21" t="s">
        <v>5364</v>
      </c>
      <c r="W726" s="21" t="s">
        <v>5365</v>
      </c>
      <c r="X726" s="21" t="s">
        <v>165</v>
      </c>
      <c r="Y726" s="21" t="s">
        <v>165</v>
      </c>
      <c r="Z726" s="21" t="s">
        <v>5366</v>
      </c>
      <c r="AA726" s="21" t="s">
        <v>5367</v>
      </c>
    </row>
    <row r="727" spans="1:27" ht="15.75" customHeight="1" x14ac:dyDescent="0.3">
      <c r="A727" s="21">
        <v>2022</v>
      </c>
      <c r="B727" s="22"/>
      <c r="H727" s="21" t="s">
        <v>5368</v>
      </c>
      <c r="I727" s="21" t="s">
        <v>5369</v>
      </c>
      <c r="J727" s="21" t="s">
        <v>4621</v>
      </c>
      <c r="K727" s="21" t="e">
        <f t="shared" ca="1" si="4"/>
        <v>#NAME?</v>
      </c>
      <c r="L727" s="24">
        <v>1974</v>
      </c>
      <c r="N727" s="21" t="s">
        <v>111</v>
      </c>
      <c r="O727" s="21" t="s">
        <v>112</v>
      </c>
      <c r="P727" s="26">
        <v>9866476666</v>
      </c>
      <c r="Q727" s="26" t="e">
        <f t="shared" ca="1" si="5"/>
        <v>#NAME?</v>
      </c>
      <c r="R727" s="21" t="s">
        <v>188</v>
      </c>
      <c r="S727" s="21" t="s">
        <v>5370</v>
      </c>
      <c r="U727" s="21" t="s">
        <v>5371</v>
      </c>
      <c r="V727" s="21" t="s">
        <v>5371</v>
      </c>
      <c r="AA727" s="21" t="s">
        <v>5372</v>
      </c>
    </row>
    <row r="728" spans="1:27" ht="15.75" customHeight="1" x14ac:dyDescent="0.3">
      <c r="A728" s="21">
        <v>2022</v>
      </c>
      <c r="B728" s="22"/>
      <c r="H728" s="21" t="s">
        <v>5373</v>
      </c>
      <c r="I728" s="21" t="s">
        <v>4284</v>
      </c>
      <c r="J728" s="21" t="s">
        <v>5374</v>
      </c>
      <c r="K728" s="21" t="e">
        <f t="shared" ca="1" si="4"/>
        <v>#NAME?</v>
      </c>
      <c r="L728" s="24">
        <v>2006</v>
      </c>
      <c r="N728" s="21" t="s">
        <v>111</v>
      </c>
      <c r="O728" s="21" t="s">
        <v>112</v>
      </c>
      <c r="P728" s="26">
        <v>9959623706</v>
      </c>
      <c r="Q728" s="26" t="e">
        <f t="shared" ca="1" si="5"/>
        <v>#NAME?</v>
      </c>
      <c r="R728" s="21" t="s">
        <v>188</v>
      </c>
      <c r="S728" s="21" t="s">
        <v>5375</v>
      </c>
      <c r="U728" s="21" t="s">
        <v>5376</v>
      </c>
      <c r="V728" s="21" t="s">
        <v>5376</v>
      </c>
      <c r="W728" s="21" t="s">
        <v>498</v>
      </c>
      <c r="X728" s="21" t="s">
        <v>707</v>
      </c>
      <c r="Y728" s="21" t="s">
        <v>179</v>
      </c>
      <c r="Z728" s="21" t="s">
        <v>5377</v>
      </c>
      <c r="AA728" s="21" t="s">
        <v>5378</v>
      </c>
    </row>
    <row r="729" spans="1:27" ht="15.75" customHeight="1" x14ac:dyDescent="0.3">
      <c r="A729" s="21">
        <v>2022</v>
      </c>
      <c r="B729" s="22"/>
      <c r="H729" s="21" t="s">
        <v>5379</v>
      </c>
      <c r="I729" s="21" t="s">
        <v>5380</v>
      </c>
      <c r="J729" s="21" t="s">
        <v>5381</v>
      </c>
      <c r="K729" s="21" t="e">
        <f t="shared" ca="1" si="4"/>
        <v>#NAME?</v>
      </c>
      <c r="L729" s="24">
        <v>1980</v>
      </c>
      <c r="N729" s="21" t="s">
        <v>111</v>
      </c>
      <c r="O729" s="21" t="s">
        <v>112</v>
      </c>
      <c r="P729" s="26">
        <v>9866871789</v>
      </c>
      <c r="Q729" s="26" t="e">
        <f t="shared" ca="1" si="5"/>
        <v>#NAME?</v>
      </c>
      <c r="R729" s="21" t="s">
        <v>5209</v>
      </c>
      <c r="S729" s="21" t="s">
        <v>5382</v>
      </c>
      <c r="U729" s="21" t="s">
        <v>5383</v>
      </c>
      <c r="V729" s="21" t="s">
        <v>5383</v>
      </c>
      <c r="W729" s="21" t="s">
        <v>775</v>
      </c>
      <c r="X729" s="21" t="s">
        <v>5384</v>
      </c>
      <c r="Y729" s="21" t="s">
        <v>179</v>
      </c>
      <c r="Z729" s="21" t="s">
        <v>5385</v>
      </c>
      <c r="AA729" s="21" t="s">
        <v>526</v>
      </c>
    </row>
    <row r="730" spans="1:27" ht="15.75" customHeight="1" x14ac:dyDescent="0.3">
      <c r="A730" s="21">
        <v>2022</v>
      </c>
      <c r="B730" s="22"/>
      <c r="H730" s="21" t="s">
        <v>5386</v>
      </c>
      <c r="I730" s="21" t="s">
        <v>593</v>
      </c>
      <c r="J730" s="21" t="s">
        <v>5387</v>
      </c>
      <c r="K730" s="21" t="e">
        <f t="shared" ca="1" si="4"/>
        <v>#NAME?</v>
      </c>
      <c r="L730" s="24">
        <v>2015</v>
      </c>
      <c r="N730" s="21" t="s">
        <v>111</v>
      </c>
      <c r="O730" s="21" t="s">
        <v>112</v>
      </c>
      <c r="P730" s="26">
        <v>9701088830</v>
      </c>
      <c r="Q730" s="26" t="e">
        <f t="shared" ca="1" si="5"/>
        <v>#NAME?</v>
      </c>
      <c r="R730" s="21" t="s">
        <v>485</v>
      </c>
      <c r="S730" s="21" t="s">
        <v>5388</v>
      </c>
      <c r="U730" s="21" t="s">
        <v>5389</v>
      </c>
      <c r="V730" s="21" t="s">
        <v>5389</v>
      </c>
      <c r="W730" s="21" t="s">
        <v>2767</v>
      </c>
      <c r="X730" s="21" t="s">
        <v>165</v>
      </c>
      <c r="Y730" s="21" t="s">
        <v>165</v>
      </c>
      <c r="Z730" s="21" t="s">
        <v>5390</v>
      </c>
      <c r="AA730" s="21" t="s">
        <v>5391</v>
      </c>
    </row>
    <row r="731" spans="1:27" ht="15.75" customHeight="1" x14ac:dyDescent="0.3">
      <c r="A731" s="21">
        <v>2022</v>
      </c>
      <c r="B731" s="22"/>
      <c r="H731" s="21" t="s">
        <v>5392</v>
      </c>
      <c r="I731" s="21" t="s">
        <v>5393</v>
      </c>
      <c r="J731" s="21" t="s">
        <v>5394</v>
      </c>
      <c r="K731" s="21" t="e">
        <f t="shared" ca="1" si="4"/>
        <v>#NAME?</v>
      </c>
      <c r="L731" s="24">
        <v>1997</v>
      </c>
      <c r="N731" s="21" t="s">
        <v>111</v>
      </c>
      <c r="O731" s="21" t="s">
        <v>316</v>
      </c>
      <c r="P731" s="26">
        <v>5412507220</v>
      </c>
      <c r="Q731" s="26" t="e">
        <f t="shared" ca="1" si="5"/>
        <v>#NAME?</v>
      </c>
      <c r="R731" s="21" t="s">
        <v>5395</v>
      </c>
      <c r="S731" s="21" t="s">
        <v>5136</v>
      </c>
      <c r="U731" s="21" t="s">
        <v>5396</v>
      </c>
      <c r="V731" s="21" t="s">
        <v>5396</v>
      </c>
      <c r="W731" s="21" t="s">
        <v>5251</v>
      </c>
      <c r="X731" s="21" t="s">
        <v>179</v>
      </c>
      <c r="Y731" s="21" t="s">
        <v>179</v>
      </c>
      <c r="AA731" s="21" t="s">
        <v>5397</v>
      </c>
    </row>
    <row r="732" spans="1:27" ht="15.75" customHeight="1" x14ac:dyDescent="0.3">
      <c r="A732" s="21">
        <v>2022</v>
      </c>
      <c r="B732" s="22"/>
      <c r="H732" s="21" t="s">
        <v>5398</v>
      </c>
      <c r="I732" s="21" t="s">
        <v>5399</v>
      </c>
      <c r="J732" s="21" t="s">
        <v>5400</v>
      </c>
      <c r="K732" s="21" t="e">
        <f t="shared" ca="1" si="4"/>
        <v>#NAME?</v>
      </c>
      <c r="L732" s="24">
        <v>1980</v>
      </c>
      <c r="N732" s="21" t="s">
        <v>111</v>
      </c>
      <c r="O732" s="21" t="s">
        <v>112</v>
      </c>
      <c r="P732" s="26">
        <v>7418629559</v>
      </c>
      <c r="Q732" s="26" t="e">
        <f t="shared" ca="1" si="5"/>
        <v>#NAME?</v>
      </c>
      <c r="R732" s="21" t="s">
        <v>188</v>
      </c>
      <c r="S732" s="21" t="s">
        <v>4948</v>
      </c>
      <c r="U732" s="21" t="s">
        <v>5401</v>
      </c>
      <c r="V732" s="21" t="s">
        <v>5401</v>
      </c>
      <c r="AA732" s="21" t="s">
        <v>5402</v>
      </c>
    </row>
    <row r="733" spans="1:27" ht="15.75" customHeight="1" x14ac:dyDescent="0.3">
      <c r="A733" s="21">
        <v>2022</v>
      </c>
      <c r="B733" s="22"/>
      <c r="H733" s="21" t="s">
        <v>5403</v>
      </c>
      <c r="I733" s="21" t="s">
        <v>5404</v>
      </c>
      <c r="J733" s="21" t="s">
        <v>5405</v>
      </c>
      <c r="K733" s="21" t="e">
        <f t="shared" ca="1" si="4"/>
        <v>#NAME?</v>
      </c>
      <c r="L733" s="24">
        <v>1993</v>
      </c>
      <c r="N733" s="21" t="s">
        <v>111</v>
      </c>
      <c r="O733" s="21" t="s">
        <v>112</v>
      </c>
      <c r="P733" s="26">
        <v>7022512555</v>
      </c>
      <c r="Q733" s="26" t="e">
        <f t="shared" ca="1" si="5"/>
        <v>#NAME?</v>
      </c>
      <c r="R733" s="21" t="s">
        <v>188</v>
      </c>
      <c r="S733" s="21" t="s">
        <v>4948</v>
      </c>
      <c r="U733" s="21" t="s">
        <v>5406</v>
      </c>
      <c r="V733" s="21" t="s">
        <v>5406</v>
      </c>
      <c r="AA733" s="21" t="s">
        <v>450</v>
      </c>
    </row>
    <row r="734" spans="1:27" ht="15.75" customHeight="1" x14ac:dyDescent="0.3">
      <c r="A734" s="21">
        <v>2022</v>
      </c>
      <c r="B734" s="22"/>
      <c r="H734" s="21" t="s">
        <v>5407</v>
      </c>
      <c r="I734" s="21" t="s">
        <v>5408</v>
      </c>
      <c r="J734" s="21" t="s">
        <v>5409</v>
      </c>
      <c r="K734" s="21" t="e">
        <f t="shared" ca="1" si="4"/>
        <v>#NAME?</v>
      </c>
      <c r="L734" s="24">
        <v>1993</v>
      </c>
      <c r="N734" s="21" t="s">
        <v>111</v>
      </c>
      <c r="O734" s="21" t="s">
        <v>112</v>
      </c>
      <c r="P734" s="26">
        <v>8688603168</v>
      </c>
      <c r="Q734" s="26" t="e">
        <f t="shared" ca="1" si="5"/>
        <v>#NAME?</v>
      </c>
      <c r="R734" s="21" t="s">
        <v>188</v>
      </c>
      <c r="S734" s="21" t="s">
        <v>5410</v>
      </c>
      <c r="U734" s="21" t="s">
        <v>5411</v>
      </c>
      <c r="V734" s="21" t="s">
        <v>5411</v>
      </c>
      <c r="AA734" s="21" t="s">
        <v>450</v>
      </c>
    </row>
    <row r="735" spans="1:27" ht="15.75" customHeight="1" x14ac:dyDescent="0.3">
      <c r="A735" s="21">
        <v>2022</v>
      </c>
      <c r="B735" s="22"/>
      <c r="H735" s="21" t="s">
        <v>5412</v>
      </c>
      <c r="I735" s="21" t="s">
        <v>5413</v>
      </c>
      <c r="J735" s="21" t="s">
        <v>2485</v>
      </c>
      <c r="K735" s="21" t="e">
        <f t="shared" ca="1" si="4"/>
        <v>#NAME?</v>
      </c>
      <c r="L735" s="24">
        <v>1974</v>
      </c>
      <c r="N735" s="21" t="s">
        <v>111</v>
      </c>
      <c r="O735" s="21" t="s">
        <v>112</v>
      </c>
      <c r="P735" s="26">
        <v>9866124050</v>
      </c>
      <c r="Q735" s="26" t="e">
        <f t="shared" ca="1" si="5"/>
        <v>#NAME?</v>
      </c>
      <c r="R735" s="21" t="s">
        <v>5414</v>
      </c>
      <c r="S735" s="21" t="s">
        <v>5415</v>
      </c>
      <c r="U735" s="21" t="s">
        <v>5416</v>
      </c>
      <c r="V735" s="21" t="s">
        <v>5416</v>
      </c>
      <c r="X735" s="21" t="s">
        <v>165</v>
      </c>
      <c r="Y735" s="21" t="s">
        <v>165</v>
      </c>
      <c r="AA735" s="21" t="s">
        <v>5417</v>
      </c>
    </row>
    <row r="736" spans="1:27" ht="15.75" customHeight="1" x14ac:dyDescent="0.3">
      <c r="A736" s="21">
        <v>2022</v>
      </c>
      <c r="B736" s="22"/>
      <c r="H736" s="21" t="s">
        <v>5418</v>
      </c>
      <c r="I736" s="21" t="s">
        <v>1850</v>
      </c>
      <c r="J736" s="21" t="s">
        <v>5419</v>
      </c>
      <c r="K736" s="21" t="e">
        <f t="shared" ca="1" si="4"/>
        <v>#NAME?</v>
      </c>
      <c r="L736" s="24">
        <v>2014</v>
      </c>
      <c r="N736" s="21" t="s">
        <v>111</v>
      </c>
      <c r="O736" s="21" t="s">
        <v>112</v>
      </c>
      <c r="P736" s="26">
        <v>9052694208</v>
      </c>
      <c r="Q736" s="26" t="e">
        <f t="shared" ca="1" si="5"/>
        <v>#NAME?</v>
      </c>
      <c r="R736" s="21" t="s">
        <v>188</v>
      </c>
      <c r="S736" s="21" t="s">
        <v>5420</v>
      </c>
      <c r="U736" s="21" t="s">
        <v>5421</v>
      </c>
      <c r="V736" s="21" t="s">
        <v>5421</v>
      </c>
      <c r="W736" s="21" t="s">
        <v>1135</v>
      </c>
      <c r="X736" s="21" t="s">
        <v>179</v>
      </c>
      <c r="Y736" s="21" t="s">
        <v>179</v>
      </c>
      <c r="Z736" s="21" t="s">
        <v>5422</v>
      </c>
      <c r="AA736" s="21" t="s">
        <v>5423</v>
      </c>
    </row>
    <row r="737" spans="1:27" ht="15.75" customHeight="1" x14ac:dyDescent="0.3">
      <c r="A737" s="21">
        <v>2022</v>
      </c>
      <c r="B737" s="22"/>
      <c r="H737" s="21" t="s">
        <v>5424</v>
      </c>
      <c r="I737" s="21" t="s">
        <v>1927</v>
      </c>
      <c r="J737" s="21" t="s">
        <v>1123</v>
      </c>
      <c r="K737" s="21" t="e">
        <f t="shared" ca="1" si="4"/>
        <v>#NAME?</v>
      </c>
      <c r="L737" s="24">
        <v>2007</v>
      </c>
      <c r="N737" s="21" t="s">
        <v>111</v>
      </c>
      <c r="O737" s="21" t="s">
        <v>112</v>
      </c>
      <c r="P737" s="26">
        <v>9876259969</v>
      </c>
      <c r="Q737" s="26" t="e">
        <f t="shared" ca="1" si="5"/>
        <v>#NAME?</v>
      </c>
      <c r="R737" s="21" t="s">
        <v>5425</v>
      </c>
      <c r="S737" s="21" t="s">
        <v>5426</v>
      </c>
      <c r="U737" s="21" t="s">
        <v>5427</v>
      </c>
      <c r="V737" s="21" t="s">
        <v>5427</v>
      </c>
      <c r="W737" s="21" t="s">
        <v>307</v>
      </c>
      <c r="X737" s="21" t="s">
        <v>211</v>
      </c>
      <c r="Y737" s="21" t="s">
        <v>1762</v>
      </c>
      <c r="Z737" s="21" t="s">
        <v>5428</v>
      </c>
      <c r="AA737" s="21" t="s">
        <v>5429</v>
      </c>
    </row>
    <row r="738" spans="1:27" ht="15.75" customHeight="1" x14ac:dyDescent="0.3">
      <c r="A738" s="21">
        <v>2022</v>
      </c>
      <c r="B738" s="22"/>
      <c r="H738" s="21" t="s">
        <v>5430</v>
      </c>
      <c r="I738" s="21" t="s">
        <v>3195</v>
      </c>
      <c r="J738" s="21" t="s">
        <v>4794</v>
      </c>
      <c r="K738" s="21" t="e">
        <f t="shared" ca="1" si="4"/>
        <v>#NAME?</v>
      </c>
      <c r="L738" s="24">
        <v>2011</v>
      </c>
      <c r="N738" s="21" t="s">
        <v>111</v>
      </c>
      <c r="O738" s="21" t="s">
        <v>112</v>
      </c>
      <c r="P738" s="26">
        <v>9490175140</v>
      </c>
      <c r="Q738" s="26" t="e">
        <f t="shared" ca="1" si="5"/>
        <v>#NAME?</v>
      </c>
      <c r="R738" s="21" t="s">
        <v>4776</v>
      </c>
      <c r="S738" s="21" t="s">
        <v>5431</v>
      </c>
      <c r="U738" s="21" t="s">
        <v>5432</v>
      </c>
      <c r="V738" s="21" t="s">
        <v>5432</v>
      </c>
      <c r="W738" s="21" t="s">
        <v>1370</v>
      </c>
      <c r="X738" s="21" t="s">
        <v>165</v>
      </c>
      <c r="Y738" s="21" t="s">
        <v>165</v>
      </c>
      <c r="AA738" s="21" t="s">
        <v>5433</v>
      </c>
    </row>
    <row r="739" spans="1:27" ht="15.75" customHeight="1" x14ac:dyDescent="0.3">
      <c r="A739" s="21">
        <v>2022</v>
      </c>
      <c r="B739" s="22"/>
      <c r="H739" s="21" t="s">
        <v>5434</v>
      </c>
      <c r="I739" s="21" t="s">
        <v>3195</v>
      </c>
      <c r="J739" s="21" t="s">
        <v>5435</v>
      </c>
      <c r="K739" s="21" t="e">
        <f t="shared" ca="1" si="4"/>
        <v>#NAME?</v>
      </c>
      <c r="L739" s="24">
        <v>1976</v>
      </c>
      <c r="N739" s="21" t="s">
        <v>111</v>
      </c>
      <c r="O739" s="21" t="s">
        <v>112</v>
      </c>
      <c r="P739" s="26">
        <v>7337235635</v>
      </c>
      <c r="Q739" s="26" t="e">
        <f t="shared" ca="1" si="5"/>
        <v>#NAME?</v>
      </c>
      <c r="R739" s="21" t="s">
        <v>4776</v>
      </c>
      <c r="S739" s="21" t="s">
        <v>5431</v>
      </c>
      <c r="U739" s="21" t="s">
        <v>5436</v>
      </c>
      <c r="V739" s="21" t="s">
        <v>5436</v>
      </c>
      <c r="W739" s="21" t="s">
        <v>5437</v>
      </c>
      <c r="X739" s="21" t="s">
        <v>165</v>
      </c>
      <c r="Y739" s="21" t="s">
        <v>165</v>
      </c>
      <c r="AA739" s="21" t="s">
        <v>5438</v>
      </c>
    </row>
    <row r="740" spans="1:27" ht="15.75" customHeight="1" x14ac:dyDescent="0.3">
      <c r="A740" s="21">
        <v>2022</v>
      </c>
      <c r="B740" s="22"/>
      <c r="H740" s="21" t="s">
        <v>5439</v>
      </c>
      <c r="I740" s="21" t="s">
        <v>5440</v>
      </c>
      <c r="J740" s="21" t="s">
        <v>920</v>
      </c>
      <c r="K740" s="21" t="e">
        <f t="shared" ca="1" si="4"/>
        <v>#NAME?</v>
      </c>
      <c r="L740" s="24">
        <v>1969</v>
      </c>
      <c r="N740" s="21" t="s">
        <v>111</v>
      </c>
      <c r="O740" s="21" t="s">
        <v>112</v>
      </c>
      <c r="P740" s="26">
        <v>8985970832</v>
      </c>
      <c r="Q740" s="26" t="e">
        <f t="shared" ca="1" si="5"/>
        <v>#NAME?</v>
      </c>
      <c r="R740" s="21" t="s">
        <v>4754</v>
      </c>
      <c r="S740" s="21" t="s">
        <v>1944</v>
      </c>
      <c r="U740" s="21" t="s">
        <v>3946</v>
      </c>
      <c r="V740" s="21" t="s">
        <v>3946</v>
      </c>
      <c r="AA740" s="21" t="s">
        <v>5441</v>
      </c>
    </row>
    <row r="741" spans="1:27" ht="15.75" customHeight="1" x14ac:dyDescent="0.3">
      <c r="A741" s="21">
        <v>2022</v>
      </c>
      <c r="B741" s="22"/>
      <c r="H741" s="21" t="s">
        <v>5442</v>
      </c>
      <c r="I741" s="21" t="s">
        <v>1813</v>
      </c>
      <c r="J741" s="21" t="s">
        <v>1721</v>
      </c>
      <c r="K741" s="21" t="e">
        <f t="shared" ca="1" si="4"/>
        <v>#NAME?</v>
      </c>
      <c r="L741" s="24">
        <v>1954</v>
      </c>
      <c r="N741" s="21" t="s">
        <v>111</v>
      </c>
      <c r="O741" s="21" t="s">
        <v>112</v>
      </c>
      <c r="P741" s="26">
        <v>9848415175</v>
      </c>
      <c r="Q741" s="26" t="e">
        <f t="shared" ca="1" si="5"/>
        <v>#NAME?</v>
      </c>
      <c r="R741" s="21" t="s">
        <v>485</v>
      </c>
      <c r="S741" s="21" t="s">
        <v>5443</v>
      </c>
      <c r="U741" s="21" t="s">
        <v>5444</v>
      </c>
      <c r="V741" s="21" t="s">
        <v>5444</v>
      </c>
      <c r="AA741" s="21" t="s">
        <v>5445</v>
      </c>
    </row>
    <row r="742" spans="1:27" ht="15.75" customHeight="1" x14ac:dyDescent="0.3">
      <c r="A742" s="21">
        <v>2022</v>
      </c>
      <c r="B742" s="22"/>
      <c r="H742" s="21" t="s">
        <v>5446</v>
      </c>
      <c r="I742" s="21" t="s">
        <v>5447</v>
      </c>
      <c r="J742" s="21" t="s">
        <v>5448</v>
      </c>
      <c r="K742" s="21" t="e">
        <f t="shared" ca="1" si="4"/>
        <v>#NAME?</v>
      </c>
      <c r="L742" s="24">
        <v>1992</v>
      </c>
      <c r="N742" s="21" t="s">
        <v>111</v>
      </c>
      <c r="O742" s="21" t="s">
        <v>112</v>
      </c>
      <c r="P742" s="26">
        <v>9440189401</v>
      </c>
      <c r="Q742" s="26" t="e">
        <f t="shared" ca="1" si="5"/>
        <v>#NAME?</v>
      </c>
      <c r="R742" s="21" t="s">
        <v>5449</v>
      </c>
      <c r="S742" s="21" t="s">
        <v>4948</v>
      </c>
      <c r="U742" s="21" t="s">
        <v>5450</v>
      </c>
      <c r="V742" s="21" t="s">
        <v>5450</v>
      </c>
      <c r="AA742" s="21" t="s">
        <v>5451</v>
      </c>
    </row>
    <row r="743" spans="1:27" ht="15.75" customHeight="1" x14ac:dyDescent="0.3">
      <c r="A743" s="21">
        <v>2022</v>
      </c>
      <c r="B743" s="22"/>
      <c r="H743" s="21" t="s">
        <v>5452</v>
      </c>
      <c r="I743" s="21" t="s">
        <v>5447</v>
      </c>
      <c r="J743" s="21" t="s">
        <v>5453</v>
      </c>
      <c r="K743" s="21" t="e">
        <f t="shared" ca="1" si="4"/>
        <v>#NAME?</v>
      </c>
      <c r="L743" s="24">
        <v>1993</v>
      </c>
      <c r="N743" s="21" t="s">
        <v>111</v>
      </c>
      <c r="O743" s="21" t="s">
        <v>112</v>
      </c>
      <c r="P743" s="26">
        <v>8123431738</v>
      </c>
      <c r="Q743" s="26" t="e">
        <f t="shared" ca="1" si="5"/>
        <v>#NAME?</v>
      </c>
      <c r="R743" s="21" t="s">
        <v>5454</v>
      </c>
      <c r="S743" s="21" t="s">
        <v>4948</v>
      </c>
      <c r="U743" s="21" t="s">
        <v>5455</v>
      </c>
      <c r="V743" s="21" t="s">
        <v>5455</v>
      </c>
      <c r="AA743" s="21" t="s">
        <v>5456</v>
      </c>
    </row>
    <row r="744" spans="1:27" ht="15.75" customHeight="1" x14ac:dyDescent="0.3">
      <c r="A744" s="21">
        <v>2022</v>
      </c>
      <c r="B744" s="22"/>
      <c r="H744" s="21" t="s">
        <v>5457</v>
      </c>
      <c r="I744" s="21" t="s">
        <v>3542</v>
      </c>
      <c r="J744" s="21" t="s">
        <v>5458</v>
      </c>
      <c r="K744" s="21" t="e">
        <f t="shared" ca="1" si="4"/>
        <v>#NAME?</v>
      </c>
      <c r="L744" s="24">
        <v>1993</v>
      </c>
      <c r="N744" s="21" t="s">
        <v>111</v>
      </c>
      <c r="O744" s="21" t="s">
        <v>112</v>
      </c>
      <c r="P744" s="26">
        <v>8500259358</v>
      </c>
      <c r="Q744" s="26" t="e">
        <f t="shared" ca="1" si="5"/>
        <v>#NAME?</v>
      </c>
      <c r="R744" s="21" t="s">
        <v>5459</v>
      </c>
      <c r="S744" s="21" t="s">
        <v>5460</v>
      </c>
      <c r="U744" s="21" t="s">
        <v>5461</v>
      </c>
      <c r="V744" s="21" t="s">
        <v>5461</v>
      </c>
      <c r="AA744" s="21" t="s">
        <v>5462</v>
      </c>
    </row>
    <row r="745" spans="1:27" ht="15.75" customHeight="1" x14ac:dyDescent="0.3">
      <c r="A745" s="21">
        <v>2022</v>
      </c>
      <c r="B745" s="22"/>
      <c r="H745" s="21" t="s">
        <v>5463</v>
      </c>
      <c r="I745" s="21" t="s">
        <v>3542</v>
      </c>
      <c r="J745" s="21" t="s">
        <v>5464</v>
      </c>
      <c r="K745" s="21" t="e">
        <f t="shared" ca="1" si="4"/>
        <v>#NAME?</v>
      </c>
      <c r="L745" s="24">
        <v>1995</v>
      </c>
      <c r="N745" s="21" t="s">
        <v>111</v>
      </c>
      <c r="O745" s="21" t="s">
        <v>112</v>
      </c>
      <c r="P745" s="26">
        <v>8106846440</v>
      </c>
      <c r="Q745" s="26" t="e">
        <f t="shared" ca="1" si="5"/>
        <v>#NAME?</v>
      </c>
      <c r="R745" s="21" t="s">
        <v>4776</v>
      </c>
      <c r="S745" s="21" t="s">
        <v>5465</v>
      </c>
      <c r="U745" s="21" t="s">
        <v>5466</v>
      </c>
      <c r="V745" s="21" t="s">
        <v>5466</v>
      </c>
      <c r="W745" s="21" t="s">
        <v>328</v>
      </c>
      <c r="X745" s="21" t="s">
        <v>179</v>
      </c>
      <c r="Y745" s="21" t="s">
        <v>179</v>
      </c>
      <c r="AA745" s="21" t="s">
        <v>1651</v>
      </c>
    </row>
    <row r="746" spans="1:27" ht="15.75" customHeight="1" x14ac:dyDescent="0.3">
      <c r="A746" s="21">
        <v>2022</v>
      </c>
      <c r="B746" s="22"/>
      <c r="H746" s="21" t="s">
        <v>5467</v>
      </c>
      <c r="I746" s="21" t="s">
        <v>5468</v>
      </c>
      <c r="J746" s="21" t="s">
        <v>5469</v>
      </c>
      <c r="K746" s="21" t="e">
        <f t="shared" ca="1" si="4"/>
        <v>#NAME?</v>
      </c>
      <c r="L746" s="24">
        <v>1959</v>
      </c>
      <c r="N746" s="21" t="s">
        <v>111</v>
      </c>
      <c r="O746" s="21" t="s">
        <v>112</v>
      </c>
      <c r="P746" s="26">
        <v>9866175527</v>
      </c>
      <c r="Q746" s="26" t="e">
        <f t="shared" ca="1" si="5"/>
        <v>#NAME?</v>
      </c>
      <c r="R746" s="21" t="s">
        <v>188</v>
      </c>
      <c r="S746" s="21" t="s">
        <v>5470</v>
      </c>
      <c r="U746" s="21" t="s">
        <v>5471</v>
      </c>
      <c r="V746" s="21" t="s">
        <v>5471</v>
      </c>
      <c r="AA746" s="21" t="s">
        <v>5472</v>
      </c>
    </row>
    <row r="747" spans="1:27" ht="15.75" customHeight="1" x14ac:dyDescent="0.3">
      <c r="A747" s="21">
        <v>2022</v>
      </c>
      <c r="B747" s="22"/>
      <c r="H747" s="21" t="s">
        <v>5473</v>
      </c>
      <c r="I747" s="21" t="s">
        <v>4843</v>
      </c>
      <c r="J747" s="21" t="s">
        <v>4845</v>
      </c>
      <c r="K747" s="21" t="e">
        <f t="shared" ca="1" si="4"/>
        <v>#NAME?</v>
      </c>
      <c r="L747" s="24">
        <v>1998</v>
      </c>
      <c r="N747" s="21" t="s">
        <v>111</v>
      </c>
      <c r="O747" s="21" t="s">
        <v>112</v>
      </c>
      <c r="P747" s="26">
        <v>9848344167</v>
      </c>
      <c r="Q747" s="26" t="e">
        <f t="shared" ca="1" si="5"/>
        <v>#NAME?</v>
      </c>
      <c r="R747" s="21" t="s">
        <v>188</v>
      </c>
      <c r="S747" s="21" t="s">
        <v>5474</v>
      </c>
      <c r="U747" s="21" t="s">
        <v>5475</v>
      </c>
      <c r="V747" s="21" t="s">
        <v>5475</v>
      </c>
      <c r="AA747" s="21" t="s">
        <v>5476</v>
      </c>
    </row>
    <row r="748" spans="1:27" ht="15.75" customHeight="1" x14ac:dyDescent="0.3">
      <c r="A748" s="21">
        <v>2022</v>
      </c>
      <c r="B748" s="22"/>
      <c r="H748" s="21" t="s">
        <v>5477</v>
      </c>
      <c r="I748" s="21" t="s">
        <v>313</v>
      </c>
      <c r="J748" s="21" t="s">
        <v>5478</v>
      </c>
      <c r="K748" s="21" t="e">
        <f t="shared" ca="1" si="4"/>
        <v>#NAME?</v>
      </c>
      <c r="L748" s="24">
        <v>2008</v>
      </c>
      <c r="N748" s="21" t="s">
        <v>111</v>
      </c>
      <c r="O748" s="21" t="s">
        <v>112</v>
      </c>
      <c r="P748" s="26">
        <v>8790882674</v>
      </c>
      <c r="Q748" s="26" t="e">
        <f t="shared" ca="1" si="5"/>
        <v>#NAME?</v>
      </c>
      <c r="R748" s="21" t="s">
        <v>5209</v>
      </c>
      <c r="S748" s="21" t="s">
        <v>5479</v>
      </c>
      <c r="U748" s="21" t="s">
        <v>5480</v>
      </c>
      <c r="V748" s="21" t="s">
        <v>5480</v>
      </c>
      <c r="W748" s="21" t="s">
        <v>498</v>
      </c>
      <c r="X748" s="21" t="s">
        <v>179</v>
      </c>
      <c r="Y748" s="21" t="s">
        <v>179</v>
      </c>
      <c r="Z748" s="21" t="s">
        <v>5481</v>
      </c>
      <c r="AA748" s="21" t="s">
        <v>5482</v>
      </c>
    </row>
    <row r="749" spans="1:27" ht="15.75" customHeight="1" x14ac:dyDescent="0.3">
      <c r="A749" s="21">
        <v>2022</v>
      </c>
      <c r="B749" s="22"/>
      <c r="H749" s="21" t="s">
        <v>5483</v>
      </c>
      <c r="I749" s="21" t="s">
        <v>313</v>
      </c>
      <c r="J749" s="21" t="s">
        <v>5484</v>
      </c>
      <c r="K749" s="21" t="e">
        <f t="shared" ca="1" si="4"/>
        <v>#NAME?</v>
      </c>
      <c r="L749" s="24">
        <v>1984</v>
      </c>
      <c r="N749" s="21" t="s">
        <v>111</v>
      </c>
      <c r="O749" s="21" t="s">
        <v>112</v>
      </c>
      <c r="P749" s="26">
        <v>8106868484</v>
      </c>
      <c r="Q749" s="26" t="e">
        <f t="shared" ca="1" si="5"/>
        <v>#NAME?</v>
      </c>
      <c r="R749" s="21" t="s">
        <v>4776</v>
      </c>
      <c r="S749" s="21" t="s">
        <v>5485</v>
      </c>
      <c r="U749" s="21" t="s">
        <v>5486</v>
      </c>
      <c r="V749" s="21" t="s">
        <v>5486</v>
      </c>
      <c r="W749" s="21" t="s">
        <v>5487</v>
      </c>
      <c r="X749" s="21" t="s">
        <v>5488</v>
      </c>
      <c r="Y749" s="21" t="s">
        <v>5105</v>
      </c>
      <c r="AA749" s="21" t="s">
        <v>5489</v>
      </c>
    </row>
    <row r="750" spans="1:27" ht="15.75" customHeight="1" x14ac:dyDescent="0.3">
      <c r="A750" s="21">
        <v>2022</v>
      </c>
      <c r="B750" s="22"/>
      <c r="H750" s="21" t="s">
        <v>5490</v>
      </c>
      <c r="I750" s="21" t="s">
        <v>5491</v>
      </c>
      <c r="J750" s="21" t="s">
        <v>3967</v>
      </c>
      <c r="K750" s="21" t="e">
        <f t="shared" ca="1" si="4"/>
        <v>#NAME?</v>
      </c>
      <c r="L750" s="24">
        <v>1980</v>
      </c>
      <c r="N750" s="21" t="s">
        <v>111</v>
      </c>
      <c r="O750" s="21" t="s">
        <v>112</v>
      </c>
      <c r="P750" s="26">
        <v>9886670347</v>
      </c>
      <c r="Q750" s="26" t="e">
        <f t="shared" ca="1" si="5"/>
        <v>#NAME?</v>
      </c>
      <c r="R750" s="21" t="s">
        <v>551</v>
      </c>
      <c r="S750" s="21" t="s">
        <v>5492</v>
      </c>
      <c r="U750" s="21" t="s">
        <v>5493</v>
      </c>
      <c r="V750" s="21" t="s">
        <v>5493</v>
      </c>
    </row>
    <row r="751" spans="1:27" ht="15.75" customHeight="1" x14ac:dyDescent="0.3">
      <c r="A751" s="21">
        <v>2022</v>
      </c>
      <c r="B751" s="22"/>
      <c r="H751" s="21" t="s">
        <v>5494</v>
      </c>
      <c r="I751" s="21" t="s">
        <v>5491</v>
      </c>
      <c r="J751" s="138" t="s">
        <v>5495</v>
      </c>
      <c r="K751" s="21" t="e">
        <f t="shared" ca="1" si="4"/>
        <v>#NAME?</v>
      </c>
      <c r="L751" s="24">
        <v>2013</v>
      </c>
      <c r="N751" s="21" t="s">
        <v>111</v>
      </c>
      <c r="O751" s="21" t="s">
        <v>112</v>
      </c>
      <c r="P751" s="26">
        <v>9886055524</v>
      </c>
      <c r="Q751" s="26" t="e">
        <f t="shared" ca="1" si="5"/>
        <v>#NAME?</v>
      </c>
      <c r="R751" s="21" t="s">
        <v>551</v>
      </c>
      <c r="S751" s="21" t="s">
        <v>5496</v>
      </c>
      <c r="U751" s="21" t="s">
        <v>5497</v>
      </c>
      <c r="V751" s="21" t="s">
        <v>5497</v>
      </c>
      <c r="W751" s="21" t="s">
        <v>1135</v>
      </c>
      <c r="X751" s="21" t="s">
        <v>179</v>
      </c>
      <c r="Y751" s="21" t="s">
        <v>406</v>
      </c>
      <c r="Z751" s="21" t="s">
        <v>5496</v>
      </c>
      <c r="AA751" s="21" t="s">
        <v>5162</v>
      </c>
    </row>
    <row r="752" spans="1:27" ht="15.75" customHeight="1" x14ac:dyDescent="0.3">
      <c r="A752" s="21">
        <v>2022</v>
      </c>
      <c r="B752" s="22"/>
      <c r="H752" s="21" t="s">
        <v>5498</v>
      </c>
      <c r="I752" s="21" t="s">
        <v>5491</v>
      </c>
      <c r="J752" s="21" t="s">
        <v>5499</v>
      </c>
      <c r="K752" s="21" t="e">
        <f t="shared" ca="1" si="4"/>
        <v>#NAME?</v>
      </c>
      <c r="L752" s="24">
        <v>1991</v>
      </c>
      <c r="N752" s="21" t="s">
        <v>111</v>
      </c>
      <c r="O752" s="21" t="s">
        <v>112</v>
      </c>
      <c r="P752" s="26">
        <v>9160191971</v>
      </c>
      <c r="Q752" s="26" t="e">
        <f t="shared" ca="1" si="5"/>
        <v>#NAME?</v>
      </c>
      <c r="R752" s="21" t="s">
        <v>5500</v>
      </c>
      <c r="U752" s="21" t="s">
        <v>5354</v>
      </c>
      <c r="V752" s="21" t="s">
        <v>5354</v>
      </c>
      <c r="AA752" s="21" t="s">
        <v>5501</v>
      </c>
    </row>
    <row r="753" spans="1:27" ht="15.75" customHeight="1" x14ac:dyDescent="0.3">
      <c r="A753" s="21">
        <v>2022</v>
      </c>
      <c r="B753" s="22"/>
      <c r="H753" s="21" t="s">
        <v>5502</v>
      </c>
      <c r="I753" s="21" t="s">
        <v>5503</v>
      </c>
      <c r="J753" s="21" t="s">
        <v>5504</v>
      </c>
      <c r="K753" s="21" t="e">
        <f t="shared" ca="1" si="4"/>
        <v>#NAME?</v>
      </c>
      <c r="L753" s="24">
        <v>2012</v>
      </c>
      <c r="N753" s="21" t="s">
        <v>111</v>
      </c>
      <c r="O753" s="21" t="s">
        <v>112</v>
      </c>
      <c r="P753" s="26">
        <v>9980570486</v>
      </c>
      <c r="Q753" s="26" t="e">
        <f t="shared" ca="1" si="5"/>
        <v>#NAME?</v>
      </c>
      <c r="R753" s="21" t="s">
        <v>5454</v>
      </c>
      <c r="S753" s="21" t="s">
        <v>5505</v>
      </c>
      <c r="U753" s="21" t="s">
        <v>5506</v>
      </c>
      <c r="V753" s="21" t="s">
        <v>5506</v>
      </c>
    </row>
    <row r="754" spans="1:27" ht="15.75" customHeight="1" x14ac:dyDescent="0.3">
      <c r="A754" s="21">
        <v>2022</v>
      </c>
      <c r="B754" s="22"/>
      <c r="H754" s="21" t="s">
        <v>5507</v>
      </c>
      <c r="I754" s="21" t="s">
        <v>5508</v>
      </c>
      <c r="J754" s="21" t="s">
        <v>5509</v>
      </c>
      <c r="K754" s="21" t="e">
        <f t="shared" ca="1" si="4"/>
        <v>#NAME?</v>
      </c>
      <c r="L754" s="24">
        <v>1976</v>
      </c>
      <c r="N754" s="21" t="s">
        <v>402</v>
      </c>
      <c r="O754" s="21" t="s">
        <v>316</v>
      </c>
      <c r="P754" s="26">
        <v>7046208527</v>
      </c>
      <c r="Q754" s="26" t="e">
        <f t="shared" ca="1" si="5"/>
        <v>#NAME?</v>
      </c>
      <c r="R754" s="21" t="s">
        <v>5510</v>
      </c>
      <c r="S754" s="21" t="s">
        <v>5511</v>
      </c>
      <c r="U754" s="21" t="s">
        <v>5512</v>
      </c>
      <c r="V754" s="21" t="s">
        <v>5512</v>
      </c>
      <c r="AA754" s="21" t="s">
        <v>5513</v>
      </c>
    </row>
    <row r="755" spans="1:27" ht="15.75" customHeight="1" x14ac:dyDescent="0.3">
      <c r="A755" s="21">
        <v>2022</v>
      </c>
      <c r="B755" s="22"/>
      <c r="H755" s="21" t="s">
        <v>5514</v>
      </c>
      <c r="I755" s="21" t="s">
        <v>5508</v>
      </c>
      <c r="J755" s="21" t="s">
        <v>520</v>
      </c>
      <c r="K755" s="21" t="e">
        <f t="shared" ca="1" si="4"/>
        <v>#NAME?</v>
      </c>
      <c r="L755" s="24">
        <v>1980</v>
      </c>
      <c r="N755" s="21" t="s">
        <v>402</v>
      </c>
      <c r="O755" s="21" t="s">
        <v>316</v>
      </c>
      <c r="P755" s="26">
        <v>2487978589</v>
      </c>
      <c r="Q755" s="26" t="e">
        <f t="shared" ca="1" si="5"/>
        <v>#NAME?</v>
      </c>
      <c r="R755" s="21" t="s">
        <v>5510</v>
      </c>
      <c r="S755" s="21" t="s">
        <v>5515</v>
      </c>
      <c r="U755" s="21" t="s">
        <v>5512</v>
      </c>
      <c r="V755" s="21" t="s">
        <v>5512</v>
      </c>
      <c r="AA755" s="21" t="s">
        <v>5516</v>
      </c>
    </row>
    <row r="756" spans="1:27" ht="15.75" customHeight="1" x14ac:dyDescent="0.3">
      <c r="A756" s="21">
        <v>2022</v>
      </c>
      <c r="B756" s="22"/>
      <c r="H756" s="21" t="s">
        <v>5517</v>
      </c>
      <c r="I756" s="21" t="s">
        <v>1282</v>
      </c>
      <c r="J756" s="21" t="s">
        <v>5518</v>
      </c>
      <c r="K756" s="21" t="e">
        <f t="shared" ca="1" si="4"/>
        <v>#NAME?</v>
      </c>
      <c r="L756" s="24">
        <v>1981</v>
      </c>
      <c r="N756" s="21" t="s">
        <v>402</v>
      </c>
      <c r="O756" s="21" t="s">
        <v>316</v>
      </c>
      <c r="P756" s="26">
        <v>4087591799</v>
      </c>
      <c r="Q756" s="26" t="e">
        <f t="shared" ca="1" si="5"/>
        <v>#NAME?</v>
      </c>
      <c r="R756" s="21" t="s">
        <v>5519</v>
      </c>
      <c r="S756" s="21" t="s">
        <v>5520</v>
      </c>
      <c r="U756" s="21" t="s">
        <v>5521</v>
      </c>
      <c r="V756" s="21" t="s">
        <v>5521</v>
      </c>
      <c r="AA756" s="21" t="s">
        <v>5522</v>
      </c>
    </row>
    <row r="757" spans="1:27" ht="15.75" customHeight="1" x14ac:dyDescent="0.3">
      <c r="A757" s="21">
        <v>2022</v>
      </c>
      <c r="B757" s="22"/>
      <c r="H757" s="21" t="s">
        <v>5523</v>
      </c>
      <c r="I757" s="21" t="s">
        <v>5524</v>
      </c>
      <c r="J757" s="21" t="s">
        <v>2751</v>
      </c>
      <c r="K757" s="21" t="e">
        <f t="shared" ca="1" si="4"/>
        <v>#NAME?</v>
      </c>
      <c r="L757" s="24">
        <v>1975</v>
      </c>
      <c r="N757" s="21" t="s">
        <v>402</v>
      </c>
      <c r="O757" s="21" t="s">
        <v>316</v>
      </c>
      <c r="P757" s="26">
        <v>6505047953</v>
      </c>
      <c r="Q757" s="26" t="e">
        <f t="shared" ca="1" si="5"/>
        <v>#NAME?</v>
      </c>
      <c r="R757" s="21" t="s">
        <v>5525</v>
      </c>
      <c r="S757" s="21" t="s">
        <v>5526</v>
      </c>
      <c r="U757" s="21" t="s">
        <v>5527</v>
      </c>
      <c r="V757" s="21" t="s">
        <v>5527</v>
      </c>
      <c r="AA757" s="21" t="s">
        <v>5528</v>
      </c>
    </row>
    <row r="758" spans="1:27" ht="15.75" customHeight="1" x14ac:dyDescent="0.3">
      <c r="A758" s="21">
        <v>2022</v>
      </c>
      <c r="B758" s="22"/>
      <c r="H758" s="21" t="s">
        <v>5529</v>
      </c>
      <c r="I758" s="21" t="s">
        <v>5530</v>
      </c>
      <c r="J758" s="138" t="s">
        <v>5531</v>
      </c>
      <c r="K758" s="21" t="e">
        <f t="shared" ca="1" si="4"/>
        <v>#NAME?</v>
      </c>
      <c r="L758" s="24">
        <v>1980</v>
      </c>
      <c r="N758" s="21" t="s">
        <v>315</v>
      </c>
      <c r="O758" s="21" t="s">
        <v>316</v>
      </c>
      <c r="P758" s="26">
        <v>3468146821</v>
      </c>
      <c r="Q758" s="26" t="e">
        <f t="shared" ca="1" si="5"/>
        <v>#NAME?</v>
      </c>
      <c r="R758" s="21" t="s">
        <v>4749</v>
      </c>
      <c r="S758" s="21" t="s">
        <v>5532</v>
      </c>
      <c r="U758" s="21" t="s">
        <v>5533</v>
      </c>
      <c r="V758" s="21" t="s">
        <v>5533</v>
      </c>
      <c r="AA758" s="21" t="s">
        <v>5534</v>
      </c>
    </row>
    <row r="759" spans="1:27" ht="15.75" customHeight="1" x14ac:dyDescent="0.3">
      <c r="A759" s="21">
        <v>2022</v>
      </c>
      <c r="B759" s="22"/>
      <c r="H759" s="21" t="s">
        <v>5535</v>
      </c>
      <c r="I759" s="21" t="s">
        <v>5536</v>
      </c>
      <c r="J759" s="21" t="s">
        <v>5537</v>
      </c>
      <c r="K759" s="21" t="e">
        <f t="shared" ca="1" si="4"/>
        <v>#NAME?</v>
      </c>
      <c r="L759" s="24">
        <v>1978</v>
      </c>
      <c r="N759" s="21" t="s">
        <v>315</v>
      </c>
      <c r="O759" s="21" t="s">
        <v>316</v>
      </c>
      <c r="P759" s="26">
        <v>9496105188</v>
      </c>
      <c r="Q759" s="26" t="e">
        <f t="shared" ca="1" si="5"/>
        <v>#NAME?</v>
      </c>
      <c r="R759" s="21" t="s">
        <v>5065</v>
      </c>
      <c r="S759" s="21" t="s">
        <v>5188</v>
      </c>
      <c r="U759" s="21" t="s">
        <v>5538</v>
      </c>
      <c r="V759" s="21" t="s">
        <v>5538</v>
      </c>
      <c r="AA759" s="21" t="s">
        <v>5539</v>
      </c>
    </row>
    <row r="760" spans="1:27" ht="15.75" customHeight="1" x14ac:dyDescent="0.3">
      <c r="A760" s="21">
        <v>2022</v>
      </c>
      <c r="B760" s="22"/>
      <c r="H760" s="21" t="s">
        <v>5540</v>
      </c>
      <c r="I760" s="21" t="s">
        <v>5541</v>
      </c>
      <c r="J760" s="21" t="s">
        <v>5542</v>
      </c>
      <c r="K760" s="21" t="e">
        <f t="shared" ca="1" si="4"/>
        <v>#NAME?</v>
      </c>
      <c r="L760" s="24">
        <v>2010</v>
      </c>
      <c r="N760" s="21" t="s">
        <v>402</v>
      </c>
      <c r="O760" s="21" t="s">
        <v>316</v>
      </c>
      <c r="P760" s="26">
        <v>4701068995</v>
      </c>
      <c r="Q760" s="26" t="e">
        <f t="shared" ca="1" si="5"/>
        <v>#NAME?</v>
      </c>
      <c r="R760" s="21" t="s">
        <v>2651</v>
      </c>
      <c r="S760" s="21" t="s">
        <v>406</v>
      </c>
      <c r="U760" s="21" t="s">
        <v>5543</v>
      </c>
      <c r="V760" s="21" t="s">
        <v>5543</v>
      </c>
      <c r="W760" s="21" t="s">
        <v>498</v>
      </c>
      <c r="X760" s="21" t="s">
        <v>643</v>
      </c>
      <c r="Y760" s="21" t="s">
        <v>179</v>
      </c>
      <c r="Z760" s="21" t="s">
        <v>5143</v>
      </c>
      <c r="AA760" s="21" t="s">
        <v>5544</v>
      </c>
    </row>
    <row r="761" spans="1:27" ht="15.75" customHeight="1" x14ac:dyDescent="0.3">
      <c r="A761" s="21">
        <v>2022</v>
      </c>
      <c r="B761" s="22"/>
      <c r="H761" s="21" t="s">
        <v>5545</v>
      </c>
      <c r="I761" s="21" t="s">
        <v>3317</v>
      </c>
      <c r="J761" s="21" t="s">
        <v>5546</v>
      </c>
      <c r="K761" s="21" t="e">
        <f t="shared" ca="1" si="4"/>
        <v>#NAME?</v>
      </c>
      <c r="L761" s="24">
        <v>1966</v>
      </c>
      <c r="N761" s="21" t="s">
        <v>315</v>
      </c>
      <c r="O761" s="21" t="s">
        <v>316</v>
      </c>
      <c r="P761" s="26">
        <v>5129340672</v>
      </c>
      <c r="Q761" s="26" t="e">
        <f t="shared" ca="1" si="5"/>
        <v>#NAME?</v>
      </c>
      <c r="R761" s="21" t="s">
        <v>5022</v>
      </c>
      <c r="S761" s="21" t="s">
        <v>5547</v>
      </c>
      <c r="U761" s="21" t="s">
        <v>5548</v>
      </c>
      <c r="V761" s="21" t="s">
        <v>5548</v>
      </c>
      <c r="AA761" s="21" t="s">
        <v>617</v>
      </c>
    </row>
    <row r="762" spans="1:27" ht="15.75" customHeight="1" x14ac:dyDescent="0.3">
      <c r="A762" s="21">
        <v>2022</v>
      </c>
      <c r="B762" s="22"/>
      <c r="H762" s="21" t="s">
        <v>5549</v>
      </c>
      <c r="I762" s="21" t="s">
        <v>5550</v>
      </c>
      <c r="J762" s="21" t="s">
        <v>5551</v>
      </c>
      <c r="K762" s="21" t="e">
        <f t="shared" ca="1" si="4"/>
        <v>#NAME?</v>
      </c>
      <c r="L762" s="24">
        <v>1975</v>
      </c>
      <c r="N762" s="21" t="s">
        <v>315</v>
      </c>
      <c r="O762" s="21" t="s">
        <v>316</v>
      </c>
      <c r="P762" s="26">
        <v>5127365515</v>
      </c>
      <c r="Q762" s="26" t="e">
        <f t="shared" ca="1" si="5"/>
        <v>#NAME?</v>
      </c>
      <c r="R762" s="21" t="s">
        <v>5065</v>
      </c>
      <c r="S762" s="21" t="s">
        <v>5188</v>
      </c>
      <c r="U762" s="21" t="s">
        <v>5552</v>
      </c>
      <c r="V762" s="21" t="s">
        <v>5552</v>
      </c>
      <c r="AA762" s="21" t="s">
        <v>5553</v>
      </c>
    </row>
    <row r="763" spans="1:27" ht="15.75" customHeight="1" x14ac:dyDescent="0.3">
      <c r="A763" s="21">
        <v>2022</v>
      </c>
      <c r="B763" s="22"/>
      <c r="H763" s="21" t="s">
        <v>5025</v>
      </c>
      <c r="I763" s="21" t="s">
        <v>1366</v>
      </c>
      <c r="J763" s="21" t="s">
        <v>5554</v>
      </c>
      <c r="K763" s="21" t="e">
        <f t="shared" ca="1" si="4"/>
        <v>#NAME?</v>
      </c>
      <c r="L763" s="24">
        <v>2010</v>
      </c>
      <c r="N763" s="21" t="s">
        <v>315</v>
      </c>
      <c r="O763" s="21" t="s">
        <v>316</v>
      </c>
      <c r="P763" s="26">
        <v>5127738654</v>
      </c>
      <c r="Q763" s="26" t="e">
        <f t="shared" ca="1" si="5"/>
        <v>#NAME?</v>
      </c>
      <c r="R763" s="21" t="s">
        <v>4737</v>
      </c>
      <c r="S763" s="21" t="s">
        <v>5555</v>
      </c>
      <c r="U763" s="21" t="s">
        <v>5556</v>
      </c>
      <c r="V763" s="21" t="s">
        <v>5556</v>
      </c>
    </row>
    <row r="764" spans="1:27" ht="15.75" customHeight="1" x14ac:dyDescent="0.3">
      <c r="A764" s="21">
        <v>2022</v>
      </c>
      <c r="B764" s="22"/>
      <c r="H764" s="21" t="s">
        <v>5557</v>
      </c>
      <c r="I764" s="21" t="s">
        <v>2522</v>
      </c>
      <c r="J764" s="21" t="s">
        <v>5558</v>
      </c>
      <c r="K764" s="21" t="e">
        <f t="shared" ca="1" si="4"/>
        <v>#NAME?</v>
      </c>
      <c r="L764" s="24">
        <v>1968</v>
      </c>
      <c r="N764" s="21" t="s">
        <v>315</v>
      </c>
      <c r="O764" s="21" t="s">
        <v>316</v>
      </c>
      <c r="P764" s="26">
        <v>5126804268</v>
      </c>
      <c r="Q764" s="26" t="e">
        <f t="shared" ca="1" si="5"/>
        <v>#NAME?</v>
      </c>
      <c r="R764" s="21" t="s">
        <v>521</v>
      </c>
      <c r="S764" s="21" t="s">
        <v>5559</v>
      </c>
      <c r="U764" s="21" t="s">
        <v>5560</v>
      </c>
      <c r="V764" s="21" t="s">
        <v>5560</v>
      </c>
    </row>
    <row r="765" spans="1:27" ht="15.75" customHeight="1" x14ac:dyDescent="0.3">
      <c r="A765" s="21">
        <v>2022</v>
      </c>
      <c r="B765" s="22"/>
      <c r="H765" s="21" t="s">
        <v>5561</v>
      </c>
      <c r="I765" s="21" t="s">
        <v>5150</v>
      </c>
      <c r="J765" s="21" t="s">
        <v>577</v>
      </c>
      <c r="K765" s="21" t="e">
        <f t="shared" ca="1" si="4"/>
        <v>#NAME?</v>
      </c>
      <c r="L765" s="24">
        <v>1990</v>
      </c>
      <c r="N765" s="21" t="s">
        <v>402</v>
      </c>
      <c r="O765" s="21" t="s">
        <v>316</v>
      </c>
      <c r="P765" s="26">
        <v>2514550794</v>
      </c>
      <c r="Q765" s="26" t="e">
        <f t="shared" ca="1" si="5"/>
        <v>#NAME?</v>
      </c>
      <c r="R765" s="21" t="s">
        <v>5562</v>
      </c>
      <c r="S765" s="21" t="s">
        <v>5563</v>
      </c>
      <c r="U765" s="21" t="s">
        <v>5564</v>
      </c>
      <c r="V765" s="21" t="s">
        <v>5564</v>
      </c>
    </row>
    <row r="766" spans="1:27" ht="15.75" customHeight="1" x14ac:dyDescent="0.3">
      <c r="A766" s="21">
        <v>2022</v>
      </c>
      <c r="B766" s="22"/>
      <c r="H766" s="21" t="s">
        <v>5565</v>
      </c>
      <c r="I766" s="21" t="s">
        <v>3427</v>
      </c>
      <c r="J766" s="21" t="s">
        <v>5469</v>
      </c>
      <c r="K766" s="21" t="e">
        <f t="shared" ca="1" si="4"/>
        <v>#NAME?</v>
      </c>
      <c r="L766" s="24">
        <v>1969</v>
      </c>
      <c r="N766" s="21" t="s">
        <v>315</v>
      </c>
      <c r="O766" s="21" t="s">
        <v>316</v>
      </c>
      <c r="P766" s="26">
        <v>5125874280</v>
      </c>
      <c r="Q766" s="26" t="e">
        <f t="shared" ca="1" si="5"/>
        <v>#NAME?</v>
      </c>
      <c r="R766" s="21" t="s">
        <v>5022</v>
      </c>
      <c r="S766" s="21" t="s">
        <v>5016</v>
      </c>
      <c r="U766" s="21" t="s">
        <v>5566</v>
      </c>
      <c r="V766" s="21" t="s">
        <v>5566</v>
      </c>
      <c r="AA766" s="21" t="s">
        <v>5567</v>
      </c>
    </row>
    <row r="767" spans="1:27" ht="15.75" customHeight="1" x14ac:dyDescent="0.3">
      <c r="A767" s="21">
        <v>2022</v>
      </c>
      <c r="B767" s="22"/>
      <c r="H767" s="21" t="s">
        <v>5568</v>
      </c>
      <c r="I767" s="21" t="s">
        <v>2537</v>
      </c>
      <c r="J767" s="21" t="s">
        <v>4345</v>
      </c>
      <c r="K767" s="21" t="e">
        <f t="shared" ref="K767:K1021" ca="1" si="6">_xludf.TEXTJOIN(" ",TRUE,I767:J767)</f>
        <v>#NAME?</v>
      </c>
      <c r="L767" s="24">
        <v>1972</v>
      </c>
      <c r="N767" s="21" t="s">
        <v>474</v>
      </c>
      <c r="O767" s="21" t="s">
        <v>316</v>
      </c>
      <c r="P767" s="26">
        <v>4256988546</v>
      </c>
      <c r="Q767" s="26" t="e">
        <f t="shared" ca="1" si="5"/>
        <v>#NAME?</v>
      </c>
      <c r="R767" s="21" t="s">
        <v>5569</v>
      </c>
      <c r="S767" s="21" t="s">
        <v>5570</v>
      </c>
      <c r="U767" s="21" t="s">
        <v>265</v>
      </c>
      <c r="V767" s="21" t="s">
        <v>265</v>
      </c>
      <c r="AA767" s="21" t="s">
        <v>5571</v>
      </c>
    </row>
    <row r="768" spans="1:27" ht="15.75" customHeight="1" x14ac:dyDescent="0.3">
      <c r="A768" s="21">
        <v>2022</v>
      </c>
      <c r="B768" s="22"/>
      <c r="H768" s="21" t="s">
        <v>5045</v>
      </c>
      <c r="I768" s="21" t="s">
        <v>4578</v>
      </c>
      <c r="J768" s="21" t="s">
        <v>4579</v>
      </c>
      <c r="K768" s="21" t="e">
        <f t="shared" ca="1" si="6"/>
        <v>#NAME?</v>
      </c>
      <c r="L768" s="24">
        <v>2012</v>
      </c>
      <c r="N768" s="21" t="s">
        <v>315</v>
      </c>
      <c r="O768" s="21" t="s">
        <v>316</v>
      </c>
      <c r="P768" s="26">
        <v>4083293168</v>
      </c>
      <c r="Q768" s="26" t="e">
        <f t="shared" ref="Q768:Q1022" ca="1" si="7">P768&amp;"/"&amp;L768&amp;"/"&amp;K768</f>
        <v>#NAME?</v>
      </c>
      <c r="R768" s="21" t="s">
        <v>5572</v>
      </c>
      <c r="S768" s="21" t="s">
        <v>1565</v>
      </c>
      <c r="U768" s="21" t="s">
        <v>5573</v>
      </c>
      <c r="V768" s="21" t="s">
        <v>5573</v>
      </c>
      <c r="W768" s="21" t="s">
        <v>219</v>
      </c>
      <c r="X768" s="21" t="s">
        <v>179</v>
      </c>
      <c r="Z768" s="21" t="s">
        <v>5574</v>
      </c>
    </row>
    <row r="769" spans="1:27" ht="15.75" customHeight="1" x14ac:dyDescent="0.3">
      <c r="A769" s="21">
        <v>2022</v>
      </c>
      <c r="B769" s="22"/>
      <c r="H769" s="21" t="s">
        <v>5575</v>
      </c>
      <c r="I769" s="21" t="s">
        <v>5576</v>
      </c>
      <c r="J769" s="21" t="s">
        <v>991</v>
      </c>
      <c r="K769" s="21" t="e">
        <f t="shared" ca="1" si="6"/>
        <v>#NAME?</v>
      </c>
      <c r="L769" s="24">
        <v>1971</v>
      </c>
      <c r="N769" s="21" t="s">
        <v>402</v>
      </c>
      <c r="O769" s="21" t="s">
        <v>316</v>
      </c>
      <c r="P769" s="26">
        <v>9543283227</v>
      </c>
      <c r="Q769" s="26" t="e">
        <f t="shared" ca="1" si="7"/>
        <v>#NAME?</v>
      </c>
      <c r="R769" s="21" t="s">
        <v>5577</v>
      </c>
      <c r="S769" s="21" t="s">
        <v>5578</v>
      </c>
      <c r="U769" s="21" t="s">
        <v>5579</v>
      </c>
      <c r="V769" s="21" t="s">
        <v>5579</v>
      </c>
      <c r="AA769" s="21" t="s">
        <v>5580</v>
      </c>
    </row>
    <row r="770" spans="1:27" ht="15.75" customHeight="1" x14ac:dyDescent="0.3">
      <c r="A770" s="21">
        <v>2022</v>
      </c>
      <c r="B770" s="22"/>
      <c r="H770" s="21" t="s">
        <v>5581</v>
      </c>
      <c r="I770" s="21" t="s">
        <v>5582</v>
      </c>
      <c r="J770" s="21" t="s">
        <v>5583</v>
      </c>
      <c r="K770" s="21" t="e">
        <f t="shared" ca="1" si="6"/>
        <v>#NAME?</v>
      </c>
      <c r="L770" s="24">
        <v>2010</v>
      </c>
      <c r="N770" s="21" t="s">
        <v>315</v>
      </c>
      <c r="O770" s="21" t="s">
        <v>316</v>
      </c>
      <c r="P770" s="26">
        <v>5126569880</v>
      </c>
      <c r="Q770" s="26" t="e">
        <f t="shared" ca="1" si="7"/>
        <v>#NAME?</v>
      </c>
      <c r="R770" s="21" t="s">
        <v>5584</v>
      </c>
      <c r="S770" s="21" t="s">
        <v>5585</v>
      </c>
      <c r="U770" s="21" t="s">
        <v>5586</v>
      </c>
      <c r="V770" s="21" t="s">
        <v>5586</v>
      </c>
      <c r="W770" s="21" t="s">
        <v>5587</v>
      </c>
      <c r="X770" s="21" t="s">
        <v>179</v>
      </c>
      <c r="Y770" s="21" t="s">
        <v>5232</v>
      </c>
      <c r="Z770" s="21" t="s">
        <v>5588</v>
      </c>
      <c r="AA770" s="21" t="s">
        <v>1422</v>
      </c>
    </row>
    <row r="771" spans="1:27" ht="15.75" customHeight="1" x14ac:dyDescent="0.3">
      <c r="A771" s="21">
        <v>2022</v>
      </c>
      <c r="B771" s="22"/>
      <c r="H771" s="21" t="s">
        <v>5581</v>
      </c>
      <c r="I771" s="21" t="s">
        <v>5582</v>
      </c>
      <c r="J771" s="21" t="s">
        <v>643</v>
      </c>
      <c r="K771" s="21" t="e">
        <f t="shared" ca="1" si="6"/>
        <v>#NAME?</v>
      </c>
      <c r="L771" s="24">
        <v>1978</v>
      </c>
      <c r="N771" s="21" t="s">
        <v>315</v>
      </c>
      <c r="O771" s="21" t="s">
        <v>316</v>
      </c>
      <c r="P771" s="26">
        <v>5126569880</v>
      </c>
      <c r="Q771" s="26" t="e">
        <f t="shared" ca="1" si="7"/>
        <v>#NAME?</v>
      </c>
      <c r="R771" s="21" t="s">
        <v>5022</v>
      </c>
      <c r="S771" s="21" t="s">
        <v>5188</v>
      </c>
      <c r="U771" s="21" t="s">
        <v>4765</v>
      </c>
      <c r="V771" s="21" t="s">
        <v>4765</v>
      </c>
      <c r="AA771" s="21" t="s">
        <v>5589</v>
      </c>
    </row>
    <row r="772" spans="1:27" ht="15.75" customHeight="1" x14ac:dyDescent="0.3">
      <c r="A772" s="21">
        <v>2022</v>
      </c>
      <c r="B772" s="22"/>
      <c r="H772" s="21" t="s">
        <v>5590</v>
      </c>
      <c r="I772" s="21" t="s">
        <v>5060</v>
      </c>
      <c r="J772" s="21" t="s">
        <v>5591</v>
      </c>
      <c r="K772" s="21" t="e">
        <f t="shared" ca="1" si="6"/>
        <v>#NAME?</v>
      </c>
      <c r="L772" s="24">
        <v>1979</v>
      </c>
      <c r="N772" s="21" t="s">
        <v>315</v>
      </c>
      <c r="O772" s="21" t="s">
        <v>316</v>
      </c>
      <c r="P772" s="26">
        <v>3122088478</v>
      </c>
      <c r="Q772" s="26" t="e">
        <f t="shared" ca="1" si="7"/>
        <v>#NAME?</v>
      </c>
      <c r="R772" s="21" t="s">
        <v>5592</v>
      </c>
      <c r="S772" s="21" t="s">
        <v>5593</v>
      </c>
      <c r="U772" s="21" t="s">
        <v>5594</v>
      </c>
      <c r="V772" s="21" t="s">
        <v>5594</v>
      </c>
      <c r="AA772" s="21" t="s">
        <v>5595</v>
      </c>
    </row>
    <row r="773" spans="1:27" ht="15.75" customHeight="1" x14ac:dyDescent="0.3">
      <c r="A773" s="21">
        <v>2022</v>
      </c>
      <c r="B773" s="22"/>
      <c r="H773" s="21" t="s">
        <v>5596</v>
      </c>
      <c r="I773" s="21" t="s">
        <v>5597</v>
      </c>
      <c r="J773" s="21" t="s">
        <v>2296</v>
      </c>
      <c r="K773" s="21" t="e">
        <f t="shared" ca="1" si="6"/>
        <v>#NAME?</v>
      </c>
      <c r="L773" s="24">
        <v>1981</v>
      </c>
      <c r="N773" s="21" t="s">
        <v>402</v>
      </c>
      <c r="O773" s="21" t="s">
        <v>316</v>
      </c>
      <c r="P773" s="26">
        <v>4086097142</v>
      </c>
      <c r="Q773" s="26" t="e">
        <f t="shared" ca="1" si="7"/>
        <v>#NAME?</v>
      </c>
      <c r="R773" s="21" t="s">
        <v>1600</v>
      </c>
      <c r="S773" s="21" t="s">
        <v>5598</v>
      </c>
      <c r="U773" s="21" t="s">
        <v>5599</v>
      </c>
      <c r="V773" s="21" t="s">
        <v>5599</v>
      </c>
      <c r="AA773" s="21" t="s">
        <v>5600</v>
      </c>
    </row>
    <row r="774" spans="1:27" ht="15.75" customHeight="1" x14ac:dyDescent="0.3">
      <c r="A774" s="21">
        <v>2022</v>
      </c>
      <c r="B774" s="22"/>
      <c r="H774" s="21" t="s">
        <v>5601</v>
      </c>
      <c r="I774" s="21" t="s">
        <v>5602</v>
      </c>
      <c r="J774" s="21" t="s">
        <v>5603</v>
      </c>
      <c r="K774" s="21" t="e">
        <f t="shared" ca="1" si="6"/>
        <v>#NAME?</v>
      </c>
      <c r="L774" s="24">
        <v>1967</v>
      </c>
      <c r="N774" s="21" t="s">
        <v>402</v>
      </c>
      <c r="O774" s="21" t="s">
        <v>316</v>
      </c>
      <c r="P774" s="26">
        <v>4077823419</v>
      </c>
      <c r="Q774" s="26" t="e">
        <f t="shared" ca="1" si="7"/>
        <v>#NAME?</v>
      </c>
      <c r="R774" s="21" t="s">
        <v>5604</v>
      </c>
      <c r="S774" s="21" t="s">
        <v>5605</v>
      </c>
      <c r="U774" s="21" t="s">
        <v>5606</v>
      </c>
      <c r="V774" s="21" t="s">
        <v>5606</v>
      </c>
      <c r="AA774" s="21" t="s">
        <v>5607</v>
      </c>
    </row>
    <row r="775" spans="1:27" ht="15.75" customHeight="1" x14ac:dyDescent="0.3">
      <c r="A775" s="21">
        <v>2022</v>
      </c>
      <c r="B775" s="22"/>
      <c r="H775" s="21" t="s">
        <v>5608</v>
      </c>
      <c r="I775" s="21" t="s">
        <v>916</v>
      </c>
      <c r="J775" s="21" t="s">
        <v>5609</v>
      </c>
      <c r="K775" s="21" t="e">
        <f t="shared" ca="1" si="6"/>
        <v>#NAME?</v>
      </c>
      <c r="L775" s="24">
        <v>1975</v>
      </c>
      <c r="N775" s="21" t="s">
        <v>402</v>
      </c>
      <c r="O775" s="21" t="s">
        <v>316</v>
      </c>
      <c r="P775" s="26">
        <v>2485507609</v>
      </c>
      <c r="Q775" s="26" t="e">
        <f t="shared" ca="1" si="7"/>
        <v>#NAME?</v>
      </c>
      <c r="R775" s="21" t="s">
        <v>5610</v>
      </c>
      <c r="S775" s="21" t="s">
        <v>5611</v>
      </c>
      <c r="U775" s="21" t="s">
        <v>5612</v>
      </c>
      <c r="V775" s="21" t="s">
        <v>5612</v>
      </c>
      <c r="AA775" s="21" t="s">
        <v>5613</v>
      </c>
    </row>
    <row r="776" spans="1:27" ht="15.75" customHeight="1" x14ac:dyDescent="0.3">
      <c r="A776" s="21">
        <v>2022</v>
      </c>
      <c r="B776" s="22"/>
      <c r="H776" s="21" t="s">
        <v>5614</v>
      </c>
      <c r="I776" s="21" t="s">
        <v>5615</v>
      </c>
      <c r="J776" s="21" t="s">
        <v>5616</v>
      </c>
      <c r="K776" s="21" t="e">
        <f t="shared" ca="1" si="6"/>
        <v>#NAME?</v>
      </c>
      <c r="L776" s="24">
        <v>1963</v>
      </c>
      <c r="N776" s="21" t="s">
        <v>474</v>
      </c>
      <c r="O776" s="21" t="s">
        <v>316</v>
      </c>
      <c r="P776" s="26">
        <v>4258898082</v>
      </c>
      <c r="Q776" s="26" t="e">
        <f t="shared" ca="1" si="7"/>
        <v>#NAME?</v>
      </c>
      <c r="R776" s="21" t="s">
        <v>5617</v>
      </c>
      <c r="S776" s="21" t="s">
        <v>5618</v>
      </c>
      <c r="U776" s="21" t="s">
        <v>5619</v>
      </c>
      <c r="V776" s="21" t="s">
        <v>5619</v>
      </c>
      <c r="W776" s="21" t="s">
        <v>328</v>
      </c>
      <c r="X776" s="21" t="s">
        <v>5620</v>
      </c>
      <c r="Y776" s="21" t="s">
        <v>3549</v>
      </c>
      <c r="AA776" s="21" t="s">
        <v>5621</v>
      </c>
    </row>
    <row r="777" spans="1:27" ht="15.75" customHeight="1" x14ac:dyDescent="0.3">
      <c r="A777" s="21">
        <v>2022</v>
      </c>
      <c r="B777" s="22"/>
      <c r="H777" s="21" t="s">
        <v>5068</v>
      </c>
      <c r="I777" s="21" t="s">
        <v>4627</v>
      </c>
      <c r="J777" s="21" t="s">
        <v>4628</v>
      </c>
      <c r="K777" s="21" t="e">
        <f t="shared" ca="1" si="6"/>
        <v>#NAME?</v>
      </c>
      <c r="L777" s="24">
        <v>2009</v>
      </c>
      <c r="N777" s="21" t="s">
        <v>315</v>
      </c>
      <c r="O777" s="21" t="s">
        <v>316</v>
      </c>
      <c r="P777" s="26">
        <v>5122001974</v>
      </c>
      <c r="Q777" s="26" t="e">
        <f t="shared" ca="1" si="7"/>
        <v>#NAME?</v>
      </c>
      <c r="R777" s="21" t="s">
        <v>4732</v>
      </c>
      <c r="S777" s="21" t="s">
        <v>5188</v>
      </c>
      <c r="U777" s="21" t="s">
        <v>5622</v>
      </c>
      <c r="V777" s="21" t="s">
        <v>5622</v>
      </c>
      <c r="W777" s="21" t="s">
        <v>266</v>
      </c>
      <c r="X777" s="21" t="s">
        <v>179</v>
      </c>
      <c r="Y777" s="21" t="s">
        <v>5623</v>
      </c>
      <c r="Z777" s="21" t="s">
        <v>5624</v>
      </c>
      <c r="AA777" s="21" t="s">
        <v>5625</v>
      </c>
    </row>
    <row r="778" spans="1:27" ht="15.75" customHeight="1" x14ac:dyDescent="0.3">
      <c r="A778" s="21">
        <v>2022</v>
      </c>
      <c r="B778" s="22"/>
      <c r="H778" s="21" t="s">
        <v>5626</v>
      </c>
      <c r="I778" s="21" t="s">
        <v>367</v>
      </c>
      <c r="J778" s="138" t="s">
        <v>5627</v>
      </c>
      <c r="K778" s="21" t="e">
        <f t="shared" ca="1" si="6"/>
        <v>#NAME?</v>
      </c>
      <c r="L778" s="24">
        <v>1998</v>
      </c>
      <c r="N778" s="21" t="s">
        <v>315</v>
      </c>
      <c r="O778" s="21" t="s">
        <v>316</v>
      </c>
      <c r="P778" s="26">
        <v>9083073813</v>
      </c>
      <c r="Q778" s="26" t="e">
        <f t="shared" ca="1" si="7"/>
        <v>#NAME?</v>
      </c>
      <c r="R778" s="21" t="s">
        <v>5628</v>
      </c>
      <c r="S778" s="21" t="s">
        <v>5629</v>
      </c>
      <c r="U778" s="21" t="s">
        <v>5630</v>
      </c>
      <c r="V778" s="21" t="s">
        <v>5630</v>
      </c>
      <c r="W778" s="21" t="s">
        <v>266</v>
      </c>
      <c r="X778" s="21" t="s">
        <v>179</v>
      </c>
      <c r="Y778" s="21" t="s">
        <v>5631</v>
      </c>
      <c r="AA778" s="21" t="s">
        <v>1707</v>
      </c>
    </row>
    <row r="779" spans="1:27" ht="15.75" customHeight="1" x14ac:dyDescent="0.3">
      <c r="A779" s="21">
        <v>2022</v>
      </c>
      <c r="B779" s="22"/>
      <c r="H779" s="21" t="s">
        <v>5632</v>
      </c>
      <c r="I779" s="21" t="s">
        <v>1303</v>
      </c>
      <c r="J779" s="21" t="s">
        <v>713</v>
      </c>
      <c r="K779" s="21" t="e">
        <f t="shared" ca="1" si="6"/>
        <v>#NAME?</v>
      </c>
      <c r="L779" s="24">
        <v>1976</v>
      </c>
      <c r="N779" s="21" t="s">
        <v>402</v>
      </c>
      <c r="O779" s="21" t="s">
        <v>316</v>
      </c>
      <c r="P779" s="26">
        <v>7139221456</v>
      </c>
      <c r="Q779" s="26" t="e">
        <f t="shared" ca="1" si="7"/>
        <v>#NAME?</v>
      </c>
      <c r="R779" s="21" t="s">
        <v>2651</v>
      </c>
      <c r="S779" s="21" t="s">
        <v>5633</v>
      </c>
      <c r="U779" s="21" t="s">
        <v>5634</v>
      </c>
      <c r="V779" s="21" t="s">
        <v>5634</v>
      </c>
      <c r="W779" s="21" t="s">
        <v>123</v>
      </c>
      <c r="X779" s="21" t="s">
        <v>179</v>
      </c>
      <c r="Y779" s="21" t="s">
        <v>179</v>
      </c>
      <c r="AA779" s="21" t="s">
        <v>450</v>
      </c>
    </row>
    <row r="780" spans="1:27" ht="15.75" customHeight="1" x14ac:dyDescent="0.3">
      <c r="A780" s="21">
        <v>2022</v>
      </c>
      <c r="B780" s="22"/>
      <c r="H780" s="21" t="s">
        <v>5635</v>
      </c>
      <c r="I780" s="21" t="s">
        <v>5351</v>
      </c>
      <c r="J780" s="21" t="s">
        <v>731</v>
      </c>
      <c r="K780" s="21" t="e">
        <f t="shared" ca="1" si="6"/>
        <v>#NAME?</v>
      </c>
      <c r="L780" s="24">
        <v>1972</v>
      </c>
      <c r="N780" s="21" t="s">
        <v>315</v>
      </c>
      <c r="O780" s="21" t="s">
        <v>316</v>
      </c>
      <c r="P780" s="26">
        <v>6309456731</v>
      </c>
      <c r="Q780" s="26" t="e">
        <f t="shared" ca="1" si="7"/>
        <v>#NAME?</v>
      </c>
      <c r="R780" s="21" t="s">
        <v>5636</v>
      </c>
      <c r="S780" s="21" t="s">
        <v>5637</v>
      </c>
      <c r="U780" s="21" t="s">
        <v>5638</v>
      </c>
      <c r="V780" s="21" t="s">
        <v>5638</v>
      </c>
      <c r="AA780" s="21" t="s">
        <v>5639</v>
      </c>
    </row>
    <row r="781" spans="1:27" ht="15.75" customHeight="1" x14ac:dyDescent="0.3">
      <c r="A781" s="21">
        <v>2022</v>
      </c>
      <c r="B781" s="22"/>
      <c r="H781" s="21" t="s">
        <v>5640</v>
      </c>
      <c r="I781" s="21" t="s">
        <v>4284</v>
      </c>
      <c r="J781" s="21" t="s">
        <v>5641</v>
      </c>
      <c r="K781" s="21" t="e">
        <f t="shared" ca="1" si="6"/>
        <v>#NAME?</v>
      </c>
      <c r="L781" s="24">
        <v>1960</v>
      </c>
      <c r="N781" s="21" t="s">
        <v>315</v>
      </c>
      <c r="O781" s="21" t="s">
        <v>316</v>
      </c>
      <c r="P781" s="26">
        <v>5126320192</v>
      </c>
      <c r="Q781" s="26" t="e">
        <f t="shared" ca="1" si="7"/>
        <v>#NAME?</v>
      </c>
      <c r="R781" s="21" t="s">
        <v>521</v>
      </c>
      <c r="S781" s="21" t="s">
        <v>4750</v>
      </c>
      <c r="U781" s="21" t="s">
        <v>5642</v>
      </c>
      <c r="V781" s="21" t="s">
        <v>5642</v>
      </c>
      <c r="AA781" s="21" t="s">
        <v>5643</v>
      </c>
    </row>
    <row r="782" spans="1:27" ht="15.75" customHeight="1" x14ac:dyDescent="0.3">
      <c r="A782" s="21">
        <v>2022</v>
      </c>
      <c r="B782" s="22"/>
      <c r="H782" s="21" t="s">
        <v>5644</v>
      </c>
      <c r="I782" s="21" t="s">
        <v>5645</v>
      </c>
      <c r="J782" s="21" t="s">
        <v>5646</v>
      </c>
      <c r="K782" s="21" t="e">
        <f t="shared" ca="1" si="6"/>
        <v>#NAME?</v>
      </c>
      <c r="L782" s="24">
        <v>1983</v>
      </c>
      <c r="N782" s="21" t="s">
        <v>315</v>
      </c>
      <c r="O782" s="21" t="s">
        <v>316</v>
      </c>
      <c r="P782" s="26">
        <v>6127705049</v>
      </c>
      <c r="Q782" s="26" t="e">
        <f t="shared" ca="1" si="7"/>
        <v>#NAME?</v>
      </c>
      <c r="R782" s="21" t="s">
        <v>5647</v>
      </c>
      <c r="S782" s="21" t="s">
        <v>5648</v>
      </c>
      <c r="U782" s="21" t="s">
        <v>5198</v>
      </c>
      <c r="V782" s="21" t="s">
        <v>5198</v>
      </c>
      <c r="AA782" s="21" t="s">
        <v>5649</v>
      </c>
    </row>
    <row r="783" spans="1:27" ht="15.75" customHeight="1" x14ac:dyDescent="0.3">
      <c r="A783" s="21">
        <v>2022</v>
      </c>
      <c r="B783" s="22"/>
      <c r="H783" s="21" t="s">
        <v>5650</v>
      </c>
      <c r="I783" s="21" t="s">
        <v>2881</v>
      </c>
      <c r="J783" s="21" t="s">
        <v>5651</v>
      </c>
      <c r="K783" s="21" t="e">
        <f t="shared" ca="1" si="6"/>
        <v>#NAME?</v>
      </c>
      <c r="L783" s="24">
        <v>1983</v>
      </c>
      <c r="N783" s="21" t="s">
        <v>474</v>
      </c>
      <c r="O783" s="21" t="s">
        <v>316</v>
      </c>
      <c r="P783" s="26">
        <v>8036293505</v>
      </c>
      <c r="Q783" s="26" t="e">
        <f t="shared" ca="1" si="7"/>
        <v>#NAME?</v>
      </c>
      <c r="R783" s="21" t="s">
        <v>475</v>
      </c>
      <c r="S783" s="21" t="s">
        <v>5652</v>
      </c>
      <c r="U783" s="21" t="s">
        <v>5622</v>
      </c>
      <c r="V783" s="21" t="s">
        <v>5622</v>
      </c>
      <c r="AA783" s="21" t="s">
        <v>5653</v>
      </c>
    </row>
    <row r="784" spans="1:27" ht="15.75" customHeight="1" x14ac:dyDescent="0.3">
      <c r="A784" s="21">
        <v>2022</v>
      </c>
      <c r="B784" s="22"/>
      <c r="H784" s="21" t="s">
        <v>5654</v>
      </c>
      <c r="I784" s="21" t="s">
        <v>4394</v>
      </c>
      <c r="J784" s="21" t="s">
        <v>5655</v>
      </c>
      <c r="K784" s="21" t="e">
        <f t="shared" ca="1" si="6"/>
        <v>#NAME?</v>
      </c>
      <c r="L784" s="24">
        <v>1998</v>
      </c>
      <c r="N784" s="21" t="s">
        <v>402</v>
      </c>
      <c r="O784" s="21" t="s">
        <v>316</v>
      </c>
      <c r="P784" s="26">
        <v>5129707752</v>
      </c>
      <c r="Q784" s="26" t="e">
        <f t="shared" ca="1" si="7"/>
        <v>#NAME?</v>
      </c>
      <c r="R784" s="21" t="s">
        <v>5656</v>
      </c>
      <c r="S784" s="21" t="s">
        <v>4750</v>
      </c>
      <c r="U784" s="21" t="s">
        <v>5657</v>
      </c>
      <c r="V784" s="21" t="s">
        <v>5657</v>
      </c>
      <c r="W784" s="21" t="s">
        <v>266</v>
      </c>
      <c r="X784" s="21" t="s">
        <v>179</v>
      </c>
      <c r="Y784" s="21" t="s">
        <v>5658</v>
      </c>
      <c r="Z784" s="21" t="s">
        <v>127</v>
      </c>
      <c r="AA784" s="21" t="s">
        <v>5659</v>
      </c>
    </row>
    <row r="785" spans="1:27" ht="15.75" customHeight="1" x14ac:dyDescent="0.3">
      <c r="A785" s="21">
        <v>2022</v>
      </c>
      <c r="B785" s="22"/>
      <c r="H785" s="21" t="s">
        <v>5660</v>
      </c>
      <c r="I785" s="21" t="s">
        <v>567</v>
      </c>
      <c r="J785" s="21" t="s">
        <v>520</v>
      </c>
      <c r="K785" s="21" t="e">
        <f t="shared" ca="1" si="6"/>
        <v>#NAME?</v>
      </c>
      <c r="L785" s="24">
        <v>1983</v>
      </c>
      <c r="N785" s="21" t="s">
        <v>315</v>
      </c>
      <c r="O785" s="21" t="s">
        <v>316</v>
      </c>
      <c r="P785" s="26">
        <v>6464363710</v>
      </c>
      <c r="Q785" s="26" t="e">
        <f t="shared" ca="1" si="7"/>
        <v>#NAME?</v>
      </c>
      <c r="R785" s="21" t="s">
        <v>5661</v>
      </c>
      <c r="S785" s="21" t="s">
        <v>5662</v>
      </c>
      <c r="U785" s="21" t="s">
        <v>5663</v>
      </c>
      <c r="V785" s="21" t="s">
        <v>5663</v>
      </c>
      <c r="W785" s="21" t="s">
        <v>488</v>
      </c>
      <c r="X785" s="21" t="s">
        <v>179</v>
      </c>
      <c r="Y785" s="21" t="s">
        <v>179</v>
      </c>
      <c r="AA785" s="21" t="s">
        <v>5664</v>
      </c>
    </row>
    <row r="786" spans="1:27" ht="15.75" customHeight="1" x14ac:dyDescent="0.3">
      <c r="A786" s="21">
        <v>2022</v>
      </c>
      <c r="B786" s="22"/>
      <c r="H786" s="21" t="s">
        <v>5665</v>
      </c>
      <c r="I786" s="21" t="s">
        <v>5666</v>
      </c>
      <c r="J786" s="21" t="s">
        <v>3889</v>
      </c>
      <c r="K786" s="21" t="e">
        <f t="shared" ca="1" si="6"/>
        <v>#NAME?</v>
      </c>
      <c r="L786" s="24">
        <v>1974</v>
      </c>
      <c r="N786" s="21" t="s">
        <v>402</v>
      </c>
      <c r="O786" s="21" t="s">
        <v>316</v>
      </c>
      <c r="P786" s="26">
        <v>2483968250</v>
      </c>
      <c r="Q786" s="26" t="e">
        <f t="shared" ca="1" si="7"/>
        <v>#NAME?</v>
      </c>
      <c r="R786" s="21" t="s">
        <v>5353</v>
      </c>
      <c r="S786" s="21" t="s">
        <v>3383</v>
      </c>
      <c r="U786" s="21" t="s">
        <v>5667</v>
      </c>
      <c r="V786" s="21" t="s">
        <v>5667</v>
      </c>
      <c r="AA786" s="21" t="s">
        <v>5668</v>
      </c>
    </row>
    <row r="787" spans="1:27" ht="15.75" customHeight="1" x14ac:dyDescent="0.3">
      <c r="A787" s="21">
        <v>2022</v>
      </c>
      <c r="B787" s="22"/>
      <c r="H787" s="21" t="s">
        <v>5669</v>
      </c>
      <c r="I787" s="21" t="s">
        <v>5670</v>
      </c>
      <c r="J787" s="21" t="s">
        <v>5671</v>
      </c>
      <c r="K787" s="21" t="e">
        <f t="shared" ca="1" si="6"/>
        <v>#NAME?</v>
      </c>
      <c r="L787" s="24">
        <v>2002</v>
      </c>
      <c r="N787" s="21" t="s">
        <v>474</v>
      </c>
      <c r="O787" s="21" t="s">
        <v>316</v>
      </c>
      <c r="P787" s="26">
        <v>4256559298</v>
      </c>
      <c r="Q787" s="26" t="e">
        <f t="shared" ca="1" si="7"/>
        <v>#NAME?</v>
      </c>
      <c r="R787" s="21" t="s">
        <v>5672</v>
      </c>
      <c r="S787" s="21" t="s">
        <v>5673</v>
      </c>
      <c r="U787" s="21" t="s">
        <v>5237</v>
      </c>
      <c r="V787" s="21" t="s">
        <v>5237</v>
      </c>
      <c r="AA787" s="21" t="s">
        <v>5674</v>
      </c>
    </row>
    <row r="788" spans="1:27" ht="15.75" customHeight="1" x14ac:dyDescent="0.3">
      <c r="A788" s="21">
        <v>2022</v>
      </c>
      <c r="B788" s="22"/>
      <c r="H788" s="21" t="s">
        <v>5675</v>
      </c>
      <c r="I788" s="21" t="s">
        <v>5670</v>
      </c>
      <c r="J788" s="21" t="s">
        <v>2864</v>
      </c>
      <c r="K788" s="21" t="e">
        <f t="shared" ca="1" si="6"/>
        <v>#NAME?</v>
      </c>
      <c r="L788" s="24">
        <v>1972</v>
      </c>
      <c r="N788" s="21" t="s">
        <v>474</v>
      </c>
      <c r="O788" s="21" t="s">
        <v>316</v>
      </c>
      <c r="P788" s="26">
        <v>4252337701</v>
      </c>
      <c r="Q788" s="26" t="e">
        <f t="shared" ca="1" si="7"/>
        <v>#NAME?</v>
      </c>
      <c r="R788" s="21" t="s">
        <v>5672</v>
      </c>
      <c r="S788" s="21" t="s">
        <v>1733</v>
      </c>
      <c r="U788" s="21" t="s">
        <v>5237</v>
      </c>
      <c r="V788" s="21" t="s">
        <v>5237</v>
      </c>
      <c r="AA788" s="21" t="s">
        <v>5676</v>
      </c>
    </row>
    <row r="789" spans="1:27" ht="15.75" customHeight="1" x14ac:dyDescent="0.3">
      <c r="A789" s="21">
        <v>2022</v>
      </c>
      <c r="B789" s="22"/>
      <c r="H789" s="21" t="s">
        <v>5677</v>
      </c>
      <c r="I789" s="21" t="s">
        <v>5678</v>
      </c>
      <c r="J789" s="21" t="s">
        <v>2279</v>
      </c>
      <c r="K789" s="21" t="e">
        <f t="shared" ca="1" si="6"/>
        <v>#NAME?</v>
      </c>
      <c r="L789" s="24">
        <v>1977</v>
      </c>
      <c r="N789" s="21" t="s">
        <v>402</v>
      </c>
      <c r="O789" s="21" t="s">
        <v>316</v>
      </c>
      <c r="P789" s="26">
        <v>7325100003</v>
      </c>
      <c r="Q789" s="26" t="e">
        <f t="shared" ca="1" si="7"/>
        <v>#NAME?</v>
      </c>
      <c r="R789" s="21" t="s">
        <v>5679</v>
      </c>
      <c r="S789" s="21" t="s">
        <v>5680</v>
      </c>
      <c r="U789" s="21" t="s">
        <v>5681</v>
      </c>
      <c r="V789" s="21" t="s">
        <v>5681</v>
      </c>
      <c r="AA789" s="21" t="s">
        <v>526</v>
      </c>
    </row>
    <row r="790" spans="1:27" ht="15.75" customHeight="1" x14ac:dyDescent="0.3">
      <c r="A790" s="21">
        <v>2022</v>
      </c>
      <c r="B790" s="22"/>
      <c r="H790" s="21" t="s">
        <v>5682</v>
      </c>
      <c r="I790" s="21" t="s">
        <v>5683</v>
      </c>
      <c r="J790" s="21" t="s">
        <v>5684</v>
      </c>
      <c r="K790" s="21" t="e">
        <f t="shared" ca="1" si="6"/>
        <v>#NAME?</v>
      </c>
      <c r="L790" s="24">
        <v>2006</v>
      </c>
      <c r="N790" s="21" t="s">
        <v>402</v>
      </c>
      <c r="O790" s="21" t="s">
        <v>316</v>
      </c>
      <c r="P790" s="26">
        <v>3369783300</v>
      </c>
      <c r="Q790" s="26" t="e">
        <f t="shared" ca="1" si="7"/>
        <v>#NAME?</v>
      </c>
      <c r="R790" s="21" t="s">
        <v>5685</v>
      </c>
      <c r="S790" s="21" t="s">
        <v>5686</v>
      </c>
      <c r="U790" s="21" t="s">
        <v>5687</v>
      </c>
      <c r="V790" s="21" t="s">
        <v>5687</v>
      </c>
      <c r="W790" s="21" t="s">
        <v>498</v>
      </c>
      <c r="X790" s="21" t="s">
        <v>5688</v>
      </c>
      <c r="Y790" s="21" t="s">
        <v>406</v>
      </c>
      <c r="Z790" s="21" t="s">
        <v>5689</v>
      </c>
      <c r="AA790" s="21" t="s">
        <v>5690</v>
      </c>
    </row>
    <row r="791" spans="1:27" ht="15.75" customHeight="1" x14ac:dyDescent="0.3">
      <c r="A791" s="21">
        <v>2022</v>
      </c>
      <c r="B791" s="22"/>
      <c r="H791" s="21" t="s">
        <v>5682</v>
      </c>
      <c r="I791" s="21" t="s">
        <v>5683</v>
      </c>
      <c r="J791" s="21" t="s">
        <v>4013</v>
      </c>
      <c r="K791" s="21" t="e">
        <f t="shared" ca="1" si="6"/>
        <v>#NAME?</v>
      </c>
      <c r="L791" s="24">
        <v>1969</v>
      </c>
      <c r="N791" s="21" t="s">
        <v>402</v>
      </c>
      <c r="O791" s="21" t="s">
        <v>316</v>
      </c>
      <c r="P791" s="26">
        <v>3369783300</v>
      </c>
      <c r="Q791" s="26" t="e">
        <f t="shared" ca="1" si="7"/>
        <v>#NAME?</v>
      </c>
      <c r="R791" s="21" t="s">
        <v>5691</v>
      </c>
      <c r="S791" s="21" t="s">
        <v>5692</v>
      </c>
      <c r="U791" s="21" t="s">
        <v>5693</v>
      </c>
      <c r="V791" s="21" t="s">
        <v>5693</v>
      </c>
      <c r="AA791" s="21" t="s">
        <v>5694</v>
      </c>
    </row>
    <row r="792" spans="1:27" ht="15.75" customHeight="1" x14ac:dyDescent="0.3">
      <c r="A792" s="21">
        <v>2022</v>
      </c>
      <c r="B792" s="22"/>
      <c r="H792" s="21" t="s">
        <v>5695</v>
      </c>
      <c r="I792" s="21" t="s">
        <v>3819</v>
      </c>
      <c r="J792" s="21" t="s">
        <v>5696</v>
      </c>
      <c r="K792" s="21" t="e">
        <f t="shared" ca="1" si="6"/>
        <v>#NAME?</v>
      </c>
      <c r="L792" s="24">
        <v>2007</v>
      </c>
      <c r="N792" s="21" t="s">
        <v>402</v>
      </c>
      <c r="O792" s="21" t="s">
        <v>316</v>
      </c>
      <c r="P792" s="26">
        <v>7472039162</v>
      </c>
      <c r="Q792" s="26" t="e">
        <f t="shared" ca="1" si="7"/>
        <v>#NAME?</v>
      </c>
      <c r="R792" s="21" t="s">
        <v>5697</v>
      </c>
      <c r="S792" s="21" t="s">
        <v>4347</v>
      </c>
      <c r="U792" s="21" t="s">
        <v>5698</v>
      </c>
      <c r="V792" s="21" t="s">
        <v>5698</v>
      </c>
      <c r="W792" s="21" t="s">
        <v>266</v>
      </c>
      <c r="X792" s="21" t="s">
        <v>179</v>
      </c>
      <c r="Y792" s="21" t="s">
        <v>725</v>
      </c>
      <c r="Z792" s="21" t="s">
        <v>5699</v>
      </c>
      <c r="AA792" s="21" t="s">
        <v>953</v>
      </c>
    </row>
    <row r="793" spans="1:27" ht="15.75" customHeight="1" x14ac:dyDescent="0.3">
      <c r="A793" s="21">
        <v>2022</v>
      </c>
      <c r="B793" s="22"/>
      <c r="H793" s="21" t="s">
        <v>5700</v>
      </c>
      <c r="I793" s="21" t="s">
        <v>3819</v>
      </c>
      <c r="J793" s="21" t="s">
        <v>5701</v>
      </c>
      <c r="K793" s="21" t="e">
        <f t="shared" ca="1" si="6"/>
        <v>#NAME?</v>
      </c>
      <c r="L793" s="24">
        <v>2009</v>
      </c>
      <c r="N793" s="21" t="s">
        <v>402</v>
      </c>
      <c r="O793" s="21" t="s">
        <v>316</v>
      </c>
      <c r="P793" s="26">
        <v>6124226650</v>
      </c>
      <c r="Q793" s="26" t="e">
        <f t="shared" ca="1" si="7"/>
        <v>#NAME?</v>
      </c>
      <c r="R793" s="21" t="s">
        <v>5697</v>
      </c>
      <c r="S793" s="21" t="s">
        <v>4347</v>
      </c>
      <c r="U793" s="21" t="s">
        <v>5698</v>
      </c>
      <c r="V793" s="21" t="s">
        <v>5698</v>
      </c>
      <c r="W793" s="21" t="s">
        <v>266</v>
      </c>
      <c r="X793" s="21" t="s">
        <v>179</v>
      </c>
      <c r="Y793" s="21" t="s">
        <v>725</v>
      </c>
      <c r="Z793" s="21" t="s">
        <v>5699</v>
      </c>
      <c r="AA793" s="21" t="s">
        <v>1040</v>
      </c>
    </row>
    <row r="794" spans="1:27" ht="15.75" customHeight="1" x14ac:dyDescent="0.3">
      <c r="A794" s="21">
        <v>2022</v>
      </c>
      <c r="B794" s="22"/>
      <c r="H794" s="21" t="s">
        <v>5702</v>
      </c>
      <c r="I794" s="21" t="s">
        <v>4499</v>
      </c>
      <c r="J794" s="21" t="s">
        <v>4500</v>
      </c>
      <c r="K794" s="21" t="e">
        <f t="shared" ca="1" si="6"/>
        <v>#NAME?</v>
      </c>
      <c r="L794" s="24">
        <v>2011</v>
      </c>
      <c r="N794" s="21" t="s">
        <v>315</v>
      </c>
      <c r="O794" s="21" t="s">
        <v>316</v>
      </c>
      <c r="P794" s="26">
        <v>2409949102</v>
      </c>
      <c r="Q794" s="26" t="e">
        <f t="shared" ca="1" si="7"/>
        <v>#NAME?</v>
      </c>
      <c r="R794" s="21" t="s">
        <v>5703</v>
      </c>
      <c r="S794" s="21" t="s">
        <v>5704</v>
      </c>
      <c r="U794" s="21" t="s">
        <v>5705</v>
      </c>
      <c r="V794" s="21" t="s">
        <v>5705</v>
      </c>
      <c r="W794" s="21" t="s">
        <v>266</v>
      </c>
      <c r="X794" s="21" t="s">
        <v>179</v>
      </c>
      <c r="Y794" s="21" t="s">
        <v>179</v>
      </c>
      <c r="Z794" s="21" t="s">
        <v>5706</v>
      </c>
      <c r="AA794" s="21" t="s">
        <v>2395</v>
      </c>
    </row>
    <row r="795" spans="1:27" ht="15.75" customHeight="1" x14ac:dyDescent="0.3">
      <c r="A795" s="21">
        <v>2022</v>
      </c>
      <c r="B795" s="22"/>
      <c r="H795" s="21" t="s">
        <v>5707</v>
      </c>
      <c r="I795" s="21" t="s">
        <v>4499</v>
      </c>
      <c r="J795" s="21" t="s">
        <v>1642</v>
      </c>
      <c r="K795" s="21" t="e">
        <f t="shared" ca="1" si="6"/>
        <v>#NAME?</v>
      </c>
      <c r="L795" s="24">
        <v>2014</v>
      </c>
      <c r="N795" s="21" t="s">
        <v>315</v>
      </c>
      <c r="O795" s="21" t="s">
        <v>316</v>
      </c>
      <c r="P795" s="26">
        <v>2146733233</v>
      </c>
      <c r="Q795" s="26" t="e">
        <f t="shared" ca="1" si="7"/>
        <v>#NAME?</v>
      </c>
      <c r="R795" s="21" t="s">
        <v>5708</v>
      </c>
      <c r="S795" s="21" t="s">
        <v>5709</v>
      </c>
      <c r="U795" s="21" t="s">
        <v>5710</v>
      </c>
      <c r="V795" s="21" t="s">
        <v>5710</v>
      </c>
      <c r="W795" s="21" t="s">
        <v>307</v>
      </c>
      <c r="X795" s="21" t="s">
        <v>179</v>
      </c>
      <c r="Y795" s="21" t="s">
        <v>179</v>
      </c>
      <c r="Z795" s="21" t="s">
        <v>5711</v>
      </c>
      <c r="AA795" s="21" t="s">
        <v>5712</v>
      </c>
    </row>
    <row r="796" spans="1:27" ht="15.75" customHeight="1" x14ac:dyDescent="0.3">
      <c r="A796" s="21">
        <v>2022</v>
      </c>
      <c r="B796" s="22"/>
      <c r="H796" s="21" t="s">
        <v>5713</v>
      </c>
      <c r="I796" s="21" t="s">
        <v>5714</v>
      </c>
      <c r="J796" s="21" t="s">
        <v>5715</v>
      </c>
      <c r="K796" s="21" t="e">
        <f t="shared" ca="1" si="6"/>
        <v>#NAME?</v>
      </c>
      <c r="L796" s="24">
        <v>1985</v>
      </c>
      <c r="N796" s="21" t="s">
        <v>474</v>
      </c>
      <c r="O796" s="21" t="s">
        <v>316</v>
      </c>
      <c r="P796" s="26">
        <v>4257866656</v>
      </c>
      <c r="Q796" s="26" t="e">
        <f t="shared" ca="1" si="7"/>
        <v>#NAME?</v>
      </c>
      <c r="R796" s="21" t="s">
        <v>5716</v>
      </c>
      <c r="S796" s="21" t="s">
        <v>5717</v>
      </c>
      <c r="U796" s="21" t="s">
        <v>5718</v>
      </c>
      <c r="V796" s="21" t="s">
        <v>5718</v>
      </c>
      <c r="W796" s="21" t="s">
        <v>123</v>
      </c>
      <c r="X796" s="21" t="s">
        <v>179</v>
      </c>
      <c r="Y796" s="21" t="s">
        <v>179</v>
      </c>
      <c r="AA796" s="21" t="s">
        <v>450</v>
      </c>
    </row>
    <row r="797" spans="1:27" ht="15.75" customHeight="1" x14ac:dyDescent="0.3">
      <c r="A797" s="21">
        <v>2022</v>
      </c>
      <c r="B797" s="22"/>
      <c r="H797" s="21" t="s">
        <v>5719</v>
      </c>
      <c r="I797" s="21" t="s">
        <v>5720</v>
      </c>
      <c r="J797" s="21" t="s">
        <v>4450</v>
      </c>
      <c r="K797" s="21" t="e">
        <f t="shared" ca="1" si="6"/>
        <v>#NAME?</v>
      </c>
      <c r="L797" s="24">
        <v>1976</v>
      </c>
      <c r="N797" s="21" t="s">
        <v>315</v>
      </c>
      <c r="O797" s="21" t="s">
        <v>316</v>
      </c>
      <c r="P797" s="26">
        <v>5125967858</v>
      </c>
      <c r="Q797" s="26" t="e">
        <f t="shared" ca="1" si="7"/>
        <v>#NAME?</v>
      </c>
      <c r="R797" s="21" t="s">
        <v>521</v>
      </c>
      <c r="S797" s="21" t="s">
        <v>5627</v>
      </c>
      <c r="U797" s="21" t="s">
        <v>5112</v>
      </c>
      <c r="V797" s="21" t="s">
        <v>5112</v>
      </c>
      <c r="W797" s="21" t="s">
        <v>5721</v>
      </c>
      <c r="X797" s="21" t="s">
        <v>179</v>
      </c>
      <c r="Y797" s="21" t="s">
        <v>179</v>
      </c>
      <c r="AA797" s="21" t="s">
        <v>450</v>
      </c>
    </row>
    <row r="798" spans="1:27" ht="15.75" customHeight="1" x14ac:dyDescent="0.3">
      <c r="A798" s="21">
        <v>2022</v>
      </c>
      <c r="B798" s="22"/>
      <c r="H798" s="21" t="s">
        <v>5722</v>
      </c>
      <c r="I798" s="21" t="s">
        <v>5723</v>
      </c>
      <c r="J798" s="138" t="s">
        <v>1767</v>
      </c>
      <c r="K798" s="21" t="e">
        <f t="shared" ca="1" si="6"/>
        <v>#NAME?</v>
      </c>
      <c r="L798" s="24">
        <v>1971</v>
      </c>
      <c r="N798" s="21" t="s">
        <v>402</v>
      </c>
      <c r="O798" s="21" t="s">
        <v>316</v>
      </c>
      <c r="P798" s="26">
        <v>6462609456</v>
      </c>
      <c r="Q798" s="26" t="e">
        <f t="shared" ca="1" si="7"/>
        <v>#NAME?</v>
      </c>
      <c r="R798" s="21" t="s">
        <v>5724</v>
      </c>
      <c r="S798" s="21" t="s">
        <v>5725</v>
      </c>
      <c r="U798" s="21" t="s">
        <v>393</v>
      </c>
      <c r="V798" s="21" t="s">
        <v>393</v>
      </c>
      <c r="AA798" s="21" t="s">
        <v>5726</v>
      </c>
    </row>
    <row r="799" spans="1:27" ht="15.75" customHeight="1" x14ac:dyDescent="0.3">
      <c r="A799" s="21">
        <v>2023</v>
      </c>
      <c r="B799" s="22"/>
      <c r="H799" s="21" t="s">
        <v>5727</v>
      </c>
      <c r="I799" s="21" t="s">
        <v>5728</v>
      </c>
      <c r="J799" s="21" t="s">
        <v>5729</v>
      </c>
      <c r="K799" s="21" t="e">
        <f t="shared" ca="1" si="6"/>
        <v>#NAME?</v>
      </c>
      <c r="L799" s="24">
        <v>1967</v>
      </c>
      <c r="N799" s="21" t="s">
        <v>111</v>
      </c>
      <c r="O799" s="21" t="s">
        <v>112</v>
      </c>
      <c r="P799" s="26">
        <v>9912557437</v>
      </c>
      <c r="Q799" s="26" t="e">
        <f t="shared" ca="1" si="7"/>
        <v>#NAME?</v>
      </c>
      <c r="R799" s="21" t="s">
        <v>188</v>
      </c>
      <c r="S799" s="21" t="s">
        <v>5730</v>
      </c>
      <c r="U799" s="21" t="s">
        <v>5731</v>
      </c>
      <c r="V799" s="21" t="s">
        <v>5731</v>
      </c>
      <c r="W799" s="21" t="s">
        <v>266</v>
      </c>
      <c r="X799" s="21" t="s">
        <v>179</v>
      </c>
      <c r="Y799" s="21" t="s">
        <v>179</v>
      </c>
      <c r="Z799" s="21" t="s">
        <v>284</v>
      </c>
      <c r="AA799" s="21" t="s">
        <v>5732</v>
      </c>
    </row>
    <row r="800" spans="1:27" ht="15.75" customHeight="1" x14ac:dyDescent="0.3">
      <c r="A800" s="21">
        <v>2023</v>
      </c>
      <c r="B800" s="22"/>
      <c r="H800" s="21" t="s">
        <v>5733</v>
      </c>
      <c r="I800" s="21" t="s">
        <v>5734</v>
      </c>
      <c r="J800" s="21" t="s">
        <v>5735</v>
      </c>
      <c r="K800" s="21" t="e">
        <f t="shared" ca="1" si="6"/>
        <v>#NAME?</v>
      </c>
      <c r="L800" s="24">
        <v>2001</v>
      </c>
      <c r="N800" s="21" t="s">
        <v>111</v>
      </c>
      <c r="O800" s="21" t="s">
        <v>112</v>
      </c>
      <c r="P800" s="26">
        <v>9059009995</v>
      </c>
      <c r="Q800" s="26" t="e">
        <f t="shared" ca="1" si="7"/>
        <v>#NAME?</v>
      </c>
      <c r="R800" s="21" t="s">
        <v>188</v>
      </c>
      <c r="S800" s="21" t="s">
        <v>5736</v>
      </c>
      <c r="U800" s="21" t="s">
        <v>5737</v>
      </c>
      <c r="V800" s="21" t="s">
        <v>5737</v>
      </c>
      <c r="W800" s="21" t="s">
        <v>307</v>
      </c>
      <c r="X800" s="21" t="s">
        <v>5738</v>
      </c>
      <c r="Y800" s="21" t="s">
        <v>5738</v>
      </c>
      <c r="Z800" s="21" t="s">
        <v>127</v>
      </c>
      <c r="AA800" s="21" t="s">
        <v>5739</v>
      </c>
    </row>
    <row r="801" spans="1:27" ht="15.75" customHeight="1" x14ac:dyDescent="0.3">
      <c r="A801" s="21">
        <v>2023</v>
      </c>
      <c r="B801" s="22"/>
      <c r="H801" s="21" t="s">
        <v>5740</v>
      </c>
      <c r="I801" s="21" t="s">
        <v>1208</v>
      </c>
      <c r="J801" s="21" t="s">
        <v>5741</v>
      </c>
      <c r="K801" s="21" t="e">
        <f t="shared" ca="1" si="6"/>
        <v>#NAME?</v>
      </c>
      <c r="L801" s="24">
        <v>1977</v>
      </c>
      <c r="N801" s="21" t="s">
        <v>111</v>
      </c>
      <c r="O801" s="21" t="s">
        <v>112</v>
      </c>
      <c r="P801" s="26">
        <v>8978455777</v>
      </c>
      <c r="Q801" s="26" t="e">
        <f t="shared" ca="1" si="7"/>
        <v>#NAME?</v>
      </c>
      <c r="R801" s="21" t="s">
        <v>485</v>
      </c>
      <c r="S801" s="21" t="s">
        <v>2554</v>
      </c>
      <c r="U801" s="21" t="s">
        <v>5742</v>
      </c>
      <c r="V801" s="21" t="s">
        <v>5742</v>
      </c>
      <c r="W801" s="21" t="s">
        <v>5743</v>
      </c>
      <c r="X801" s="21" t="s">
        <v>179</v>
      </c>
      <c r="Y801" s="21" t="s">
        <v>5744</v>
      </c>
      <c r="Z801" s="21" t="s">
        <v>284</v>
      </c>
      <c r="AA801" s="21" t="s">
        <v>719</v>
      </c>
    </row>
    <row r="802" spans="1:27" ht="15.75" customHeight="1" x14ac:dyDescent="0.3">
      <c r="A802" s="21">
        <v>2023</v>
      </c>
      <c r="B802" s="22"/>
      <c r="H802" s="21" t="s">
        <v>5745</v>
      </c>
      <c r="I802" s="21" t="s">
        <v>3888</v>
      </c>
      <c r="J802" s="21" t="s">
        <v>5746</v>
      </c>
      <c r="K802" s="21" t="e">
        <f t="shared" ca="1" si="6"/>
        <v>#NAME?</v>
      </c>
      <c r="L802" s="24">
        <v>1977</v>
      </c>
      <c r="N802" s="21" t="s">
        <v>111</v>
      </c>
      <c r="O802" s="21" t="s">
        <v>112</v>
      </c>
      <c r="P802" s="26">
        <v>9966400372</v>
      </c>
      <c r="Q802" s="26" t="e">
        <f t="shared" ca="1" si="7"/>
        <v>#NAME?</v>
      </c>
      <c r="R802" s="21" t="s">
        <v>188</v>
      </c>
      <c r="S802" s="21" t="s">
        <v>5747</v>
      </c>
      <c r="U802" s="21" t="s">
        <v>5748</v>
      </c>
      <c r="V802" s="21" t="s">
        <v>5748</v>
      </c>
      <c r="W802" s="21" t="s">
        <v>123</v>
      </c>
      <c r="X802" s="21" t="s">
        <v>308</v>
      </c>
      <c r="Y802" s="21" t="s">
        <v>308</v>
      </c>
      <c r="Z802" s="21" t="s">
        <v>127</v>
      </c>
      <c r="AA802" s="21" t="s">
        <v>450</v>
      </c>
    </row>
    <row r="803" spans="1:27" ht="15.75" customHeight="1" x14ac:dyDescent="0.3">
      <c r="A803" s="21">
        <v>2023</v>
      </c>
      <c r="B803" s="22"/>
      <c r="H803" s="21" t="s">
        <v>5749</v>
      </c>
      <c r="I803" s="21" t="s">
        <v>5750</v>
      </c>
      <c r="J803" s="21" t="s">
        <v>3479</v>
      </c>
      <c r="K803" s="21" t="e">
        <f t="shared" ca="1" si="6"/>
        <v>#NAME?</v>
      </c>
      <c r="L803" s="24">
        <v>1982</v>
      </c>
      <c r="N803" s="21" t="s">
        <v>111</v>
      </c>
      <c r="O803" s="21" t="s">
        <v>112</v>
      </c>
      <c r="P803" s="26">
        <v>9966021190</v>
      </c>
      <c r="Q803" s="26" t="e">
        <f t="shared" ca="1" si="7"/>
        <v>#NAME?</v>
      </c>
      <c r="R803" s="21" t="s">
        <v>5751</v>
      </c>
      <c r="S803" s="21" t="s">
        <v>5752</v>
      </c>
      <c r="U803" s="21" t="s">
        <v>5753</v>
      </c>
      <c r="V803" s="21" t="s">
        <v>5753</v>
      </c>
      <c r="W803" s="21" t="s">
        <v>5754</v>
      </c>
      <c r="X803" s="21" t="s">
        <v>211</v>
      </c>
      <c r="Y803" s="21" t="s">
        <v>179</v>
      </c>
      <c r="Z803" s="21" t="s">
        <v>3479</v>
      </c>
      <c r="AA803" s="21" t="s">
        <v>3712</v>
      </c>
    </row>
    <row r="804" spans="1:27" ht="15.75" customHeight="1" x14ac:dyDescent="0.3">
      <c r="A804" s="21">
        <v>2023</v>
      </c>
      <c r="B804" s="22"/>
      <c r="H804" s="21" t="s">
        <v>5755</v>
      </c>
      <c r="I804" s="21" t="s">
        <v>5750</v>
      </c>
      <c r="J804" s="21" t="s">
        <v>2717</v>
      </c>
      <c r="K804" s="21" t="e">
        <f t="shared" ca="1" si="6"/>
        <v>#NAME?</v>
      </c>
      <c r="L804" s="24">
        <v>1984</v>
      </c>
      <c r="N804" s="21" t="s">
        <v>111</v>
      </c>
      <c r="O804" s="21" t="s">
        <v>112</v>
      </c>
      <c r="P804" s="26">
        <v>9912343711</v>
      </c>
      <c r="Q804" s="26" t="e">
        <f t="shared" ca="1" si="7"/>
        <v>#NAME?</v>
      </c>
      <c r="R804" s="21" t="s">
        <v>216</v>
      </c>
      <c r="S804" s="21" t="s">
        <v>5756</v>
      </c>
      <c r="U804" s="21" t="s">
        <v>5757</v>
      </c>
      <c r="V804" s="21" t="s">
        <v>5757</v>
      </c>
      <c r="W804" s="21" t="s">
        <v>1135</v>
      </c>
      <c r="X804" s="21" t="s">
        <v>179</v>
      </c>
      <c r="Y804" s="21" t="s">
        <v>5758</v>
      </c>
      <c r="Z804" s="21" t="s">
        <v>127</v>
      </c>
      <c r="AA804" s="21" t="s">
        <v>5759</v>
      </c>
    </row>
    <row r="805" spans="1:27" ht="15.75" customHeight="1" x14ac:dyDescent="0.3">
      <c r="A805" s="21">
        <v>2023</v>
      </c>
      <c r="B805" s="22"/>
      <c r="H805" s="21" t="s">
        <v>5760</v>
      </c>
      <c r="I805" s="21" t="s">
        <v>5750</v>
      </c>
      <c r="J805" s="21" t="s">
        <v>5761</v>
      </c>
      <c r="K805" s="21" t="e">
        <f t="shared" ca="1" si="6"/>
        <v>#NAME?</v>
      </c>
      <c r="L805" s="24">
        <v>1965</v>
      </c>
      <c r="N805" s="21" t="s">
        <v>111</v>
      </c>
      <c r="O805" s="21" t="s">
        <v>112</v>
      </c>
      <c r="P805" s="26">
        <v>9849263669</v>
      </c>
      <c r="Q805" s="26" t="e">
        <f t="shared" ca="1" si="7"/>
        <v>#NAME?</v>
      </c>
      <c r="R805" s="21" t="s">
        <v>485</v>
      </c>
      <c r="S805" s="21" t="s">
        <v>5762</v>
      </c>
      <c r="U805" s="21" t="s">
        <v>5763</v>
      </c>
      <c r="V805" s="21" t="s">
        <v>5763</v>
      </c>
      <c r="W805" s="21" t="s">
        <v>1126</v>
      </c>
      <c r="X805" s="21" t="s">
        <v>165</v>
      </c>
      <c r="Y805" s="21" t="s">
        <v>165</v>
      </c>
      <c r="Z805" s="21" t="s">
        <v>284</v>
      </c>
      <c r="AA805" s="21" t="s">
        <v>5764</v>
      </c>
    </row>
    <row r="806" spans="1:27" ht="15.75" customHeight="1" x14ac:dyDescent="0.3">
      <c r="A806" s="21">
        <v>2023</v>
      </c>
      <c r="B806" s="22"/>
      <c r="H806" s="21" t="s">
        <v>5765</v>
      </c>
      <c r="I806" s="21" t="s">
        <v>2592</v>
      </c>
      <c r="J806" s="21" t="s">
        <v>5766</v>
      </c>
      <c r="K806" s="21" t="e">
        <f t="shared" ca="1" si="6"/>
        <v>#NAME?</v>
      </c>
      <c r="L806" s="24">
        <v>1997</v>
      </c>
      <c r="N806" s="21" t="s">
        <v>111</v>
      </c>
      <c r="O806" s="21" t="s">
        <v>112</v>
      </c>
      <c r="P806" s="26">
        <v>7892664296</v>
      </c>
      <c r="Q806" s="26" t="e">
        <f t="shared" ca="1" si="7"/>
        <v>#NAME?</v>
      </c>
      <c r="R806" s="21" t="s">
        <v>551</v>
      </c>
      <c r="S806" s="21" t="s">
        <v>5767</v>
      </c>
      <c r="U806" s="21" t="s">
        <v>5768</v>
      </c>
      <c r="V806" s="21" t="s">
        <v>5768</v>
      </c>
      <c r="W806" s="21" t="s">
        <v>498</v>
      </c>
      <c r="X806" s="21" t="s">
        <v>179</v>
      </c>
      <c r="Y806" s="21" t="s">
        <v>5232</v>
      </c>
      <c r="Z806" s="21" t="s">
        <v>5769</v>
      </c>
      <c r="AA806" s="21" t="s">
        <v>5770</v>
      </c>
    </row>
    <row r="807" spans="1:27" ht="15.75" customHeight="1" x14ac:dyDescent="0.3">
      <c r="A807" s="21">
        <v>2023</v>
      </c>
      <c r="B807" s="22"/>
      <c r="H807" s="21" t="s">
        <v>5771</v>
      </c>
      <c r="I807" s="21" t="s">
        <v>5772</v>
      </c>
      <c r="J807" s="21" t="s">
        <v>3806</v>
      </c>
      <c r="K807" s="21" t="e">
        <f t="shared" ca="1" si="6"/>
        <v>#NAME?</v>
      </c>
      <c r="L807" s="24">
        <v>1979</v>
      </c>
      <c r="N807" s="21" t="s">
        <v>111</v>
      </c>
      <c r="O807" s="21" t="s">
        <v>112</v>
      </c>
      <c r="P807" s="26">
        <v>8008183636</v>
      </c>
      <c r="Q807" s="26" t="e">
        <f t="shared" ca="1" si="7"/>
        <v>#NAME?</v>
      </c>
      <c r="R807" s="21" t="s">
        <v>188</v>
      </c>
      <c r="S807" s="21" t="s">
        <v>5773</v>
      </c>
      <c r="U807" s="21" t="s">
        <v>5774</v>
      </c>
      <c r="V807" s="21" t="s">
        <v>5774</v>
      </c>
      <c r="W807" s="21" t="s">
        <v>884</v>
      </c>
      <c r="X807" s="21" t="s">
        <v>179</v>
      </c>
      <c r="Y807" s="21" t="s">
        <v>179</v>
      </c>
      <c r="Z807" s="21" t="s">
        <v>284</v>
      </c>
      <c r="AA807" s="21" t="s">
        <v>5775</v>
      </c>
    </row>
    <row r="808" spans="1:27" ht="15.75" customHeight="1" x14ac:dyDescent="0.3">
      <c r="A808" s="21">
        <v>2023</v>
      </c>
      <c r="B808" s="22"/>
      <c r="H808" s="21" t="s">
        <v>2700</v>
      </c>
      <c r="I808" s="21" t="s">
        <v>2701</v>
      </c>
      <c r="J808" s="21" t="s">
        <v>5776</v>
      </c>
      <c r="K808" s="21" t="e">
        <f t="shared" ca="1" si="6"/>
        <v>#NAME?</v>
      </c>
      <c r="L808" s="24">
        <v>1986</v>
      </c>
      <c r="N808" s="21" t="s">
        <v>111</v>
      </c>
      <c r="O808" s="21" t="s">
        <v>112</v>
      </c>
      <c r="P808" s="26">
        <v>9885883979</v>
      </c>
      <c r="Q808" s="26" t="e">
        <f t="shared" ca="1" si="7"/>
        <v>#NAME?</v>
      </c>
      <c r="R808" s="21" t="s">
        <v>188</v>
      </c>
      <c r="S808" s="21" t="s">
        <v>3290</v>
      </c>
      <c r="U808" s="21" t="s">
        <v>5777</v>
      </c>
      <c r="V808" s="21" t="s">
        <v>5777</v>
      </c>
      <c r="W808" s="21" t="s">
        <v>488</v>
      </c>
      <c r="X808" s="21" t="s">
        <v>179</v>
      </c>
      <c r="Y808" s="21" t="s">
        <v>179</v>
      </c>
      <c r="Z808" s="21" t="s">
        <v>284</v>
      </c>
      <c r="AA808" s="21" t="s">
        <v>818</v>
      </c>
    </row>
    <row r="809" spans="1:27" ht="15.75" customHeight="1" x14ac:dyDescent="0.3">
      <c r="A809" s="21">
        <v>2023</v>
      </c>
      <c r="B809" s="22"/>
      <c r="H809" s="21" t="s">
        <v>2700</v>
      </c>
      <c r="I809" s="21" t="s">
        <v>2701</v>
      </c>
      <c r="J809" s="21" t="s">
        <v>5778</v>
      </c>
      <c r="K809" s="21" t="e">
        <f t="shared" ca="1" si="6"/>
        <v>#NAME?</v>
      </c>
      <c r="L809" s="24">
        <v>2013</v>
      </c>
      <c r="N809" s="21" t="s">
        <v>111</v>
      </c>
      <c r="O809" s="21" t="s">
        <v>112</v>
      </c>
      <c r="P809" s="26">
        <v>9885883979</v>
      </c>
      <c r="Q809" s="26" t="e">
        <f t="shared" ca="1" si="7"/>
        <v>#NAME?</v>
      </c>
      <c r="R809" s="21" t="s">
        <v>188</v>
      </c>
      <c r="S809" s="21" t="s">
        <v>3290</v>
      </c>
      <c r="U809" s="21" t="s">
        <v>5777</v>
      </c>
      <c r="V809" s="21" t="s">
        <v>5777</v>
      </c>
      <c r="W809" s="21" t="s">
        <v>229</v>
      </c>
      <c r="X809" s="21" t="s">
        <v>179</v>
      </c>
      <c r="Y809" s="21" t="s">
        <v>179</v>
      </c>
      <c r="Z809" s="21" t="s">
        <v>5779</v>
      </c>
      <c r="AA809" s="21" t="s">
        <v>5780</v>
      </c>
    </row>
    <row r="810" spans="1:27" ht="15.75" customHeight="1" x14ac:dyDescent="0.3">
      <c r="A810" s="21">
        <v>2023</v>
      </c>
      <c r="B810" s="22"/>
      <c r="H810" s="21" t="s">
        <v>5781</v>
      </c>
      <c r="I810" s="21" t="s">
        <v>2701</v>
      </c>
      <c r="J810" s="21" t="s">
        <v>5782</v>
      </c>
      <c r="K810" s="21" t="e">
        <f t="shared" ca="1" si="6"/>
        <v>#NAME?</v>
      </c>
      <c r="L810" s="24">
        <v>1965</v>
      </c>
      <c r="N810" s="21" t="s">
        <v>111</v>
      </c>
      <c r="O810" s="21" t="s">
        <v>112</v>
      </c>
      <c r="P810" s="26">
        <v>9740315567</v>
      </c>
      <c r="Q810" s="26" t="e">
        <f t="shared" ca="1" si="7"/>
        <v>#NAME?</v>
      </c>
      <c r="R810" s="21" t="s">
        <v>551</v>
      </c>
      <c r="S810" s="21" t="s">
        <v>5783</v>
      </c>
      <c r="U810" s="21" t="s">
        <v>5784</v>
      </c>
      <c r="V810" s="21" t="s">
        <v>5784</v>
      </c>
      <c r="W810" s="21" t="s">
        <v>5785</v>
      </c>
      <c r="X810" s="21" t="s">
        <v>179</v>
      </c>
      <c r="Y810" s="21" t="s">
        <v>179</v>
      </c>
      <c r="Z810" s="21" t="s">
        <v>5786</v>
      </c>
      <c r="AA810" s="21" t="s">
        <v>5787</v>
      </c>
    </row>
    <row r="811" spans="1:27" ht="15.75" customHeight="1" x14ac:dyDescent="0.3">
      <c r="A811" s="21">
        <v>2023</v>
      </c>
      <c r="B811" s="22"/>
      <c r="H811" s="21" t="s">
        <v>5788</v>
      </c>
      <c r="I811" s="21" t="s">
        <v>370</v>
      </c>
      <c r="J811" s="21" t="s">
        <v>2083</v>
      </c>
      <c r="K811" s="21" t="e">
        <f t="shared" ca="1" si="6"/>
        <v>#NAME?</v>
      </c>
      <c r="L811" s="24">
        <v>2009</v>
      </c>
      <c r="N811" s="21" t="s">
        <v>111</v>
      </c>
      <c r="O811" s="21" t="s">
        <v>112</v>
      </c>
      <c r="P811" s="26">
        <v>7702962333</v>
      </c>
      <c r="Q811" s="26" t="e">
        <f t="shared" ca="1" si="7"/>
        <v>#NAME?</v>
      </c>
      <c r="R811" s="21" t="s">
        <v>188</v>
      </c>
      <c r="S811" s="21" t="s">
        <v>2577</v>
      </c>
      <c r="U811" s="21" t="s">
        <v>5789</v>
      </c>
      <c r="V811" s="21" t="s">
        <v>5789</v>
      </c>
      <c r="W811" s="21" t="s">
        <v>884</v>
      </c>
      <c r="X811" s="21" t="s">
        <v>179</v>
      </c>
      <c r="Y811" s="21" t="s">
        <v>179</v>
      </c>
      <c r="Z811" s="21" t="s">
        <v>5790</v>
      </c>
      <c r="AA811" s="21" t="s">
        <v>1059</v>
      </c>
    </row>
    <row r="812" spans="1:27" ht="15.75" customHeight="1" x14ac:dyDescent="0.3">
      <c r="A812" s="21">
        <v>2023</v>
      </c>
      <c r="B812" s="22"/>
      <c r="H812" s="21" t="s">
        <v>5791</v>
      </c>
      <c r="I812" s="21" t="s">
        <v>5792</v>
      </c>
      <c r="J812" s="138" t="s">
        <v>5793</v>
      </c>
      <c r="K812" s="21" t="e">
        <f t="shared" ca="1" si="6"/>
        <v>#NAME?</v>
      </c>
      <c r="L812" s="24">
        <v>1975</v>
      </c>
      <c r="N812" s="21" t="s">
        <v>111</v>
      </c>
      <c r="O812" s="21" t="s">
        <v>112</v>
      </c>
      <c r="P812" s="26">
        <v>9849275248</v>
      </c>
      <c r="Q812" s="26" t="e">
        <f t="shared" ca="1" si="7"/>
        <v>#NAME?</v>
      </c>
      <c r="R812" s="21" t="s">
        <v>485</v>
      </c>
      <c r="S812" s="21" t="s">
        <v>5794</v>
      </c>
      <c r="U812" s="21" t="s">
        <v>5795</v>
      </c>
      <c r="V812" s="21" t="s">
        <v>5795</v>
      </c>
      <c r="W812" s="21" t="s">
        <v>1370</v>
      </c>
      <c r="X812" s="21" t="s">
        <v>165</v>
      </c>
      <c r="Y812" s="21" t="s">
        <v>165</v>
      </c>
      <c r="Z812" s="21" t="s">
        <v>284</v>
      </c>
      <c r="AA812" s="21" t="s">
        <v>5796</v>
      </c>
    </row>
    <row r="813" spans="1:27" ht="15.75" customHeight="1" x14ac:dyDescent="0.3">
      <c r="A813" s="21">
        <v>2023</v>
      </c>
      <c r="B813" s="22"/>
      <c r="H813" s="21" t="s">
        <v>5799</v>
      </c>
      <c r="I813" s="21" t="s">
        <v>821</v>
      </c>
      <c r="J813" s="21" t="s">
        <v>5800</v>
      </c>
      <c r="K813" s="21" t="e">
        <f t="shared" ca="1" si="6"/>
        <v>#NAME?</v>
      </c>
      <c r="L813" s="24">
        <v>1974</v>
      </c>
      <c r="N813" s="21" t="s">
        <v>111</v>
      </c>
      <c r="O813" s="21" t="s">
        <v>112</v>
      </c>
      <c r="P813" s="26">
        <v>7331174142</v>
      </c>
      <c r="Q813" s="26" t="e">
        <f t="shared" ca="1" si="7"/>
        <v>#NAME?</v>
      </c>
      <c r="R813" s="21" t="s">
        <v>188</v>
      </c>
      <c r="S813" s="21" t="s">
        <v>5801</v>
      </c>
      <c r="U813" s="21" t="s">
        <v>5802</v>
      </c>
      <c r="V813" s="21" t="s">
        <v>5802</v>
      </c>
      <c r="W813" s="21" t="s">
        <v>5803</v>
      </c>
      <c r="X813" s="21" t="s">
        <v>179</v>
      </c>
      <c r="Y813" s="21" t="s">
        <v>5804</v>
      </c>
      <c r="Z813" s="21" t="s">
        <v>5805</v>
      </c>
      <c r="AA813" s="21" t="s">
        <v>5806</v>
      </c>
    </row>
    <row r="814" spans="1:27" ht="15.75" customHeight="1" x14ac:dyDescent="0.3">
      <c r="A814" s="21">
        <v>2023</v>
      </c>
      <c r="B814" s="22"/>
      <c r="H814" s="21" t="s">
        <v>5807</v>
      </c>
      <c r="I814" s="21" t="s">
        <v>2254</v>
      </c>
      <c r="J814" s="21" t="s">
        <v>5808</v>
      </c>
      <c r="K814" s="21" t="e">
        <f t="shared" ca="1" si="6"/>
        <v>#NAME?</v>
      </c>
      <c r="L814" s="24">
        <v>1975</v>
      </c>
      <c r="N814" s="21" t="s">
        <v>111</v>
      </c>
      <c r="O814" s="21" t="s">
        <v>112</v>
      </c>
      <c r="P814" s="26">
        <v>9840467791</v>
      </c>
      <c r="Q814" s="26" t="e">
        <f t="shared" ca="1" si="7"/>
        <v>#NAME?</v>
      </c>
      <c r="R814" s="21" t="s">
        <v>5809</v>
      </c>
      <c r="S814" s="21" t="s">
        <v>2546</v>
      </c>
      <c r="U814" s="21" t="s">
        <v>5810</v>
      </c>
      <c r="V814" s="21" t="s">
        <v>5810</v>
      </c>
      <c r="W814" s="21" t="s">
        <v>951</v>
      </c>
      <c r="X814" s="21" t="s">
        <v>179</v>
      </c>
      <c r="Y814" s="21" t="s">
        <v>179</v>
      </c>
      <c r="Z814" s="21" t="s">
        <v>5811</v>
      </c>
      <c r="AA814" s="21" t="s">
        <v>5812</v>
      </c>
    </row>
    <row r="815" spans="1:27" ht="15.75" customHeight="1" x14ac:dyDescent="0.3">
      <c r="A815" s="21">
        <v>2023</v>
      </c>
      <c r="B815" s="22"/>
      <c r="H815" s="21" t="s">
        <v>5813</v>
      </c>
      <c r="I815" s="21" t="s">
        <v>5814</v>
      </c>
      <c r="J815" s="21" t="s">
        <v>3553</v>
      </c>
      <c r="K815" s="21" t="e">
        <f t="shared" ca="1" si="6"/>
        <v>#NAME?</v>
      </c>
      <c r="L815" s="24">
        <v>1980</v>
      </c>
      <c r="N815" s="21" t="s">
        <v>111</v>
      </c>
      <c r="O815" s="21" t="s">
        <v>112</v>
      </c>
      <c r="P815" s="26">
        <v>9866171287</v>
      </c>
      <c r="Q815" s="26" t="e">
        <f t="shared" ca="1" si="7"/>
        <v>#NAME?</v>
      </c>
      <c r="R815" s="21" t="s">
        <v>5815</v>
      </c>
      <c r="S815" s="21" t="s">
        <v>5816</v>
      </c>
      <c r="U815" s="21" t="s">
        <v>5817</v>
      </c>
      <c r="V815" s="21" t="s">
        <v>5817</v>
      </c>
      <c r="W815" s="21" t="s">
        <v>1924</v>
      </c>
      <c r="X815" s="21" t="s">
        <v>179</v>
      </c>
      <c r="Y815" s="21" t="s">
        <v>179</v>
      </c>
      <c r="Z815" s="21" t="s">
        <v>5818</v>
      </c>
      <c r="AA815" s="21" t="s">
        <v>526</v>
      </c>
    </row>
    <row r="816" spans="1:27" ht="15.75" customHeight="1" x14ac:dyDescent="0.3">
      <c r="A816" s="21">
        <v>2023</v>
      </c>
      <c r="B816" s="22"/>
      <c r="H816" s="21" t="s">
        <v>5819</v>
      </c>
      <c r="I816" s="21" t="s">
        <v>5820</v>
      </c>
      <c r="J816" s="138" t="s">
        <v>5821</v>
      </c>
      <c r="K816" s="21" t="e">
        <f t="shared" ca="1" si="6"/>
        <v>#NAME?</v>
      </c>
      <c r="L816" s="24">
        <v>1972</v>
      </c>
      <c r="N816" s="21" t="s">
        <v>111</v>
      </c>
      <c r="O816" s="21" t="s">
        <v>112</v>
      </c>
      <c r="P816" s="26">
        <v>8985970843</v>
      </c>
      <c r="Q816" s="26" t="e">
        <f t="shared" ca="1" si="7"/>
        <v>#NAME?</v>
      </c>
      <c r="R816" s="21" t="s">
        <v>4570</v>
      </c>
      <c r="S816" s="21" t="s">
        <v>5822</v>
      </c>
      <c r="U816" s="21" t="s">
        <v>5823</v>
      </c>
      <c r="V816" s="21" t="s">
        <v>5823</v>
      </c>
      <c r="W816" s="21" t="s">
        <v>328</v>
      </c>
      <c r="X816" s="21" t="s">
        <v>179</v>
      </c>
      <c r="Y816" s="21" t="s">
        <v>179</v>
      </c>
      <c r="Z816" s="21" t="s">
        <v>5824</v>
      </c>
      <c r="AA816" s="21" t="s">
        <v>5825</v>
      </c>
    </row>
    <row r="817" spans="1:27" ht="15.75" customHeight="1" x14ac:dyDescent="0.3">
      <c r="A817" s="21">
        <v>2023</v>
      </c>
      <c r="B817" s="22"/>
      <c r="H817" s="21" t="s">
        <v>5826</v>
      </c>
      <c r="I817" s="21" t="s">
        <v>5820</v>
      </c>
      <c r="J817" s="138" t="s">
        <v>5827</v>
      </c>
      <c r="K817" s="21" t="e">
        <f t="shared" ca="1" si="6"/>
        <v>#NAME?</v>
      </c>
      <c r="L817" s="24">
        <v>2003</v>
      </c>
      <c r="N817" s="21" t="s">
        <v>111</v>
      </c>
      <c r="O817" s="21" t="s">
        <v>112</v>
      </c>
      <c r="P817" s="26">
        <v>6374203658</v>
      </c>
      <c r="Q817" s="26" t="e">
        <f t="shared" ca="1" si="7"/>
        <v>#NAME?</v>
      </c>
      <c r="R817" s="21" t="s">
        <v>188</v>
      </c>
      <c r="S817" s="21" t="s">
        <v>5828</v>
      </c>
      <c r="U817" s="21" t="s">
        <v>5829</v>
      </c>
      <c r="V817" s="21" t="s">
        <v>5829</v>
      </c>
      <c r="W817" s="21" t="s">
        <v>1074</v>
      </c>
      <c r="X817" s="21" t="s">
        <v>5830</v>
      </c>
      <c r="Y817" s="21" t="s">
        <v>5831</v>
      </c>
      <c r="Z817" s="21" t="s">
        <v>284</v>
      </c>
      <c r="AA817" s="21" t="s">
        <v>5832</v>
      </c>
    </row>
    <row r="818" spans="1:27" ht="15.75" customHeight="1" x14ac:dyDescent="0.3">
      <c r="A818" s="21">
        <v>2023</v>
      </c>
      <c r="B818" s="22"/>
      <c r="H818" s="21" t="s">
        <v>5833</v>
      </c>
      <c r="I818" s="21" t="s">
        <v>5834</v>
      </c>
      <c r="J818" s="21" t="s">
        <v>5835</v>
      </c>
      <c r="K818" s="21" t="e">
        <f t="shared" ca="1" si="6"/>
        <v>#NAME?</v>
      </c>
      <c r="L818" s="24">
        <v>1986</v>
      </c>
      <c r="N818" s="21" t="s">
        <v>111</v>
      </c>
      <c r="O818" s="21" t="s">
        <v>112</v>
      </c>
      <c r="P818" s="26">
        <v>8106140363</v>
      </c>
      <c r="Q818" s="26" t="e">
        <f t="shared" ca="1" si="7"/>
        <v>#NAME?</v>
      </c>
      <c r="R818" s="21" t="s">
        <v>4922</v>
      </c>
      <c r="S818" s="21" t="s">
        <v>5836</v>
      </c>
      <c r="U818" s="21" t="s">
        <v>5837</v>
      </c>
      <c r="V818" s="21" t="s">
        <v>5837</v>
      </c>
      <c r="W818" s="21" t="s">
        <v>5838</v>
      </c>
      <c r="X818" s="21" t="s">
        <v>5839</v>
      </c>
      <c r="Y818" s="21" t="s">
        <v>2172</v>
      </c>
      <c r="Z818" s="21" t="s">
        <v>284</v>
      </c>
      <c r="AA818" s="21" t="s">
        <v>5840</v>
      </c>
    </row>
    <row r="819" spans="1:27" ht="15.75" customHeight="1" x14ac:dyDescent="0.3">
      <c r="A819" s="21">
        <v>2023</v>
      </c>
      <c r="B819" s="22"/>
      <c r="H819" s="21" t="s">
        <v>5841</v>
      </c>
      <c r="I819" s="21" t="s">
        <v>5842</v>
      </c>
      <c r="J819" s="138" t="s">
        <v>5843</v>
      </c>
      <c r="K819" s="21" t="e">
        <f t="shared" ca="1" si="6"/>
        <v>#NAME?</v>
      </c>
      <c r="L819" s="24">
        <v>1992</v>
      </c>
      <c r="N819" s="21" t="s">
        <v>111</v>
      </c>
      <c r="O819" s="21" t="s">
        <v>112</v>
      </c>
      <c r="P819" s="26">
        <v>8608584776</v>
      </c>
      <c r="Q819" s="26" t="e">
        <f t="shared" ca="1" si="7"/>
        <v>#NAME?</v>
      </c>
      <c r="R819" s="21" t="s">
        <v>188</v>
      </c>
      <c r="S819" s="21" t="s">
        <v>5844</v>
      </c>
      <c r="U819" s="21" t="s">
        <v>5845</v>
      </c>
      <c r="V819" s="21" t="s">
        <v>5845</v>
      </c>
      <c r="W819" s="21" t="s">
        <v>123</v>
      </c>
      <c r="X819" s="21" t="s">
        <v>211</v>
      </c>
      <c r="Y819" s="21" t="s">
        <v>211</v>
      </c>
      <c r="Z819" s="21" t="s">
        <v>127</v>
      </c>
      <c r="AA819" s="21" t="s">
        <v>658</v>
      </c>
    </row>
    <row r="820" spans="1:27" ht="15.75" customHeight="1" x14ac:dyDescent="0.3">
      <c r="A820" s="21">
        <v>2023</v>
      </c>
      <c r="B820" s="22"/>
      <c r="H820" s="21" t="s">
        <v>5846</v>
      </c>
      <c r="I820" s="21" t="s">
        <v>3427</v>
      </c>
      <c r="J820" s="21" t="s">
        <v>3684</v>
      </c>
      <c r="K820" s="21" t="e">
        <f t="shared" ca="1" si="6"/>
        <v>#NAME?</v>
      </c>
      <c r="L820" s="24">
        <v>2011</v>
      </c>
      <c r="N820" s="21" t="s">
        <v>111</v>
      </c>
      <c r="O820" s="21" t="s">
        <v>112</v>
      </c>
      <c r="P820" s="26">
        <v>9440123844</v>
      </c>
      <c r="Q820" s="26" t="e">
        <f t="shared" ca="1" si="7"/>
        <v>#NAME?</v>
      </c>
      <c r="R820" s="21" t="s">
        <v>5847</v>
      </c>
      <c r="S820" s="21" t="s">
        <v>5848</v>
      </c>
      <c r="U820" s="21" t="s">
        <v>5849</v>
      </c>
      <c r="V820" s="21" t="s">
        <v>5849</v>
      </c>
      <c r="W820" s="21" t="s">
        <v>1924</v>
      </c>
      <c r="X820" s="21" t="s">
        <v>165</v>
      </c>
      <c r="Y820" s="21" t="s">
        <v>165</v>
      </c>
      <c r="Z820" s="21" t="s">
        <v>5850</v>
      </c>
      <c r="AA820" s="21" t="s">
        <v>5851</v>
      </c>
    </row>
    <row r="821" spans="1:27" ht="15.75" customHeight="1" x14ac:dyDescent="0.3">
      <c r="A821" s="21">
        <v>2023</v>
      </c>
      <c r="B821" s="22"/>
      <c r="H821" s="21" t="s">
        <v>5852</v>
      </c>
      <c r="I821" s="21" t="s">
        <v>4008</v>
      </c>
      <c r="J821" s="21" t="s">
        <v>1642</v>
      </c>
      <c r="K821" s="21" t="e">
        <f t="shared" ca="1" si="6"/>
        <v>#NAME?</v>
      </c>
      <c r="L821" s="24">
        <v>2013</v>
      </c>
      <c r="N821" s="21" t="s">
        <v>111</v>
      </c>
      <c r="O821" s="21" t="s">
        <v>112</v>
      </c>
      <c r="P821" s="26">
        <v>9885810017</v>
      </c>
      <c r="Q821" s="26" t="e">
        <f t="shared" ca="1" si="7"/>
        <v>#NAME?</v>
      </c>
      <c r="R821" s="21" t="s">
        <v>188</v>
      </c>
      <c r="S821" s="21" t="s">
        <v>5853</v>
      </c>
      <c r="U821" s="21" t="s">
        <v>5854</v>
      </c>
      <c r="V821" s="21" t="s">
        <v>5854</v>
      </c>
      <c r="W821" s="21" t="s">
        <v>307</v>
      </c>
      <c r="X821" s="21" t="s">
        <v>267</v>
      </c>
      <c r="Y821" s="21" t="s">
        <v>267</v>
      </c>
      <c r="Z821" s="21" t="s">
        <v>5855</v>
      </c>
      <c r="AA821" s="21" t="s">
        <v>5856</v>
      </c>
    </row>
    <row r="822" spans="1:27" ht="15.75" customHeight="1" x14ac:dyDescent="0.3">
      <c r="A822" s="21">
        <v>2023</v>
      </c>
      <c r="B822" s="22"/>
      <c r="H822" s="21" t="s">
        <v>5857</v>
      </c>
      <c r="I822" s="21" t="s">
        <v>5858</v>
      </c>
      <c r="J822" s="21" t="s">
        <v>5859</v>
      </c>
      <c r="K822" s="21" t="e">
        <f t="shared" ca="1" si="6"/>
        <v>#NAME?</v>
      </c>
      <c r="L822" s="24">
        <v>1986</v>
      </c>
      <c r="N822" s="21" t="s">
        <v>111</v>
      </c>
      <c r="O822" s="21" t="s">
        <v>112</v>
      </c>
      <c r="P822" s="26">
        <v>9030807710</v>
      </c>
      <c r="Q822" s="26" t="e">
        <f t="shared" ca="1" si="7"/>
        <v>#NAME?</v>
      </c>
      <c r="R822" s="21" t="s">
        <v>188</v>
      </c>
      <c r="S822" s="21" t="s">
        <v>5435</v>
      </c>
      <c r="U822" s="21" t="s">
        <v>5860</v>
      </c>
      <c r="V822" s="21" t="s">
        <v>5860</v>
      </c>
      <c r="W822" s="21" t="s">
        <v>307</v>
      </c>
      <c r="X822" s="21" t="s">
        <v>734</v>
      </c>
      <c r="Y822" s="21" t="s">
        <v>734</v>
      </c>
      <c r="Z822" s="21" t="s">
        <v>127</v>
      </c>
      <c r="AA822" s="21" t="s">
        <v>761</v>
      </c>
    </row>
    <row r="823" spans="1:27" ht="15.75" customHeight="1" x14ac:dyDescent="0.3">
      <c r="A823" s="21">
        <v>2023</v>
      </c>
      <c r="B823" s="22"/>
      <c r="H823" s="21" t="s">
        <v>5861</v>
      </c>
      <c r="I823" s="21" t="s">
        <v>5862</v>
      </c>
      <c r="J823" s="138" t="s">
        <v>5863</v>
      </c>
      <c r="K823" s="21" t="e">
        <f t="shared" ca="1" si="6"/>
        <v>#NAME?</v>
      </c>
      <c r="L823" s="24">
        <v>2011</v>
      </c>
      <c r="N823" s="21" t="s">
        <v>111</v>
      </c>
      <c r="O823" s="21" t="s">
        <v>112</v>
      </c>
      <c r="P823" s="26">
        <v>9008785286</v>
      </c>
      <c r="Q823" s="26" t="e">
        <f t="shared" ca="1" si="7"/>
        <v>#NAME?</v>
      </c>
      <c r="R823" s="21" t="s">
        <v>5454</v>
      </c>
      <c r="S823" s="21" t="s">
        <v>5864</v>
      </c>
      <c r="U823" s="21" t="s">
        <v>5865</v>
      </c>
      <c r="V823" s="21" t="s">
        <v>5865</v>
      </c>
      <c r="W823" s="21" t="s">
        <v>219</v>
      </c>
      <c r="X823" s="21" t="s">
        <v>179</v>
      </c>
      <c r="Y823" s="21" t="s">
        <v>5866</v>
      </c>
      <c r="Z823" s="21" t="s">
        <v>5867</v>
      </c>
      <c r="AA823" s="21" t="s">
        <v>1059</v>
      </c>
    </row>
    <row r="824" spans="1:27" ht="15.75" customHeight="1" x14ac:dyDescent="0.3">
      <c r="A824" s="21">
        <v>2023</v>
      </c>
      <c r="B824" s="22"/>
      <c r="H824" s="21" t="s">
        <v>5868</v>
      </c>
      <c r="I824" s="21" t="s">
        <v>880</v>
      </c>
      <c r="J824" s="21" t="s">
        <v>3484</v>
      </c>
      <c r="K824" s="21" t="e">
        <f t="shared" ca="1" si="6"/>
        <v>#NAME?</v>
      </c>
      <c r="L824" s="24">
        <v>2011</v>
      </c>
      <c r="N824" s="21" t="s">
        <v>111</v>
      </c>
      <c r="O824" s="21" t="s">
        <v>112</v>
      </c>
      <c r="P824" s="26">
        <v>9958562369</v>
      </c>
      <c r="Q824" s="26" t="e">
        <f t="shared" ca="1" si="7"/>
        <v>#NAME?</v>
      </c>
      <c r="R824" s="21" t="s">
        <v>5869</v>
      </c>
      <c r="S824" s="21" t="s">
        <v>5870</v>
      </c>
      <c r="U824" s="21" t="s">
        <v>5871</v>
      </c>
      <c r="V824" s="21" t="s">
        <v>5871</v>
      </c>
      <c r="W824" s="21" t="s">
        <v>2767</v>
      </c>
      <c r="X824" s="21" t="s">
        <v>5872</v>
      </c>
      <c r="Y824" s="21" t="s">
        <v>5873</v>
      </c>
      <c r="Z824" s="21" t="s">
        <v>5874</v>
      </c>
      <c r="AA824" s="21" t="s">
        <v>5875</v>
      </c>
    </row>
    <row r="825" spans="1:27" ht="15.75" customHeight="1" x14ac:dyDescent="0.3">
      <c r="A825" s="21">
        <v>2023</v>
      </c>
      <c r="B825" s="22"/>
      <c r="H825" s="21" t="s">
        <v>5868</v>
      </c>
      <c r="I825" s="21" t="s">
        <v>880</v>
      </c>
      <c r="J825" s="21" t="s">
        <v>5876</v>
      </c>
      <c r="K825" s="21" t="e">
        <f t="shared" ca="1" si="6"/>
        <v>#NAME?</v>
      </c>
      <c r="L825" s="24">
        <v>1980</v>
      </c>
      <c r="N825" s="21" t="s">
        <v>111</v>
      </c>
      <c r="O825" s="21" t="s">
        <v>112</v>
      </c>
      <c r="P825" s="26">
        <v>9958562369</v>
      </c>
      <c r="Q825" s="26" t="e">
        <f t="shared" ca="1" si="7"/>
        <v>#NAME?</v>
      </c>
      <c r="R825" s="21" t="s">
        <v>5869</v>
      </c>
      <c r="S825" s="21" t="s">
        <v>5877</v>
      </c>
      <c r="U825" s="21" t="s">
        <v>5878</v>
      </c>
      <c r="V825" s="21" t="s">
        <v>5878</v>
      </c>
      <c r="W825" s="21" t="s">
        <v>2767</v>
      </c>
      <c r="X825" s="21" t="s">
        <v>5879</v>
      </c>
      <c r="Y825" s="21" t="s">
        <v>1292</v>
      </c>
      <c r="Z825" s="21" t="s">
        <v>127</v>
      </c>
      <c r="AA825" s="21" t="s">
        <v>5880</v>
      </c>
    </row>
    <row r="826" spans="1:27" ht="15.75" customHeight="1" x14ac:dyDescent="0.3">
      <c r="A826" s="21">
        <v>2023</v>
      </c>
      <c r="B826" s="22"/>
      <c r="H826" s="21" t="s">
        <v>5881</v>
      </c>
      <c r="I826" s="21" t="s">
        <v>2500</v>
      </c>
      <c r="J826" s="21" t="s">
        <v>5882</v>
      </c>
      <c r="K826" s="21" t="e">
        <f t="shared" ca="1" si="6"/>
        <v>#NAME?</v>
      </c>
      <c r="L826" s="24">
        <v>1975</v>
      </c>
      <c r="N826" s="21" t="s">
        <v>111</v>
      </c>
      <c r="O826" s="21" t="s">
        <v>112</v>
      </c>
      <c r="P826" s="26">
        <v>9866894526</v>
      </c>
      <c r="Q826" s="26" t="e">
        <f t="shared" ca="1" si="7"/>
        <v>#NAME?</v>
      </c>
      <c r="R826" s="21" t="s">
        <v>5883</v>
      </c>
      <c r="S826" s="21" t="s">
        <v>5884</v>
      </c>
      <c r="U826" s="21" t="s">
        <v>5885</v>
      </c>
      <c r="V826" s="21" t="s">
        <v>5885</v>
      </c>
      <c r="W826" s="21" t="s">
        <v>319</v>
      </c>
      <c r="X826" s="21" t="s">
        <v>179</v>
      </c>
      <c r="Y826" s="21" t="s">
        <v>179</v>
      </c>
      <c r="Z826" s="21" t="s">
        <v>127</v>
      </c>
      <c r="AA826" s="21" t="s">
        <v>1847</v>
      </c>
    </row>
    <row r="827" spans="1:27" ht="15.75" customHeight="1" x14ac:dyDescent="0.3">
      <c r="A827" s="21">
        <v>2023</v>
      </c>
      <c r="B827" s="22"/>
      <c r="H827" s="21" t="s">
        <v>5886</v>
      </c>
      <c r="I827" s="21" t="s">
        <v>4902</v>
      </c>
      <c r="J827" s="21" t="s">
        <v>5887</v>
      </c>
      <c r="K827" s="21" t="e">
        <f t="shared" ca="1" si="6"/>
        <v>#NAME?</v>
      </c>
      <c r="L827" s="24">
        <v>2014</v>
      </c>
      <c r="N827" s="21" t="s">
        <v>111</v>
      </c>
      <c r="O827" s="21" t="s">
        <v>112</v>
      </c>
      <c r="P827" s="26">
        <v>7358097110</v>
      </c>
      <c r="Q827" s="26" t="e">
        <f t="shared" ca="1" si="7"/>
        <v>#NAME?</v>
      </c>
      <c r="R827" s="21" t="s">
        <v>5888</v>
      </c>
      <c r="S827" s="21" t="s">
        <v>5889</v>
      </c>
      <c r="U827" s="21" t="s">
        <v>5890</v>
      </c>
      <c r="V827" s="21" t="s">
        <v>5890</v>
      </c>
      <c r="W827" s="21" t="s">
        <v>488</v>
      </c>
      <c r="X827" s="21" t="s">
        <v>5891</v>
      </c>
      <c r="Y827" s="21" t="s">
        <v>1762</v>
      </c>
      <c r="Z827" s="21" t="s">
        <v>5892</v>
      </c>
      <c r="AA827" s="21" t="s">
        <v>5893</v>
      </c>
    </row>
    <row r="828" spans="1:27" ht="15.75" customHeight="1" x14ac:dyDescent="0.3">
      <c r="A828" s="21">
        <v>2023</v>
      </c>
      <c r="B828" s="22"/>
      <c r="H828" s="21" t="s">
        <v>5894</v>
      </c>
      <c r="I828" s="21" t="s">
        <v>5895</v>
      </c>
      <c r="J828" s="21" t="s">
        <v>1599</v>
      </c>
      <c r="K828" s="21" t="e">
        <f t="shared" ca="1" si="6"/>
        <v>#NAME?</v>
      </c>
      <c r="L828" s="24">
        <v>2004</v>
      </c>
      <c r="N828" s="21" t="s">
        <v>111</v>
      </c>
      <c r="O828" s="21" t="s">
        <v>112</v>
      </c>
      <c r="P828" s="26">
        <v>9392384155</v>
      </c>
      <c r="Q828" s="26" t="e">
        <f t="shared" ca="1" si="7"/>
        <v>#NAME?</v>
      </c>
      <c r="R828" s="21" t="s">
        <v>188</v>
      </c>
      <c r="S828" s="21" t="s">
        <v>5896</v>
      </c>
      <c r="U828" s="21" t="s">
        <v>5897</v>
      </c>
      <c r="V828" s="21" t="s">
        <v>5897</v>
      </c>
      <c r="W828" s="21" t="s">
        <v>266</v>
      </c>
      <c r="X828" s="21" t="s">
        <v>560</v>
      </c>
      <c r="Y828" s="21" t="s">
        <v>560</v>
      </c>
      <c r="Z828" s="21" t="s">
        <v>284</v>
      </c>
      <c r="AA828" s="21" t="s">
        <v>5898</v>
      </c>
    </row>
    <row r="829" spans="1:27" ht="15.75" customHeight="1" x14ac:dyDescent="0.3">
      <c r="A829" s="21">
        <v>2023</v>
      </c>
      <c r="B829" s="22"/>
      <c r="H829" s="21" t="s">
        <v>5899</v>
      </c>
      <c r="I829" s="21" t="s">
        <v>5900</v>
      </c>
      <c r="J829" s="21" t="s">
        <v>1767</v>
      </c>
      <c r="K829" s="21" t="e">
        <f t="shared" ca="1" si="6"/>
        <v>#NAME?</v>
      </c>
      <c r="L829" s="24">
        <v>1984</v>
      </c>
      <c r="N829" s="21" t="s">
        <v>111</v>
      </c>
      <c r="O829" s="21" t="s">
        <v>112</v>
      </c>
      <c r="P829" s="26">
        <v>9676596095</v>
      </c>
      <c r="Q829" s="26" t="e">
        <f t="shared" ca="1" si="7"/>
        <v>#NAME?</v>
      </c>
      <c r="R829" s="21" t="s">
        <v>188</v>
      </c>
      <c r="S829" s="21" t="s">
        <v>5901</v>
      </c>
      <c r="U829" s="21" t="s">
        <v>5383</v>
      </c>
      <c r="V829" s="21" t="s">
        <v>5383</v>
      </c>
      <c r="W829" s="21" t="s">
        <v>951</v>
      </c>
      <c r="X829" s="21" t="s">
        <v>179</v>
      </c>
      <c r="Y829" s="21" t="s">
        <v>179</v>
      </c>
      <c r="Z829" s="21" t="s">
        <v>284</v>
      </c>
      <c r="AA829" s="21" t="s">
        <v>5902</v>
      </c>
    </row>
    <row r="830" spans="1:27" ht="15.75" customHeight="1" x14ac:dyDescent="0.3">
      <c r="A830" s="21">
        <v>2023</v>
      </c>
      <c r="B830" s="22"/>
      <c r="H830" s="21" t="s">
        <v>5903</v>
      </c>
      <c r="I830" s="21" t="s">
        <v>5060</v>
      </c>
      <c r="J830" s="21" t="s">
        <v>5904</v>
      </c>
      <c r="K830" s="21" t="e">
        <f t="shared" ca="1" si="6"/>
        <v>#NAME?</v>
      </c>
      <c r="L830" s="24">
        <v>1989</v>
      </c>
      <c r="N830" s="21" t="s">
        <v>111</v>
      </c>
      <c r="O830" s="21" t="s">
        <v>112</v>
      </c>
      <c r="P830" s="26">
        <v>9007972162</v>
      </c>
      <c r="Q830" s="26" t="e">
        <f t="shared" ca="1" si="7"/>
        <v>#NAME?</v>
      </c>
      <c r="R830" s="21" t="s">
        <v>5905</v>
      </c>
      <c r="S830" s="21" t="s">
        <v>673</v>
      </c>
      <c r="U830" s="21" t="s">
        <v>5906</v>
      </c>
      <c r="V830" s="21" t="s">
        <v>5906</v>
      </c>
      <c r="W830" s="21" t="s">
        <v>328</v>
      </c>
      <c r="X830" s="21" t="s">
        <v>352</v>
      </c>
      <c r="Y830" s="21" t="s">
        <v>1743</v>
      </c>
      <c r="Z830" s="21" t="s">
        <v>127</v>
      </c>
      <c r="AA830" s="21" t="s">
        <v>5907</v>
      </c>
    </row>
    <row r="831" spans="1:27" ht="15.75" customHeight="1" x14ac:dyDescent="0.3">
      <c r="A831" s="21">
        <v>2023</v>
      </c>
      <c r="B831" s="22"/>
      <c r="H831" s="21" t="s">
        <v>5908</v>
      </c>
      <c r="I831" s="21" t="s">
        <v>1747</v>
      </c>
      <c r="J831" s="21" t="s">
        <v>1142</v>
      </c>
      <c r="K831" s="21" t="e">
        <f t="shared" ca="1" si="6"/>
        <v>#NAME?</v>
      </c>
      <c r="L831" s="24">
        <v>1956</v>
      </c>
      <c r="N831" s="21" t="s">
        <v>111</v>
      </c>
      <c r="O831" s="21" t="s">
        <v>112</v>
      </c>
      <c r="P831" s="26">
        <v>9949048452</v>
      </c>
      <c r="Q831" s="26" t="e">
        <f t="shared" ca="1" si="7"/>
        <v>#NAME?</v>
      </c>
      <c r="R831" s="21" t="s">
        <v>4754</v>
      </c>
      <c r="S831" s="21" t="s">
        <v>5909</v>
      </c>
      <c r="U831" s="21" t="s">
        <v>5910</v>
      </c>
      <c r="V831" s="21" t="s">
        <v>5910</v>
      </c>
      <c r="W831" s="21" t="s">
        <v>498</v>
      </c>
      <c r="X831" s="21" t="s">
        <v>5911</v>
      </c>
      <c r="Y831" s="21" t="s">
        <v>179</v>
      </c>
      <c r="Z831" s="21" t="s">
        <v>284</v>
      </c>
      <c r="AA831" s="21" t="s">
        <v>5912</v>
      </c>
    </row>
    <row r="832" spans="1:27" ht="15.75" customHeight="1" x14ac:dyDescent="0.3">
      <c r="A832" s="21">
        <v>2023</v>
      </c>
      <c r="B832" s="22"/>
      <c r="H832" s="21" t="s">
        <v>5913</v>
      </c>
      <c r="I832" s="21" t="s">
        <v>1632</v>
      </c>
      <c r="J832" s="21" t="s">
        <v>5914</v>
      </c>
      <c r="K832" s="21" t="e">
        <f t="shared" ca="1" si="6"/>
        <v>#NAME?</v>
      </c>
      <c r="L832" s="24">
        <v>1974</v>
      </c>
      <c r="N832" s="21" t="s">
        <v>111</v>
      </c>
      <c r="O832" s="21" t="s">
        <v>112</v>
      </c>
      <c r="P832" s="26">
        <v>9949496355</v>
      </c>
      <c r="Q832" s="26" t="e">
        <f t="shared" ca="1" si="7"/>
        <v>#NAME?</v>
      </c>
      <c r="R832" s="21" t="s">
        <v>4570</v>
      </c>
      <c r="S832" s="21" t="s">
        <v>5915</v>
      </c>
      <c r="U832" s="21" t="s">
        <v>5916</v>
      </c>
      <c r="V832" s="21" t="s">
        <v>5916</v>
      </c>
      <c r="W832" s="21" t="s">
        <v>488</v>
      </c>
      <c r="X832" s="21" t="s">
        <v>179</v>
      </c>
      <c r="Y832" s="21" t="s">
        <v>179</v>
      </c>
      <c r="Z832" s="21" t="s">
        <v>284</v>
      </c>
      <c r="AA832" s="21" t="s">
        <v>818</v>
      </c>
    </row>
    <row r="833" spans="1:27" ht="15.75" customHeight="1" x14ac:dyDescent="0.3">
      <c r="A833" s="21">
        <v>2023</v>
      </c>
      <c r="B833" s="22"/>
      <c r="H833" s="21" t="s">
        <v>5917</v>
      </c>
      <c r="I833" s="21" t="s">
        <v>3618</v>
      </c>
      <c r="J833" s="21" t="s">
        <v>5918</v>
      </c>
      <c r="K833" s="21" t="e">
        <f t="shared" ca="1" si="6"/>
        <v>#NAME?</v>
      </c>
      <c r="L833" s="24">
        <v>1969</v>
      </c>
      <c r="N833" s="21" t="s">
        <v>111</v>
      </c>
      <c r="O833" s="21" t="s">
        <v>112</v>
      </c>
      <c r="P833" s="26">
        <v>9885493426</v>
      </c>
      <c r="Q833" s="26" t="e">
        <f t="shared" ca="1" si="7"/>
        <v>#NAME?</v>
      </c>
      <c r="R833" s="21" t="s">
        <v>188</v>
      </c>
      <c r="S833" s="21" t="s">
        <v>5919</v>
      </c>
      <c r="U833" s="21" t="s">
        <v>5920</v>
      </c>
      <c r="V833" s="21" t="s">
        <v>5920</v>
      </c>
      <c r="W833" s="21" t="s">
        <v>266</v>
      </c>
      <c r="X833" s="21" t="s">
        <v>308</v>
      </c>
      <c r="Y833" s="21" t="s">
        <v>308</v>
      </c>
      <c r="Z833" s="21" t="s">
        <v>284</v>
      </c>
      <c r="AA833" s="21" t="s">
        <v>5921</v>
      </c>
    </row>
    <row r="834" spans="1:27" ht="15.75" customHeight="1" x14ac:dyDescent="0.3">
      <c r="A834" s="21">
        <v>2023</v>
      </c>
      <c r="B834" s="22"/>
      <c r="H834" s="21" t="s">
        <v>5922</v>
      </c>
      <c r="I834" s="21" t="s">
        <v>3618</v>
      </c>
      <c r="J834" s="21" t="s">
        <v>5923</v>
      </c>
      <c r="K834" s="21" t="e">
        <f t="shared" ca="1" si="6"/>
        <v>#NAME?</v>
      </c>
      <c r="L834" s="24">
        <v>2011</v>
      </c>
      <c r="N834" s="21" t="s">
        <v>111</v>
      </c>
      <c r="O834" s="21" t="s">
        <v>112</v>
      </c>
      <c r="P834" s="26">
        <v>8985971092</v>
      </c>
      <c r="Q834" s="26" t="e">
        <f t="shared" ca="1" si="7"/>
        <v>#NAME?</v>
      </c>
      <c r="R834" s="21" t="s">
        <v>188</v>
      </c>
      <c r="S834" s="21" t="s">
        <v>5924</v>
      </c>
      <c r="U834" s="21" t="s">
        <v>5925</v>
      </c>
      <c r="V834" s="21" t="s">
        <v>5925</v>
      </c>
      <c r="W834" s="21" t="s">
        <v>5926</v>
      </c>
      <c r="X834" s="21" t="s">
        <v>179</v>
      </c>
      <c r="Y834" s="21" t="s">
        <v>179</v>
      </c>
      <c r="Z834" s="21" t="s">
        <v>5927</v>
      </c>
      <c r="AA834" s="21" t="s">
        <v>5928</v>
      </c>
    </row>
    <row r="835" spans="1:27" ht="15.75" customHeight="1" x14ac:dyDescent="0.3">
      <c r="A835" s="21">
        <v>2023</v>
      </c>
      <c r="B835" s="22"/>
      <c r="H835" s="21" t="s">
        <v>5922</v>
      </c>
      <c r="I835" s="21" t="s">
        <v>3618</v>
      </c>
      <c r="J835" s="21" t="s">
        <v>5929</v>
      </c>
      <c r="K835" s="21" t="e">
        <f t="shared" ca="1" si="6"/>
        <v>#NAME?</v>
      </c>
      <c r="L835" s="24">
        <v>1972</v>
      </c>
      <c r="N835" s="21" t="s">
        <v>111</v>
      </c>
      <c r="O835" s="21" t="s">
        <v>112</v>
      </c>
      <c r="P835" s="26">
        <v>8985971092</v>
      </c>
      <c r="Q835" s="26" t="e">
        <f t="shared" ca="1" si="7"/>
        <v>#NAME?</v>
      </c>
      <c r="R835" s="21" t="s">
        <v>485</v>
      </c>
      <c r="S835" s="21" t="s">
        <v>5930</v>
      </c>
      <c r="U835" s="21" t="s">
        <v>5931</v>
      </c>
      <c r="V835" s="21" t="s">
        <v>5931</v>
      </c>
      <c r="W835" s="21" t="s">
        <v>488</v>
      </c>
      <c r="X835" s="21" t="s">
        <v>179</v>
      </c>
      <c r="Y835" s="21" t="s">
        <v>179</v>
      </c>
      <c r="Z835" s="21" t="s">
        <v>284</v>
      </c>
      <c r="AA835" s="21" t="s">
        <v>5932</v>
      </c>
    </row>
    <row r="836" spans="1:27" ht="15.75" customHeight="1" x14ac:dyDescent="0.3">
      <c r="A836" s="21">
        <v>2023</v>
      </c>
      <c r="B836" s="22"/>
      <c r="H836" s="21" t="s">
        <v>5933</v>
      </c>
      <c r="I836" s="21" t="s">
        <v>5934</v>
      </c>
      <c r="J836" s="21" t="s">
        <v>1937</v>
      </c>
      <c r="K836" s="21" t="e">
        <f t="shared" ca="1" si="6"/>
        <v>#NAME?</v>
      </c>
      <c r="L836" s="24">
        <v>2015</v>
      </c>
      <c r="N836" s="21" t="s">
        <v>111</v>
      </c>
      <c r="O836" s="21" t="s">
        <v>112</v>
      </c>
      <c r="P836" s="26">
        <v>9959292224</v>
      </c>
      <c r="Q836" s="26" t="e">
        <f t="shared" ca="1" si="7"/>
        <v>#NAME?</v>
      </c>
      <c r="R836" s="21" t="s">
        <v>188</v>
      </c>
      <c r="S836" s="21" t="s">
        <v>5935</v>
      </c>
      <c r="U836" s="21" t="s">
        <v>5936</v>
      </c>
      <c r="V836" s="21" t="s">
        <v>5936</v>
      </c>
      <c r="W836" s="21" t="s">
        <v>498</v>
      </c>
      <c r="X836" s="21" t="s">
        <v>179</v>
      </c>
      <c r="Y836" s="21" t="s">
        <v>179</v>
      </c>
      <c r="Z836" s="21" t="s">
        <v>5937</v>
      </c>
      <c r="AA836" s="21" t="s">
        <v>5938</v>
      </c>
    </row>
    <row r="837" spans="1:27" ht="15.75" customHeight="1" x14ac:dyDescent="0.3">
      <c r="A837" s="21">
        <v>2023</v>
      </c>
      <c r="B837" s="22"/>
      <c r="H837" s="21" t="s">
        <v>1935</v>
      </c>
      <c r="I837" s="21" t="s">
        <v>5934</v>
      </c>
      <c r="J837" s="21" t="s">
        <v>5939</v>
      </c>
      <c r="K837" s="21" t="e">
        <f t="shared" ca="1" si="6"/>
        <v>#NAME?</v>
      </c>
      <c r="L837" s="24">
        <v>1981</v>
      </c>
      <c r="N837" s="21" t="s">
        <v>111</v>
      </c>
      <c r="O837" s="21" t="s">
        <v>112</v>
      </c>
      <c r="P837" s="26">
        <v>9959292224</v>
      </c>
      <c r="Q837" s="26" t="e">
        <f t="shared" ca="1" si="7"/>
        <v>#NAME?</v>
      </c>
      <c r="R837" s="21" t="s">
        <v>188</v>
      </c>
      <c r="S837" s="21" t="s">
        <v>5940</v>
      </c>
      <c r="U837" s="21" t="s">
        <v>5941</v>
      </c>
      <c r="V837" s="21" t="s">
        <v>5941</v>
      </c>
      <c r="W837" s="21" t="s">
        <v>498</v>
      </c>
      <c r="X837" s="21" t="s">
        <v>179</v>
      </c>
      <c r="Y837" s="21" t="s">
        <v>179</v>
      </c>
      <c r="Z837" s="21" t="s">
        <v>284</v>
      </c>
      <c r="AA837" s="21" t="s">
        <v>1119</v>
      </c>
    </row>
    <row r="838" spans="1:27" ht="15.75" customHeight="1" x14ac:dyDescent="0.3">
      <c r="A838" s="21">
        <v>2023</v>
      </c>
      <c r="B838" s="22"/>
      <c r="H838" s="21" t="s">
        <v>5942</v>
      </c>
      <c r="I838" s="21" t="s">
        <v>5943</v>
      </c>
      <c r="J838" s="21" t="s">
        <v>5944</v>
      </c>
      <c r="K838" s="21" t="e">
        <f t="shared" ca="1" si="6"/>
        <v>#NAME?</v>
      </c>
      <c r="L838" s="24">
        <v>1986</v>
      </c>
      <c r="N838" s="21" t="s">
        <v>111</v>
      </c>
      <c r="O838" s="21" t="s">
        <v>112</v>
      </c>
      <c r="P838" s="26">
        <v>9666830612</v>
      </c>
      <c r="Q838" s="26" t="e">
        <f t="shared" ca="1" si="7"/>
        <v>#NAME?</v>
      </c>
      <c r="R838" s="21" t="s">
        <v>3799</v>
      </c>
      <c r="S838" s="21" t="s">
        <v>5945</v>
      </c>
      <c r="U838" s="21" t="s">
        <v>5946</v>
      </c>
      <c r="V838" s="21" t="s">
        <v>5946</v>
      </c>
      <c r="W838" s="21" t="s">
        <v>488</v>
      </c>
      <c r="X838" s="21" t="s">
        <v>5947</v>
      </c>
      <c r="Y838" s="21" t="s">
        <v>179</v>
      </c>
      <c r="Z838" s="21" t="s">
        <v>284</v>
      </c>
      <c r="AA838" s="21" t="s">
        <v>1581</v>
      </c>
    </row>
    <row r="839" spans="1:27" ht="15.75" customHeight="1" x14ac:dyDescent="0.3">
      <c r="A839" s="21">
        <v>2023</v>
      </c>
      <c r="B839" s="22"/>
      <c r="H839" s="21" t="s">
        <v>5948</v>
      </c>
      <c r="I839" s="21" t="s">
        <v>3673</v>
      </c>
      <c r="J839" s="21" t="s">
        <v>3674</v>
      </c>
      <c r="K839" s="21" t="e">
        <f t="shared" ca="1" si="6"/>
        <v>#NAME?</v>
      </c>
      <c r="L839" s="24">
        <v>2010</v>
      </c>
      <c r="N839" s="21" t="s">
        <v>111</v>
      </c>
      <c r="O839" s="21" t="s">
        <v>112</v>
      </c>
      <c r="P839" s="26">
        <v>9007684641</v>
      </c>
      <c r="Q839" s="26" t="e">
        <f t="shared" ca="1" si="7"/>
        <v>#NAME?</v>
      </c>
      <c r="R839" s="21" t="s">
        <v>188</v>
      </c>
      <c r="S839" s="21" t="s">
        <v>5949</v>
      </c>
      <c r="U839" s="21" t="s">
        <v>5950</v>
      </c>
      <c r="V839" s="21" t="s">
        <v>5950</v>
      </c>
      <c r="W839" s="21" t="s">
        <v>3106</v>
      </c>
      <c r="X839" s="21" t="s">
        <v>179</v>
      </c>
      <c r="Y839" s="21" t="s">
        <v>571</v>
      </c>
      <c r="Z839" s="21" t="s">
        <v>5951</v>
      </c>
      <c r="AA839" s="21" t="s">
        <v>1059</v>
      </c>
    </row>
    <row r="840" spans="1:27" ht="15.75" customHeight="1" x14ac:dyDescent="0.3">
      <c r="A840" s="21">
        <v>2023</v>
      </c>
      <c r="B840" s="22"/>
      <c r="H840" s="21" t="s">
        <v>5952</v>
      </c>
      <c r="I840" s="21" t="s">
        <v>224</v>
      </c>
      <c r="J840" s="21" t="s">
        <v>3625</v>
      </c>
      <c r="K840" s="21" t="e">
        <f t="shared" ca="1" si="6"/>
        <v>#NAME?</v>
      </c>
      <c r="L840" s="24">
        <v>1986</v>
      </c>
      <c r="N840" s="21" t="s">
        <v>111</v>
      </c>
      <c r="O840" s="21" t="s">
        <v>112</v>
      </c>
      <c r="P840" s="26">
        <v>9959536601</v>
      </c>
      <c r="Q840" s="26" t="e">
        <f t="shared" ca="1" si="7"/>
        <v>#NAME?</v>
      </c>
      <c r="R840" s="21" t="s">
        <v>4570</v>
      </c>
      <c r="S840" s="21" t="s">
        <v>5953</v>
      </c>
      <c r="U840" s="21" t="s">
        <v>5954</v>
      </c>
      <c r="V840" s="21" t="s">
        <v>5954</v>
      </c>
      <c r="W840" s="21" t="s">
        <v>219</v>
      </c>
      <c r="X840" s="21" t="s">
        <v>179</v>
      </c>
      <c r="Y840" s="21" t="s">
        <v>707</v>
      </c>
      <c r="Z840" s="21" t="s">
        <v>5955</v>
      </c>
      <c r="AA840" s="21" t="s">
        <v>5956</v>
      </c>
    </row>
    <row r="841" spans="1:27" ht="15.75" customHeight="1" x14ac:dyDescent="0.3">
      <c r="A841" s="21">
        <v>2023</v>
      </c>
      <c r="B841" s="22"/>
      <c r="H841" s="21" t="s">
        <v>5957</v>
      </c>
      <c r="I841" s="21" t="s">
        <v>462</v>
      </c>
      <c r="J841" s="21" t="s">
        <v>5958</v>
      </c>
      <c r="K841" s="21" t="e">
        <f t="shared" ca="1" si="6"/>
        <v>#NAME?</v>
      </c>
      <c r="L841" s="24">
        <v>1967</v>
      </c>
      <c r="N841" s="21" t="s">
        <v>111</v>
      </c>
      <c r="O841" s="21" t="s">
        <v>112</v>
      </c>
      <c r="P841" s="26">
        <v>8848970158</v>
      </c>
      <c r="Q841" s="26" t="e">
        <f t="shared" ca="1" si="7"/>
        <v>#NAME?</v>
      </c>
      <c r="R841" s="21" t="s">
        <v>188</v>
      </c>
      <c r="S841" s="21" t="s">
        <v>5959</v>
      </c>
      <c r="U841" s="21" t="s">
        <v>5960</v>
      </c>
      <c r="V841" s="21" t="s">
        <v>5960</v>
      </c>
      <c r="W841" s="21" t="s">
        <v>307</v>
      </c>
      <c r="X841" s="21" t="s">
        <v>2685</v>
      </c>
      <c r="Y841" s="21" t="s">
        <v>2685</v>
      </c>
      <c r="Z841" s="21" t="s">
        <v>5961</v>
      </c>
      <c r="AA841" s="21" t="s">
        <v>4136</v>
      </c>
    </row>
    <row r="842" spans="1:27" ht="15.75" customHeight="1" x14ac:dyDescent="0.3">
      <c r="A842" s="21">
        <v>2023</v>
      </c>
      <c r="B842" s="22"/>
      <c r="H842" s="21" t="s">
        <v>5957</v>
      </c>
      <c r="I842" s="21" t="s">
        <v>462</v>
      </c>
      <c r="J842" s="21" t="s">
        <v>5962</v>
      </c>
      <c r="K842" s="21" t="e">
        <f t="shared" ca="1" si="6"/>
        <v>#NAME?</v>
      </c>
      <c r="L842" s="24">
        <v>1967</v>
      </c>
      <c r="N842" s="21" t="s">
        <v>111</v>
      </c>
      <c r="O842" s="21" t="s">
        <v>112</v>
      </c>
      <c r="P842" s="26">
        <v>8848970158</v>
      </c>
      <c r="Q842" s="26" t="e">
        <f t="shared" ca="1" si="7"/>
        <v>#NAME?</v>
      </c>
      <c r="R842" s="21" t="s">
        <v>188</v>
      </c>
      <c r="S842" s="21" t="s">
        <v>5959</v>
      </c>
      <c r="U842" s="21" t="s">
        <v>5960</v>
      </c>
      <c r="V842" s="21" t="s">
        <v>5960</v>
      </c>
      <c r="W842" s="21" t="s">
        <v>307</v>
      </c>
      <c r="X842" s="21" t="s">
        <v>2685</v>
      </c>
      <c r="Y842" s="21" t="s">
        <v>2685</v>
      </c>
      <c r="Z842" s="21" t="s">
        <v>5961</v>
      </c>
      <c r="AA842" s="21" t="s">
        <v>4136</v>
      </c>
    </row>
    <row r="843" spans="1:27" ht="15.75" customHeight="1" x14ac:dyDescent="0.3">
      <c r="A843" s="21">
        <v>2023</v>
      </c>
      <c r="B843" s="22"/>
      <c r="H843" s="21" t="s">
        <v>5963</v>
      </c>
      <c r="I843" s="21" t="s">
        <v>1158</v>
      </c>
      <c r="J843" s="21" t="s">
        <v>5964</v>
      </c>
      <c r="K843" s="21" t="e">
        <f t="shared" ca="1" si="6"/>
        <v>#NAME?</v>
      </c>
      <c r="L843" s="24">
        <v>2011</v>
      </c>
      <c r="N843" s="21" t="s">
        <v>111</v>
      </c>
      <c r="O843" s="21" t="s">
        <v>112</v>
      </c>
      <c r="P843" s="26">
        <v>9948254512</v>
      </c>
      <c r="Q843" s="26" t="e">
        <f t="shared" ca="1" si="7"/>
        <v>#NAME?</v>
      </c>
      <c r="R843" s="21" t="s">
        <v>5965</v>
      </c>
      <c r="S843" s="21" t="s">
        <v>5966</v>
      </c>
      <c r="U843" s="21" t="s">
        <v>5967</v>
      </c>
      <c r="V843" s="21" t="s">
        <v>5967</v>
      </c>
      <c r="W843" s="21" t="s">
        <v>191</v>
      </c>
      <c r="X843" s="21" t="s">
        <v>179</v>
      </c>
      <c r="Y843" s="21" t="s">
        <v>179</v>
      </c>
      <c r="Z843" s="21" t="s">
        <v>5968</v>
      </c>
      <c r="AA843" s="21" t="s">
        <v>5969</v>
      </c>
    </row>
    <row r="844" spans="1:27" ht="15.75" customHeight="1" x14ac:dyDescent="0.3">
      <c r="A844" s="21">
        <v>2023</v>
      </c>
      <c r="B844" s="22"/>
      <c r="H844" s="21" t="s">
        <v>5970</v>
      </c>
      <c r="I844" s="21" t="s">
        <v>3726</v>
      </c>
      <c r="J844" s="21" t="s">
        <v>3728</v>
      </c>
      <c r="K844" s="21" t="e">
        <f t="shared" ca="1" si="6"/>
        <v>#NAME?</v>
      </c>
      <c r="L844" s="24">
        <v>2013</v>
      </c>
      <c r="N844" s="21" t="s">
        <v>111</v>
      </c>
      <c r="O844" s="21" t="s">
        <v>112</v>
      </c>
      <c r="P844" s="26">
        <v>8105178555</v>
      </c>
      <c r="Q844" s="26" t="e">
        <f t="shared" ca="1" si="7"/>
        <v>#NAME?</v>
      </c>
      <c r="R844" s="21" t="s">
        <v>2191</v>
      </c>
      <c r="S844" s="21" t="s">
        <v>5971</v>
      </c>
      <c r="U844" s="21" t="s">
        <v>5972</v>
      </c>
      <c r="V844" s="21" t="s">
        <v>5972</v>
      </c>
      <c r="W844" s="21" t="s">
        <v>5973</v>
      </c>
      <c r="X844" s="21" t="s">
        <v>2402</v>
      </c>
      <c r="Y844" s="21" t="s">
        <v>5974</v>
      </c>
      <c r="Z844" s="21" t="s">
        <v>1142</v>
      </c>
      <c r="AA844" s="21" t="s">
        <v>396</v>
      </c>
    </row>
    <row r="845" spans="1:27" ht="15.75" customHeight="1" x14ac:dyDescent="0.3">
      <c r="A845" s="21">
        <v>2023</v>
      </c>
      <c r="B845" s="22"/>
      <c r="H845" s="21" t="s">
        <v>5975</v>
      </c>
      <c r="I845" s="21" t="s">
        <v>4811</v>
      </c>
      <c r="J845" s="21" t="s">
        <v>5976</v>
      </c>
      <c r="K845" s="21" t="e">
        <f t="shared" ca="1" si="6"/>
        <v>#NAME?</v>
      </c>
      <c r="L845" s="24">
        <v>1984</v>
      </c>
      <c r="N845" s="21" t="s">
        <v>111</v>
      </c>
      <c r="O845" s="21" t="s">
        <v>112</v>
      </c>
      <c r="P845" s="26">
        <v>9912246787</v>
      </c>
      <c r="Q845" s="26" t="e">
        <f t="shared" ca="1" si="7"/>
        <v>#NAME?</v>
      </c>
      <c r="R845" s="21" t="s">
        <v>4964</v>
      </c>
      <c r="S845" s="21" t="s">
        <v>5977</v>
      </c>
      <c r="U845" s="21" t="s">
        <v>5978</v>
      </c>
      <c r="V845" s="21" t="s">
        <v>5978</v>
      </c>
      <c r="W845" s="21" t="s">
        <v>488</v>
      </c>
      <c r="X845" s="21" t="s">
        <v>179</v>
      </c>
      <c r="Y845" s="21" t="s">
        <v>179</v>
      </c>
      <c r="Z845" s="21" t="s">
        <v>284</v>
      </c>
      <c r="AA845" s="21" t="s">
        <v>450</v>
      </c>
    </row>
    <row r="846" spans="1:27" ht="15.75" customHeight="1" x14ac:dyDescent="0.3">
      <c r="A846" s="21">
        <v>2023</v>
      </c>
      <c r="B846" s="22"/>
      <c r="H846" s="21" t="s">
        <v>5979</v>
      </c>
      <c r="I846" s="21" t="s">
        <v>1641</v>
      </c>
      <c r="J846" s="21" t="s">
        <v>5980</v>
      </c>
      <c r="K846" s="21" t="e">
        <f t="shared" ca="1" si="6"/>
        <v>#NAME?</v>
      </c>
      <c r="L846" s="24">
        <v>1999</v>
      </c>
      <c r="N846" s="21" t="s">
        <v>111</v>
      </c>
      <c r="O846" s="21" t="s">
        <v>112</v>
      </c>
      <c r="P846" s="26">
        <v>9676539098</v>
      </c>
      <c r="Q846" s="26" t="e">
        <f t="shared" ca="1" si="7"/>
        <v>#NAME?</v>
      </c>
      <c r="R846" s="21" t="s">
        <v>188</v>
      </c>
      <c r="S846" s="21" t="s">
        <v>5981</v>
      </c>
      <c r="U846" s="21" t="s">
        <v>5982</v>
      </c>
      <c r="V846" s="21" t="s">
        <v>5982</v>
      </c>
      <c r="W846" s="21" t="s">
        <v>307</v>
      </c>
      <c r="X846" s="21" t="s">
        <v>211</v>
      </c>
      <c r="Y846" s="21" t="s">
        <v>5983</v>
      </c>
      <c r="Z846" s="21" t="s">
        <v>127</v>
      </c>
      <c r="AA846" s="21" t="s">
        <v>5397</v>
      </c>
    </row>
    <row r="847" spans="1:27" ht="15.75" customHeight="1" x14ac:dyDescent="0.3">
      <c r="A847" s="21">
        <v>2023</v>
      </c>
      <c r="B847" s="22"/>
      <c r="H847" s="21" t="s">
        <v>5984</v>
      </c>
      <c r="I847" s="21" t="s">
        <v>5985</v>
      </c>
      <c r="J847" s="21" t="s">
        <v>5986</v>
      </c>
      <c r="K847" s="21" t="e">
        <f t="shared" ca="1" si="6"/>
        <v>#NAME?</v>
      </c>
      <c r="L847" s="24">
        <v>1961</v>
      </c>
      <c r="N847" s="21" t="s">
        <v>111</v>
      </c>
      <c r="O847" s="21" t="s">
        <v>112</v>
      </c>
      <c r="P847" s="26">
        <v>9839015314</v>
      </c>
      <c r="Q847" s="26" t="e">
        <f t="shared" ca="1" si="7"/>
        <v>#NAME?</v>
      </c>
      <c r="R847" s="21" t="s">
        <v>188</v>
      </c>
      <c r="S847" s="21" t="s">
        <v>5987</v>
      </c>
      <c r="U847" s="21" t="s">
        <v>5988</v>
      </c>
      <c r="V847" s="21" t="s">
        <v>5988</v>
      </c>
      <c r="W847" s="21" t="s">
        <v>307</v>
      </c>
      <c r="X847" s="21" t="s">
        <v>5989</v>
      </c>
      <c r="Y847" s="21" t="s">
        <v>1292</v>
      </c>
      <c r="Z847" s="21" t="s">
        <v>127</v>
      </c>
      <c r="AA847" s="21" t="s">
        <v>5990</v>
      </c>
    </row>
    <row r="848" spans="1:27" ht="15.75" customHeight="1" x14ac:dyDescent="0.3">
      <c r="A848" s="21">
        <v>2023</v>
      </c>
      <c r="B848" s="22"/>
      <c r="H848" s="21" t="s">
        <v>5991</v>
      </c>
      <c r="I848" s="21" t="s">
        <v>803</v>
      </c>
      <c r="J848" s="138" t="s">
        <v>5992</v>
      </c>
      <c r="K848" s="21" t="e">
        <f t="shared" ca="1" si="6"/>
        <v>#NAME?</v>
      </c>
      <c r="L848" s="24">
        <v>1993</v>
      </c>
      <c r="N848" s="21" t="s">
        <v>111</v>
      </c>
      <c r="O848" s="21" t="s">
        <v>112</v>
      </c>
      <c r="P848" s="26">
        <v>7995543347</v>
      </c>
      <c r="Q848" s="26" t="e">
        <f t="shared" ca="1" si="7"/>
        <v>#NAME?</v>
      </c>
      <c r="R848" s="21" t="s">
        <v>188</v>
      </c>
      <c r="S848" s="21" t="s">
        <v>5993</v>
      </c>
      <c r="U848" s="21" t="s">
        <v>4765</v>
      </c>
      <c r="V848" s="21" t="s">
        <v>4765</v>
      </c>
      <c r="W848" s="21" t="s">
        <v>266</v>
      </c>
      <c r="X848" s="21" t="s">
        <v>5994</v>
      </c>
      <c r="Y848" s="21" t="s">
        <v>5995</v>
      </c>
      <c r="Z848" s="21" t="s">
        <v>284</v>
      </c>
      <c r="AA848" s="21" t="s">
        <v>5996</v>
      </c>
    </row>
    <row r="849" spans="1:27" ht="15.75" customHeight="1" x14ac:dyDescent="0.3">
      <c r="A849" s="21">
        <v>2023</v>
      </c>
      <c r="B849" s="22"/>
      <c r="H849" s="21" t="s">
        <v>5997</v>
      </c>
      <c r="I849" s="21" t="s">
        <v>5998</v>
      </c>
      <c r="J849" s="138" t="s">
        <v>5999</v>
      </c>
      <c r="K849" s="21" t="e">
        <f t="shared" ca="1" si="6"/>
        <v>#NAME?</v>
      </c>
      <c r="L849" s="24">
        <v>2011</v>
      </c>
      <c r="N849" s="21" t="s">
        <v>111</v>
      </c>
      <c r="O849" s="21" t="s">
        <v>112</v>
      </c>
      <c r="P849" s="26">
        <v>9440162070</v>
      </c>
      <c r="Q849" s="26" t="e">
        <f t="shared" ca="1" si="7"/>
        <v>#NAME?</v>
      </c>
      <c r="R849" s="21" t="s">
        <v>5965</v>
      </c>
      <c r="S849" s="21" t="s">
        <v>6000</v>
      </c>
      <c r="U849" s="21" t="s">
        <v>6001</v>
      </c>
      <c r="V849" s="21" t="s">
        <v>6001</v>
      </c>
      <c r="W849" s="21" t="s">
        <v>6002</v>
      </c>
      <c r="X849" s="21" t="s">
        <v>179</v>
      </c>
      <c r="Y849" s="21" t="s">
        <v>179</v>
      </c>
      <c r="Z849" s="21" t="s">
        <v>6003</v>
      </c>
      <c r="AA849" s="21" t="s">
        <v>5214</v>
      </c>
    </row>
    <row r="850" spans="1:27" ht="15.75" customHeight="1" x14ac:dyDescent="0.3">
      <c r="A850" s="21">
        <v>2023</v>
      </c>
      <c r="B850" s="22"/>
      <c r="H850" s="21" t="s">
        <v>6004</v>
      </c>
      <c r="I850" s="21" t="s">
        <v>957</v>
      </c>
      <c r="J850" s="21" t="s">
        <v>6005</v>
      </c>
      <c r="K850" s="21" t="e">
        <f t="shared" ca="1" si="6"/>
        <v>#NAME?</v>
      </c>
      <c r="L850" s="24">
        <v>1997</v>
      </c>
      <c r="N850" s="21" t="s">
        <v>111</v>
      </c>
      <c r="O850" s="21" t="s">
        <v>112</v>
      </c>
      <c r="P850" s="26">
        <v>9940624018</v>
      </c>
      <c r="Q850" s="26" t="e">
        <f t="shared" ca="1" si="7"/>
        <v>#NAME?</v>
      </c>
      <c r="R850" s="21" t="s">
        <v>188</v>
      </c>
      <c r="S850" s="21" t="s">
        <v>6006</v>
      </c>
      <c r="U850" s="21" t="s">
        <v>6007</v>
      </c>
      <c r="V850" s="21" t="s">
        <v>6007</v>
      </c>
      <c r="W850" s="21" t="s">
        <v>498</v>
      </c>
      <c r="X850" s="21" t="s">
        <v>179</v>
      </c>
      <c r="Y850" s="21" t="s">
        <v>179</v>
      </c>
      <c r="Z850" s="21" t="s">
        <v>296</v>
      </c>
      <c r="AA850" s="21" t="s">
        <v>297</v>
      </c>
    </row>
    <row r="851" spans="1:27" ht="15.75" customHeight="1" x14ac:dyDescent="0.3">
      <c r="A851" s="21">
        <v>2023</v>
      </c>
      <c r="B851" s="22"/>
      <c r="H851" s="21" t="s">
        <v>6008</v>
      </c>
      <c r="I851" s="21" t="s">
        <v>6009</v>
      </c>
      <c r="J851" s="21" t="s">
        <v>1767</v>
      </c>
      <c r="K851" s="21" t="e">
        <f t="shared" ca="1" si="6"/>
        <v>#NAME?</v>
      </c>
      <c r="L851" s="24">
        <v>1985</v>
      </c>
      <c r="N851" s="21" t="s">
        <v>111</v>
      </c>
      <c r="O851" s="21" t="s">
        <v>112</v>
      </c>
      <c r="P851" s="26">
        <v>9948417126</v>
      </c>
      <c r="Q851" s="26" t="e">
        <f t="shared" ca="1" si="7"/>
        <v>#NAME?</v>
      </c>
      <c r="R851" s="21" t="s">
        <v>188</v>
      </c>
      <c r="S851" s="21" t="s">
        <v>6010</v>
      </c>
      <c r="U851" s="21" t="s">
        <v>6011</v>
      </c>
      <c r="V851" s="21" t="s">
        <v>6011</v>
      </c>
      <c r="W851" s="21" t="s">
        <v>6012</v>
      </c>
      <c r="X851" s="21" t="s">
        <v>308</v>
      </c>
      <c r="Y851" s="21" t="s">
        <v>308</v>
      </c>
      <c r="Z851" s="21" t="s">
        <v>127</v>
      </c>
      <c r="AA851" s="21" t="s">
        <v>6013</v>
      </c>
    </row>
    <row r="852" spans="1:27" ht="15.75" customHeight="1" x14ac:dyDescent="0.3">
      <c r="A852" s="21">
        <v>2023</v>
      </c>
      <c r="B852" s="22"/>
      <c r="H852" s="21" t="s">
        <v>6014</v>
      </c>
      <c r="I852" s="21" t="s">
        <v>6015</v>
      </c>
      <c r="J852" s="21" t="s">
        <v>6016</v>
      </c>
      <c r="K852" s="21" t="e">
        <f t="shared" ca="1" si="6"/>
        <v>#NAME?</v>
      </c>
      <c r="L852" s="24">
        <v>1983</v>
      </c>
      <c r="N852" s="21" t="s">
        <v>111</v>
      </c>
      <c r="O852" s="21" t="s">
        <v>112</v>
      </c>
      <c r="P852" s="26">
        <v>9247579233</v>
      </c>
      <c r="Q852" s="26" t="e">
        <f t="shared" ca="1" si="7"/>
        <v>#NAME?</v>
      </c>
      <c r="R852" s="21" t="s">
        <v>188</v>
      </c>
      <c r="S852" s="21" t="s">
        <v>1259</v>
      </c>
      <c r="U852" s="21" t="s">
        <v>6017</v>
      </c>
      <c r="V852" s="21" t="s">
        <v>6017</v>
      </c>
      <c r="W852" s="21" t="s">
        <v>6018</v>
      </c>
      <c r="X852" s="21" t="s">
        <v>6019</v>
      </c>
      <c r="Y852" s="21" t="s">
        <v>179</v>
      </c>
      <c r="Z852" s="21" t="s">
        <v>284</v>
      </c>
      <c r="AA852" s="21" t="s">
        <v>6020</v>
      </c>
    </row>
    <row r="853" spans="1:27" ht="15.75" customHeight="1" x14ac:dyDescent="0.3">
      <c r="A853" s="21">
        <v>2023</v>
      </c>
      <c r="B853" s="22"/>
      <c r="H853" s="21" t="s">
        <v>6021</v>
      </c>
      <c r="I853" s="21" t="s">
        <v>6015</v>
      </c>
      <c r="J853" s="138" t="s">
        <v>6022</v>
      </c>
      <c r="K853" s="21" t="e">
        <f t="shared" ca="1" si="6"/>
        <v>#NAME?</v>
      </c>
      <c r="L853" s="24">
        <v>1980</v>
      </c>
      <c r="N853" s="21" t="s">
        <v>111</v>
      </c>
      <c r="O853" s="21" t="s">
        <v>112</v>
      </c>
      <c r="P853" s="26">
        <v>9032334245</v>
      </c>
      <c r="Q853" s="26" t="e">
        <f t="shared" ca="1" si="7"/>
        <v>#NAME?</v>
      </c>
      <c r="R853" s="21" t="s">
        <v>188</v>
      </c>
      <c r="S853" s="21" t="s">
        <v>6023</v>
      </c>
      <c r="U853" s="21" t="s">
        <v>6024</v>
      </c>
      <c r="V853" s="21" t="s">
        <v>6024</v>
      </c>
      <c r="W853" s="21" t="s">
        <v>6018</v>
      </c>
      <c r="X853" s="21" t="s">
        <v>179</v>
      </c>
      <c r="Y853" s="21" t="s">
        <v>179</v>
      </c>
      <c r="Z853" s="21" t="s">
        <v>284</v>
      </c>
      <c r="AA853" s="21" t="s">
        <v>6025</v>
      </c>
    </row>
    <row r="854" spans="1:27" ht="15.75" customHeight="1" x14ac:dyDescent="0.3">
      <c r="A854" s="21">
        <v>2023</v>
      </c>
      <c r="B854" s="22"/>
      <c r="H854" s="21" t="s">
        <v>6026</v>
      </c>
      <c r="I854" s="21" t="s">
        <v>6027</v>
      </c>
      <c r="J854" s="21" t="s">
        <v>1767</v>
      </c>
      <c r="K854" s="21" t="e">
        <f t="shared" ca="1" si="6"/>
        <v>#NAME?</v>
      </c>
      <c r="L854" s="24">
        <v>1979</v>
      </c>
      <c r="N854" s="21" t="s">
        <v>111</v>
      </c>
      <c r="O854" s="21" t="s">
        <v>112</v>
      </c>
      <c r="P854" s="26">
        <v>8008193838</v>
      </c>
      <c r="Q854" s="26" t="e">
        <f t="shared" ca="1" si="7"/>
        <v>#NAME?</v>
      </c>
      <c r="R854" s="21" t="s">
        <v>188</v>
      </c>
      <c r="S854" s="21" t="s">
        <v>6028</v>
      </c>
      <c r="U854" s="21" t="s">
        <v>6029</v>
      </c>
      <c r="V854" s="21" t="s">
        <v>6029</v>
      </c>
      <c r="W854" s="21" t="s">
        <v>488</v>
      </c>
      <c r="X854" s="21" t="s">
        <v>179</v>
      </c>
      <c r="Y854" s="21" t="s">
        <v>179</v>
      </c>
      <c r="Z854" s="21" t="s">
        <v>284</v>
      </c>
      <c r="AA854" s="21" t="s">
        <v>450</v>
      </c>
    </row>
    <row r="855" spans="1:27" ht="15.75" customHeight="1" x14ac:dyDescent="0.3">
      <c r="A855" s="21">
        <v>2023</v>
      </c>
      <c r="B855" s="22"/>
      <c r="H855" s="21" t="s">
        <v>6030</v>
      </c>
      <c r="I855" s="21" t="s">
        <v>6031</v>
      </c>
      <c r="J855" s="21" t="s">
        <v>6032</v>
      </c>
      <c r="K855" s="21" t="e">
        <f t="shared" ca="1" si="6"/>
        <v>#NAME?</v>
      </c>
      <c r="L855" s="24">
        <v>1968</v>
      </c>
      <c r="N855" s="21" t="s">
        <v>111</v>
      </c>
      <c r="O855" s="21" t="s">
        <v>112</v>
      </c>
      <c r="P855" s="26">
        <v>9949871879</v>
      </c>
      <c r="Q855" s="26" t="e">
        <f t="shared" ca="1" si="7"/>
        <v>#NAME?</v>
      </c>
      <c r="R855" s="21" t="s">
        <v>188</v>
      </c>
      <c r="S855" s="21" t="s">
        <v>6033</v>
      </c>
      <c r="U855" s="21" t="s">
        <v>6034</v>
      </c>
      <c r="V855" s="21" t="s">
        <v>6034</v>
      </c>
      <c r="W855" s="21" t="s">
        <v>266</v>
      </c>
      <c r="X855" s="21" t="s">
        <v>179</v>
      </c>
      <c r="Y855" s="21" t="s">
        <v>179</v>
      </c>
      <c r="Z855" s="21" t="s">
        <v>2155</v>
      </c>
      <c r="AA855" s="21" t="s">
        <v>6035</v>
      </c>
    </row>
    <row r="856" spans="1:27" ht="15.75" customHeight="1" x14ac:dyDescent="0.3">
      <c r="A856" s="21">
        <v>2023</v>
      </c>
      <c r="B856" s="22"/>
      <c r="H856" s="21" t="s">
        <v>6036</v>
      </c>
      <c r="I856" s="21" t="s">
        <v>4332</v>
      </c>
      <c r="J856" s="21" t="s">
        <v>281</v>
      </c>
      <c r="K856" s="21" t="e">
        <f t="shared" ca="1" si="6"/>
        <v>#NAME?</v>
      </c>
      <c r="L856" s="24">
        <v>1970</v>
      </c>
      <c r="N856" s="21" t="s">
        <v>111</v>
      </c>
      <c r="O856" s="21" t="s">
        <v>112</v>
      </c>
      <c r="P856" s="26">
        <v>9000280703</v>
      </c>
      <c r="Q856" s="26" t="e">
        <f t="shared" ca="1" si="7"/>
        <v>#NAME?</v>
      </c>
      <c r="R856" s="21" t="s">
        <v>188</v>
      </c>
      <c r="S856" s="21" t="s">
        <v>3819</v>
      </c>
      <c r="U856" s="21" t="s">
        <v>6037</v>
      </c>
      <c r="V856" s="21" t="s">
        <v>6037</v>
      </c>
      <c r="W856" s="21" t="s">
        <v>266</v>
      </c>
      <c r="X856" s="21" t="s">
        <v>179</v>
      </c>
      <c r="Y856" s="21" t="s">
        <v>179</v>
      </c>
      <c r="Z856" s="21" t="s">
        <v>284</v>
      </c>
      <c r="AA856" s="21" t="s">
        <v>6038</v>
      </c>
    </row>
    <row r="857" spans="1:27" ht="15.75" customHeight="1" x14ac:dyDescent="0.3">
      <c r="A857" s="21">
        <v>2023</v>
      </c>
      <c r="B857" s="22"/>
      <c r="H857" s="21" t="s">
        <v>6039</v>
      </c>
      <c r="I857" s="21" t="s">
        <v>6040</v>
      </c>
      <c r="J857" s="21" t="s">
        <v>6041</v>
      </c>
      <c r="K857" s="21" t="e">
        <f t="shared" ca="1" si="6"/>
        <v>#NAME?</v>
      </c>
      <c r="L857" s="24">
        <v>2010</v>
      </c>
      <c r="N857" s="21" t="s">
        <v>111</v>
      </c>
      <c r="O857" s="21" t="s">
        <v>112</v>
      </c>
      <c r="P857" s="26">
        <v>9963534314</v>
      </c>
      <c r="Q857" s="26" t="e">
        <f t="shared" ca="1" si="7"/>
        <v>#NAME?</v>
      </c>
      <c r="R857" s="21" t="s">
        <v>188</v>
      </c>
      <c r="S857" s="21" t="s">
        <v>6042</v>
      </c>
      <c r="U857" s="21" t="s">
        <v>6043</v>
      </c>
      <c r="V857" s="21" t="s">
        <v>6043</v>
      </c>
      <c r="W857" s="21" t="s">
        <v>307</v>
      </c>
      <c r="X857" s="21" t="s">
        <v>885</v>
      </c>
      <c r="Y857" s="21" t="s">
        <v>885</v>
      </c>
      <c r="Z857" s="21" t="s">
        <v>6044</v>
      </c>
      <c r="AA857" s="21" t="s">
        <v>1658</v>
      </c>
    </row>
    <row r="858" spans="1:27" ht="15.75" customHeight="1" x14ac:dyDescent="0.3">
      <c r="A858" s="21">
        <v>2023</v>
      </c>
      <c r="B858" s="22"/>
      <c r="H858" s="21" t="s">
        <v>6045</v>
      </c>
      <c r="I858" s="21" t="s">
        <v>6040</v>
      </c>
      <c r="J858" s="21" t="s">
        <v>6046</v>
      </c>
      <c r="K858" s="21" t="e">
        <f t="shared" ca="1" si="6"/>
        <v>#NAME?</v>
      </c>
      <c r="L858" s="24">
        <v>1978</v>
      </c>
      <c r="N858" s="21" t="s">
        <v>111</v>
      </c>
      <c r="O858" s="21" t="s">
        <v>112</v>
      </c>
      <c r="P858" s="26">
        <v>9885294314</v>
      </c>
      <c r="Q858" s="26" t="e">
        <f t="shared" ca="1" si="7"/>
        <v>#NAME?</v>
      </c>
      <c r="R858" s="21" t="s">
        <v>188</v>
      </c>
      <c r="S858" s="21" t="s">
        <v>6047</v>
      </c>
      <c r="U858" s="21" t="s">
        <v>6048</v>
      </c>
      <c r="V858" s="21" t="s">
        <v>6048</v>
      </c>
      <c r="W858" s="21" t="s">
        <v>307</v>
      </c>
      <c r="X858" s="21" t="s">
        <v>211</v>
      </c>
      <c r="Y858" s="21" t="s">
        <v>211</v>
      </c>
      <c r="Z858" s="21" t="s">
        <v>127</v>
      </c>
      <c r="AA858" s="21" t="s">
        <v>6049</v>
      </c>
    </row>
    <row r="859" spans="1:27" ht="15.75" customHeight="1" x14ac:dyDescent="0.3">
      <c r="A859" s="21">
        <v>2023</v>
      </c>
      <c r="B859" s="22"/>
      <c r="H859" s="21" t="s">
        <v>6050</v>
      </c>
      <c r="I859" s="21" t="s">
        <v>6040</v>
      </c>
      <c r="J859" s="21" t="s">
        <v>281</v>
      </c>
      <c r="K859" s="21" t="e">
        <f t="shared" ca="1" si="6"/>
        <v>#NAME?</v>
      </c>
      <c r="L859" s="24">
        <v>1967</v>
      </c>
      <c r="N859" s="21" t="s">
        <v>111</v>
      </c>
      <c r="O859" s="21" t="s">
        <v>112</v>
      </c>
      <c r="P859" s="26">
        <v>7680070549</v>
      </c>
      <c r="Q859" s="26" t="e">
        <f t="shared" ca="1" si="7"/>
        <v>#NAME?</v>
      </c>
      <c r="R859" s="21" t="s">
        <v>188</v>
      </c>
      <c r="S859" s="21" t="s">
        <v>6051</v>
      </c>
      <c r="U859" s="21" t="s">
        <v>6052</v>
      </c>
      <c r="V859" s="21" t="s">
        <v>6052</v>
      </c>
      <c r="W859" s="21" t="s">
        <v>488</v>
      </c>
      <c r="X859" s="21" t="s">
        <v>352</v>
      </c>
      <c r="Y859" s="21" t="s">
        <v>308</v>
      </c>
      <c r="Z859" s="21" t="s">
        <v>284</v>
      </c>
      <c r="AA859" s="21" t="s">
        <v>6053</v>
      </c>
    </row>
    <row r="860" spans="1:27" ht="15.75" customHeight="1" x14ac:dyDescent="0.3">
      <c r="A860" s="21">
        <v>2023</v>
      </c>
      <c r="B860" s="22"/>
      <c r="H860" s="21" t="s">
        <v>6054</v>
      </c>
      <c r="I860" s="21" t="s">
        <v>6040</v>
      </c>
      <c r="J860" s="21" t="s">
        <v>6055</v>
      </c>
      <c r="K860" s="21" t="e">
        <f t="shared" ca="1" si="6"/>
        <v>#NAME?</v>
      </c>
      <c r="L860" s="24">
        <v>1965</v>
      </c>
      <c r="N860" s="21" t="s">
        <v>111</v>
      </c>
      <c r="O860" s="21" t="s">
        <v>112</v>
      </c>
      <c r="P860" s="26">
        <v>6301382275</v>
      </c>
      <c r="Q860" s="26" t="e">
        <f t="shared" ca="1" si="7"/>
        <v>#NAME?</v>
      </c>
      <c r="R860" s="21" t="s">
        <v>6056</v>
      </c>
      <c r="S860" s="21" t="s">
        <v>6057</v>
      </c>
      <c r="U860" s="21" t="s">
        <v>6052</v>
      </c>
      <c r="V860" s="21" t="s">
        <v>6052</v>
      </c>
      <c r="W860" s="21" t="s">
        <v>328</v>
      </c>
      <c r="X860" s="21" t="s">
        <v>179</v>
      </c>
      <c r="Y860" s="21" t="s">
        <v>179</v>
      </c>
      <c r="Z860" s="21" t="s">
        <v>6058</v>
      </c>
      <c r="AA860" s="21" t="s">
        <v>6059</v>
      </c>
    </row>
    <row r="861" spans="1:27" ht="15.75" customHeight="1" x14ac:dyDescent="0.3">
      <c r="A861" s="21">
        <v>2023</v>
      </c>
      <c r="B861" s="22"/>
      <c r="H861" s="21" t="s">
        <v>4841</v>
      </c>
      <c r="I861" s="21" t="s">
        <v>6060</v>
      </c>
      <c r="J861" s="21" t="s">
        <v>6061</v>
      </c>
      <c r="K861" s="21" t="e">
        <f t="shared" ca="1" si="6"/>
        <v>#NAME?</v>
      </c>
      <c r="L861" s="24">
        <v>1968</v>
      </c>
      <c r="N861" s="21" t="s">
        <v>111</v>
      </c>
      <c r="O861" s="21" t="s">
        <v>112</v>
      </c>
      <c r="P861" s="26">
        <v>9440070424</v>
      </c>
      <c r="Q861" s="26" t="e">
        <f t="shared" ca="1" si="7"/>
        <v>#NAME?</v>
      </c>
      <c r="R861" s="21" t="s">
        <v>6062</v>
      </c>
      <c r="S861" s="21" t="s">
        <v>6063</v>
      </c>
      <c r="U861" s="21" t="s">
        <v>6064</v>
      </c>
      <c r="V861" s="21" t="s">
        <v>6064</v>
      </c>
      <c r="W861" s="21" t="s">
        <v>1370</v>
      </c>
      <c r="X861" s="21" t="s">
        <v>165</v>
      </c>
      <c r="Y861" s="21" t="s">
        <v>165</v>
      </c>
      <c r="Z861" s="21" t="s">
        <v>2155</v>
      </c>
      <c r="AA861" s="21" t="s">
        <v>6065</v>
      </c>
    </row>
    <row r="862" spans="1:27" ht="15.75" customHeight="1" x14ac:dyDescent="0.3">
      <c r="A862" s="21">
        <v>2023</v>
      </c>
      <c r="B862" s="22"/>
      <c r="H862" s="21" t="s">
        <v>6066</v>
      </c>
      <c r="I862" s="21" t="s">
        <v>6067</v>
      </c>
      <c r="J862" s="21" t="s">
        <v>6068</v>
      </c>
      <c r="K862" s="21" t="e">
        <f t="shared" ca="1" si="6"/>
        <v>#NAME?</v>
      </c>
      <c r="L862" s="24">
        <v>1972</v>
      </c>
      <c r="N862" s="21" t="s">
        <v>111</v>
      </c>
      <c r="O862" s="21" t="s">
        <v>112</v>
      </c>
      <c r="P862" s="26">
        <v>9030711945</v>
      </c>
      <c r="Q862" s="26" t="e">
        <f t="shared" ca="1" si="7"/>
        <v>#NAME?</v>
      </c>
      <c r="R862" s="21" t="s">
        <v>188</v>
      </c>
      <c r="S862" s="21" t="s">
        <v>5889</v>
      </c>
      <c r="U862" s="21" t="s">
        <v>6069</v>
      </c>
      <c r="V862" s="21" t="s">
        <v>6069</v>
      </c>
      <c r="W862" s="21" t="s">
        <v>307</v>
      </c>
      <c r="X862" s="21" t="s">
        <v>1706</v>
      </c>
      <c r="Y862" s="21" t="s">
        <v>1706</v>
      </c>
      <c r="Z862" s="21" t="s">
        <v>127</v>
      </c>
      <c r="AA862" s="21" t="s">
        <v>6070</v>
      </c>
    </row>
    <row r="863" spans="1:27" ht="15.75" customHeight="1" x14ac:dyDescent="0.3">
      <c r="A863" s="21">
        <v>2023</v>
      </c>
      <c r="B863" s="22"/>
      <c r="H863" s="21" t="s">
        <v>6071</v>
      </c>
      <c r="I863" s="21" t="s">
        <v>5670</v>
      </c>
      <c r="J863" s="21" t="s">
        <v>6072</v>
      </c>
      <c r="K863" s="21" t="e">
        <f t="shared" ca="1" si="6"/>
        <v>#NAME?</v>
      </c>
      <c r="L863" s="24">
        <v>2014</v>
      </c>
      <c r="N863" s="21" t="s">
        <v>111</v>
      </c>
      <c r="O863" s="21" t="s">
        <v>112</v>
      </c>
      <c r="P863" s="26">
        <v>9959578625</v>
      </c>
      <c r="Q863" s="26" t="e">
        <f t="shared" ca="1" si="7"/>
        <v>#NAME?</v>
      </c>
      <c r="R863" s="21" t="s">
        <v>4776</v>
      </c>
      <c r="S863" s="21" t="s">
        <v>6073</v>
      </c>
      <c r="U863" s="21" t="s">
        <v>6074</v>
      </c>
      <c r="V863" s="21" t="s">
        <v>6074</v>
      </c>
      <c r="W863" s="21" t="s">
        <v>488</v>
      </c>
      <c r="X863" s="21" t="s">
        <v>179</v>
      </c>
      <c r="Y863" s="21" t="s">
        <v>406</v>
      </c>
      <c r="Z863" s="21" t="s">
        <v>6075</v>
      </c>
      <c r="AA863" s="21" t="s">
        <v>1086</v>
      </c>
    </row>
    <row r="864" spans="1:27" ht="15.75" customHeight="1" x14ac:dyDescent="0.3">
      <c r="A864" s="21">
        <v>2023</v>
      </c>
      <c r="B864" s="22"/>
      <c r="H864" s="21" t="s">
        <v>6076</v>
      </c>
      <c r="I864" s="21" t="s">
        <v>6077</v>
      </c>
      <c r="J864" s="21" t="s">
        <v>2659</v>
      </c>
      <c r="K864" s="21" t="e">
        <f t="shared" ca="1" si="6"/>
        <v>#NAME?</v>
      </c>
      <c r="L864" s="24">
        <v>1963</v>
      </c>
      <c r="N864" s="21" t="s">
        <v>111</v>
      </c>
      <c r="O864" s="21" t="s">
        <v>112</v>
      </c>
      <c r="P864" s="26">
        <v>8985970546</v>
      </c>
      <c r="Q864" s="26" t="e">
        <f t="shared" ca="1" si="7"/>
        <v>#NAME?</v>
      </c>
      <c r="R864" s="21" t="s">
        <v>6078</v>
      </c>
      <c r="S864" s="21" t="s">
        <v>6079</v>
      </c>
      <c r="U864" s="21" t="s">
        <v>6080</v>
      </c>
      <c r="V864" s="21" t="s">
        <v>6080</v>
      </c>
      <c r="W864" s="21" t="s">
        <v>488</v>
      </c>
      <c r="X864" s="21" t="s">
        <v>165</v>
      </c>
      <c r="Y864" s="21" t="s">
        <v>165</v>
      </c>
      <c r="Z864" s="21" t="s">
        <v>2155</v>
      </c>
      <c r="AA864" s="21" t="s">
        <v>6081</v>
      </c>
    </row>
    <row r="865" spans="1:27" ht="15.75" customHeight="1" x14ac:dyDescent="0.3">
      <c r="A865" s="21">
        <v>2023</v>
      </c>
      <c r="B865" s="22"/>
      <c r="H865" s="21" t="s">
        <v>6082</v>
      </c>
      <c r="I865" s="21" t="s">
        <v>1053</v>
      </c>
      <c r="J865" s="21" t="s">
        <v>6083</v>
      </c>
      <c r="K865" s="21" t="e">
        <f t="shared" ca="1" si="6"/>
        <v>#NAME?</v>
      </c>
      <c r="L865" s="24">
        <v>1981</v>
      </c>
      <c r="N865" s="21" t="s">
        <v>111</v>
      </c>
      <c r="O865" s="21" t="s">
        <v>112</v>
      </c>
      <c r="P865" s="26">
        <v>9886759258</v>
      </c>
      <c r="Q865" s="26" t="e">
        <f t="shared" ca="1" si="7"/>
        <v>#NAME?</v>
      </c>
      <c r="R865" s="21" t="s">
        <v>664</v>
      </c>
      <c r="S865" s="21" t="s">
        <v>2516</v>
      </c>
      <c r="U865" s="21" t="s">
        <v>6084</v>
      </c>
      <c r="V865" s="21" t="s">
        <v>6084</v>
      </c>
      <c r="W865" s="21" t="s">
        <v>488</v>
      </c>
      <c r="X865" s="21" t="s">
        <v>179</v>
      </c>
      <c r="Y865" s="21" t="s">
        <v>179</v>
      </c>
      <c r="Z865" s="21" t="s">
        <v>284</v>
      </c>
      <c r="AA865" s="21" t="s">
        <v>450</v>
      </c>
    </row>
    <row r="866" spans="1:27" ht="15.75" customHeight="1" x14ac:dyDescent="0.3">
      <c r="A866" s="21">
        <v>2023</v>
      </c>
      <c r="B866" s="22"/>
      <c r="H866" s="21" t="s">
        <v>6085</v>
      </c>
      <c r="I866" s="21" t="s">
        <v>1813</v>
      </c>
      <c r="J866" s="21" t="s">
        <v>6086</v>
      </c>
      <c r="K866" s="21" t="e">
        <f t="shared" ca="1" si="6"/>
        <v>#NAME?</v>
      </c>
      <c r="L866" s="24">
        <v>1975</v>
      </c>
      <c r="N866" s="21" t="s">
        <v>111</v>
      </c>
      <c r="O866" s="21" t="s">
        <v>112</v>
      </c>
      <c r="P866" s="26">
        <v>9866970502</v>
      </c>
      <c r="Q866" s="26" t="e">
        <f t="shared" ca="1" si="7"/>
        <v>#NAME?</v>
      </c>
      <c r="R866" s="21" t="s">
        <v>188</v>
      </c>
      <c r="S866" s="21" t="s">
        <v>6087</v>
      </c>
      <c r="U866" s="21" t="s">
        <v>6088</v>
      </c>
      <c r="V866" s="21" t="s">
        <v>6088</v>
      </c>
      <c r="W866" s="21" t="s">
        <v>498</v>
      </c>
      <c r="X866" s="21" t="s">
        <v>179</v>
      </c>
      <c r="Y866" s="21" t="s">
        <v>179</v>
      </c>
      <c r="Z866" s="21" t="s">
        <v>284</v>
      </c>
      <c r="AA866" s="21" t="s">
        <v>4165</v>
      </c>
    </row>
    <row r="867" spans="1:27" ht="15.75" customHeight="1" x14ac:dyDescent="0.3">
      <c r="A867" s="21">
        <v>2023</v>
      </c>
      <c r="B867" s="22"/>
      <c r="H867" s="21" t="s">
        <v>6089</v>
      </c>
      <c r="I867" s="21" t="s">
        <v>3819</v>
      </c>
      <c r="J867" s="21" t="s">
        <v>6090</v>
      </c>
      <c r="K867" s="21" t="e">
        <f t="shared" ca="1" si="6"/>
        <v>#NAME?</v>
      </c>
      <c r="L867" s="24">
        <v>1965</v>
      </c>
      <c r="N867" s="21" t="s">
        <v>111</v>
      </c>
      <c r="O867" s="21" t="s">
        <v>112</v>
      </c>
      <c r="P867" s="26">
        <v>9282225300</v>
      </c>
      <c r="Q867" s="26" t="e">
        <f t="shared" ca="1" si="7"/>
        <v>#NAME?</v>
      </c>
      <c r="R867" s="21" t="s">
        <v>6091</v>
      </c>
      <c r="S867" s="21" t="s">
        <v>3290</v>
      </c>
      <c r="U867" s="21" t="s">
        <v>6092</v>
      </c>
      <c r="V867" s="21" t="s">
        <v>6092</v>
      </c>
      <c r="W867" s="21" t="s">
        <v>488</v>
      </c>
      <c r="X867" s="21" t="s">
        <v>6093</v>
      </c>
      <c r="Y867" s="21" t="s">
        <v>5744</v>
      </c>
      <c r="Z867" s="21" t="s">
        <v>284</v>
      </c>
      <c r="AA867" s="21" t="s">
        <v>6094</v>
      </c>
    </row>
    <row r="868" spans="1:27" ht="15.75" customHeight="1" x14ac:dyDescent="0.3">
      <c r="A868" s="21">
        <v>2023</v>
      </c>
      <c r="B868" s="22"/>
      <c r="H868" s="21" t="s">
        <v>6095</v>
      </c>
      <c r="I868" s="21" t="s">
        <v>6096</v>
      </c>
      <c r="J868" s="138" t="s">
        <v>6097</v>
      </c>
      <c r="K868" s="21" t="e">
        <f t="shared" ca="1" si="6"/>
        <v>#NAME?</v>
      </c>
      <c r="L868" s="24">
        <v>2009</v>
      </c>
      <c r="N868" s="21" t="s">
        <v>111</v>
      </c>
      <c r="O868" s="21" t="s">
        <v>112</v>
      </c>
      <c r="P868" s="26">
        <v>9848362099</v>
      </c>
      <c r="Q868" s="26" t="e">
        <f t="shared" ca="1" si="7"/>
        <v>#NAME?</v>
      </c>
      <c r="R868" s="21" t="s">
        <v>4922</v>
      </c>
      <c r="S868" s="21" t="s">
        <v>4794</v>
      </c>
      <c r="U868" s="21" t="s">
        <v>6098</v>
      </c>
      <c r="V868" s="21" t="s">
        <v>6098</v>
      </c>
      <c r="W868" s="21" t="s">
        <v>6099</v>
      </c>
      <c r="X868" s="21" t="s">
        <v>179</v>
      </c>
      <c r="Y868" s="21" t="s">
        <v>179</v>
      </c>
      <c r="Z868" s="21" t="s">
        <v>6100</v>
      </c>
      <c r="AA868" s="21" t="s">
        <v>396</v>
      </c>
    </row>
    <row r="869" spans="1:27" ht="15.75" customHeight="1" x14ac:dyDescent="0.3">
      <c r="A869" s="21">
        <v>2023</v>
      </c>
      <c r="B869" s="22"/>
      <c r="H869" s="21" t="s">
        <v>6095</v>
      </c>
      <c r="I869" s="21" t="s">
        <v>6096</v>
      </c>
      <c r="J869" s="21" t="s">
        <v>6101</v>
      </c>
      <c r="K869" s="21" t="e">
        <f t="shared" ca="1" si="6"/>
        <v>#NAME?</v>
      </c>
      <c r="L869" s="24">
        <v>2014</v>
      </c>
      <c r="N869" s="21" t="s">
        <v>111</v>
      </c>
      <c r="O869" s="21" t="s">
        <v>112</v>
      </c>
      <c r="P869" s="26">
        <v>9848362099</v>
      </c>
      <c r="Q869" s="26" t="e">
        <f t="shared" ca="1" si="7"/>
        <v>#NAME?</v>
      </c>
      <c r="R869" s="21" t="s">
        <v>4776</v>
      </c>
      <c r="S869" s="21" t="s">
        <v>6102</v>
      </c>
      <c r="U869" s="21" t="s">
        <v>6098</v>
      </c>
      <c r="V869" s="21" t="s">
        <v>6098</v>
      </c>
      <c r="W869" s="21" t="s">
        <v>6099</v>
      </c>
      <c r="X869" s="21" t="s">
        <v>179</v>
      </c>
      <c r="Y869" s="21" t="s">
        <v>179</v>
      </c>
      <c r="Z869" s="21" t="s">
        <v>6100</v>
      </c>
      <c r="AA869" s="21" t="s">
        <v>396</v>
      </c>
    </row>
    <row r="870" spans="1:27" ht="15.75" customHeight="1" x14ac:dyDescent="0.3">
      <c r="A870" s="21">
        <v>2023</v>
      </c>
      <c r="B870" s="22"/>
      <c r="H870" s="21" t="s">
        <v>6103</v>
      </c>
      <c r="I870" s="21" t="s">
        <v>6104</v>
      </c>
      <c r="J870" s="21" t="s">
        <v>281</v>
      </c>
      <c r="K870" s="21" t="e">
        <f t="shared" ca="1" si="6"/>
        <v>#NAME?</v>
      </c>
      <c r="L870" s="24">
        <v>1968</v>
      </c>
      <c r="N870" s="21" t="s">
        <v>111</v>
      </c>
      <c r="O870" s="21" t="s">
        <v>112</v>
      </c>
      <c r="P870" s="26">
        <v>9880483235</v>
      </c>
      <c r="Q870" s="26" t="e">
        <f t="shared" ca="1" si="7"/>
        <v>#NAME?</v>
      </c>
      <c r="R870" s="21" t="s">
        <v>664</v>
      </c>
      <c r="S870" s="21" t="s">
        <v>6105</v>
      </c>
      <c r="U870" s="21" t="s">
        <v>6106</v>
      </c>
      <c r="V870" s="21" t="s">
        <v>6106</v>
      </c>
      <c r="W870" s="21" t="s">
        <v>328</v>
      </c>
      <c r="X870" s="21" t="s">
        <v>179</v>
      </c>
      <c r="Y870" s="21" t="s">
        <v>406</v>
      </c>
      <c r="Z870" s="21" t="s">
        <v>127</v>
      </c>
      <c r="AA870" s="21" t="s">
        <v>755</v>
      </c>
    </row>
    <row r="871" spans="1:27" ht="15.75" customHeight="1" x14ac:dyDescent="0.3">
      <c r="A871" s="21">
        <v>2023</v>
      </c>
      <c r="B871" s="22"/>
      <c r="H871" s="21" t="s">
        <v>6107</v>
      </c>
      <c r="I871" s="21" t="s">
        <v>1343</v>
      </c>
      <c r="J871" s="21" t="s">
        <v>6108</v>
      </c>
      <c r="K871" s="21" t="e">
        <f t="shared" ca="1" si="6"/>
        <v>#NAME?</v>
      </c>
      <c r="L871" s="24">
        <v>1998</v>
      </c>
      <c r="N871" s="21" t="s">
        <v>111</v>
      </c>
      <c r="O871" s="21" t="s">
        <v>112</v>
      </c>
      <c r="P871" s="26">
        <v>8500269787</v>
      </c>
      <c r="Q871" s="26" t="e">
        <f t="shared" ca="1" si="7"/>
        <v>#NAME?</v>
      </c>
      <c r="R871" s="21" t="s">
        <v>5110</v>
      </c>
      <c r="S871" s="21" t="s">
        <v>6109</v>
      </c>
      <c r="U871" s="21" t="s">
        <v>6110</v>
      </c>
      <c r="V871" s="21" t="s">
        <v>6110</v>
      </c>
      <c r="W871" s="21" t="s">
        <v>219</v>
      </c>
      <c r="X871" s="21" t="s">
        <v>179</v>
      </c>
      <c r="Y871" s="21" t="s">
        <v>179</v>
      </c>
      <c r="Z871" s="21" t="s">
        <v>6111</v>
      </c>
      <c r="AA871" s="21" t="s">
        <v>6112</v>
      </c>
    </row>
    <row r="872" spans="1:27" ht="15.75" customHeight="1" x14ac:dyDescent="0.3">
      <c r="A872" s="21">
        <v>2023</v>
      </c>
      <c r="B872" s="22"/>
      <c r="H872" s="21" t="s">
        <v>6113</v>
      </c>
      <c r="I872" s="21" t="s">
        <v>6114</v>
      </c>
      <c r="J872" s="21" t="s">
        <v>6115</v>
      </c>
      <c r="K872" s="21" t="e">
        <f t="shared" ca="1" si="6"/>
        <v>#NAME?</v>
      </c>
      <c r="L872" s="24">
        <v>1977</v>
      </c>
      <c r="N872" s="21" t="s">
        <v>260</v>
      </c>
      <c r="O872" s="21" t="s">
        <v>112</v>
      </c>
      <c r="P872" s="26">
        <v>9790173118</v>
      </c>
      <c r="Q872" s="26" t="e">
        <f t="shared" ca="1" si="7"/>
        <v>#NAME?</v>
      </c>
      <c r="R872" s="21" t="s">
        <v>6116</v>
      </c>
      <c r="S872" s="21" t="s">
        <v>6117</v>
      </c>
      <c r="U872" s="21" t="s">
        <v>5330</v>
      </c>
      <c r="V872" s="21" t="s">
        <v>5330</v>
      </c>
      <c r="W872" s="21" t="s">
        <v>5251</v>
      </c>
      <c r="X872" s="21" t="s">
        <v>179</v>
      </c>
      <c r="Y872" s="21" t="s">
        <v>179</v>
      </c>
      <c r="Z872" s="21" t="s">
        <v>284</v>
      </c>
      <c r="AA872" s="21" t="s">
        <v>526</v>
      </c>
    </row>
    <row r="873" spans="1:27" ht="15.75" customHeight="1" x14ac:dyDescent="0.3">
      <c r="A873" s="21">
        <v>2023</v>
      </c>
      <c r="B873" s="22"/>
      <c r="H873" s="21" t="s">
        <v>6118</v>
      </c>
      <c r="I873" s="21" t="s">
        <v>4554</v>
      </c>
      <c r="J873" s="21" t="s">
        <v>6119</v>
      </c>
      <c r="K873" s="21" t="e">
        <f t="shared" ca="1" si="6"/>
        <v>#NAME?</v>
      </c>
      <c r="L873" s="24">
        <v>1974</v>
      </c>
      <c r="N873" s="21" t="s">
        <v>111</v>
      </c>
      <c r="O873" s="21" t="s">
        <v>112</v>
      </c>
      <c r="P873" s="26">
        <v>9948808592</v>
      </c>
      <c r="Q873" s="26" t="e">
        <f t="shared" ca="1" si="7"/>
        <v>#NAME?</v>
      </c>
      <c r="R873" s="21" t="s">
        <v>188</v>
      </c>
      <c r="S873" s="21" t="s">
        <v>6120</v>
      </c>
      <c r="U873" s="21" t="s">
        <v>6121</v>
      </c>
      <c r="V873" s="21" t="s">
        <v>6121</v>
      </c>
      <c r="W873" s="21" t="s">
        <v>1135</v>
      </c>
      <c r="X873" s="21" t="s">
        <v>179</v>
      </c>
      <c r="Y873" s="21" t="s">
        <v>179</v>
      </c>
      <c r="Z873" s="21" t="s">
        <v>284</v>
      </c>
      <c r="AA873" s="21" t="s">
        <v>6122</v>
      </c>
    </row>
    <row r="874" spans="1:27" ht="15.75" customHeight="1" x14ac:dyDescent="0.3">
      <c r="A874" s="21">
        <v>2023</v>
      </c>
      <c r="B874" s="22"/>
      <c r="H874" s="21" t="s">
        <v>6123</v>
      </c>
      <c r="I874" s="21" t="s">
        <v>6124</v>
      </c>
      <c r="J874" s="21" t="s">
        <v>6125</v>
      </c>
      <c r="K874" s="21" t="e">
        <f t="shared" ca="1" si="6"/>
        <v>#NAME?</v>
      </c>
      <c r="L874" s="24">
        <v>1983</v>
      </c>
      <c r="N874" s="21" t="s">
        <v>260</v>
      </c>
      <c r="O874" s="21" t="s">
        <v>6126</v>
      </c>
      <c r="P874" s="26">
        <v>582523894</v>
      </c>
      <c r="Q874" s="26" t="e">
        <f t="shared" ca="1" si="7"/>
        <v>#NAME?</v>
      </c>
      <c r="R874" s="21" t="s">
        <v>6127</v>
      </c>
      <c r="S874" s="21" t="s">
        <v>179</v>
      </c>
      <c r="U874" s="21" t="s">
        <v>6128</v>
      </c>
      <c r="V874" s="21" t="s">
        <v>6128</v>
      </c>
      <c r="W874" s="21" t="s">
        <v>1169</v>
      </c>
      <c r="X874" s="21" t="s">
        <v>284</v>
      </c>
      <c r="Y874" s="21" t="s">
        <v>179</v>
      </c>
      <c r="Z874" s="21" t="s">
        <v>284</v>
      </c>
      <c r="AA874" s="21" t="s">
        <v>3223</v>
      </c>
    </row>
    <row r="875" spans="1:27" ht="15.75" customHeight="1" x14ac:dyDescent="0.3">
      <c r="A875" s="21">
        <v>2023</v>
      </c>
      <c r="B875" s="22"/>
      <c r="H875" s="21" t="s">
        <v>6129</v>
      </c>
      <c r="I875" s="21" t="s">
        <v>5943</v>
      </c>
      <c r="J875" s="21" t="s">
        <v>6130</v>
      </c>
      <c r="K875" s="21" t="e">
        <f t="shared" ca="1" si="6"/>
        <v>#NAME?</v>
      </c>
      <c r="L875" s="24">
        <v>1988</v>
      </c>
      <c r="N875" s="21" t="s">
        <v>260</v>
      </c>
      <c r="O875" s="21" t="s">
        <v>6131</v>
      </c>
      <c r="P875" s="26">
        <v>98584651</v>
      </c>
      <c r="Q875" s="26" t="e">
        <f t="shared" ca="1" si="7"/>
        <v>#NAME?</v>
      </c>
      <c r="R875" s="21" t="s">
        <v>6132</v>
      </c>
      <c r="S875" s="21" t="s">
        <v>6133</v>
      </c>
      <c r="U875" s="21" t="s">
        <v>6134</v>
      </c>
      <c r="V875" s="21" t="s">
        <v>6134</v>
      </c>
      <c r="W875" s="21" t="s">
        <v>6135</v>
      </c>
      <c r="X875" s="21" t="s">
        <v>179</v>
      </c>
      <c r="Y875" s="21" t="s">
        <v>179</v>
      </c>
      <c r="Z875" s="21" t="s">
        <v>296</v>
      </c>
      <c r="AA875" s="21" t="s">
        <v>6136</v>
      </c>
    </row>
    <row r="876" spans="1:27" ht="15.75" customHeight="1" x14ac:dyDescent="0.3">
      <c r="A876" s="21">
        <v>2023</v>
      </c>
      <c r="B876" s="22"/>
      <c r="H876" s="21" t="s">
        <v>6137</v>
      </c>
      <c r="I876" s="21" t="s">
        <v>6138</v>
      </c>
      <c r="J876" s="21" t="s">
        <v>6139</v>
      </c>
      <c r="K876" s="21" t="e">
        <f t="shared" ca="1" si="6"/>
        <v>#NAME?</v>
      </c>
      <c r="L876" s="24">
        <v>2007</v>
      </c>
      <c r="N876" s="21" t="s">
        <v>315</v>
      </c>
      <c r="O876" s="21" t="s">
        <v>316</v>
      </c>
      <c r="P876" s="26">
        <v>9035053404</v>
      </c>
      <c r="Q876" s="26" t="e">
        <f t="shared" ca="1" si="7"/>
        <v>#NAME?</v>
      </c>
      <c r="R876" s="21" t="s">
        <v>1501</v>
      </c>
      <c r="S876" s="21" t="s">
        <v>6140</v>
      </c>
      <c r="U876" s="21" t="s">
        <v>6141</v>
      </c>
      <c r="V876" s="21" t="s">
        <v>6141</v>
      </c>
      <c r="W876" s="21" t="s">
        <v>123</v>
      </c>
      <c r="X876" s="21" t="s">
        <v>179</v>
      </c>
      <c r="Y876" s="21" t="s">
        <v>6142</v>
      </c>
      <c r="Z876" s="21" t="s">
        <v>284</v>
      </c>
      <c r="AA876" s="21" t="s">
        <v>6143</v>
      </c>
    </row>
    <row r="877" spans="1:27" ht="15.75" customHeight="1" x14ac:dyDescent="0.3">
      <c r="A877" s="21">
        <v>2023</v>
      </c>
      <c r="B877" s="22"/>
      <c r="H877" s="21" t="s">
        <v>6144</v>
      </c>
      <c r="I877" s="21" t="s">
        <v>6138</v>
      </c>
      <c r="J877" s="21" t="s">
        <v>6145</v>
      </c>
      <c r="K877" s="21" t="e">
        <f t="shared" ca="1" si="6"/>
        <v>#NAME?</v>
      </c>
      <c r="L877" s="24">
        <v>2015</v>
      </c>
      <c r="N877" s="21" t="s">
        <v>315</v>
      </c>
      <c r="O877" s="21" t="s">
        <v>316</v>
      </c>
      <c r="P877" s="26">
        <v>6512356643</v>
      </c>
      <c r="Q877" s="26" t="e">
        <f t="shared" ca="1" si="7"/>
        <v>#NAME?</v>
      </c>
      <c r="R877" s="21" t="s">
        <v>521</v>
      </c>
      <c r="S877" s="21" t="s">
        <v>6146</v>
      </c>
      <c r="U877" s="21" t="s">
        <v>6147</v>
      </c>
      <c r="V877" s="21" t="s">
        <v>6147</v>
      </c>
      <c r="W877" s="21" t="s">
        <v>191</v>
      </c>
      <c r="X877" s="21" t="s">
        <v>308</v>
      </c>
      <c r="Y877" s="21" t="s">
        <v>1399</v>
      </c>
      <c r="Z877" s="21" t="s">
        <v>6148</v>
      </c>
      <c r="AA877" s="21" t="s">
        <v>6149</v>
      </c>
    </row>
    <row r="878" spans="1:27" ht="15.75" customHeight="1" x14ac:dyDescent="0.3">
      <c r="A878" s="21">
        <v>2023</v>
      </c>
      <c r="B878" s="22"/>
      <c r="H878" s="21" t="s">
        <v>6144</v>
      </c>
      <c r="I878" s="21" t="s">
        <v>6138</v>
      </c>
      <c r="J878" s="21" t="s">
        <v>4736</v>
      </c>
      <c r="K878" s="21" t="e">
        <f t="shared" ca="1" si="6"/>
        <v>#NAME?</v>
      </c>
      <c r="L878" s="24">
        <v>2013</v>
      </c>
      <c r="N878" s="21" t="s">
        <v>315</v>
      </c>
      <c r="O878" s="21" t="s">
        <v>316</v>
      </c>
      <c r="P878" s="26">
        <v>6512356643</v>
      </c>
      <c r="Q878" s="26" t="e">
        <f t="shared" ca="1" si="7"/>
        <v>#NAME?</v>
      </c>
      <c r="R878" s="21" t="s">
        <v>521</v>
      </c>
      <c r="S878" s="21" t="s">
        <v>6146</v>
      </c>
      <c r="U878" s="21" t="s">
        <v>6147</v>
      </c>
      <c r="V878" s="21" t="s">
        <v>6147</v>
      </c>
      <c r="W878" s="21" t="s">
        <v>191</v>
      </c>
      <c r="X878" s="21" t="s">
        <v>179</v>
      </c>
      <c r="Y878" s="21" t="s">
        <v>179</v>
      </c>
      <c r="Z878" s="21" t="s">
        <v>6148</v>
      </c>
      <c r="AA878" s="21" t="s">
        <v>6150</v>
      </c>
    </row>
    <row r="879" spans="1:27" ht="15.75" customHeight="1" x14ac:dyDescent="0.3">
      <c r="A879" s="21">
        <v>2023</v>
      </c>
      <c r="B879" s="22"/>
      <c r="H879" s="21" t="s">
        <v>6151</v>
      </c>
      <c r="I879" s="21" t="s">
        <v>6152</v>
      </c>
      <c r="J879" s="21" t="s">
        <v>1846</v>
      </c>
      <c r="K879" s="21" t="e">
        <f t="shared" ca="1" si="6"/>
        <v>#NAME?</v>
      </c>
      <c r="L879" s="24">
        <v>2007</v>
      </c>
      <c r="N879" s="21" t="s">
        <v>315</v>
      </c>
      <c r="O879" s="21" t="s">
        <v>316</v>
      </c>
      <c r="P879" s="26">
        <v>3467441801</v>
      </c>
      <c r="Q879" s="26" t="e">
        <f t="shared" ca="1" si="7"/>
        <v>#NAME?</v>
      </c>
      <c r="R879" s="21" t="s">
        <v>6153</v>
      </c>
      <c r="S879" s="21" t="s">
        <v>6146</v>
      </c>
      <c r="U879" s="21" t="s">
        <v>6154</v>
      </c>
      <c r="V879" s="21" t="s">
        <v>6154</v>
      </c>
      <c r="W879" s="21" t="s">
        <v>6155</v>
      </c>
      <c r="X879" s="21" t="s">
        <v>179</v>
      </c>
      <c r="Y879" s="21" t="s">
        <v>406</v>
      </c>
      <c r="Z879" s="21" t="s">
        <v>6156</v>
      </c>
      <c r="AA879" s="21" t="s">
        <v>2404</v>
      </c>
    </row>
    <row r="880" spans="1:27" ht="15.75" customHeight="1" x14ac:dyDescent="0.3">
      <c r="A880" s="21">
        <v>2023</v>
      </c>
      <c r="B880" s="22"/>
      <c r="H880" s="21" t="s">
        <v>6157</v>
      </c>
      <c r="I880" s="21" t="s">
        <v>6152</v>
      </c>
      <c r="J880" s="21" t="s">
        <v>3967</v>
      </c>
      <c r="K880" s="21" t="e">
        <f t="shared" ca="1" si="6"/>
        <v>#NAME?</v>
      </c>
      <c r="L880" s="24">
        <v>1972</v>
      </c>
      <c r="N880" s="21" t="s">
        <v>315</v>
      </c>
      <c r="O880" s="21" t="s">
        <v>316</v>
      </c>
      <c r="P880" s="26">
        <v>3467441489</v>
      </c>
      <c r="Q880" s="26" t="e">
        <f t="shared" ca="1" si="7"/>
        <v>#NAME?</v>
      </c>
      <c r="R880" s="21" t="s">
        <v>6158</v>
      </c>
      <c r="S880" s="21" t="s">
        <v>6146</v>
      </c>
      <c r="U880" s="21" t="s">
        <v>5916</v>
      </c>
      <c r="V880" s="21" t="s">
        <v>5916</v>
      </c>
      <c r="W880" s="21" t="s">
        <v>266</v>
      </c>
      <c r="X880" s="21" t="s">
        <v>5947</v>
      </c>
      <c r="Y880" s="21" t="s">
        <v>179</v>
      </c>
      <c r="Z880" s="21" t="s">
        <v>284</v>
      </c>
      <c r="AA880" s="21" t="s">
        <v>1581</v>
      </c>
    </row>
    <row r="881" spans="1:27" ht="15.75" customHeight="1" x14ac:dyDescent="0.3">
      <c r="A881" s="21">
        <v>2023</v>
      </c>
      <c r="B881" s="22"/>
      <c r="H881" s="21" t="s">
        <v>5025</v>
      </c>
      <c r="I881" s="21" t="s">
        <v>1366</v>
      </c>
      <c r="J881" s="21" t="s">
        <v>6159</v>
      </c>
      <c r="K881" s="21" t="e">
        <f t="shared" ca="1" si="6"/>
        <v>#NAME?</v>
      </c>
      <c r="L881" s="24">
        <v>2014</v>
      </c>
      <c r="N881" s="21" t="s">
        <v>315</v>
      </c>
      <c r="O881" s="21" t="s">
        <v>316</v>
      </c>
      <c r="P881" s="26">
        <v>5127738654</v>
      </c>
      <c r="Q881" s="26" t="e">
        <f t="shared" ca="1" si="7"/>
        <v>#NAME?</v>
      </c>
      <c r="R881" s="21" t="s">
        <v>521</v>
      </c>
      <c r="S881" s="21" t="s">
        <v>6160</v>
      </c>
      <c r="U881" s="21" t="s">
        <v>6161</v>
      </c>
      <c r="V881" s="21" t="s">
        <v>6161</v>
      </c>
      <c r="W881" s="21" t="s">
        <v>319</v>
      </c>
      <c r="X881" s="21" t="s">
        <v>734</v>
      </c>
      <c r="Y881" s="21" t="s">
        <v>406</v>
      </c>
      <c r="Z881" s="21" t="s">
        <v>6162</v>
      </c>
      <c r="AA881" s="21" t="s">
        <v>6163</v>
      </c>
    </row>
    <row r="882" spans="1:27" ht="15.75" customHeight="1" x14ac:dyDescent="0.3">
      <c r="A882" s="21">
        <v>2023</v>
      </c>
      <c r="B882" s="22"/>
      <c r="H882" s="21" t="s">
        <v>6164</v>
      </c>
      <c r="I882" s="21" t="s">
        <v>6165</v>
      </c>
      <c r="J882" s="21" t="s">
        <v>6166</v>
      </c>
      <c r="K882" s="21" t="e">
        <f t="shared" ca="1" si="6"/>
        <v>#NAME?</v>
      </c>
      <c r="L882" s="24">
        <v>2014</v>
      </c>
      <c r="N882" s="21" t="s">
        <v>315</v>
      </c>
      <c r="O882" s="21" t="s">
        <v>316</v>
      </c>
      <c r="P882" s="26">
        <v>3126852268</v>
      </c>
      <c r="Q882" s="26" t="e">
        <f t="shared" ca="1" si="7"/>
        <v>#NAME?</v>
      </c>
      <c r="R882" s="21" t="s">
        <v>1714</v>
      </c>
      <c r="S882" s="21" t="s">
        <v>6167</v>
      </c>
      <c r="U882" s="21" t="s">
        <v>6168</v>
      </c>
      <c r="V882" s="21" t="s">
        <v>6168</v>
      </c>
      <c r="W882" s="21" t="s">
        <v>535</v>
      </c>
      <c r="X882" s="21" t="s">
        <v>179</v>
      </c>
      <c r="Y882" s="21" t="s">
        <v>179</v>
      </c>
      <c r="Z882" s="21" t="s">
        <v>6169</v>
      </c>
      <c r="AA882" s="21" t="s">
        <v>6170</v>
      </c>
    </row>
    <row r="883" spans="1:27" ht="15.75" customHeight="1" x14ac:dyDescent="0.3">
      <c r="A883" s="21">
        <v>2023</v>
      </c>
      <c r="B883" s="22"/>
      <c r="H883" s="21" t="s">
        <v>4747</v>
      </c>
      <c r="I883" s="21" t="s">
        <v>4554</v>
      </c>
      <c r="J883" s="21" t="s">
        <v>6171</v>
      </c>
      <c r="K883" s="21" t="e">
        <f t="shared" ca="1" si="6"/>
        <v>#NAME?</v>
      </c>
      <c r="L883" s="24">
        <v>2013</v>
      </c>
      <c r="N883" s="21" t="s">
        <v>315</v>
      </c>
      <c r="O883" s="21" t="s">
        <v>316</v>
      </c>
      <c r="P883" s="26">
        <v>2814338164</v>
      </c>
      <c r="Q883" s="26" t="e">
        <f t="shared" ca="1" si="7"/>
        <v>#NAME?</v>
      </c>
      <c r="R883" s="21" t="s">
        <v>6172</v>
      </c>
      <c r="S883" s="21" t="s">
        <v>6173</v>
      </c>
      <c r="U883" s="21" t="s">
        <v>6174</v>
      </c>
      <c r="V883" s="21" t="s">
        <v>6174</v>
      </c>
      <c r="W883" s="21" t="s">
        <v>319</v>
      </c>
      <c r="X883" s="21" t="s">
        <v>6175</v>
      </c>
      <c r="Y883" s="21" t="s">
        <v>406</v>
      </c>
      <c r="Z883" s="21" t="s">
        <v>6176</v>
      </c>
      <c r="AA883" s="21" t="s">
        <v>1050</v>
      </c>
    </row>
    <row r="884" spans="1:27" ht="15.75" customHeight="1" x14ac:dyDescent="0.3">
      <c r="A884" s="21">
        <v>2023</v>
      </c>
      <c r="B884" s="22"/>
      <c r="H884" s="21" t="s">
        <v>6177</v>
      </c>
      <c r="I884" s="21" t="s">
        <v>6178</v>
      </c>
      <c r="J884" s="21" t="s">
        <v>1443</v>
      </c>
      <c r="K884" s="21" t="e">
        <f t="shared" ca="1" si="6"/>
        <v>#NAME?</v>
      </c>
      <c r="L884" s="24">
        <v>1976</v>
      </c>
      <c r="N884" s="21" t="s">
        <v>315</v>
      </c>
      <c r="O884" s="21" t="s">
        <v>316</v>
      </c>
      <c r="P884" s="26">
        <v>8322511326</v>
      </c>
      <c r="Q884" s="26" t="e">
        <f t="shared" ca="1" si="7"/>
        <v>#NAME?</v>
      </c>
      <c r="R884" s="21" t="s">
        <v>5053</v>
      </c>
      <c r="S884" s="21" t="s">
        <v>296</v>
      </c>
      <c r="U884" s="21" t="s">
        <v>6179</v>
      </c>
      <c r="V884" s="21" t="s">
        <v>6179</v>
      </c>
      <c r="W884" s="21" t="s">
        <v>307</v>
      </c>
      <c r="X884" s="21" t="s">
        <v>179</v>
      </c>
      <c r="Y884" s="21" t="s">
        <v>179</v>
      </c>
      <c r="Z884" s="21" t="s">
        <v>284</v>
      </c>
      <c r="AA884" s="21" t="s">
        <v>5775</v>
      </c>
    </row>
    <row r="885" spans="1:27" ht="15.75" customHeight="1" x14ac:dyDescent="0.3">
      <c r="A885" s="21">
        <v>2023</v>
      </c>
      <c r="B885" s="22"/>
      <c r="H885" s="21" t="s">
        <v>6180</v>
      </c>
      <c r="I885" s="21" t="s">
        <v>5028</v>
      </c>
      <c r="J885" s="21" t="s">
        <v>6181</v>
      </c>
      <c r="K885" s="21" t="e">
        <f t="shared" ca="1" si="6"/>
        <v>#NAME?</v>
      </c>
      <c r="L885" s="24">
        <v>2000</v>
      </c>
      <c r="N885" s="21" t="s">
        <v>315</v>
      </c>
      <c r="O885" s="21" t="s">
        <v>316</v>
      </c>
      <c r="P885" s="26">
        <v>5128797920</v>
      </c>
      <c r="Q885" s="26" t="e">
        <f t="shared" ca="1" si="7"/>
        <v>#NAME?</v>
      </c>
      <c r="R885" s="21" t="s">
        <v>521</v>
      </c>
      <c r="S885" s="21" t="s">
        <v>6182</v>
      </c>
      <c r="U885" s="21" t="s">
        <v>6183</v>
      </c>
      <c r="V885" s="21" t="s">
        <v>6183</v>
      </c>
      <c r="W885" s="21" t="s">
        <v>328</v>
      </c>
      <c r="X885" s="21" t="s">
        <v>179</v>
      </c>
      <c r="Y885" s="21" t="s">
        <v>267</v>
      </c>
      <c r="Z885" s="21" t="s">
        <v>127</v>
      </c>
      <c r="AA885" s="21" t="s">
        <v>396</v>
      </c>
    </row>
    <row r="886" spans="1:27" ht="15.75" customHeight="1" x14ac:dyDescent="0.3">
      <c r="A886" s="21">
        <v>2023</v>
      </c>
      <c r="B886" s="22"/>
      <c r="H886" s="21" t="s">
        <v>1173</v>
      </c>
      <c r="I886" s="21" t="s">
        <v>880</v>
      </c>
      <c r="J886" s="21" t="s">
        <v>5800</v>
      </c>
      <c r="K886" s="21" t="e">
        <f t="shared" ca="1" si="6"/>
        <v>#NAME?</v>
      </c>
      <c r="L886" s="24">
        <v>1984</v>
      </c>
      <c r="N886" s="21" t="s">
        <v>315</v>
      </c>
      <c r="O886" s="21" t="s">
        <v>316</v>
      </c>
      <c r="P886" s="26">
        <v>7373779389</v>
      </c>
      <c r="Q886" s="26" t="e">
        <f t="shared" ca="1" si="7"/>
        <v>#NAME?</v>
      </c>
      <c r="R886" s="21" t="s">
        <v>521</v>
      </c>
      <c r="S886" s="21" t="s">
        <v>6184</v>
      </c>
      <c r="U886" s="21" t="s">
        <v>6185</v>
      </c>
      <c r="V886" s="21" t="s">
        <v>6185</v>
      </c>
      <c r="W886" s="21" t="s">
        <v>394</v>
      </c>
      <c r="X886" s="21" t="s">
        <v>308</v>
      </c>
      <c r="Y886" s="21" t="s">
        <v>295</v>
      </c>
      <c r="Z886" s="21" t="s">
        <v>127</v>
      </c>
      <c r="AA886" s="21" t="s">
        <v>818</v>
      </c>
    </row>
    <row r="887" spans="1:27" ht="15.75" customHeight="1" x14ac:dyDescent="0.3">
      <c r="A887" s="21">
        <v>2023</v>
      </c>
      <c r="B887" s="22"/>
      <c r="H887" s="21" t="s">
        <v>6186</v>
      </c>
      <c r="I887" s="21" t="s">
        <v>531</v>
      </c>
      <c r="J887" s="21" t="s">
        <v>6187</v>
      </c>
      <c r="K887" s="21" t="e">
        <f t="shared" ca="1" si="6"/>
        <v>#NAME?</v>
      </c>
      <c r="L887" s="24">
        <v>2010</v>
      </c>
      <c r="N887" s="21" t="s">
        <v>315</v>
      </c>
      <c r="O887" s="21" t="s">
        <v>316</v>
      </c>
      <c r="P887" s="26">
        <v>4698919791</v>
      </c>
      <c r="Q887" s="26" t="e">
        <f t="shared" ca="1" si="7"/>
        <v>#NAME?</v>
      </c>
      <c r="R887" s="21" t="s">
        <v>1501</v>
      </c>
      <c r="S887" s="21" t="s">
        <v>6188</v>
      </c>
      <c r="U887" s="21" t="s">
        <v>6189</v>
      </c>
      <c r="V887" s="21" t="s">
        <v>6189</v>
      </c>
      <c r="W887" s="21" t="s">
        <v>6190</v>
      </c>
      <c r="X887" s="21" t="s">
        <v>267</v>
      </c>
      <c r="Y887" s="21" t="s">
        <v>406</v>
      </c>
      <c r="Z887" s="21" t="s">
        <v>6191</v>
      </c>
      <c r="AA887" s="21" t="s">
        <v>6192</v>
      </c>
    </row>
    <row r="888" spans="1:27" ht="15.75" customHeight="1" x14ac:dyDescent="0.3">
      <c r="A888" s="21">
        <v>2023</v>
      </c>
      <c r="B888" s="22"/>
      <c r="H888" s="21" t="s">
        <v>6193</v>
      </c>
      <c r="I888" s="21" t="s">
        <v>6194</v>
      </c>
      <c r="J888" s="21" t="s">
        <v>6195</v>
      </c>
      <c r="K888" s="21" t="e">
        <f t="shared" ca="1" si="6"/>
        <v>#NAME?</v>
      </c>
      <c r="L888" s="24">
        <v>2007</v>
      </c>
      <c r="N888" s="21" t="s">
        <v>315</v>
      </c>
      <c r="O888" s="21" t="s">
        <v>316</v>
      </c>
      <c r="P888" s="26">
        <v>4694861693</v>
      </c>
      <c r="Q888" s="26" t="e">
        <f t="shared" ca="1" si="7"/>
        <v>#NAME?</v>
      </c>
      <c r="R888" s="21" t="s">
        <v>6196</v>
      </c>
      <c r="S888" s="21" t="s">
        <v>6197</v>
      </c>
      <c r="U888" s="21" t="s">
        <v>6198</v>
      </c>
      <c r="V888" s="21" t="s">
        <v>6198</v>
      </c>
      <c r="W888" s="21" t="s">
        <v>123</v>
      </c>
      <c r="X888" s="21" t="s">
        <v>179</v>
      </c>
      <c r="Y888" s="21" t="s">
        <v>406</v>
      </c>
      <c r="Z888" s="21" t="s">
        <v>6199</v>
      </c>
      <c r="AA888" s="21" t="s">
        <v>5361</v>
      </c>
    </row>
    <row r="889" spans="1:27" ht="15.75" customHeight="1" x14ac:dyDescent="0.3">
      <c r="A889" s="21">
        <v>2023</v>
      </c>
      <c r="B889" s="22"/>
      <c r="H889" s="21" t="s">
        <v>6200</v>
      </c>
      <c r="I889" s="21" t="s">
        <v>6201</v>
      </c>
      <c r="J889" s="21" t="s">
        <v>3684</v>
      </c>
      <c r="K889" s="21" t="e">
        <f t="shared" ca="1" si="6"/>
        <v>#NAME?</v>
      </c>
      <c r="L889" s="24">
        <v>1984</v>
      </c>
      <c r="N889" s="21" t="s">
        <v>315</v>
      </c>
      <c r="O889" s="21" t="s">
        <v>316</v>
      </c>
      <c r="P889" s="26">
        <v>2489524095</v>
      </c>
      <c r="Q889" s="26" t="e">
        <f t="shared" ca="1" si="7"/>
        <v>#NAME?</v>
      </c>
      <c r="R889" s="21" t="s">
        <v>521</v>
      </c>
      <c r="S889" s="21" t="s">
        <v>6202</v>
      </c>
      <c r="U889" s="21" t="s">
        <v>6203</v>
      </c>
      <c r="V889" s="21" t="s">
        <v>6203</v>
      </c>
      <c r="W889" s="21" t="s">
        <v>488</v>
      </c>
      <c r="X889" s="21" t="s">
        <v>5947</v>
      </c>
      <c r="Y889" s="21" t="s">
        <v>5947</v>
      </c>
      <c r="Z889" s="21" t="s">
        <v>284</v>
      </c>
      <c r="AA889" s="21" t="s">
        <v>450</v>
      </c>
    </row>
    <row r="890" spans="1:27" ht="15.75" customHeight="1" x14ac:dyDescent="0.3">
      <c r="A890" s="21">
        <v>2023</v>
      </c>
      <c r="B890" s="22"/>
      <c r="H890" s="21" t="s">
        <v>6204</v>
      </c>
      <c r="I890" s="21" t="s">
        <v>6205</v>
      </c>
      <c r="J890" s="21" t="s">
        <v>6206</v>
      </c>
      <c r="K890" s="21" t="e">
        <f t="shared" ca="1" si="6"/>
        <v>#NAME?</v>
      </c>
      <c r="L890" s="24">
        <v>1960</v>
      </c>
      <c r="N890" s="21" t="s">
        <v>315</v>
      </c>
      <c r="O890" s="21" t="s">
        <v>316</v>
      </c>
      <c r="P890" s="26">
        <v>2488902874</v>
      </c>
      <c r="Q890" s="26" t="e">
        <f t="shared" ca="1" si="7"/>
        <v>#NAME?</v>
      </c>
      <c r="R890" s="21" t="s">
        <v>6207</v>
      </c>
      <c r="S890" s="21" t="s">
        <v>6208</v>
      </c>
      <c r="U890" s="21" t="s">
        <v>6209</v>
      </c>
      <c r="V890" s="21" t="s">
        <v>6209</v>
      </c>
      <c r="W890" s="21" t="s">
        <v>266</v>
      </c>
      <c r="X890" s="21" t="s">
        <v>5947</v>
      </c>
      <c r="Y890" s="21" t="s">
        <v>6210</v>
      </c>
      <c r="Z890" s="21" t="s">
        <v>284</v>
      </c>
      <c r="AA890" s="21" t="s">
        <v>5775</v>
      </c>
    </row>
    <row r="891" spans="1:27" ht="15.75" customHeight="1" x14ac:dyDescent="0.3">
      <c r="A891" s="21">
        <v>2023</v>
      </c>
      <c r="B891" s="22"/>
      <c r="H891" s="21" t="s">
        <v>2244</v>
      </c>
      <c r="I891" s="21" t="s">
        <v>519</v>
      </c>
      <c r="J891" s="21" t="s">
        <v>6211</v>
      </c>
      <c r="K891" s="21" t="e">
        <f t="shared" ca="1" si="6"/>
        <v>#NAME?</v>
      </c>
      <c r="L891" s="24">
        <v>2011</v>
      </c>
      <c r="N891" s="21" t="s">
        <v>315</v>
      </c>
      <c r="O891" s="21" t="s">
        <v>316</v>
      </c>
      <c r="P891" s="26">
        <v>4805932217</v>
      </c>
      <c r="Q891" s="26" t="e">
        <f t="shared" ca="1" si="7"/>
        <v>#NAME?</v>
      </c>
      <c r="R891" s="21" t="s">
        <v>521</v>
      </c>
      <c r="S891" s="21" t="s">
        <v>6212</v>
      </c>
      <c r="U891" s="21" t="s">
        <v>2246</v>
      </c>
      <c r="V891" s="21" t="s">
        <v>2246</v>
      </c>
      <c r="W891" s="21" t="s">
        <v>488</v>
      </c>
      <c r="X891" s="21" t="s">
        <v>2308</v>
      </c>
      <c r="Y891" s="21" t="s">
        <v>6213</v>
      </c>
      <c r="Z891" s="21" t="s">
        <v>6214</v>
      </c>
      <c r="AA891" s="21" t="s">
        <v>5143</v>
      </c>
    </row>
    <row r="892" spans="1:27" ht="15.75" customHeight="1" x14ac:dyDescent="0.3">
      <c r="A892" s="21">
        <v>2023</v>
      </c>
      <c r="B892" s="22"/>
      <c r="H892" s="21" t="s">
        <v>6215</v>
      </c>
      <c r="I892" s="21" t="s">
        <v>6216</v>
      </c>
      <c r="J892" s="21" t="s">
        <v>6217</v>
      </c>
      <c r="K892" s="21" t="e">
        <f t="shared" ca="1" si="6"/>
        <v>#NAME?</v>
      </c>
      <c r="L892" s="24">
        <v>1963</v>
      </c>
      <c r="N892" s="21" t="s">
        <v>315</v>
      </c>
      <c r="O892" s="21" t="s">
        <v>316</v>
      </c>
      <c r="P892" s="26">
        <v>2817731017</v>
      </c>
      <c r="Q892" s="26" t="e">
        <f t="shared" ca="1" si="7"/>
        <v>#NAME?</v>
      </c>
      <c r="R892" s="21" t="s">
        <v>1297</v>
      </c>
      <c r="S892" s="21" t="s">
        <v>4750</v>
      </c>
      <c r="U892" s="21" t="s">
        <v>6218</v>
      </c>
      <c r="V892" s="21" t="s">
        <v>6218</v>
      </c>
      <c r="W892" s="21" t="s">
        <v>319</v>
      </c>
      <c r="X892" s="21" t="s">
        <v>267</v>
      </c>
      <c r="Y892" s="21" t="s">
        <v>6219</v>
      </c>
      <c r="Z892" s="21" t="s">
        <v>127</v>
      </c>
      <c r="AA892" s="21" t="s">
        <v>2424</v>
      </c>
    </row>
    <row r="893" spans="1:27" ht="15.75" customHeight="1" x14ac:dyDescent="0.3">
      <c r="A893" s="21">
        <v>2023</v>
      </c>
      <c r="B893" s="22"/>
      <c r="H893" s="21" t="s">
        <v>6220</v>
      </c>
      <c r="I893" s="21" t="s">
        <v>4199</v>
      </c>
      <c r="J893" s="21" t="s">
        <v>1989</v>
      </c>
      <c r="K893" s="21" t="e">
        <f t="shared" ca="1" si="6"/>
        <v>#NAME?</v>
      </c>
      <c r="L893" s="24">
        <v>1972</v>
      </c>
      <c r="N893" s="21" t="s">
        <v>315</v>
      </c>
      <c r="O893" s="21" t="s">
        <v>316</v>
      </c>
      <c r="P893" s="26">
        <v>8482188612</v>
      </c>
      <c r="Q893" s="26" t="e">
        <f t="shared" ca="1" si="7"/>
        <v>#NAME?</v>
      </c>
      <c r="R893" s="21" t="s">
        <v>1297</v>
      </c>
      <c r="S893" s="21" t="s">
        <v>6221</v>
      </c>
      <c r="U893" s="21" t="s">
        <v>6222</v>
      </c>
      <c r="V893" s="21" t="s">
        <v>6222</v>
      </c>
      <c r="W893" s="21" t="s">
        <v>1539</v>
      </c>
      <c r="X893" s="21" t="s">
        <v>6223</v>
      </c>
      <c r="Y893" s="21" t="s">
        <v>1093</v>
      </c>
      <c r="Z893" s="21" t="s">
        <v>2164</v>
      </c>
      <c r="AA893" s="21" t="s">
        <v>6224</v>
      </c>
    </row>
    <row r="894" spans="1:27" ht="15.75" customHeight="1" x14ac:dyDescent="0.3">
      <c r="A894" s="21">
        <v>2023</v>
      </c>
      <c r="B894" s="22"/>
      <c r="H894" s="21" t="s">
        <v>6225</v>
      </c>
      <c r="I894" s="21" t="s">
        <v>6226</v>
      </c>
      <c r="J894" s="21" t="s">
        <v>1353</v>
      </c>
      <c r="K894" s="21" t="e">
        <f t="shared" ca="1" si="6"/>
        <v>#NAME?</v>
      </c>
      <c r="L894" s="24">
        <v>1965</v>
      </c>
      <c r="N894" s="21" t="s">
        <v>315</v>
      </c>
      <c r="O894" s="21" t="s">
        <v>316</v>
      </c>
      <c r="P894" s="26">
        <v>7176453422</v>
      </c>
      <c r="Q894" s="26" t="e">
        <f t="shared" ca="1" si="7"/>
        <v>#NAME?</v>
      </c>
      <c r="R894" s="21" t="s">
        <v>1297</v>
      </c>
      <c r="S894" s="21" t="s">
        <v>579</v>
      </c>
      <c r="U894" s="21" t="s">
        <v>6227</v>
      </c>
      <c r="V894" s="21" t="s">
        <v>6227</v>
      </c>
      <c r="W894" s="21" t="s">
        <v>488</v>
      </c>
      <c r="X894" s="21" t="s">
        <v>179</v>
      </c>
      <c r="Y894" s="21" t="s">
        <v>179</v>
      </c>
      <c r="Z894" s="21" t="s">
        <v>284</v>
      </c>
      <c r="AA894" s="21" t="s">
        <v>755</v>
      </c>
    </row>
    <row r="895" spans="1:27" ht="15.75" customHeight="1" x14ac:dyDescent="0.3">
      <c r="A895" s="21">
        <v>2023</v>
      </c>
      <c r="B895" s="22"/>
      <c r="H895" s="21" t="s">
        <v>6228</v>
      </c>
      <c r="I895" s="21" t="s">
        <v>1927</v>
      </c>
      <c r="J895" s="21" t="s">
        <v>6229</v>
      </c>
      <c r="K895" s="21" t="e">
        <f t="shared" ca="1" si="6"/>
        <v>#NAME?</v>
      </c>
      <c r="L895" s="24">
        <v>1983</v>
      </c>
      <c r="N895" s="21" t="s">
        <v>315</v>
      </c>
      <c r="O895" s="21" t="s">
        <v>316</v>
      </c>
      <c r="P895" s="26">
        <v>5126773730</v>
      </c>
      <c r="Q895" s="26" t="e">
        <f t="shared" ca="1" si="7"/>
        <v>#NAME?</v>
      </c>
      <c r="R895" s="21" t="s">
        <v>521</v>
      </c>
      <c r="S895" s="21" t="s">
        <v>6212</v>
      </c>
      <c r="U895" s="21" t="s">
        <v>6230</v>
      </c>
      <c r="V895" s="21" t="s">
        <v>6230</v>
      </c>
      <c r="W895" s="21" t="s">
        <v>1074</v>
      </c>
      <c r="X895" s="21" t="s">
        <v>2579</v>
      </c>
      <c r="Y895" s="21" t="s">
        <v>406</v>
      </c>
      <c r="Z895" s="21" t="s">
        <v>127</v>
      </c>
      <c r="AA895" s="21" t="s">
        <v>6231</v>
      </c>
    </row>
    <row r="896" spans="1:27" ht="15.75" customHeight="1" x14ac:dyDescent="0.3">
      <c r="A896" s="21">
        <v>2023</v>
      </c>
      <c r="B896" s="22"/>
      <c r="H896" s="21" t="s">
        <v>6232</v>
      </c>
      <c r="I896" s="21" t="s">
        <v>6233</v>
      </c>
      <c r="J896" s="21" t="s">
        <v>6234</v>
      </c>
      <c r="K896" s="21" t="e">
        <f t="shared" ca="1" si="6"/>
        <v>#NAME?</v>
      </c>
      <c r="L896" s="24">
        <v>1965</v>
      </c>
      <c r="N896" s="21" t="s">
        <v>315</v>
      </c>
      <c r="O896" s="21" t="s">
        <v>316</v>
      </c>
      <c r="P896" s="26">
        <v>5129837352</v>
      </c>
      <c r="Q896" s="26" t="e">
        <f t="shared" ca="1" si="7"/>
        <v>#NAME?</v>
      </c>
      <c r="R896" s="21" t="s">
        <v>5031</v>
      </c>
      <c r="S896" s="21" t="s">
        <v>4750</v>
      </c>
      <c r="U896" s="21" t="s">
        <v>6235</v>
      </c>
      <c r="V896" s="21" t="s">
        <v>6235</v>
      </c>
      <c r="W896" s="21" t="s">
        <v>266</v>
      </c>
      <c r="X896" s="21" t="s">
        <v>6236</v>
      </c>
      <c r="Y896" s="21" t="s">
        <v>6237</v>
      </c>
      <c r="Z896" s="21" t="s">
        <v>284</v>
      </c>
      <c r="AA896" s="21" t="s">
        <v>6238</v>
      </c>
    </row>
    <row r="897" spans="1:27" ht="15.75" customHeight="1" x14ac:dyDescent="0.3">
      <c r="A897" s="21">
        <v>2023</v>
      </c>
      <c r="B897" s="22"/>
      <c r="H897" s="21" t="s">
        <v>5719</v>
      </c>
      <c r="I897" s="21" t="s">
        <v>5720</v>
      </c>
      <c r="J897" s="21" t="s">
        <v>2083</v>
      </c>
      <c r="K897" s="21" t="e">
        <f t="shared" ca="1" si="6"/>
        <v>#NAME?</v>
      </c>
      <c r="L897" s="24">
        <v>2005</v>
      </c>
      <c r="N897" s="21" t="s">
        <v>315</v>
      </c>
      <c r="O897" s="21" t="s">
        <v>316</v>
      </c>
      <c r="P897" s="26">
        <v>7373144619</v>
      </c>
      <c r="Q897" s="26" t="e">
        <f t="shared" ca="1" si="7"/>
        <v>#NAME?</v>
      </c>
      <c r="R897" s="21" t="s">
        <v>521</v>
      </c>
      <c r="S897" s="21" t="s">
        <v>6239</v>
      </c>
      <c r="U897" s="21" t="s">
        <v>6240</v>
      </c>
      <c r="V897" s="21" t="s">
        <v>6240</v>
      </c>
      <c r="W897" s="21" t="s">
        <v>5251</v>
      </c>
      <c r="X897" s="21" t="s">
        <v>179</v>
      </c>
      <c r="Y897" s="21" t="s">
        <v>179</v>
      </c>
      <c r="Z897" s="21" t="s">
        <v>6241</v>
      </c>
      <c r="AA897" s="21" t="s">
        <v>6242</v>
      </c>
    </row>
    <row r="898" spans="1:27" ht="15.75" customHeight="1" x14ac:dyDescent="0.3">
      <c r="A898" s="21">
        <v>2023</v>
      </c>
      <c r="B898" s="22"/>
      <c r="H898" s="21" t="s">
        <v>6243</v>
      </c>
      <c r="I898" s="21" t="s">
        <v>6244</v>
      </c>
      <c r="J898" s="21" t="s">
        <v>6245</v>
      </c>
      <c r="K898" s="21" t="e">
        <f t="shared" ca="1" si="6"/>
        <v>#NAME?</v>
      </c>
      <c r="L898" s="24">
        <v>1980</v>
      </c>
      <c r="N898" s="21" t="s">
        <v>315</v>
      </c>
      <c r="O898" s="21" t="s">
        <v>316</v>
      </c>
      <c r="P898" s="26">
        <v>5127752518</v>
      </c>
      <c r="Q898" s="26" t="e">
        <f t="shared" ca="1" si="7"/>
        <v>#NAME?</v>
      </c>
      <c r="R898" s="21" t="s">
        <v>6246</v>
      </c>
      <c r="S898" s="21" t="s">
        <v>6247</v>
      </c>
      <c r="U898" s="21" t="s">
        <v>6248</v>
      </c>
      <c r="V898" s="21" t="s">
        <v>6248</v>
      </c>
      <c r="W898" s="21" t="s">
        <v>162</v>
      </c>
      <c r="X898" s="21" t="s">
        <v>1453</v>
      </c>
      <c r="Y898" s="21" t="s">
        <v>1453</v>
      </c>
      <c r="Z898" s="21" t="s">
        <v>127</v>
      </c>
      <c r="AA898" s="21" t="s">
        <v>450</v>
      </c>
    </row>
    <row r="899" spans="1:27" ht="15.75" customHeight="1" x14ac:dyDescent="0.3">
      <c r="A899" s="21">
        <v>2023</v>
      </c>
      <c r="B899" s="22"/>
      <c r="H899" s="21" t="s">
        <v>6249</v>
      </c>
      <c r="I899" s="21" t="s">
        <v>6250</v>
      </c>
      <c r="J899" s="21" t="s">
        <v>5076</v>
      </c>
      <c r="K899" s="21" t="e">
        <f t="shared" ca="1" si="6"/>
        <v>#NAME?</v>
      </c>
      <c r="L899" s="24">
        <v>1983</v>
      </c>
      <c r="N899" s="21" t="s">
        <v>402</v>
      </c>
      <c r="O899" s="21" t="s">
        <v>316</v>
      </c>
      <c r="P899" s="26">
        <v>2247037738</v>
      </c>
      <c r="Q899" s="26" t="e">
        <f t="shared" ca="1" si="7"/>
        <v>#NAME?</v>
      </c>
      <c r="R899" s="21" t="s">
        <v>6251</v>
      </c>
      <c r="S899" s="21" t="s">
        <v>6252</v>
      </c>
      <c r="U899" s="21" t="s">
        <v>4765</v>
      </c>
      <c r="V899" s="21" t="s">
        <v>4765</v>
      </c>
      <c r="W899" s="21" t="s">
        <v>951</v>
      </c>
      <c r="X899" s="21" t="s">
        <v>179</v>
      </c>
      <c r="Y899" s="21" t="s">
        <v>179</v>
      </c>
      <c r="Z899" s="21" t="s">
        <v>5811</v>
      </c>
      <c r="AA899" s="21" t="s">
        <v>6253</v>
      </c>
    </row>
    <row r="900" spans="1:27" ht="15.75" customHeight="1" x14ac:dyDescent="0.3">
      <c r="A900" s="21">
        <v>2023</v>
      </c>
      <c r="B900" s="22"/>
      <c r="H900" s="21" t="s">
        <v>6254</v>
      </c>
      <c r="I900" s="21" t="s">
        <v>6255</v>
      </c>
      <c r="J900" s="21" t="s">
        <v>2090</v>
      </c>
      <c r="K900" s="21" t="e">
        <f t="shared" ca="1" si="6"/>
        <v>#NAME?</v>
      </c>
      <c r="L900" s="24">
        <v>2008</v>
      </c>
      <c r="N900" s="21" t="s">
        <v>402</v>
      </c>
      <c r="O900" s="21" t="s">
        <v>316</v>
      </c>
      <c r="P900" s="26">
        <v>9094501286</v>
      </c>
      <c r="Q900" s="26" t="e">
        <f t="shared" ca="1" si="7"/>
        <v>#NAME?</v>
      </c>
      <c r="R900" s="21" t="s">
        <v>6256</v>
      </c>
      <c r="S900" s="21" t="s">
        <v>5725</v>
      </c>
      <c r="U900" s="21" t="s">
        <v>4151</v>
      </c>
      <c r="V900" s="21" t="s">
        <v>4151</v>
      </c>
      <c r="W900" s="21" t="s">
        <v>884</v>
      </c>
      <c r="X900" s="21" t="s">
        <v>179</v>
      </c>
      <c r="Y900" s="21" t="s">
        <v>6257</v>
      </c>
      <c r="Z900" s="21" t="s">
        <v>6258</v>
      </c>
      <c r="AA900" s="21" t="s">
        <v>1059</v>
      </c>
    </row>
    <row r="901" spans="1:27" ht="15.75" customHeight="1" x14ac:dyDescent="0.3">
      <c r="A901" s="21">
        <v>2023</v>
      </c>
      <c r="B901" s="22"/>
      <c r="H901" s="21" t="s">
        <v>6254</v>
      </c>
      <c r="I901" s="21" t="s">
        <v>6255</v>
      </c>
      <c r="J901" s="21" t="s">
        <v>6259</v>
      </c>
      <c r="K901" s="21" t="e">
        <f t="shared" ca="1" si="6"/>
        <v>#NAME?</v>
      </c>
      <c r="L901" s="24">
        <v>1984</v>
      </c>
      <c r="N901" s="21" t="s">
        <v>402</v>
      </c>
      <c r="O901" s="21" t="s">
        <v>316</v>
      </c>
      <c r="P901" s="26">
        <v>9094501286</v>
      </c>
      <c r="Q901" s="26" t="e">
        <f t="shared" ca="1" si="7"/>
        <v>#NAME?</v>
      </c>
      <c r="R901" s="21" t="s">
        <v>6256</v>
      </c>
      <c r="S901" s="21" t="s">
        <v>5725</v>
      </c>
      <c r="U901" s="21" t="s">
        <v>4151</v>
      </c>
      <c r="V901" s="21" t="s">
        <v>4151</v>
      </c>
      <c r="W901" s="21" t="s">
        <v>884</v>
      </c>
      <c r="X901" s="21" t="s">
        <v>179</v>
      </c>
      <c r="Y901" s="21" t="s">
        <v>6257</v>
      </c>
      <c r="Z901" s="21" t="s">
        <v>284</v>
      </c>
      <c r="AA901" s="21" t="s">
        <v>3223</v>
      </c>
    </row>
    <row r="902" spans="1:27" ht="15.75" customHeight="1" x14ac:dyDescent="0.3">
      <c r="A902" s="21">
        <v>2023</v>
      </c>
      <c r="B902" s="22"/>
      <c r="H902" s="21" t="s">
        <v>6260</v>
      </c>
      <c r="I902" s="21" t="s">
        <v>5943</v>
      </c>
      <c r="J902" s="21" t="s">
        <v>6261</v>
      </c>
      <c r="K902" s="21" t="e">
        <f t="shared" ca="1" si="6"/>
        <v>#NAME?</v>
      </c>
      <c r="L902" s="24">
        <v>1984</v>
      </c>
      <c r="N902" s="21" t="s">
        <v>402</v>
      </c>
      <c r="O902" s="21" t="s">
        <v>316</v>
      </c>
      <c r="P902" s="26">
        <v>9886889928</v>
      </c>
      <c r="Q902" s="26" t="e">
        <f t="shared" ca="1" si="7"/>
        <v>#NAME?</v>
      </c>
      <c r="R902" s="21" t="s">
        <v>6262</v>
      </c>
      <c r="S902" s="21" t="s">
        <v>579</v>
      </c>
      <c r="U902" s="21" t="s">
        <v>6263</v>
      </c>
      <c r="V902" s="21" t="s">
        <v>6263</v>
      </c>
      <c r="W902" s="21" t="s">
        <v>6264</v>
      </c>
      <c r="X902" s="21" t="s">
        <v>179</v>
      </c>
      <c r="Y902" s="21" t="s">
        <v>179</v>
      </c>
      <c r="Z902" s="21">
        <v>0</v>
      </c>
      <c r="AA902" s="21" t="s">
        <v>297</v>
      </c>
    </row>
    <row r="903" spans="1:27" ht="15.75" customHeight="1" x14ac:dyDescent="0.3">
      <c r="A903" s="21">
        <v>2023</v>
      </c>
      <c r="B903" s="22"/>
      <c r="H903" s="21" t="s">
        <v>6265</v>
      </c>
      <c r="I903" s="21" t="s">
        <v>6266</v>
      </c>
      <c r="J903" s="21" t="s">
        <v>6267</v>
      </c>
      <c r="K903" s="21" t="e">
        <f t="shared" ca="1" si="6"/>
        <v>#NAME?</v>
      </c>
      <c r="L903" s="24">
        <v>1976</v>
      </c>
      <c r="N903" s="21" t="s">
        <v>402</v>
      </c>
      <c r="O903" s="21" t="s">
        <v>316</v>
      </c>
      <c r="P903" s="26">
        <v>2489155089</v>
      </c>
      <c r="Q903" s="26" t="e">
        <f t="shared" ca="1" si="7"/>
        <v>#NAME?</v>
      </c>
      <c r="R903" s="21" t="s">
        <v>6268</v>
      </c>
      <c r="S903" s="21" t="s">
        <v>6269</v>
      </c>
      <c r="U903" s="21" t="s">
        <v>6270</v>
      </c>
      <c r="V903" s="21" t="s">
        <v>6270</v>
      </c>
      <c r="W903" s="21" t="s">
        <v>6271</v>
      </c>
      <c r="X903" s="21" t="s">
        <v>6272</v>
      </c>
      <c r="Y903" s="21" t="s">
        <v>1136</v>
      </c>
      <c r="Z903" s="21" t="s">
        <v>284</v>
      </c>
      <c r="AA903" s="21" t="s">
        <v>2021</v>
      </c>
    </row>
    <row r="904" spans="1:27" ht="15.75" customHeight="1" x14ac:dyDescent="0.3">
      <c r="A904" s="21">
        <v>2023</v>
      </c>
      <c r="B904" s="22"/>
      <c r="H904" s="21" t="s">
        <v>6273</v>
      </c>
      <c r="I904" s="21" t="s">
        <v>4310</v>
      </c>
      <c r="J904" s="21" t="s">
        <v>4506</v>
      </c>
      <c r="K904" s="21" t="e">
        <f t="shared" ca="1" si="6"/>
        <v>#NAME?</v>
      </c>
      <c r="L904" s="24">
        <v>1972</v>
      </c>
      <c r="N904" s="21" t="s">
        <v>402</v>
      </c>
      <c r="O904" s="21" t="s">
        <v>316</v>
      </c>
      <c r="P904" s="26">
        <v>8607103481</v>
      </c>
      <c r="Q904" s="26" t="e">
        <f t="shared" ca="1" si="7"/>
        <v>#NAME?</v>
      </c>
      <c r="R904" s="21" t="s">
        <v>6274</v>
      </c>
      <c r="S904" s="21" t="s">
        <v>6275</v>
      </c>
      <c r="U904" s="21" t="s">
        <v>6276</v>
      </c>
      <c r="V904" s="21" t="s">
        <v>6276</v>
      </c>
      <c r="W904" s="21" t="s">
        <v>307</v>
      </c>
      <c r="X904" s="21" t="s">
        <v>6277</v>
      </c>
      <c r="Y904" s="21" t="s">
        <v>6277</v>
      </c>
      <c r="Z904" s="21" t="s">
        <v>127</v>
      </c>
      <c r="AA904" s="21" t="s">
        <v>6278</v>
      </c>
    </row>
    <row r="905" spans="1:27" ht="15.75" customHeight="1" x14ac:dyDescent="0.3">
      <c r="A905" s="21">
        <v>2023</v>
      </c>
      <c r="B905" s="22"/>
      <c r="H905" s="21" t="s">
        <v>6279</v>
      </c>
      <c r="I905" s="21" t="s">
        <v>367</v>
      </c>
      <c r="J905" s="21" t="s">
        <v>6280</v>
      </c>
      <c r="K905" s="21" t="e">
        <f t="shared" ca="1" si="6"/>
        <v>#NAME?</v>
      </c>
      <c r="L905" s="24">
        <v>1967</v>
      </c>
      <c r="N905" s="21" t="s">
        <v>402</v>
      </c>
      <c r="O905" s="21" t="s">
        <v>316</v>
      </c>
      <c r="P905" s="26">
        <v>9083076976</v>
      </c>
      <c r="Q905" s="26" t="e">
        <f t="shared" ca="1" si="7"/>
        <v>#NAME?</v>
      </c>
      <c r="R905" s="21" t="s">
        <v>6281</v>
      </c>
      <c r="S905" s="21" t="s">
        <v>6239</v>
      </c>
      <c r="U905" s="21" t="s">
        <v>6282</v>
      </c>
      <c r="V905" s="21" t="s">
        <v>6282</v>
      </c>
      <c r="W905" s="21" t="s">
        <v>266</v>
      </c>
      <c r="X905" s="21" t="s">
        <v>308</v>
      </c>
      <c r="Y905" s="21" t="s">
        <v>308</v>
      </c>
      <c r="Z905" s="21" t="s">
        <v>127</v>
      </c>
      <c r="AA905" s="21" t="s">
        <v>3729</v>
      </c>
    </row>
    <row r="906" spans="1:27" ht="15.75" customHeight="1" x14ac:dyDescent="0.3">
      <c r="A906" s="21">
        <v>2023</v>
      </c>
      <c r="B906" s="22"/>
      <c r="H906" s="21" t="s">
        <v>2648</v>
      </c>
      <c r="I906" s="21" t="s">
        <v>2649</v>
      </c>
      <c r="J906" s="21" t="s">
        <v>862</v>
      </c>
      <c r="K906" s="21" t="e">
        <f t="shared" ca="1" si="6"/>
        <v>#NAME?</v>
      </c>
      <c r="L906" s="24">
        <v>1971</v>
      </c>
      <c r="N906" s="21" t="s">
        <v>402</v>
      </c>
      <c r="O906" s="21" t="s">
        <v>316</v>
      </c>
      <c r="P906" s="26">
        <v>4257858843</v>
      </c>
      <c r="Q906" s="26" t="e">
        <f t="shared" ca="1" si="7"/>
        <v>#NAME?</v>
      </c>
      <c r="R906" s="21" t="s">
        <v>6283</v>
      </c>
      <c r="S906" s="21" t="s">
        <v>6284</v>
      </c>
      <c r="U906" s="21" t="s">
        <v>6285</v>
      </c>
      <c r="V906" s="21" t="s">
        <v>6285</v>
      </c>
      <c r="W906" s="21" t="s">
        <v>307</v>
      </c>
      <c r="X906" s="21" t="s">
        <v>6286</v>
      </c>
      <c r="Y906" s="21" t="s">
        <v>1573</v>
      </c>
      <c r="Z906" s="21" t="s">
        <v>127</v>
      </c>
      <c r="AA906" s="21" t="s">
        <v>818</v>
      </c>
    </row>
    <row r="907" spans="1:27" ht="15.75" customHeight="1" x14ac:dyDescent="0.3">
      <c r="A907" s="21">
        <v>2023</v>
      </c>
      <c r="B907" s="22"/>
      <c r="H907" s="21" t="s">
        <v>6287</v>
      </c>
      <c r="I907" s="21" t="s">
        <v>4733</v>
      </c>
      <c r="J907" s="21" t="s">
        <v>6288</v>
      </c>
      <c r="K907" s="21" t="e">
        <f t="shared" ca="1" si="6"/>
        <v>#NAME?</v>
      </c>
      <c r="L907" s="24">
        <v>1973</v>
      </c>
      <c r="N907" s="21" t="s">
        <v>402</v>
      </c>
      <c r="O907" s="21" t="s">
        <v>316</v>
      </c>
      <c r="P907" s="26">
        <v>7042943580</v>
      </c>
      <c r="Q907" s="26" t="e">
        <f t="shared" ca="1" si="7"/>
        <v>#NAME?</v>
      </c>
      <c r="R907" s="21" t="s">
        <v>6289</v>
      </c>
      <c r="S907" s="21" t="s">
        <v>6290</v>
      </c>
      <c r="U907" s="21" t="s">
        <v>6291</v>
      </c>
      <c r="V907" s="21" t="s">
        <v>6291</v>
      </c>
      <c r="W907" s="21" t="s">
        <v>498</v>
      </c>
      <c r="X907" s="21" t="s">
        <v>179</v>
      </c>
      <c r="Y907" s="21" t="s">
        <v>179</v>
      </c>
      <c r="Z907" s="21" t="s">
        <v>284</v>
      </c>
      <c r="AA907" s="21" t="s">
        <v>6292</v>
      </c>
    </row>
    <row r="908" spans="1:27" ht="15.75" customHeight="1" x14ac:dyDescent="0.3">
      <c r="A908" s="21">
        <v>2023</v>
      </c>
      <c r="B908" s="22"/>
      <c r="H908" s="21" t="s">
        <v>5702</v>
      </c>
      <c r="I908" s="21" t="s">
        <v>4499</v>
      </c>
      <c r="J908" s="21" t="s">
        <v>6293</v>
      </c>
      <c r="K908" s="21" t="e">
        <f t="shared" ca="1" si="6"/>
        <v>#NAME?</v>
      </c>
      <c r="L908" s="24">
        <v>1977</v>
      </c>
      <c r="N908" s="21" t="s">
        <v>402</v>
      </c>
      <c r="O908" s="21" t="s">
        <v>316</v>
      </c>
      <c r="P908" s="26">
        <v>2409949102</v>
      </c>
      <c r="Q908" s="26" t="e">
        <f t="shared" ca="1" si="7"/>
        <v>#NAME?</v>
      </c>
      <c r="R908" s="21" t="s">
        <v>6294</v>
      </c>
      <c r="S908" s="21" t="s">
        <v>6295</v>
      </c>
      <c r="U908" s="21" t="s">
        <v>6296</v>
      </c>
      <c r="V908" s="21" t="s">
        <v>6296</v>
      </c>
      <c r="W908" s="21" t="s">
        <v>1135</v>
      </c>
      <c r="X908" s="21" t="s">
        <v>179</v>
      </c>
      <c r="Y908" s="21" t="s">
        <v>6297</v>
      </c>
      <c r="Z908" s="21" t="s">
        <v>284</v>
      </c>
      <c r="AA908" s="21" t="s">
        <v>6298</v>
      </c>
    </row>
    <row r="909" spans="1:27" ht="15.75" customHeight="1" x14ac:dyDescent="0.3">
      <c r="A909" s="21">
        <v>2023</v>
      </c>
      <c r="B909" s="22"/>
      <c r="H909" s="21" t="s">
        <v>6299</v>
      </c>
      <c r="I909" s="21" t="s">
        <v>3200</v>
      </c>
      <c r="J909" s="21" t="s">
        <v>1914</v>
      </c>
      <c r="K909" s="21" t="e">
        <f t="shared" ca="1" si="6"/>
        <v>#NAME?</v>
      </c>
      <c r="L909" s="24">
        <v>1972</v>
      </c>
      <c r="N909" s="21" t="s">
        <v>474</v>
      </c>
      <c r="O909" s="21" t="s">
        <v>316</v>
      </c>
      <c r="P909" s="26">
        <v>6305364201</v>
      </c>
      <c r="Q909" s="26" t="e">
        <f t="shared" ca="1" si="7"/>
        <v>#NAME?</v>
      </c>
      <c r="R909" s="21" t="s">
        <v>6300</v>
      </c>
      <c r="S909" s="21" t="s">
        <v>1733</v>
      </c>
      <c r="U909" s="21" t="s">
        <v>6301</v>
      </c>
      <c r="V909" s="21" t="s">
        <v>6301</v>
      </c>
      <c r="W909" s="21" t="s">
        <v>266</v>
      </c>
      <c r="X909" s="21" t="s">
        <v>179</v>
      </c>
      <c r="Y909" s="21" t="s">
        <v>179</v>
      </c>
      <c r="AA909" s="21" t="s">
        <v>6302</v>
      </c>
    </row>
    <row r="910" spans="1:27" ht="15.75" customHeight="1" x14ac:dyDescent="0.3">
      <c r="A910" s="21">
        <v>2023</v>
      </c>
      <c r="B910" s="22"/>
      <c r="H910" s="21" t="s">
        <v>6303</v>
      </c>
      <c r="I910" s="21" t="s">
        <v>6304</v>
      </c>
      <c r="J910" s="21" t="s">
        <v>6305</v>
      </c>
      <c r="K910" s="21" t="e">
        <f t="shared" ca="1" si="6"/>
        <v>#NAME?</v>
      </c>
      <c r="L910" s="24">
        <v>2011</v>
      </c>
      <c r="N910" s="21" t="s">
        <v>474</v>
      </c>
      <c r="O910" s="21" t="s">
        <v>316</v>
      </c>
      <c r="P910" s="26">
        <v>8483916839</v>
      </c>
      <c r="Q910" s="26" t="e">
        <f t="shared" ca="1" si="7"/>
        <v>#NAME?</v>
      </c>
      <c r="R910" s="21" t="s">
        <v>6306</v>
      </c>
      <c r="S910" s="21" t="s">
        <v>6307</v>
      </c>
      <c r="U910" s="21" t="s">
        <v>6308</v>
      </c>
      <c r="V910" s="21" t="s">
        <v>6308</v>
      </c>
      <c r="W910" s="21" t="s">
        <v>5251</v>
      </c>
      <c r="X910" s="21" t="s">
        <v>179</v>
      </c>
      <c r="Y910" s="21" t="s">
        <v>127</v>
      </c>
      <c r="Z910" s="21" t="s">
        <v>6309</v>
      </c>
      <c r="AA910" s="21" t="s">
        <v>2250</v>
      </c>
    </row>
    <row r="911" spans="1:27" ht="15.75" customHeight="1" x14ac:dyDescent="0.3">
      <c r="A911" s="21">
        <v>2023</v>
      </c>
      <c r="B911" s="22"/>
      <c r="H911" s="21" t="s">
        <v>6310</v>
      </c>
      <c r="I911" s="21" t="s">
        <v>2544</v>
      </c>
      <c r="J911" s="21" t="s">
        <v>6311</v>
      </c>
      <c r="K911" s="21" t="e">
        <f t="shared" ca="1" si="6"/>
        <v>#NAME?</v>
      </c>
      <c r="L911" s="24">
        <v>2008</v>
      </c>
      <c r="N911" s="21" t="s">
        <v>474</v>
      </c>
      <c r="O911" s="21" t="s">
        <v>316</v>
      </c>
      <c r="P911" s="26">
        <v>2063517116</v>
      </c>
      <c r="Q911" s="26" t="e">
        <f t="shared" ca="1" si="7"/>
        <v>#NAME?</v>
      </c>
      <c r="R911" s="21" t="s">
        <v>6312</v>
      </c>
      <c r="S911" s="21" t="s">
        <v>6313</v>
      </c>
      <c r="U911" s="21" t="s">
        <v>4307</v>
      </c>
      <c r="V911" s="21" t="s">
        <v>4307</v>
      </c>
      <c r="W911" s="21" t="s">
        <v>488</v>
      </c>
      <c r="X911" s="21" t="s">
        <v>179</v>
      </c>
      <c r="Y911" s="21" t="s">
        <v>179</v>
      </c>
      <c r="Z911" s="21" t="s">
        <v>6314</v>
      </c>
      <c r="AA911" s="21" t="s">
        <v>5429</v>
      </c>
    </row>
    <row r="912" spans="1:27" ht="15.75" customHeight="1" x14ac:dyDescent="0.3">
      <c r="A912" s="21">
        <v>2023</v>
      </c>
      <c r="B912" s="22"/>
      <c r="H912" s="21" t="s">
        <v>6315</v>
      </c>
      <c r="I912" s="21" t="s">
        <v>5369</v>
      </c>
      <c r="J912" s="21" t="s">
        <v>2083</v>
      </c>
      <c r="K912" s="21" t="e">
        <f t="shared" ca="1" si="6"/>
        <v>#NAME?</v>
      </c>
      <c r="L912" s="24">
        <v>1978</v>
      </c>
      <c r="N912" s="21" t="s">
        <v>474</v>
      </c>
      <c r="O912" s="21" t="s">
        <v>316</v>
      </c>
      <c r="P912" s="26">
        <v>4256285454</v>
      </c>
      <c r="Q912" s="26" t="e">
        <f t="shared" ca="1" si="7"/>
        <v>#NAME?</v>
      </c>
      <c r="R912" s="21" t="s">
        <v>475</v>
      </c>
      <c r="S912" s="21" t="s">
        <v>6316</v>
      </c>
      <c r="U912" s="21" t="s">
        <v>6317</v>
      </c>
      <c r="V912" s="21" t="s">
        <v>6317</v>
      </c>
      <c r="W912" s="21" t="s">
        <v>488</v>
      </c>
      <c r="X912" s="21" t="s">
        <v>6318</v>
      </c>
      <c r="Y912" s="21" t="s">
        <v>179</v>
      </c>
      <c r="Z912" s="21" t="s">
        <v>284</v>
      </c>
      <c r="AA912" s="21" t="s">
        <v>6319</v>
      </c>
    </row>
    <row r="913" spans="1:27" ht="15.75" customHeight="1" x14ac:dyDescent="0.3">
      <c r="A913" s="21">
        <v>2023</v>
      </c>
      <c r="B913" s="22"/>
      <c r="H913" s="21" t="s">
        <v>6320</v>
      </c>
      <c r="I913" s="21" t="s">
        <v>6321</v>
      </c>
      <c r="J913" s="138" t="s">
        <v>1858</v>
      </c>
      <c r="K913" s="21" t="e">
        <f t="shared" ca="1" si="6"/>
        <v>#NAME?</v>
      </c>
      <c r="L913" s="24">
        <v>1978</v>
      </c>
      <c r="N913" s="21" t="s">
        <v>474</v>
      </c>
      <c r="O913" s="21" t="s">
        <v>316</v>
      </c>
      <c r="P913" s="26">
        <v>4256237496</v>
      </c>
      <c r="Q913" s="26" t="e">
        <f t="shared" ca="1" si="7"/>
        <v>#NAME?</v>
      </c>
      <c r="R913" s="21" t="s">
        <v>6322</v>
      </c>
      <c r="S913" s="21" t="s">
        <v>6323</v>
      </c>
      <c r="U913" s="21" t="s">
        <v>5128</v>
      </c>
      <c r="V913" s="21" t="s">
        <v>5128</v>
      </c>
      <c r="W913" s="21" t="s">
        <v>266</v>
      </c>
      <c r="X913" s="21" t="s">
        <v>6324</v>
      </c>
      <c r="Y913" s="21" t="s">
        <v>179</v>
      </c>
      <c r="Z913" s="21" t="s">
        <v>6325</v>
      </c>
      <c r="AA913" s="21" t="s">
        <v>6326</v>
      </c>
    </row>
    <row r="914" spans="1:27" ht="15.75" customHeight="1" x14ac:dyDescent="0.3">
      <c r="A914" s="21">
        <v>2023</v>
      </c>
      <c r="B914" s="22"/>
      <c r="H914" s="21" t="s">
        <v>6327</v>
      </c>
      <c r="I914" s="21" t="s">
        <v>6328</v>
      </c>
      <c r="J914" s="21" t="s">
        <v>6329</v>
      </c>
      <c r="K914" s="21" t="e">
        <f t="shared" ca="1" si="6"/>
        <v>#NAME?</v>
      </c>
      <c r="L914" s="24">
        <v>1977</v>
      </c>
      <c r="N914" s="21" t="s">
        <v>474</v>
      </c>
      <c r="O914" s="21" t="s">
        <v>316</v>
      </c>
      <c r="P914" s="26">
        <v>2165770675</v>
      </c>
      <c r="Q914" s="26" t="e">
        <f t="shared" ca="1" si="7"/>
        <v>#NAME?</v>
      </c>
      <c r="R914" s="21" t="s">
        <v>6330</v>
      </c>
      <c r="S914" s="21" t="s">
        <v>6331</v>
      </c>
      <c r="U914" s="21" t="s">
        <v>6332</v>
      </c>
      <c r="V914" s="21" t="s">
        <v>6332</v>
      </c>
      <c r="W914" s="21" t="s">
        <v>123</v>
      </c>
      <c r="X914" s="21" t="s">
        <v>179</v>
      </c>
      <c r="Y914" s="21" t="s">
        <v>179</v>
      </c>
      <c r="Z914" s="21" t="s">
        <v>512</v>
      </c>
      <c r="AA914" s="21" t="s">
        <v>6333</v>
      </c>
    </row>
    <row r="915" spans="1:27" ht="15.75" customHeight="1" x14ac:dyDescent="0.3">
      <c r="A915" s="21">
        <v>2023</v>
      </c>
      <c r="B915" s="22"/>
      <c r="H915" s="21" t="s">
        <v>6334</v>
      </c>
      <c r="I915" s="21" t="s">
        <v>2522</v>
      </c>
      <c r="J915" s="21" t="s">
        <v>4013</v>
      </c>
      <c r="K915" s="21" t="e">
        <f t="shared" ca="1" si="6"/>
        <v>#NAME?</v>
      </c>
      <c r="L915" s="24">
        <v>1968</v>
      </c>
      <c r="N915" s="21" t="s">
        <v>474</v>
      </c>
      <c r="O915" s="21" t="s">
        <v>316</v>
      </c>
      <c r="P915" s="26">
        <v>9165120267</v>
      </c>
      <c r="Q915" s="26" t="e">
        <f t="shared" ca="1" si="7"/>
        <v>#NAME?</v>
      </c>
      <c r="R915" s="21" t="s">
        <v>6335</v>
      </c>
      <c r="S915" s="21" t="s">
        <v>6336</v>
      </c>
      <c r="U915" s="21" t="s">
        <v>6337</v>
      </c>
      <c r="V915" s="21" t="s">
        <v>6337</v>
      </c>
      <c r="W915" s="21" t="s">
        <v>6338</v>
      </c>
      <c r="X915" s="21" t="s">
        <v>707</v>
      </c>
      <c r="Y915" s="21" t="s">
        <v>406</v>
      </c>
      <c r="Z915" s="21" t="s">
        <v>127</v>
      </c>
      <c r="AA915" s="21" t="s">
        <v>6339</v>
      </c>
    </row>
    <row r="916" spans="1:27" ht="15.75" customHeight="1" x14ac:dyDescent="0.3">
      <c r="A916" s="21">
        <v>2023</v>
      </c>
      <c r="B916" s="22"/>
      <c r="H916" s="21" t="s">
        <v>6340</v>
      </c>
      <c r="I916" s="21" t="s">
        <v>1692</v>
      </c>
      <c r="J916" s="21" t="s">
        <v>6341</v>
      </c>
      <c r="K916" s="21" t="e">
        <f t="shared" ca="1" si="6"/>
        <v>#NAME?</v>
      </c>
      <c r="L916" s="24">
        <v>1973</v>
      </c>
      <c r="N916" s="21" t="s">
        <v>474</v>
      </c>
      <c r="O916" s="21" t="s">
        <v>316</v>
      </c>
      <c r="P916" s="26">
        <v>4042454833</v>
      </c>
      <c r="Q916" s="26" t="e">
        <f t="shared" ca="1" si="7"/>
        <v>#NAME?</v>
      </c>
      <c r="R916" s="21" t="s">
        <v>6342</v>
      </c>
      <c r="S916" s="21" t="s">
        <v>6343</v>
      </c>
      <c r="U916" s="21" t="s">
        <v>6344</v>
      </c>
      <c r="V916" s="21" t="s">
        <v>6344</v>
      </c>
      <c r="W916" s="21" t="s">
        <v>307</v>
      </c>
      <c r="X916" s="21" t="s">
        <v>6345</v>
      </c>
      <c r="Y916" s="21" t="s">
        <v>179</v>
      </c>
      <c r="Z916" s="21" t="s">
        <v>6346</v>
      </c>
      <c r="AA916" s="21" t="s">
        <v>6347</v>
      </c>
    </row>
    <row r="917" spans="1:27" ht="15.75" customHeight="1" x14ac:dyDescent="0.3">
      <c r="A917" s="21">
        <v>2023</v>
      </c>
      <c r="B917" s="22"/>
      <c r="H917" s="21" t="s">
        <v>6348</v>
      </c>
      <c r="I917" s="21" t="s">
        <v>6349</v>
      </c>
      <c r="J917" s="21" t="s">
        <v>6350</v>
      </c>
      <c r="K917" s="21" t="e">
        <f t="shared" ca="1" si="6"/>
        <v>#NAME?</v>
      </c>
      <c r="L917" s="24">
        <v>1984</v>
      </c>
      <c r="N917" s="21" t="s">
        <v>474</v>
      </c>
      <c r="O917" s="21" t="s">
        <v>316</v>
      </c>
      <c r="P917" s="26">
        <v>4082014637</v>
      </c>
      <c r="Q917" s="26" t="e">
        <f t="shared" ca="1" si="7"/>
        <v>#NAME?</v>
      </c>
      <c r="R917" s="21" t="s">
        <v>3859</v>
      </c>
      <c r="S917" s="21" t="s">
        <v>6351</v>
      </c>
      <c r="U917" s="21" t="s">
        <v>6352</v>
      </c>
      <c r="V917" s="21" t="s">
        <v>6352</v>
      </c>
      <c r="W917" s="21" t="s">
        <v>488</v>
      </c>
      <c r="X917" s="21" t="s">
        <v>179</v>
      </c>
      <c r="Y917" s="21" t="s">
        <v>5744</v>
      </c>
      <c r="Z917" s="21" t="s">
        <v>284</v>
      </c>
      <c r="AA917" s="21" t="s">
        <v>526</v>
      </c>
    </row>
    <row r="918" spans="1:27" ht="15.75" customHeight="1" x14ac:dyDescent="0.3">
      <c r="A918" s="21">
        <v>2023</v>
      </c>
      <c r="B918" s="22"/>
      <c r="H918" s="21" t="s">
        <v>6353</v>
      </c>
      <c r="I918" s="21" t="s">
        <v>4394</v>
      </c>
      <c r="J918" s="21" t="s">
        <v>4395</v>
      </c>
      <c r="K918" s="21" t="e">
        <f t="shared" ca="1" si="6"/>
        <v>#NAME?</v>
      </c>
      <c r="L918" s="24">
        <v>2015</v>
      </c>
      <c r="N918" s="21" t="s">
        <v>474</v>
      </c>
      <c r="O918" s="21" t="s">
        <v>316</v>
      </c>
      <c r="P918" s="26">
        <v>6192046933</v>
      </c>
      <c r="Q918" s="26" t="e">
        <f t="shared" ca="1" si="7"/>
        <v>#NAME?</v>
      </c>
      <c r="R918" s="21" t="s">
        <v>6354</v>
      </c>
      <c r="S918" s="21" t="s">
        <v>6355</v>
      </c>
      <c r="U918" s="21" t="s">
        <v>6356</v>
      </c>
      <c r="V918" s="21" t="s">
        <v>6356</v>
      </c>
      <c r="W918" s="21" t="s">
        <v>319</v>
      </c>
      <c r="X918" s="21" t="s">
        <v>3173</v>
      </c>
      <c r="Y918" s="21" t="s">
        <v>406</v>
      </c>
      <c r="Z918" s="21" t="s">
        <v>6357</v>
      </c>
      <c r="AA918" s="21" t="s">
        <v>6358</v>
      </c>
    </row>
    <row r="919" spans="1:27" ht="15.75" customHeight="1" x14ac:dyDescent="0.3">
      <c r="A919" s="21">
        <v>2024</v>
      </c>
      <c r="B919" s="22"/>
      <c r="H919" s="21" t="s">
        <v>6359</v>
      </c>
      <c r="I919" s="21" t="s">
        <v>2755</v>
      </c>
      <c r="J919" s="21" t="s">
        <v>1563</v>
      </c>
      <c r="K919" s="21" t="e">
        <f t="shared" ca="1" si="6"/>
        <v>#NAME?</v>
      </c>
      <c r="L919" s="24">
        <v>1969</v>
      </c>
      <c r="N919" s="21" t="s">
        <v>111</v>
      </c>
      <c r="O919" s="21" t="s">
        <v>112</v>
      </c>
      <c r="P919" s="26">
        <v>8885642424</v>
      </c>
      <c r="Q919" s="26" t="e">
        <f t="shared" ca="1" si="7"/>
        <v>#NAME?</v>
      </c>
      <c r="R919" s="21" t="s">
        <v>188</v>
      </c>
      <c r="S919" s="21" t="s">
        <v>6360</v>
      </c>
      <c r="U919" s="21" t="s">
        <v>6361</v>
      </c>
      <c r="V919" s="21" t="s">
        <v>6361</v>
      </c>
      <c r="W919" s="21" t="s">
        <v>951</v>
      </c>
      <c r="X919" s="21" t="s">
        <v>6362</v>
      </c>
      <c r="Y919" s="21" t="s">
        <v>308</v>
      </c>
      <c r="Z919" s="21" t="s">
        <v>127</v>
      </c>
      <c r="AA919" s="21" t="s">
        <v>6363</v>
      </c>
    </row>
    <row r="920" spans="1:27" ht="15.75" customHeight="1" x14ac:dyDescent="0.3">
      <c r="A920" s="21">
        <v>2024</v>
      </c>
      <c r="B920" s="22"/>
      <c r="H920" s="21" t="s">
        <v>6364</v>
      </c>
      <c r="I920" s="21" t="s">
        <v>2996</v>
      </c>
      <c r="J920" s="21" t="s">
        <v>6365</v>
      </c>
      <c r="K920" s="21" t="e">
        <f t="shared" ca="1" si="6"/>
        <v>#NAME?</v>
      </c>
      <c r="L920" s="24">
        <v>1997</v>
      </c>
      <c r="N920" s="21" t="s">
        <v>111</v>
      </c>
      <c r="O920" s="21" t="s">
        <v>112</v>
      </c>
      <c r="P920" s="26">
        <v>9703587931</v>
      </c>
      <c r="Q920" s="26" t="e">
        <f t="shared" ca="1" si="7"/>
        <v>#NAME?</v>
      </c>
      <c r="R920" s="21" t="s">
        <v>6366</v>
      </c>
      <c r="S920" s="21" t="s">
        <v>6367</v>
      </c>
      <c r="U920" s="21" t="s">
        <v>6368</v>
      </c>
      <c r="V920" s="21" t="s">
        <v>6368</v>
      </c>
      <c r="W920" s="21" t="s">
        <v>6369</v>
      </c>
      <c r="X920" s="21" t="s">
        <v>352</v>
      </c>
      <c r="Y920" s="21" t="s">
        <v>1743</v>
      </c>
      <c r="Z920" s="21" t="s">
        <v>284</v>
      </c>
      <c r="AA920" s="21" t="s">
        <v>6370</v>
      </c>
    </row>
    <row r="921" spans="1:27" ht="15.75" customHeight="1" x14ac:dyDescent="0.3">
      <c r="A921" s="21">
        <v>2024</v>
      </c>
      <c r="B921" s="22"/>
      <c r="H921" s="21" t="s">
        <v>6371</v>
      </c>
      <c r="I921" s="21" t="s">
        <v>6372</v>
      </c>
      <c r="J921" s="21" t="s">
        <v>2592</v>
      </c>
      <c r="K921" s="21" t="e">
        <f t="shared" ca="1" si="6"/>
        <v>#NAME?</v>
      </c>
      <c r="L921" s="24">
        <v>1987</v>
      </c>
      <c r="N921" s="21" t="s">
        <v>111</v>
      </c>
      <c r="O921" s="21" t="s">
        <v>112</v>
      </c>
      <c r="P921" s="26">
        <v>9618014676</v>
      </c>
      <c r="Q921" s="26" t="e">
        <f t="shared" ca="1" si="7"/>
        <v>#NAME?</v>
      </c>
      <c r="R921" s="21" t="s">
        <v>188</v>
      </c>
      <c r="S921" s="21" t="s">
        <v>6373</v>
      </c>
      <c r="U921" s="21" t="s">
        <v>6374</v>
      </c>
      <c r="V921" s="21" t="s">
        <v>6374</v>
      </c>
      <c r="W921" s="21" t="s">
        <v>307</v>
      </c>
      <c r="X921" s="21" t="s">
        <v>734</v>
      </c>
      <c r="Y921" s="21" t="s">
        <v>308</v>
      </c>
      <c r="Z921" s="21" t="s">
        <v>127</v>
      </c>
      <c r="AA921" s="21" t="s">
        <v>450</v>
      </c>
    </row>
    <row r="922" spans="1:27" ht="15.75" customHeight="1" x14ac:dyDescent="0.3">
      <c r="A922" s="21">
        <v>2024</v>
      </c>
      <c r="B922" s="22"/>
      <c r="H922" s="21" t="s">
        <v>6375</v>
      </c>
      <c r="I922" s="21" t="s">
        <v>6376</v>
      </c>
      <c r="J922" s="21" t="s">
        <v>4051</v>
      </c>
      <c r="K922" s="21" t="e">
        <f t="shared" ca="1" si="6"/>
        <v>#NAME?</v>
      </c>
      <c r="L922" s="24">
        <v>1978</v>
      </c>
      <c r="N922" s="21" t="s">
        <v>111</v>
      </c>
      <c r="O922" s="21" t="s">
        <v>112</v>
      </c>
      <c r="P922" s="26">
        <v>9849314915</v>
      </c>
      <c r="Q922" s="26" t="e">
        <f t="shared" ca="1" si="7"/>
        <v>#NAME?</v>
      </c>
      <c r="R922" s="21" t="s">
        <v>188</v>
      </c>
      <c r="S922" s="21" t="s">
        <v>579</v>
      </c>
      <c r="U922" s="21" t="s">
        <v>6377</v>
      </c>
      <c r="V922" s="21" t="s">
        <v>6377</v>
      </c>
      <c r="W922" s="21" t="s">
        <v>307</v>
      </c>
      <c r="X922" s="21" t="s">
        <v>352</v>
      </c>
      <c r="Y922" s="21" t="s">
        <v>352</v>
      </c>
      <c r="Z922" s="21" t="s">
        <v>2390</v>
      </c>
      <c r="AA922" s="21" t="s">
        <v>5775</v>
      </c>
    </row>
    <row r="923" spans="1:27" ht="15.75" customHeight="1" x14ac:dyDescent="0.3">
      <c r="A923" s="21">
        <v>2024</v>
      </c>
      <c r="B923" s="22"/>
      <c r="H923" s="21" t="s">
        <v>6378</v>
      </c>
      <c r="I923" s="21" t="s">
        <v>6379</v>
      </c>
      <c r="J923" s="21" t="s">
        <v>6380</v>
      </c>
      <c r="K923" s="21" t="e">
        <f t="shared" ca="1" si="6"/>
        <v>#NAME?</v>
      </c>
      <c r="L923" s="24">
        <v>1987</v>
      </c>
      <c r="N923" s="21" t="s">
        <v>111</v>
      </c>
      <c r="O923" s="21" t="s">
        <v>112</v>
      </c>
      <c r="P923" s="26">
        <v>9703098881</v>
      </c>
      <c r="Q923" s="26" t="e">
        <f t="shared" ca="1" si="7"/>
        <v>#NAME?</v>
      </c>
      <c r="R923" s="21" t="s">
        <v>6381</v>
      </c>
      <c r="S923" s="21" t="s">
        <v>6382</v>
      </c>
      <c r="U923" s="21" t="s">
        <v>6383</v>
      </c>
      <c r="V923" s="21" t="s">
        <v>6383</v>
      </c>
      <c r="W923" s="21" t="s">
        <v>6384</v>
      </c>
      <c r="X923" s="21" t="s">
        <v>179</v>
      </c>
      <c r="Y923" s="21" t="s">
        <v>1399</v>
      </c>
      <c r="Z923" s="21" t="s">
        <v>296</v>
      </c>
      <c r="AA923" s="21" t="s">
        <v>6385</v>
      </c>
    </row>
    <row r="924" spans="1:27" ht="15.75" customHeight="1" x14ac:dyDescent="0.3">
      <c r="A924" s="21">
        <v>2024</v>
      </c>
      <c r="B924" s="22"/>
      <c r="H924" s="21" t="s">
        <v>6386</v>
      </c>
      <c r="I924" s="21" t="s">
        <v>6387</v>
      </c>
      <c r="J924" s="21" t="s">
        <v>6388</v>
      </c>
      <c r="K924" s="21" t="e">
        <f t="shared" ca="1" si="6"/>
        <v>#NAME?</v>
      </c>
      <c r="L924" s="24">
        <v>1966</v>
      </c>
      <c r="N924" s="21" t="s">
        <v>111</v>
      </c>
      <c r="O924" s="21" t="s">
        <v>112</v>
      </c>
      <c r="P924" s="26">
        <v>9350856780</v>
      </c>
      <c r="Q924" s="26" t="e">
        <f t="shared" ca="1" si="7"/>
        <v>#NAME?</v>
      </c>
      <c r="R924" s="21" t="s">
        <v>6389</v>
      </c>
      <c r="S924" s="21" t="s">
        <v>6390</v>
      </c>
      <c r="U924" s="21" t="s">
        <v>6391</v>
      </c>
      <c r="V924" s="21" t="s">
        <v>6391</v>
      </c>
      <c r="W924" s="21" t="s">
        <v>6392</v>
      </c>
      <c r="X924" s="21" t="s">
        <v>6393</v>
      </c>
      <c r="Y924" s="21" t="s">
        <v>1573</v>
      </c>
      <c r="Z924" s="21" t="s">
        <v>127</v>
      </c>
      <c r="AA924" s="21" t="s">
        <v>6394</v>
      </c>
    </row>
    <row r="925" spans="1:27" ht="15.75" customHeight="1" x14ac:dyDescent="0.3">
      <c r="A925" s="21">
        <v>2024</v>
      </c>
      <c r="B925" s="22"/>
      <c r="H925" s="21" t="s">
        <v>6395</v>
      </c>
      <c r="I925" s="21" t="s">
        <v>2016</v>
      </c>
      <c r="J925" s="21" t="s">
        <v>6396</v>
      </c>
      <c r="K925" s="21" t="e">
        <f t="shared" ca="1" si="6"/>
        <v>#NAME?</v>
      </c>
      <c r="L925" s="24">
        <v>1991</v>
      </c>
      <c r="N925" s="21" t="s">
        <v>111</v>
      </c>
      <c r="O925" s="21" t="s">
        <v>112</v>
      </c>
      <c r="P925" s="26">
        <v>8978818182</v>
      </c>
      <c r="Q925" s="26" t="e">
        <f t="shared" ca="1" si="7"/>
        <v>#NAME?</v>
      </c>
      <c r="R925" s="21" t="s">
        <v>664</v>
      </c>
      <c r="S925" s="21" t="s">
        <v>6397</v>
      </c>
      <c r="U925" s="21" t="s">
        <v>6398</v>
      </c>
      <c r="V925" s="21" t="s">
        <v>6398</v>
      </c>
      <c r="W925" s="21" t="s">
        <v>219</v>
      </c>
      <c r="X925" s="21" t="s">
        <v>776</v>
      </c>
      <c r="Y925" s="21" t="s">
        <v>853</v>
      </c>
      <c r="Z925" s="21" t="s">
        <v>127</v>
      </c>
      <c r="AA925" s="21" t="s">
        <v>6399</v>
      </c>
    </row>
    <row r="926" spans="1:27" ht="15.75" customHeight="1" x14ac:dyDescent="0.3">
      <c r="A926" s="21">
        <v>2024</v>
      </c>
      <c r="B926" s="22"/>
      <c r="H926" s="21" t="s">
        <v>6400</v>
      </c>
      <c r="I926" s="21" t="s">
        <v>3895</v>
      </c>
      <c r="J926" s="21" t="s">
        <v>3896</v>
      </c>
      <c r="K926" s="21" t="e">
        <f t="shared" ca="1" si="6"/>
        <v>#NAME?</v>
      </c>
      <c r="L926" s="24">
        <v>2010</v>
      </c>
      <c r="N926" s="21" t="s">
        <v>111</v>
      </c>
      <c r="O926" s="21" t="s">
        <v>112</v>
      </c>
      <c r="P926" s="26">
        <v>9182608457</v>
      </c>
      <c r="Q926" s="26" t="e">
        <f t="shared" ca="1" si="7"/>
        <v>#NAME?</v>
      </c>
      <c r="R926" s="21" t="s">
        <v>188</v>
      </c>
      <c r="S926" s="21" t="s">
        <v>6401</v>
      </c>
      <c r="U926" s="21" t="s">
        <v>6402</v>
      </c>
      <c r="V926" s="21" t="s">
        <v>6402</v>
      </c>
      <c r="W926" s="21" t="s">
        <v>328</v>
      </c>
      <c r="X926" s="21" t="s">
        <v>179</v>
      </c>
      <c r="Y926" s="21" t="s">
        <v>179</v>
      </c>
      <c r="Z926" s="21" t="s">
        <v>582</v>
      </c>
      <c r="AA926" s="21" t="s">
        <v>396</v>
      </c>
    </row>
    <row r="927" spans="1:27" ht="15.75" customHeight="1" x14ac:dyDescent="0.3">
      <c r="A927" s="21">
        <v>2024</v>
      </c>
      <c r="B927" s="22"/>
      <c r="H927" s="21" t="s">
        <v>1411</v>
      </c>
      <c r="I927" s="21" t="s">
        <v>1412</v>
      </c>
      <c r="J927" s="21" t="s">
        <v>594</v>
      </c>
      <c r="K927" s="21" t="e">
        <f t="shared" ca="1" si="6"/>
        <v>#NAME?</v>
      </c>
      <c r="L927" s="24">
        <v>1985</v>
      </c>
      <c r="N927" s="21" t="s">
        <v>111</v>
      </c>
      <c r="O927" s="21" t="s">
        <v>112</v>
      </c>
      <c r="P927" s="26">
        <v>9848287755</v>
      </c>
      <c r="Q927" s="26" t="e">
        <f t="shared" ca="1" si="7"/>
        <v>#NAME?</v>
      </c>
      <c r="R927" s="21" t="s">
        <v>188</v>
      </c>
      <c r="S927" s="21" t="s">
        <v>1413</v>
      </c>
      <c r="U927" s="21" t="s">
        <v>588</v>
      </c>
      <c r="V927" s="21" t="s">
        <v>588</v>
      </c>
      <c r="W927" s="21" t="s">
        <v>307</v>
      </c>
      <c r="X927" s="21" t="s">
        <v>179</v>
      </c>
      <c r="Y927" s="21" t="s">
        <v>179</v>
      </c>
      <c r="Z927" s="21" t="s">
        <v>127</v>
      </c>
      <c r="AA927" s="21" t="s">
        <v>6403</v>
      </c>
    </row>
    <row r="928" spans="1:27" ht="15.75" customHeight="1" x14ac:dyDescent="0.3">
      <c r="A928" s="21">
        <v>2024</v>
      </c>
      <c r="B928" s="22"/>
      <c r="H928" s="21" t="s">
        <v>1425</v>
      </c>
      <c r="I928" s="21" t="s">
        <v>1427</v>
      </c>
      <c r="J928" s="21" t="s">
        <v>1426</v>
      </c>
      <c r="K928" s="21" t="e">
        <f t="shared" ca="1" si="6"/>
        <v>#NAME?</v>
      </c>
      <c r="L928" s="24">
        <v>1988</v>
      </c>
      <c r="N928" s="21" t="s">
        <v>111</v>
      </c>
      <c r="O928" s="21" t="s">
        <v>112</v>
      </c>
      <c r="P928" s="26">
        <v>9885913164</v>
      </c>
      <c r="Q928" s="26" t="e">
        <f t="shared" ca="1" si="7"/>
        <v>#NAME?</v>
      </c>
      <c r="R928" s="21" t="s">
        <v>1368</v>
      </c>
      <c r="S928" s="21" t="s">
        <v>1429</v>
      </c>
      <c r="U928" s="21" t="s">
        <v>1430</v>
      </c>
      <c r="V928" s="21" t="s">
        <v>1430</v>
      </c>
      <c r="W928" s="21" t="s">
        <v>319</v>
      </c>
      <c r="X928" s="21" t="s">
        <v>571</v>
      </c>
      <c r="Y928" s="21" t="s">
        <v>571</v>
      </c>
      <c r="Z928" s="21" t="s">
        <v>582</v>
      </c>
      <c r="AA928" s="21" t="s">
        <v>297</v>
      </c>
    </row>
    <row r="929" spans="1:27" ht="15.75" customHeight="1" x14ac:dyDescent="0.3">
      <c r="A929" s="21">
        <v>2024</v>
      </c>
      <c r="B929" s="22"/>
      <c r="H929" s="21" t="s">
        <v>6404</v>
      </c>
      <c r="I929" s="21" t="s">
        <v>5150</v>
      </c>
      <c r="J929" s="21" t="s">
        <v>6405</v>
      </c>
      <c r="K929" s="21" t="e">
        <f t="shared" ca="1" si="6"/>
        <v>#NAME?</v>
      </c>
      <c r="L929" s="24">
        <v>1974</v>
      </c>
      <c r="N929" s="21" t="s">
        <v>111</v>
      </c>
      <c r="O929" s="21" t="s">
        <v>112</v>
      </c>
      <c r="P929" s="26">
        <v>8121362700</v>
      </c>
      <c r="Q929" s="26" t="e">
        <f t="shared" ca="1" si="7"/>
        <v>#NAME?</v>
      </c>
      <c r="R929" s="21" t="s">
        <v>6406</v>
      </c>
      <c r="S929" s="21" t="s">
        <v>6407</v>
      </c>
      <c r="U929" s="21" t="s">
        <v>6408</v>
      </c>
      <c r="V929" s="21" t="s">
        <v>6408</v>
      </c>
      <c r="W929" s="21" t="s">
        <v>307</v>
      </c>
      <c r="X929" s="21" t="s">
        <v>179</v>
      </c>
      <c r="Y929" s="21" t="s">
        <v>308</v>
      </c>
      <c r="Z929" s="21" t="s">
        <v>127</v>
      </c>
      <c r="AA929" s="21" t="s">
        <v>617</v>
      </c>
    </row>
    <row r="930" spans="1:27" ht="15.75" customHeight="1" x14ac:dyDescent="0.3">
      <c r="A930" s="21">
        <v>2024</v>
      </c>
      <c r="B930" s="22"/>
      <c r="H930" s="21" t="s">
        <v>946</v>
      </c>
      <c r="I930" s="21" t="s">
        <v>6409</v>
      </c>
      <c r="J930" s="21" t="s">
        <v>862</v>
      </c>
      <c r="K930" s="21" t="e">
        <f t="shared" ca="1" si="6"/>
        <v>#NAME?</v>
      </c>
      <c r="L930" s="24">
        <v>1976</v>
      </c>
      <c r="N930" s="21" t="s">
        <v>111</v>
      </c>
      <c r="O930" s="21" t="s">
        <v>112</v>
      </c>
      <c r="P930" s="26">
        <v>8639461060</v>
      </c>
      <c r="Q930" s="26" t="e">
        <f t="shared" ca="1" si="7"/>
        <v>#NAME?</v>
      </c>
      <c r="R930" s="21" t="s">
        <v>188</v>
      </c>
      <c r="S930" s="21" t="s">
        <v>6410</v>
      </c>
      <c r="U930" s="21" t="s">
        <v>1046</v>
      </c>
      <c r="V930" s="21" t="s">
        <v>1046</v>
      </c>
      <c r="W930" s="21" t="s">
        <v>319</v>
      </c>
      <c r="X930" s="21" t="s">
        <v>376</v>
      </c>
      <c r="Y930" s="21" t="s">
        <v>376</v>
      </c>
      <c r="Z930" s="21" t="s">
        <v>127</v>
      </c>
      <c r="AA930" s="21" t="s">
        <v>6411</v>
      </c>
    </row>
    <row r="931" spans="1:27" ht="15.75" customHeight="1" x14ac:dyDescent="0.3">
      <c r="A931" s="21">
        <v>2024</v>
      </c>
      <c r="B931" s="22"/>
      <c r="H931" s="21" t="s">
        <v>6412</v>
      </c>
      <c r="I931" s="21" t="s">
        <v>3921</v>
      </c>
      <c r="J931" s="21" t="s">
        <v>6413</v>
      </c>
      <c r="K931" s="21" t="e">
        <f t="shared" ca="1" si="6"/>
        <v>#NAME?</v>
      </c>
      <c r="L931" s="24">
        <v>1980</v>
      </c>
      <c r="N931" s="21" t="s">
        <v>111</v>
      </c>
      <c r="O931" s="21" t="s">
        <v>112</v>
      </c>
      <c r="P931" s="26">
        <v>8297222622</v>
      </c>
      <c r="Q931" s="26" t="e">
        <f t="shared" ca="1" si="7"/>
        <v>#NAME?</v>
      </c>
      <c r="R931" s="21" t="s">
        <v>188</v>
      </c>
      <c r="S931" s="21" t="s">
        <v>6414</v>
      </c>
      <c r="U931" s="21" t="s">
        <v>6415</v>
      </c>
      <c r="V931" s="21" t="s">
        <v>6415</v>
      </c>
      <c r="W931" s="21" t="s">
        <v>488</v>
      </c>
      <c r="X931" s="21" t="s">
        <v>211</v>
      </c>
      <c r="Y931" s="21" t="s">
        <v>211</v>
      </c>
      <c r="Z931" s="21" t="s">
        <v>127</v>
      </c>
      <c r="AA931" s="21" t="s">
        <v>6416</v>
      </c>
    </row>
    <row r="932" spans="1:27" ht="15.75" customHeight="1" x14ac:dyDescent="0.3">
      <c r="A932" s="21">
        <v>2024</v>
      </c>
      <c r="B932" s="22"/>
      <c r="H932" s="21" t="s">
        <v>5190</v>
      </c>
      <c r="I932" s="21" t="s">
        <v>5191</v>
      </c>
      <c r="J932" s="21" t="s">
        <v>6417</v>
      </c>
      <c r="K932" s="21" t="e">
        <f t="shared" ca="1" si="6"/>
        <v>#NAME?</v>
      </c>
      <c r="L932" s="24">
        <v>2014</v>
      </c>
      <c r="N932" s="21" t="s">
        <v>111</v>
      </c>
      <c r="O932" s="21" t="s">
        <v>112</v>
      </c>
      <c r="P932" s="26">
        <v>8374599228</v>
      </c>
      <c r="Q932" s="26" t="e">
        <f t="shared" ca="1" si="7"/>
        <v>#NAME?</v>
      </c>
      <c r="R932" s="21" t="s">
        <v>188</v>
      </c>
      <c r="S932" s="21" t="s">
        <v>6418</v>
      </c>
      <c r="U932" s="21" t="s">
        <v>6419</v>
      </c>
      <c r="V932" s="21" t="s">
        <v>6419</v>
      </c>
      <c r="W932" s="21" t="s">
        <v>6420</v>
      </c>
      <c r="X932" s="21" t="s">
        <v>308</v>
      </c>
      <c r="Y932" s="21" t="s">
        <v>406</v>
      </c>
      <c r="Z932" s="21" t="s">
        <v>6421</v>
      </c>
      <c r="AA932" s="21" t="s">
        <v>6422</v>
      </c>
    </row>
    <row r="933" spans="1:27" ht="15.75" customHeight="1" x14ac:dyDescent="0.3">
      <c r="A933" s="21">
        <v>2024</v>
      </c>
      <c r="B933" s="22"/>
      <c r="H933" s="21" t="s">
        <v>6423</v>
      </c>
      <c r="I933" s="21" t="s">
        <v>3010</v>
      </c>
      <c r="J933" s="21" t="s">
        <v>6424</v>
      </c>
      <c r="K933" s="21" t="e">
        <f t="shared" ca="1" si="6"/>
        <v>#NAME?</v>
      </c>
      <c r="L933" s="24">
        <v>1997</v>
      </c>
      <c r="N933" s="21" t="s">
        <v>111</v>
      </c>
      <c r="O933" s="21" t="s">
        <v>112</v>
      </c>
      <c r="P933" s="26">
        <v>8008107796</v>
      </c>
      <c r="Q933" s="26" t="e">
        <f t="shared" ca="1" si="7"/>
        <v>#NAME?</v>
      </c>
      <c r="R933" s="21" t="s">
        <v>188</v>
      </c>
      <c r="S933" s="21" t="s">
        <v>6425</v>
      </c>
      <c r="U933" s="21" t="s">
        <v>6426</v>
      </c>
      <c r="V933" s="21" t="s">
        <v>6426</v>
      </c>
      <c r="W933" s="21" t="s">
        <v>328</v>
      </c>
      <c r="X933" s="21" t="s">
        <v>179</v>
      </c>
      <c r="Y933" s="21" t="s">
        <v>506</v>
      </c>
      <c r="Z933" s="21" t="s">
        <v>127</v>
      </c>
      <c r="AA933" s="21" t="s">
        <v>6427</v>
      </c>
    </row>
    <row r="934" spans="1:27" ht="15.75" customHeight="1" x14ac:dyDescent="0.3">
      <c r="A934" s="21">
        <v>2024</v>
      </c>
      <c r="B934" s="22"/>
      <c r="H934" s="21" t="s">
        <v>6428</v>
      </c>
      <c r="I934" s="21" t="s">
        <v>653</v>
      </c>
      <c r="J934" s="21" t="s">
        <v>6429</v>
      </c>
      <c r="K934" s="21" t="e">
        <f t="shared" ca="1" si="6"/>
        <v>#NAME?</v>
      </c>
      <c r="L934" s="24">
        <v>1982</v>
      </c>
      <c r="N934" s="21" t="s">
        <v>111</v>
      </c>
      <c r="O934" s="21" t="s">
        <v>112</v>
      </c>
      <c r="P934" s="26">
        <v>8867194001</v>
      </c>
      <c r="Q934" s="26" t="e">
        <f t="shared" ca="1" si="7"/>
        <v>#NAME?</v>
      </c>
      <c r="R934" s="21" t="s">
        <v>485</v>
      </c>
      <c r="S934" s="21" t="s">
        <v>6430</v>
      </c>
      <c r="U934" s="21" t="s">
        <v>6431</v>
      </c>
      <c r="V934" s="21" t="s">
        <v>6431</v>
      </c>
      <c r="W934" s="21" t="s">
        <v>6432</v>
      </c>
      <c r="X934" s="21" t="s">
        <v>1453</v>
      </c>
      <c r="Y934" s="21" t="s">
        <v>1453</v>
      </c>
      <c r="Z934" s="21" t="s">
        <v>284</v>
      </c>
      <c r="AA934" s="21" t="s">
        <v>1293</v>
      </c>
    </row>
    <row r="935" spans="1:27" ht="15.75" customHeight="1" x14ac:dyDescent="0.3">
      <c r="A935" s="21">
        <v>2024</v>
      </c>
      <c r="B935" s="22"/>
      <c r="H935" s="21" t="s">
        <v>611</v>
      </c>
      <c r="I935" s="21" t="s">
        <v>612</v>
      </c>
      <c r="J935" s="21" t="s">
        <v>6433</v>
      </c>
      <c r="K935" s="21" t="e">
        <f t="shared" ca="1" si="6"/>
        <v>#NAME?</v>
      </c>
      <c r="L935" s="24">
        <v>2014</v>
      </c>
      <c r="N935" s="21" t="s">
        <v>111</v>
      </c>
      <c r="O935" s="21" t="s">
        <v>112</v>
      </c>
      <c r="P935" s="26">
        <v>9885030611</v>
      </c>
      <c r="Q935" s="26" t="e">
        <f t="shared" ca="1" si="7"/>
        <v>#NAME?</v>
      </c>
      <c r="R935" s="21" t="s">
        <v>188</v>
      </c>
      <c r="S935" s="21" t="s">
        <v>6434</v>
      </c>
      <c r="U935" s="21" t="s">
        <v>6435</v>
      </c>
      <c r="V935" s="21" t="s">
        <v>6435</v>
      </c>
      <c r="W935" s="21" t="s">
        <v>319</v>
      </c>
      <c r="X935" s="21" t="s">
        <v>211</v>
      </c>
      <c r="Y935" s="21" t="s">
        <v>211</v>
      </c>
      <c r="Z935" s="21" t="s">
        <v>6436</v>
      </c>
      <c r="AA935" s="21" t="s">
        <v>6437</v>
      </c>
    </row>
    <row r="936" spans="1:27" ht="15.75" customHeight="1" x14ac:dyDescent="0.3">
      <c r="A936" s="21">
        <v>2024</v>
      </c>
      <c r="B936" s="22"/>
      <c r="H936" s="21" t="s">
        <v>687</v>
      </c>
      <c r="I936" s="21" t="s">
        <v>679</v>
      </c>
      <c r="J936" s="21" t="s">
        <v>688</v>
      </c>
      <c r="K936" s="21" t="e">
        <f t="shared" ca="1" si="6"/>
        <v>#NAME?</v>
      </c>
      <c r="L936" s="24">
        <v>1974</v>
      </c>
      <c r="N936" s="21" t="s">
        <v>111</v>
      </c>
      <c r="O936" s="21" t="s">
        <v>112</v>
      </c>
      <c r="P936" s="26">
        <v>9885571274</v>
      </c>
      <c r="Q936" s="26" t="e">
        <f t="shared" ca="1" si="7"/>
        <v>#NAME?</v>
      </c>
      <c r="R936" s="21" t="s">
        <v>188</v>
      </c>
      <c r="S936" s="21" t="s">
        <v>689</v>
      </c>
      <c r="U936" s="21" t="s">
        <v>690</v>
      </c>
      <c r="V936" s="21" t="s">
        <v>690</v>
      </c>
      <c r="W936" s="21" t="s">
        <v>307</v>
      </c>
      <c r="X936" s="21" t="s">
        <v>352</v>
      </c>
      <c r="Y936" s="21" t="s">
        <v>352</v>
      </c>
      <c r="Z936" s="21" t="s">
        <v>127</v>
      </c>
      <c r="AA936" s="21" t="s">
        <v>691</v>
      </c>
    </row>
    <row r="937" spans="1:27" ht="15.75" customHeight="1" x14ac:dyDescent="0.3">
      <c r="A937" s="21">
        <v>2024</v>
      </c>
      <c r="B937" s="22"/>
      <c r="H937" s="21" t="s">
        <v>585</v>
      </c>
      <c r="I937" s="21" t="s">
        <v>576</v>
      </c>
      <c r="J937" s="21" t="s">
        <v>586</v>
      </c>
      <c r="K937" s="21" t="e">
        <f t="shared" ca="1" si="6"/>
        <v>#NAME?</v>
      </c>
      <c r="L937" s="24">
        <v>1962</v>
      </c>
      <c r="N937" s="21" t="s">
        <v>111</v>
      </c>
      <c r="O937" s="21" t="s">
        <v>112</v>
      </c>
      <c r="P937" s="26">
        <v>9346834357</v>
      </c>
      <c r="Q937" s="26" t="e">
        <f t="shared" ca="1" si="7"/>
        <v>#NAME?</v>
      </c>
      <c r="R937" s="21" t="s">
        <v>304</v>
      </c>
      <c r="S937" s="21" t="s">
        <v>587</v>
      </c>
      <c r="U937" s="21" t="s">
        <v>588</v>
      </c>
      <c r="V937" s="21" t="s">
        <v>588</v>
      </c>
      <c r="W937" s="21" t="s">
        <v>589</v>
      </c>
      <c r="X937" s="21" t="s">
        <v>179</v>
      </c>
      <c r="Y937" s="21" t="s">
        <v>179</v>
      </c>
      <c r="Z937" s="21" t="s">
        <v>127</v>
      </c>
      <c r="AA937" s="21" t="s">
        <v>386</v>
      </c>
    </row>
    <row r="938" spans="1:27" ht="15.75" customHeight="1" x14ac:dyDescent="0.3">
      <c r="A938" s="21">
        <v>2024</v>
      </c>
      <c r="B938" s="22"/>
      <c r="H938" s="21" t="s">
        <v>6438</v>
      </c>
      <c r="I938" s="21" t="s">
        <v>6439</v>
      </c>
      <c r="J938" s="21" t="s">
        <v>6440</v>
      </c>
      <c r="K938" s="21" t="e">
        <f t="shared" ca="1" si="6"/>
        <v>#NAME?</v>
      </c>
      <c r="L938" s="24">
        <v>1984</v>
      </c>
      <c r="N938" s="21" t="s">
        <v>111</v>
      </c>
      <c r="O938" s="21" t="s">
        <v>112</v>
      </c>
      <c r="P938" s="26">
        <v>9246694449</v>
      </c>
      <c r="Q938" s="26" t="e">
        <f t="shared" ca="1" si="7"/>
        <v>#NAME?</v>
      </c>
      <c r="R938" s="21" t="s">
        <v>485</v>
      </c>
      <c r="S938" s="21" t="s">
        <v>6441</v>
      </c>
      <c r="U938" s="21" t="s">
        <v>6442</v>
      </c>
      <c r="V938" s="21" t="s">
        <v>6442</v>
      </c>
      <c r="W938" s="21" t="s">
        <v>6443</v>
      </c>
      <c r="X938" s="21" t="s">
        <v>6444</v>
      </c>
      <c r="Y938" s="21" t="s">
        <v>6444</v>
      </c>
      <c r="Z938" s="21" t="s">
        <v>6445</v>
      </c>
      <c r="AA938" s="21" t="s">
        <v>6446</v>
      </c>
    </row>
    <row r="939" spans="1:27" ht="15.75" customHeight="1" x14ac:dyDescent="0.3">
      <c r="A939" s="21">
        <v>2024</v>
      </c>
      <c r="B939" s="22"/>
      <c r="H939" s="21" t="s">
        <v>6447</v>
      </c>
      <c r="I939" s="21" t="s">
        <v>1709</v>
      </c>
      <c r="J939" s="21" t="s">
        <v>6448</v>
      </c>
      <c r="K939" s="21" t="e">
        <f t="shared" ca="1" si="6"/>
        <v>#NAME?</v>
      </c>
      <c r="L939" s="24">
        <v>2012</v>
      </c>
      <c r="N939" s="21" t="s">
        <v>111</v>
      </c>
      <c r="O939" s="21" t="s">
        <v>112</v>
      </c>
      <c r="P939" s="26">
        <v>9966238978</v>
      </c>
      <c r="Q939" s="26" t="e">
        <f t="shared" ca="1" si="7"/>
        <v>#NAME?</v>
      </c>
      <c r="R939" s="21" t="s">
        <v>188</v>
      </c>
      <c r="S939" s="21" t="s">
        <v>6449</v>
      </c>
      <c r="U939" s="21" t="s">
        <v>6450</v>
      </c>
      <c r="V939" s="21" t="s">
        <v>6450</v>
      </c>
      <c r="W939" s="21" t="s">
        <v>219</v>
      </c>
      <c r="X939" s="21" t="s">
        <v>571</v>
      </c>
      <c r="Y939" s="21" t="s">
        <v>571</v>
      </c>
      <c r="Z939" s="21" t="s">
        <v>6451</v>
      </c>
      <c r="AA939" s="21" t="s">
        <v>6452</v>
      </c>
    </row>
    <row r="940" spans="1:27" ht="15.75" customHeight="1" x14ac:dyDescent="0.3">
      <c r="A940" s="21">
        <v>2024</v>
      </c>
      <c r="B940" s="22"/>
      <c r="H940" s="21" t="s">
        <v>6453</v>
      </c>
      <c r="I940" s="21" t="s">
        <v>1709</v>
      </c>
      <c r="J940" s="21" t="s">
        <v>6454</v>
      </c>
      <c r="K940" s="21" t="e">
        <f t="shared" ca="1" si="6"/>
        <v>#NAME?</v>
      </c>
      <c r="L940" s="24">
        <v>2010</v>
      </c>
      <c r="N940" s="21" t="s">
        <v>111</v>
      </c>
      <c r="O940" s="21" t="s">
        <v>112</v>
      </c>
      <c r="P940" s="26">
        <v>9966238978</v>
      </c>
      <c r="Q940" s="26" t="e">
        <f t="shared" ca="1" si="7"/>
        <v>#NAME?</v>
      </c>
      <c r="R940" s="21" t="s">
        <v>188</v>
      </c>
      <c r="S940" s="21" t="s">
        <v>6449</v>
      </c>
      <c r="U940" s="21" t="s">
        <v>6450</v>
      </c>
      <c r="V940" s="21" t="s">
        <v>6450</v>
      </c>
      <c r="W940" s="21" t="s">
        <v>328</v>
      </c>
      <c r="X940" s="21" t="s">
        <v>776</v>
      </c>
      <c r="Y940" s="21" t="s">
        <v>776</v>
      </c>
      <c r="Z940" s="21" t="s">
        <v>6451</v>
      </c>
      <c r="AA940" s="21" t="s">
        <v>6455</v>
      </c>
    </row>
    <row r="941" spans="1:27" ht="15.75" customHeight="1" x14ac:dyDescent="0.3">
      <c r="A941" s="21">
        <v>2024</v>
      </c>
      <c r="B941" s="22"/>
      <c r="H941" s="21" t="s">
        <v>461</v>
      </c>
      <c r="I941" s="21" t="s">
        <v>462</v>
      </c>
      <c r="J941" s="21" t="s">
        <v>463</v>
      </c>
      <c r="K941" s="21" t="e">
        <f t="shared" ca="1" si="6"/>
        <v>#NAME?</v>
      </c>
      <c r="L941" s="24">
        <v>1955</v>
      </c>
      <c r="N941" s="21" t="s">
        <v>111</v>
      </c>
      <c r="O941" s="21" t="s">
        <v>112</v>
      </c>
      <c r="P941" s="26">
        <v>8500945799</v>
      </c>
      <c r="Q941" s="26" t="e">
        <f t="shared" ca="1" si="7"/>
        <v>#NAME?</v>
      </c>
      <c r="R941" s="21" t="s">
        <v>188</v>
      </c>
      <c r="S941" s="21" t="s">
        <v>6456</v>
      </c>
      <c r="U941" s="21" t="s">
        <v>465</v>
      </c>
      <c r="V941" s="21" t="s">
        <v>465</v>
      </c>
      <c r="W941" s="21" t="s">
        <v>466</v>
      </c>
      <c r="X941" s="21" t="s">
        <v>179</v>
      </c>
      <c r="Y941" s="21" t="s">
        <v>352</v>
      </c>
      <c r="Z941" s="21" t="s">
        <v>127</v>
      </c>
      <c r="AA941" s="21" t="s">
        <v>6457</v>
      </c>
    </row>
    <row r="942" spans="1:27" ht="15.75" customHeight="1" x14ac:dyDescent="0.3">
      <c r="A942" s="21">
        <v>2024</v>
      </c>
      <c r="B942" s="22"/>
      <c r="H942" s="21" t="s">
        <v>142</v>
      </c>
      <c r="I942" s="21" t="s">
        <v>143</v>
      </c>
      <c r="J942" s="21" t="s">
        <v>145</v>
      </c>
      <c r="K942" s="21" t="e">
        <f t="shared" ca="1" si="6"/>
        <v>#NAME?</v>
      </c>
      <c r="L942" s="24">
        <v>1988</v>
      </c>
      <c r="N942" s="21" t="s">
        <v>111</v>
      </c>
      <c r="O942" s="21" t="s">
        <v>112</v>
      </c>
      <c r="P942" s="26">
        <v>9963023525</v>
      </c>
      <c r="Q942" s="26" t="e">
        <f t="shared" ca="1" si="7"/>
        <v>#NAME?</v>
      </c>
      <c r="R942" s="21" t="s">
        <v>156</v>
      </c>
      <c r="S942" s="21" t="s">
        <v>158</v>
      </c>
      <c r="U942" s="21" t="s">
        <v>160</v>
      </c>
      <c r="V942" s="21" t="s">
        <v>160</v>
      </c>
      <c r="W942" s="21" t="s">
        <v>162</v>
      </c>
      <c r="X942" s="21" t="s">
        <v>165</v>
      </c>
      <c r="Y942" s="21" t="s">
        <v>165</v>
      </c>
      <c r="Z942" s="21" t="s">
        <v>127</v>
      </c>
      <c r="AA942" s="21" t="s">
        <v>5438</v>
      </c>
    </row>
    <row r="943" spans="1:27" ht="15.75" customHeight="1" x14ac:dyDescent="0.3">
      <c r="A943" s="21">
        <v>2024</v>
      </c>
      <c r="B943" s="22"/>
      <c r="H943" s="21" t="s">
        <v>620</v>
      </c>
      <c r="I943" s="21" t="s">
        <v>623</v>
      </c>
      <c r="J943" s="21" t="s">
        <v>622</v>
      </c>
      <c r="K943" s="21" t="e">
        <f t="shared" ca="1" si="6"/>
        <v>#NAME?</v>
      </c>
      <c r="L943" s="24">
        <v>1967</v>
      </c>
      <c r="N943" s="21" t="s">
        <v>111</v>
      </c>
      <c r="O943" s="21" t="s">
        <v>112</v>
      </c>
      <c r="P943" s="26">
        <v>8978544100</v>
      </c>
      <c r="Q943" s="26" t="e">
        <f t="shared" ca="1" si="7"/>
        <v>#NAME?</v>
      </c>
      <c r="R943" s="21" t="s">
        <v>188</v>
      </c>
      <c r="S943" s="21" t="s">
        <v>6458</v>
      </c>
      <c r="U943" s="21" t="s">
        <v>628</v>
      </c>
      <c r="V943" s="21" t="s">
        <v>628</v>
      </c>
      <c r="W943" s="21" t="s">
        <v>6459</v>
      </c>
      <c r="X943" s="21" t="s">
        <v>2012</v>
      </c>
      <c r="Y943" s="21" t="s">
        <v>2012</v>
      </c>
      <c r="Z943" s="21" t="s">
        <v>296</v>
      </c>
      <c r="AA943" s="21" t="s">
        <v>6460</v>
      </c>
    </row>
    <row r="944" spans="1:27" ht="15.75" customHeight="1" x14ac:dyDescent="0.3">
      <c r="A944" s="21">
        <v>2024</v>
      </c>
      <c r="B944" s="22"/>
      <c r="H944" s="21" t="s">
        <v>6461</v>
      </c>
      <c r="I944" s="21" t="s">
        <v>695</v>
      </c>
      <c r="J944" s="21" t="s">
        <v>6462</v>
      </c>
      <c r="K944" s="21" t="e">
        <f t="shared" ca="1" si="6"/>
        <v>#NAME?</v>
      </c>
      <c r="L944" s="24">
        <v>2017</v>
      </c>
      <c r="N944" s="21" t="s">
        <v>111</v>
      </c>
      <c r="O944" s="21" t="s">
        <v>112</v>
      </c>
      <c r="P944" s="26">
        <v>9885096301</v>
      </c>
      <c r="Q944" s="26" t="e">
        <f t="shared" ca="1" si="7"/>
        <v>#NAME?</v>
      </c>
      <c r="R944" s="21" t="s">
        <v>188</v>
      </c>
      <c r="S944" s="21" t="s">
        <v>6463</v>
      </c>
      <c r="U944" s="21" t="s">
        <v>6464</v>
      </c>
      <c r="V944" s="21" t="s">
        <v>6464</v>
      </c>
      <c r="W944" s="21" t="s">
        <v>219</v>
      </c>
      <c r="X944" s="21" t="s">
        <v>308</v>
      </c>
      <c r="Y944" s="21" t="s">
        <v>406</v>
      </c>
      <c r="Z944" s="21" t="s">
        <v>6465</v>
      </c>
      <c r="AA944" s="21" t="s">
        <v>6466</v>
      </c>
    </row>
    <row r="945" spans="1:27" ht="15.75" customHeight="1" x14ac:dyDescent="0.3">
      <c r="A945" s="21">
        <v>2024</v>
      </c>
      <c r="B945" s="22"/>
      <c r="H945" s="21" t="s">
        <v>802</v>
      </c>
      <c r="I945" s="21" t="s">
        <v>6467</v>
      </c>
      <c r="J945" s="21" t="s">
        <v>6468</v>
      </c>
      <c r="K945" s="21" t="e">
        <f t="shared" ca="1" si="6"/>
        <v>#NAME?</v>
      </c>
      <c r="L945" s="24">
        <v>1964</v>
      </c>
      <c r="N945" s="21" t="s">
        <v>111</v>
      </c>
      <c r="O945" s="21" t="s">
        <v>112</v>
      </c>
      <c r="P945" s="26">
        <v>9440631176</v>
      </c>
      <c r="Q945" s="26" t="e">
        <f t="shared" ca="1" si="7"/>
        <v>#NAME?</v>
      </c>
      <c r="R945" s="21" t="s">
        <v>188</v>
      </c>
      <c r="S945" s="21" t="s">
        <v>797</v>
      </c>
      <c r="U945" s="21" t="s">
        <v>806</v>
      </c>
      <c r="V945" s="21" t="s">
        <v>806</v>
      </c>
      <c r="W945" s="21" t="s">
        <v>328</v>
      </c>
      <c r="X945" s="21" t="s">
        <v>6469</v>
      </c>
      <c r="Y945" s="21" t="s">
        <v>308</v>
      </c>
      <c r="Z945" s="21" t="s">
        <v>808</v>
      </c>
      <c r="AA945" s="21" t="s">
        <v>6470</v>
      </c>
    </row>
    <row r="946" spans="1:27" ht="15.75" customHeight="1" x14ac:dyDescent="0.3">
      <c r="A946" s="21">
        <v>2024</v>
      </c>
      <c r="B946" s="22"/>
      <c r="H946" s="21" t="s">
        <v>6471</v>
      </c>
      <c r="I946" s="21" t="s">
        <v>3852</v>
      </c>
      <c r="J946" s="21" t="s">
        <v>1767</v>
      </c>
      <c r="K946" s="21" t="e">
        <f t="shared" ca="1" si="6"/>
        <v>#NAME?</v>
      </c>
      <c r="L946" s="24">
        <v>1971</v>
      </c>
      <c r="N946" s="21" t="s">
        <v>111</v>
      </c>
      <c r="O946" s="21" t="s">
        <v>112</v>
      </c>
      <c r="P946" s="26">
        <v>9100119679</v>
      </c>
      <c r="Q946" s="26" t="e">
        <f t="shared" ca="1" si="7"/>
        <v>#NAME?</v>
      </c>
      <c r="R946" s="21" t="s">
        <v>485</v>
      </c>
      <c r="S946" s="21" t="s">
        <v>5485</v>
      </c>
      <c r="U946" s="21" t="s">
        <v>6472</v>
      </c>
      <c r="V946" s="21" t="s">
        <v>6472</v>
      </c>
      <c r="W946" s="21" t="s">
        <v>6473</v>
      </c>
      <c r="X946" s="21" t="s">
        <v>179</v>
      </c>
      <c r="Y946" s="21" t="s">
        <v>179</v>
      </c>
      <c r="Z946" s="21" t="s">
        <v>296</v>
      </c>
      <c r="AA946" s="21" t="s">
        <v>6474</v>
      </c>
    </row>
    <row r="947" spans="1:27" ht="15.75" customHeight="1" x14ac:dyDescent="0.3">
      <c r="A947" s="21">
        <v>2024</v>
      </c>
      <c r="B947" s="22"/>
      <c r="H947" s="21" t="s">
        <v>2131</v>
      </c>
      <c r="I947" s="21" t="s">
        <v>2132</v>
      </c>
      <c r="J947" s="21" t="s">
        <v>2133</v>
      </c>
      <c r="K947" s="21" t="e">
        <f t="shared" ca="1" si="6"/>
        <v>#NAME?</v>
      </c>
      <c r="L947" s="24">
        <v>2008</v>
      </c>
      <c r="N947" s="21" t="s">
        <v>111</v>
      </c>
      <c r="O947" s="21" t="s">
        <v>112</v>
      </c>
      <c r="P947" s="26">
        <v>9381583342</v>
      </c>
      <c r="Q947" s="26" t="e">
        <f t="shared" ca="1" si="7"/>
        <v>#NAME?</v>
      </c>
      <c r="R947" s="21" t="s">
        <v>188</v>
      </c>
      <c r="S947" s="21" t="s">
        <v>6475</v>
      </c>
      <c r="U947" s="21" t="s">
        <v>774</v>
      </c>
      <c r="V947" s="21" t="s">
        <v>774</v>
      </c>
      <c r="W947" s="21" t="s">
        <v>488</v>
      </c>
      <c r="X947" s="21" t="s">
        <v>179</v>
      </c>
      <c r="Y947" s="21" t="s">
        <v>3939</v>
      </c>
      <c r="Z947" s="21" t="s">
        <v>127</v>
      </c>
      <c r="AA947" s="21" t="s">
        <v>6476</v>
      </c>
    </row>
    <row r="948" spans="1:27" ht="15.75" customHeight="1" x14ac:dyDescent="0.3">
      <c r="A948" s="21">
        <v>2024</v>
      </c>
      <c r="B948" s="22"/>
      <c r="H948" s="21" t="s">
        <v>6477</v>
      </c>
      <c r="I948" s="21" t="s">
        <v>1471</v>
      </c>
      <c r="J948" s="21" t="s">
        <v>6478</v>
      </c>
      <c r="K948" s="21" t="e">
        <f t="shared" ca="1" si="6"/>
        <v>#NAME?</v>
      </c>
      <c r="L948" s="24">
        <v>2012</v>
      </c>
      <c r="N948" s="21" t="s">
        <v>111</v>
      </c>
      <c r="O948" s="21" t="s">
        <v>112</v>
      </c>
      <c r="P948" s="26">
        <v>7730834444</v>
      </c>
      <c r="Q948" s="26" t="e">
        <f t="shared" ca="1" si="7"/>
        <v>#NAME?</v>
      </c>
      <c r="R948" s="21" t="s">
        <v>188</v>
      </c>
      <c r="S948" s="21" t="s">
        <v>6479</v>
      </c>
      <c r="U948" s="21" t="s">
        <v>6480</v>
      </c>
      <c r="V948" s="21" t="s">
        <v>6480</v>
      </c>
      <c r="W948" s="21" t="s">
        <v>319</v>
      </c>
      <c r="X948" s="21" t="s">
        <v>1136</v>
      </c>
      <c r="Y948" s="21" t="s">
        <v>1136</v>
      </c>
      <c r="Z948" s="21" t="s">
        <v>6481</v>
      </c>
      <c r="AA948" s="21" t="s">
        <v>396</v>
      </c>
    </row>
    <row r="949" spans="1:27" ht="15.75" customHeight="1" x14ac:dyDescent="0.3">
      <c r="A949" s="21">
        <v>2024</v>
      </c>
      <c r="B949" s="22"/>
      <c r="H949" s="21" t="s">
        <v>555</v>
      </c>
      <c r="I949" s="21" t="s">
        <v>556</v>
      </c>
      <c r="J949" s="138" t="s">
        <v>557</v>
      </c>
      <c r="K949" s="21" t="e">
        <f t="shared" ca="1" si="6"/>
        <v>#NAME?</v>
      </c>
      <c r="L949" s="24">
        <v>2012</v>
      </c>
      <c r="N949" s="21" t="s">
        <v>111</v>
      </c>
      <c r="O949" s="21" t="s">
        <v>112</v>
      </c>
      <c r="P949" s="26">
        <v>9701055200</v>
      </c>
      <c r="Q949" s="26" t="e">
        <f t="shared" ca="1" si="7"/>
        <v>#NAME?</v>
      </c>
      <c r="R949" s="21" t="s">
        <v>188</v>
      </c>
      <c r="S949" s="21" t="s">
        <v>558</v>
      </c>
      <c r="U949" s="21" t="s">
        <v>559</v>
      </c>
      <c r="V949" s="21" t="s">
        <v>559</v>
      </c>
      <c r="W949" s="21" t="s">
        <v>191</v>
      </c>
      <c r="X949" s="21" t="s">
        <v>560</v>
      </c>
      <c r="Y949" s="21" t="s">
        <v>406</v>
      </c>
      <c r="Z949" s="21" t="s">
        <v>561</v>
      </c>
      <c r="AA949" s="21" t="s">
        <v>6482</v>
      </c>
    </row>
    <row r="950" spans="1:27" ht="15.75" customHeight="1" x14ac:dyDescent="0.3">
      <c r="A950" s="21">
        <v>2024</v>
      </c>
      <c r="B950" s="22"/>
      <c r="H950" s="21" t="s">
        <v>6483</v>
      </c>
      <c r="I950" s="21" t="s">
        <v>6009</v>
      </c>
      <c r="J950" s="21" t="s">
        <v>1584</v>
      </c>
      <c r="K950" s="21" t="e">
        <f t="shared" ca="1" si="6"/>
        <v>#NAME?</v>
      </c>
      <c r="L950" s="24">
        <v>1980</v>
      </c>
      <c r="N950" s="21" t="s">
        <v>111</v>
      </c>
      <c r="O950" s="21" t="s">
        <v>112</v>
      </c>
      <c r="P950" s="26">
        <v>8886817734</v>
      </c>
      <c r="Q950" s="26" t="e">
        <f t="shared" ca="1" si="7"/>
        <v>#NAME?</v>
      </c>
      <c r="R950" s="21" t="s">
        <v>715</v>
      </c>
      <c r="S950" s="21" t="s">
        <v>1011</v>
      </c>
      <c r="U950" s="21" t="s">
        <v>6484</v>
      </c>
      <c r="V950" s="21" t="s">
        <v>6484</v>
      </c>
      <c r="W950" s="21" t="s">
        <v>328</v>
      </c>
      <c r="X950" s="21" t="s">
        <v>478</v>
      </c>
      <c r="Y950" s="21" t="s">
        <v>478</v>
      </c>
      <c r="Z950" s="21" t="s">
        <v>296</v>
      </c>
      <c r="AA950" s="21" t="s">
        <v>6485</v>
      </c>
    </row>
    <row r="951" spans="1:27" ht="15.75" customHeight="1" x14ac:dyDescent="0.3">
      <c r="A951" s="21">
        <v>2024</v>
      </c>
      <c r="B951" s="22"/>
      <c r="H951" s="21" t="s">
        <v>671</v>
      </c>
      <c r="I951" s="21" t="s">
        <v>672</v>
      </c>
      <c r="J951" s="21" t="s">
        <v>281</v>
      </c>
      <c r="K951" s="21" t="e">
        <f t="shared" ca="1" si="6"/>
        <v>#NAME?</v>
      </c>
      <c r="L951" s="24">
        <v>1965</v>
      </c>
      <c r="N951" s="21" t="s">
        <v>111</v>
      </c>
      <c r="O951" s="21" t="s">
        <v>112</v>
      </c>
      <c r="P951" s="26">
        <v>9441026448</v>
      </c>
      <c r="Q951" s="26" t="e">
        <f t="shared" ca="1" si="7"/>
        <v>#NAME?</v>
      </c>
      <c r="R951" s="21" t="s">
        <v>188</v>
      </c>
      <c r="S951" s="21" t="s">
        <v>673</v>
      </c>
      <c r="U951" s="21" t="s">
        <v>674</v>
      </c>
      <c r="V951" s="21" t="s">
        <v>674</v>
      </c>
      <c r="W951" s="21" t="s">
        <v>498</v>
      </c>
      <c r="X951" s="21" t="s">
        <v>308</v>
      </c>
      <c r="Y951" s="21" t="s">
        <v>308</v>
      </c>
      <c r="Z951" s="21" t="s">
        <v>127</v>
      </c>
      <c r="AA951" s="21" t="s">
        <v>5759</v>
      </c>
    </row>
    <row r="952" spans="1:27" ht="15.75" customHeight="1" x14ac:dyDescent="0.3">
      <c r="A952" s="21">
        <v>2024</v>
      </c>
      <c r="B952" s="22"/>
      <c r="H952" s="21" t="s">
        <v>6486</v>
      </c>
      <c r="I952" s="21" t="s">
        <v>4680</v>
      </c>
      <c r="J952" s="21" t="s">
        <v>6487</v>
      </c>
      <c r="K952" s="21" t="e">
        <f t="shared" ca="1" si="6"/>
        <v>#NAME?</v>
      </c>
      <c r="L952" s="24">
        <v>1966</v>
      </c>
      <c r="N952" s="21" t="s">
        <v>111</v>
      </c>
      <c r="O952" s="21" t="s">
        <v>112</v>
      </c>
      <c r="P952" s="26">
        <v>8106671812</v>
      </c>
      <c r="Q952" s="26" t="e">
        <f t="shared" ca="1" si="7"/>
        <v>#NAME?</v>
      </c>
      <c r="R952" s="21" t="s">
        <v>485</v>
      </c>
      <c r="S952" s="21" t="s">
        <v>6488</v>
      </c>
      <c r="U952" s="21" t="s">
        <v>6489</v>
      </c>
      <c r="V952" s="21" t="s">
        <v>6489</v>
      </c>
      <c r="W952" s="21" t="s">
        <v>2767</v>
      </c>
      <c r="X952" s="21" t="s">
        <v>1453</v>
      </c>
      <c r="Y952" s="21" t="s">
        <v>1453</v>
      </c>
      <c r="Z952" s="21" t="s">
        <v>127</v>
      </c>
      <c r="AA952" s="21" t="s">
        <v>6490</v>
      </c>
    </row>
    <row r="953" spans="1:27" ht="15.75" customHeight="1" x14ac:dyDescent="0.3">
      <c r="A953" s="21">
        <v>2024</v>
      </c>
      <c r="B953" s="22"/>
      <c r="H953" s="21" t="s">
        <v>592</v>
      </c>
      <c r="I953" s="21" t="s">
        <v>593</v>
      </c>
      <c r="J953" s="21" t="s">
        <v>594</v>
      </c>
      <c r="K953" s="21" t="e">
        <f t="shared" ca="1" si="6"/>
        <v>#NAME?</v>
      </c>
      <c r="L953" s="24">
        <v>2001</v>
      </c>
      <c r="N953" s="21" t="s">
        <v>111</v>
      </c>
      <c r="O953" s="21" t="s">
        <v>112</v>
      </c>
      <c r="P953" s="26">
        <v>9581698919</v>
      </c>
      <c r="Q953" s="26" t="e">
        <f t="shared" ca="1" si="7"/>
        <v>#NAME?</v>
      </c>
      <c r="R953" s="21" t="s">
        <v>664</v>
      </c>
      <c r="S953" s="21" t="s">
        <v>6491</v>
      </c>
      <c r="U953" s="21" t="s">
        <v>597</v>
      </c>
      <c r="V953" s="21" t="s">
        <v>597</v>
      </c>
      <c r="W953" s="21" t="s">
        <v>1169</v>
      </c>
      <c r="X953" s="21" t="s">
        <v>352</v>
      </c>
      <c r="Y953" s="21" t="s">
        <v>352</v>
      </c>
      <c r="Z953" s="21" t="s">
        <v>6492</v>
      </c>
      <c r="AA953" s="21" t="s">
        <v>6493</v>
      </c>
    </row>
    <row r="954" spans="1:27" ht="15.75" customHeight="1" x14ac:dyDescent="0.3">
      <c r="A954" s="21">
        <v>2024</v>
      </c>
      <c r="B954" s="22"/>
      <c r="H954" s="21" t="s">
        <v>794</v>
      </c>
      <c r="I954" s="21" t="s">
        <v>795</v>
      </c>
      <c r="J954" s="21" t="s">
        <v>281</v>
      </c>
      <c r="K954" s="21" t="e">
        <f t="shared" ca="1" si="6"/>
        <v>#NAME?</v>
      </c>
      <c r="L954" s="24">
        <v>1963</v>
      </c>
      <c r="N954" s="21" t="s">
        <v>111</v>
      </c>
      <c r="O954" s="21" t="s">
        <v>112</v>
      </c>
      <c r="P954" s="26">
        <v>9391944044</v>
      </c>
      <c r="Q954" s="26" t="e">
        <f t="shared" ca="1" si="7"/>
        <v>#NAME?</v>
      </c>
      <c r="R954" s="21" t="s">
        <v>796</v>
      </c>
      <c r="S954" s="21" t="s">
        <v>797</v>
      </c>
      <c r="U954" s="21" t="s">
        <v>798</v>
      </c>
      <c r="V954" s="21" t="s">
        <v>798</v>
      </c>
      <c r="W954" s="21" t="s">
        <v>266</v>
      </c>
      <c r="X954" s="21" t="s">
        <v>352</v>
      </c>
      <c r="Y954" s="21" t="s">
        <v>352</v>
      </c>
      <c r="Z954" s="21" t="s">
        <v>127</v>
      </c>
      <c r="AA954" s="21" t="s">
        <v>799</v>
      </c>
    </row>
    <row r="955" spans="1:27" ht="15.75" customHeight="1" x14ac:dyDescent="0.3">
      <c r="A955" s="21">
        <v>2024</v>
      </c>
      <c r="B955" s="22"/>
      <c r="H955" s="21" t="s">
        <v>6494</v>
      </c>
      <c r="I955" s="21" t="s">
        <v>6495</v>
      </c>
      <c r="J955" s="21" t="s">
        <v>6496</v>
      </c>
      <c r="K955" s="21" t="e">
        <f t="shared" ca="1" si="6"/>
        <v>#NAME?</v>
      </c>
      <c r="L955" s="24">
        <v>1962</v>
      </c>
      <c r="N955" s="21" t="s">
        <v>111</v>
      </c>
      <c r="O955" s="21" t="s">
        <v>112</v>
      </c>
      <c r="P955" s="26">
        <v>9440889887</v>
      </c>
      <c r="Q955" s="26" t="e">
        <f t="shared" ca="1" si="7"/>
        <v>#NAME?</v>
      </c>
      <c r="R955" s="21" t="s">
        <v>1722</v>
      </c>
      <c r="S955" s="21" t="s">
        <v>6497</v>
      </c>
      <c r="U955" s="21" t="s">
        <v>6498</v>
      </c>
      <c r="V955" s="21" t="s">
        <v>6498</v>
      </c>
      <c r="W955" s="21" t="s">
        <v>307</v>
      </c>
      <c r="X955" s="21" t="s">
        <v>308</v>
      </c>
      <c r="Y955" s="21" t="s">
        <v>308</v>
      </c>
      <c r="Z955" s="21" t="s">
        <v>127</v>
      </c>
      <c r="AA955" s="21" t="s">
        <v>6499</v>
      </c>
    </row>
    <row r="956" spans="1:27" ht="15.75" customHeight="1" x14ac:dyDescent="0.3">
      <c r="A956" s="21">
        <v>2024</v>
      </c>
      <c r="B956" s="22"/>
      <c r="H956" s="21" t="s">
        <v>981</v>
      </c>
      <c r="I956" s="21" t="s">
        <v>982</v>
      </c>
      <c r="J956" s="21" t="s">
        <v>6500</v>
      </c>
      <c r="K956" s="21" t="e">
        <f t="shared" ca="1" si="6"/>
        <v>#NAME?</v>
      </c>
      <c r="L956" s="24">
        <v>1959</v>
      </c>
      <c r="N956" s="21" t="s">
        <v>111</v>
      </c>
      <c r="O956" s="21" t="s">
        <v>112</v>
      </c>
      <c r="P956" s="26">
        <v>6281260746</v>
      </c>
      <c r="Q956" s="26" t="e">
        <f t="shared" ca="1" si="7"/>
        <v>#NAME?</v>
      </c>
      <c r="R956" s="21" t="s">
        <v>188</v>
      </c>
      <c r="S956" s="21" t="s">
        <v>6501</v>
      </c>
      <c r="U956" s="21" t="s">
        <v>985</v>
      </c>
      <c r="V956" s="21" t="s">
        <v>985</v>
      </c>
      <c r="W956" s="21" t="s">
        <v>307</v>
      </c>
      <c r="X956" s="21" t="s">
        <v>179</v>
      </c>
      <c r="Y956" s="21" t="s">
        <v>308</v>
      </c>
      <c r="Z956" s="21" t="s">
        <v>127</v>
      </c>
      <c r="AA956" s="21" t="s">
        <v>6502</v>
      </c>
    </row>
    <row r="957" spans="1:27" ht="15.75" customHeight="1" x14ac:dyDescent="0.3">
      <c r="A957" s="21">
        <v>2024</v>
      </c>
      <c r="B957" s="22"/>
      <c r="H957" s="21" t="s">
        <v>6503</v>
      </c>
      <c r="I957" s="21" t="s">
        <v>6504</v>
      </c>
      <c r="J957" s="21" t="s">
        <v>1190</v>
      </c>
      <c r="K957" s="21" t="e">
        <f t="shared" ca="1" si="6"/>
        <v>#NAME?</v>
      </c>
      <c r="L957" s="24">
        <v>2011</v>
      </c>
      <c r="N957" s="21" t="s">
        <v>111</v>
      </c>
      <c r="O957" s="21" t="s">
        <v>112</v>
      </c>
      <c r="P957" s="26">
        <v>9848789953</v>
      </c>
      <c r="Q957" s="26" t="e">
        <f t="shared" ca="1" si="7"/>
        <v>#NAME?</v>
      </c>
      <c r="R957" s="21" t="s">
        <v>188</v>
      </c>
      <c r="S957" s="21" t="s">
        <v>6505</v>
      </c>
      <c r="U957" s="21" t="s">
        <v>766</v>
      </c>
      <c r="V957" s="21" t="s">
        <v>766</v>
      </c>
      <c r="W957" s="21" t="s">
        <v>219</v>
      </c>
      <c r="X957" s="21" t="s">
        <v>179</v>
      </c>
      <c r="Y957" s="21" t="s">
        <v>179</v>
      </c>
      <c r="Z957" s="21" t="s">
        <v>6506</v>
      </c>
      <c r="AA957" s="21" t="s">
        <v>6507</v>
      </c>
    </row>
    <row r="958" spans="1:27" ht="15.75" customHeight="1" x14ac:dyDescent="0.3">
      <c r="A958" s="21">
        <v>2024</v>
      </c>
      <c r="B958" s="22"/>
      <c r="H958" s="21" t="s">
        <v>6508</v>
      </c>
      <c r="I958" s="21" t="s">
        <v>6509</v>
      </c>
      <c r="J958" s="21" t="s">
        <v>6510</v>
      </c>
      <c r="K958" s="21" t="e">
        <f t="shared" ca="1" si="6"/>
        <v>#NAME?</v>
      </c>
      <c r="L958" s="24">
        <v>1982</v>
      </c>
      <c r="N958" s="21" t="s">
        <v>111</v>
      </c>
      <c r="O958" s="21" t="s">
        <v>112</v>
      </c>
      <c r="P958" s="26">
        <v>9676490004</v>
      </c>
      <c r="Q958" s="26" t="e">
        <f t="shared" ca="1" si="7"/>
        <v>#NAME?</v>
      </c>
      <c r="R958" s="21" t="s">
        <v>188</v>
      </c>
      <c r="S958" s="21" t="s">
        <v>1914</v>
      </c>
      <c r="U958" s="21" t="s">
        <v>6511</v>
      </c>
      <c r="V958" s="21" t="s">
        <v>6511</v>
      </c>
      <c r="W958" s="21" t="s">
        <v>6512</v>
      </c>
      <c r="X958" s="21" t="s">
        <v>352</v>
      </c>
      <c r="Y958" s="21" t="s">
        <v>352</v>
      </c>
      <c r="Z958" s="21" t="s">
        <v>284</v>
      </c>
      <c r="AA958" s="21" t="s">
        <v>6513</v>
      </c>
    </row>
    <row r="959" spans="1:27" ht="15.75" customHeight="1" x14ac:dyDescent="0.3">
      <c r="A959" s="21">
        <v>2024</v>
      </c>
      <c r="B959" s="22"/>
      <c r="H959" s="21" t="s">
        <v>6514</v>
      </c>
      <c r="I959" s="21" t="s">
        <v>6515</v>
      </c>
      <c r="J959" s="21" t="s">
        <v>2279</v>
      </c>
      <c r="K959" s="21" t="e">
        <f t="shared" ca="1" si="6"/>
        <v>#NAME?</v>
      </c>
      <c r="L959" s="24">
        <v>1979</v>
      </c>
      <c r="N959" s="21" t="s">
        <v>111</v>
      </c>
      <c r="O959" s="21" t="s">
        <v>112</v>
      </c>
      <c r="P959" s="26">
        <v>9052233535</v>
      </c>
      <c r="Q959" s="26" t="e">
        <f t="shared" ca="1" si="7"/>
        <v>#NAME?</v>
      </c>
      <c r="R959" s="21" t="s">
        <v>188</v>
      </c>
      <c r="S959" s="21" t="s">
        <v>6516</v>
      </c>
      <c r="U959" s="21" t="s">
        <v>6517</v>
      </c>
      <c r="V959" s="21" t="s">
        <v>6517</v>
      </c>
      <c r="W959" s="21" t="s">
        <v>266</v>
      </c>
      <c r="X959" s="21" t="s">
        <v>6518</v>
      </c>
      <c r="Y959" s="21" t="s">
        <v>2685</v>
      </c>
      <c r="Z959" s="21" t="s">
        <v>127</v>
      </c>
      <c r="AA959" s="21" t="s">
        <v>6519</v>
      </c>
    </row>
    <row r="960" spans="1:27" ht="15.75" customHeight="1" x14ac:dyDescent="0.3">
      <c r="A960" s="21">
        <v>2024</v>
      </c>
      <c r="B960" s="22"/>
      <c r="H960" s="21" t="s">
        <v>3991</v>
      </c>
      <c r="I960" s="21" t="s">
        <v>2501</v>
      </c>
      <c r="J960" s="21" t="s">
        <v>6520</v>
      </c>
      <c r="K960" s="21" t="e">
        <f t="shared" ca="1" si="6"/>
        <v>#NAME?</v>
      </c>
      <c r="L960" s="24">
        <v>1990</v>
      </c>
      <c r="N960" s="21" t="s">
        <v>315</v>
      </c>
      <c r="O960" s="21" t="s">
        <v>316</v>
      </c>
      <c r="P960" s="26">
        <v>6099370666</v>
      </c>
      <c r="Q960" s="26" t="e">
        <f t="shared" ca="1" si="7"/>
        <v>#NAME?</v>
      </c>
      <c r="R960" s="21" t="s">
        <v>6521</v>
      </c>
      <c r="S960" s="21" t="s">
        <v>6522</v>
      </c>
      <c r="U960" s="21" t="s">
        <v>6523</v>
      </c>
      <c r="V960" s="21" t="s">
        <v>6523</v>
      </c>
      <c r="W960" s="21" t="s">
        <v>307</v>
      </c>
      <c r="X960" s="21" t="s">
        <v>1706</v>
      </c>
      <c r="Y960" s="21" t="s">
        <v>1706</v>
      </c>
      <c r="Z960" s="21" t="s">
        <v>127</v>
      </c>
      <c r="AA960" s="21" t="s">
        <v>6524</v>
      </c>
    </row>
    <row r="961" spans="1:27" ht="15.75" customHeight="1" x14ac:dyDescent="0.3">
      <c r="A961" s="21">
        <v>2024</v>
      </c>
      <c r="B961" s="22"/>
      <c r="H961" s="21" t="s">
        <v>6525</v>
      </c>
      <c r="I961" s="21" t="s">
        <v>370</v>
      </c>
      <c r="J961" s="21" t="s">
        <v>6526</v>
      </c>
      <c r="K961" s="21" t="e">
        <f t="shared" ca="1" si="6"/>
        <v>#NAME?</v>
      </c>
      <c r="L961" s="24">
        <v>1983</v>
      </c>
      <c r="N961" s="21" t="s">
        <v>315</v>
      </c>
      <c r="O961" s="21" t="s">
        <v>316</v>
      </c>
      <c r="P961" s="26">
        <v>5126455375</v>
      </c>
      <c r="Q961" s="26" t="e">
        <f t="shared" ca="1" si="7"/>
        <v>#NAME?</v>
      </c>
      <c r="R961" s="21" t="s">
        <v>521</v>
      </c>
      <c r="S961" s="21" t="s">
        <v>6527</v>
      </c>
      <c r="U961" s="21" t="s">
        <v>6528</v>
      </c>
      <c r="V961" s="21" t="s">
        <v>6528</v>
      </c>
      <c r="W961" s="21" t="s">
        <v>328</v>
      </c>
      <c r="X961" s="21" t="s">
        <v>308</v>
      </c>
      <c r="Y961" s="21" t="s">
        <v>6529</v>
      </c>
      <c r="Z961" s="21" t="s">
        <v>127</v>
      </c>
      <c r="AA961" s="21" t="s">
        <v>450</v>
      </c>
    </row>
    <row r="962" spans="1:27" ht="15.75" customHeight="1" x14ac:dyDescent="0.3">
      <c r="A962" s="21">
        <v>2024</v>
      </c>
      <c r="B962" s="22"/>
      <c r="H962" s="21" t="s">
        <v>6530</v>
      </c>
      <c r="I962" s="21" t="s">
        <v>6531</v>
      </c>
      <c r="J962" s="21" t="s">
        <v>6532</v>
      </c>
      <c r="K962" s="21" t="e">
        <f t="shared" ca="1" si="6"/>
        <v>#NAME?</v>
      </c>
      <c r="L962" s="24">
        <v>1983</v>
      </c>
      <c r="N962" s="21" t="s">
        <v>315</v>
      </c>
      <c r="O962" s="21" t="s">
        <v>316</v>
      </c>
      <c r="P962" s="26">
        <v>8327885136</v>
      </c>
      <c r="Q962" s="26" t="e">
        <f t="shared" ca="1" si="7"/>
        <v>#NAME?</v>
      </c>
      <c r="R962" s="21" t="s">
        <v>1297</v>
      </c>
      <c r="S962" s="21" t="s">
        <v>2017</v>
      </c>
      <c r="U962" s="21" t="s">
        <v>6533</v>
      </c>
      <c r="V962" s="21" t="s">
        <v>6533</v>
      </c>
      <c r="W962" s="21" t="s">
        <v>307</v>
      </c>
      <c r="X962" s="21" t="s">
        <v>211</v>
      </c>
      <c r="Y962" s="21" t="s">
        <v>267</v>
      </c>
      <c r="Z962" s="21" t="s">
        <v>127</v>
      </c>
      <c r="AA962" s="21" t="s">
        <v>450</v>
      </c>
    </row>
    <row r="963" spans="1:27" ht="15.75" customHeight="1" x14ac:dyDescent="0.3">
      <c r="A963" s="21">
        <v>2024</v>
      </c>
      <c r="B963" s="22"/>
      <c r="H963" s="21" t="s">
        <v>6534</v>
      </c>
      <c r="I963" s="21" t="s">
        <v>624</v>
      </c>
      <c r="J963" s="21" t="s">
        <v>6535</v>
      </c>
      <c r="K963" s="21" t="e">
        <f t="shared" ca="1" si="6"/>
        <v>#NAME?</v>
      </c>
      <c r="L963" s="24">
        <v>1971</v>
      </c>
      <c r="N963" s="21" t="s">
        <v>315</v>
      </c>
      <c r="O963" s="21" t="s">
        <v>316</v>
      </c>
      <c r="P963" s="26">
        <v>5127511182</v>
      </c>
      <c r="Q963" s="26" t="e">
        <f t="shared" ca="1" si="7"/>
        <v>#NAME?</v>
      </c>
      <c r="R963" s="21" t="s">
        <v>521</v>
      </c>
      <c r="S963" s="21" t="s">
        <v>6536</v>
      </c>
      <c r="U963" s="21" t="s">
        <v>6537</v>
      </c>
      <c r="V963" s="21" t="s">
        <v>6537</v>
      </c>
      <c r="W963" s="21" t="s">
        <v>307</v>
      </c>
      <c r="X963" s="21" t="s">
        <v>5947</v>
      </c>
      <c r="Y963" s="21" t="s">
        <v>5947</v>
      </c>
      <c r="Z963" s="21" t="s">
        <v>127</v>
      </c>
      <c r="AA963" s="21" t="s">
        <v>1581</v>
      </c>
    </row>
    <row r="964" spans="1:27" ht="15.75" customHeight="1" x14ac:dyDescent="0.3">
      <c r="A964" s="21">
        <v>2024</v>
      </c>
      <c r="B964" s="22"/>
      <c r="H964" s="21" t="s">
        <v>6538</v>
      </c>
      <c r="I964" s="21" t="s">
        <v>653</v>
      </c>
      <c r="J964" s="21" t="s">
        <v>1226</v>
      </c>
      <c r="K964" s="21" t="e">
        <f t="shared" ca="1" si="6"/>
        <v>#NAME?</v>
      </c>
      <c r="L964" s="24">
        <v>1986</v>
      </c>
      <c r="N964" s="21" t="s">
        <v>315</v>
      </c>
      <c r="O964" s="21" t="s">
        <v>316</v>
      </c>
      <c r="P964" s="26">
        <v>4699545338</v>
      </c>
      <c r="Q964" s="26" t="e">
        <f t="shared" ca="1" si="7"/>
        <v>#NAME?</v>
      </c>
      <c r="R964" s="21" t="s">
        <v>521</v>
      </c>
      <c r="S964" s="21" t="s">
        <v>6539</v>
      </c>
      <c r="U964" s="21" t="s">
        <v>6540</v>
      </c>
      <c r="V964" s="21" t="s">
        <v>6540</v>
      </c>
      <c r="W964" s="21" t="s">
        <v>307</v>
      </c>
      <c r="X964" s="21" t="s">
        <v>308</v>
      </c>
      <c r="Y964" s="21" t="s">
        <v>6541</v>
      </c>
      <c r="Z964" s="21" t="s">
        <v>127</v>
      </c>
      <c r="AA964" s="21" t="s">
        <v>297</v>
      </c>
    </row>
    <row r="965" spans="1:27" ht="15.75" customHeight="1" x14ac:dyDescent="0.3">
      <c r="A965" s="21">
        <v>2024</v>
      </c>
      <c r="B965" s="22"/>
      <c r="H965" s="21" t="s">
        <v>970</v>
      </c>
      <c r="I965" s="21" t="s">
        <v>971</v>
      </c>
      <c r="J965" s="21" t="s">
        <v>972</v>
      </c>
      <c r="K965" s="21" t="e">
        <f t="shared" ca="1" si="6"/>
        <v>#NAME?</v>
      </c>
      <c r="L965" s="24">
        <v>1975</v>
      </c>
      <c r="N965" s="21" t="s">
        <v>315</v>
      </c>
      <c r="O965" s="21" t="s">
        <v>316</v>
      </c>
      <c r="P965" s="26">
        <v>9723421582</v>
      </c>
      <c r="Q965" s="26" t="e">
        <f t="shared" ca="1" si="7"/>
        <v>#NAME?</v>
      </c>
      <c r="R965" s="21" t="s">
        <v>975</v>
      </c>
      <c r="S965" s="21" t="s">
        <v>976</v>
      </c>
      <c r="U965" s="21" t="s">
        <v>977</v>
      </c>
      <c r="V965" s="21" t="s">
        <v>977</v>
      </c>
      <c r="W965" s="21" t="s">
        <v>307</v>
      </c>
      <c r="X965" s="21" t="s">
        <v>211</v>
      </c>
      <c r="Y965" s="21" t="s">
        <v>211</v>
      </c>
      <c r="Z965" s="21" t="s">
        <v>127</v>
      </c>
      <c r="AA965" s="21" t="s">
        <v>6542</v>
      </c>
    </row>
    <row r="966" spans="1:27" ht="15.75" customHeight="1" x14ac:dyDescent="0.3">
      <c r="A966" s="21">
        <v>2024</v>
      </c>
      <c r="B966" s="22"/>
      <c r="H966" s="21" t="s">
        <v>6543</v>
      </c>
      <c r="I966" s="21" t="s">
        <v>6544</v>
      </c>
      <c r="J966" s="21" t="s">
        <v>3715</v>
      </c>
      <c r="K966" s="21" t="e">
        <f t="shared" ca="1" si="6"/>
        <v>#NAME?</v>
      </c>
      <c r="L966" s="24">
        <v>2011</v>
      </c>
      <c r="N966" s="21" t="s">
        <v>315</v>
      </c>
      <c r="O966" s="21" t="s">
        <v>316</v>
      </c>
      <c r="P966" s="26">
        <v>4692361274</v>
      </c>
      <c r="Q966" s="26" t="e">
        <f t="shared" ca="1" si="7"/>
        <v>#NAME?</v>
      </c>
      <c r="R966" s="21" t="s">
        <v>1501</v>
      </c>
      <c r="S966" s="21" t="s">
        <v>6545</v>
      </c>
      <c r="U966" s="21" t="s">
        <v>6546</v>
      </c>
      <c r="V966" s="21" t="s">
        <v>6546</v>
      </c>
      <c r="W966" s="21" t="s">
        <v>307</v>
      </c>
      <c r="X966" s="21" t="s">
        <v>308</v>
      </c>
      <c r="Y966" s="21" t="s">
        <v>406</v>
      </c>
      <c r="Z966" s="21" t="s">
        <v>6547</v>
      </c>
      <c r="AA966" s="21" t="s">
        <v>1422</v>
      </c>
    </row>
    <row r="967" spans="1:27" ht="15.75" customHeight="1" x14ac:dyDescent="0.3">
      <c r="A967" s="21">
        <v>2024</v>
      </c>
      <c r="B967" s="22"/>
      <c r="H967" s="21" t="s">
        <v>6548</v>
      </c>
      <c r="I967" s="21" t="s">
        <v>6549</v>
      </c>
      <c r="J967" s="21" t="s">
        <v>6550</v>
      </c>
      <c r="K967" s="21" t="e">
        <f t="shared" ca="1" si="6"/>
        <v>#NAME?</v>
      </c>
      <c r="L967" s="24">
        <v>1972</v>
      </c>
      <c r="N967" s="21" t="s">
        <v>315</v>
      </c>
      <c r="O967" s="21" t="s">
        <v>316</v>
      </c>
      <c r="P967" s="26">
        <v>8476128703</v>
      </c>
      <c r="Q967" s="26" t="e">
        <f t="shared" ca="1" si="7"/>
        <v>#NAME?</v>
      </c>
      <c r="R967" s="21" t="s">
        <v>6551</v>
      </c>
      <c r="S967" s="21" t="s">
        <v>6552</v>
      </c>
      <c r="U967" s="21" t="s">
        <v>6553</v>
      </c>
      <c r="V967" s="21" t="s">
        <v>6553</v>
      </c>
      <c r="W967" s="21" t="s">
        <v>307</v>
      </c>
      <c r="X967" s="21" t="s">
        <v>6554</v>
      </c>
      <c r="Y967" s="21" t="s">
        <v>6554</v>
      </c>
      <c r="Z967" s="21" t="s">
        <v>127</v>
      </c>
      <c r="AA967" s="21" t="s">
        <v>6555</v>
      </c>
    </row>
    <row r="968" spans="1:27" ht="15.75" customHeight="1" x14ac:dyDescent="0.3">
      <c r="A968" s="21">
        <v>2024</v>
      </c>
      <c r="B968" s="22"/>
      <c r="H968" s="21" t="s">
        <v>6556</v>
      </c>
      <c r="I968" s="21" t="s">
        <v>313</v>
      </c>
      <c r="J968" s="21" t="s">
        <v>2372</v>
      </c>
      <c r="K968" s="21" t="e">
        <f t="shared" ca="1" si="6"/>
        <v>#NAME?</v>
      </c>
      <c r="L968" s="24">
        <v>1971</v>
      </c>
      <c r="N968" s="21" t="s">
        <v>315</v>
      </c>
      <c r="O968" s="21" t="s">
        <v>316</v>
      </c>
      <c r="P968" s="26">
        <v>6024053283</v>
      </c>
      <c r="Q968" s="26" t="e">
        <f t="shared" ca="1" si="7"/>
        <v>#NAME?</v>
      </c>
      <c r="R968" s="21" t="s">
        <v>1501</v>
      </c>
      <c r="S968" s="21" t="s">
        <v>6557</v>
      </c>
      <c r="U968" s="21" t="s">
        <v>6558</v>
      </c>
      <c r="V968" s="21" t="s">
        <v>6558</v>
      </c>
      <c r="W968" s="21" t="s">
        <v>307</v>
      </c>
      <c r="X968" s="21" t="s">
        <v>6559</v>
      </c>
      <c r="Y968" s="21" t="s">
        <v>1706</v>
      </c>
      <c r="Z968" s="21" t="s">
        <v>6560</v>
      </c>
      <c r="AA968" s="21" t="s">
        <v>5775</v>
      </c>
    </row>
    <row r="969" spans="1:27" ht="15.75" customHeight="1" x14ac:dyDescent="0.3">
      <c r="A969" s="21">
        <v>2024</v>
      </c>
      <c r="B969" s="22"/>
      <c r="H969" s="21" t="s">
        <v>6561</v>
      </c>
      <c r="I969" s="21" t="s">
        <v>6266</v>
      </c>
      <c r="J969" s="21" t="s">
        <v>4744</v>
      </c>
      <c r="K969" s="21" t="e">
        <f t="shared" ca="1" si="6"/>
        <v>#NAME?</v>
      </c>
      <c r="L969" s="24">
        <v>1974</v>
      </c>
      <c r="N969" s="21" t="s">
        <v>402</v>
      </c>
      <c r="O969" s="21" t="s">
        <v>316</v>
      </c>
      <c r="P969" s="26">
        <v>4252832589</v>
      </c>
      <c r="Q969" s="26" t="e">
        <f t="shared" ca="1" si="7"/>
        <v>#NAME?</v>
      </c>
      <c r="R969" s="21" t="s">
        <v>6562</v>
      </c>
      <c r="S969" s="21" t="s">
        <v>6563</v>
      </c>
      <c r="U969" s="21" t="s">
        <v>6564</v>
      </c>
      <c r="V969" s="21" t="s">
        <v>6564</v>
      </c>
      <c r="W969" s="21" t="s">
        <v>488</v>
      </c>
      <c r="X969" s="21" t="s">
        <v>211</v>
      </c>
      <c r="Y969" s="21" t="s">
        <v>211</v>
      </c>
      <c r="Z969" s="21" t="s">
        <v>127</v>
      </c>
      <c r="AA969" s="21" t="s">
        <v>2021</v>
      </c>
    </row>
    <row r="970" spans="1:27" ht="15.75" customHeight="1" x14ac:dyDescent="0.3">
      <c r="A970" s="21">
        <v>2024</v>
      </c>
      <c r="B970" s="22"/>
      <c r="H970" s="21" t="s">
        <v>6565</v>
      </c>
      <c r="I970" s="21" t="s">
        <v>6566</v>
      </c>
      <c r="J970" s="21" t="s">
        <v>2612</v>
      </c>
      <c r="K970" s="21" t="e">
        <f t="shared" ca="1" si="6"/>
        <v>#NAME?</v>
      </c>
      <c r="L970" s="24">
        <v>1964</v>
      </c>
      <c r="N970" s="21" t="s">
        <v>402</v>
      </c>
      <c r="O970" s="21" t="s">
        <v>316</v>
      </c>
      <c r="P970" s="26">
        <v>9807221440</v>
      </c>
      <c r="Q970" s="26" t="e">
        <f t="shared" ca="1" si="7"/>
        <v>#NAME?</v>
      </c>
      <c r="R970" s="21" t="s">
        <v>1780</v>
      </c>
      <c r="S970" s="21" t="s">
        <v>6567</v>
      </c>
      <c r="U970" s="21" t="s">
        <v>6568</v>
      </c>
      <c r="V970" s="21" t="s">
        <v>6568</v>
      </c>
      <c r="W970" s="21" t="s">
        <v>319</v>
      </c>
      <c r="X970" s="21" t="s">
        <v>6569</v>
      </c>
      <c r="Y970" s="21" t="s">
        <v>211</v>
      </c>
      <c r="Z970" s="21" t="s">
        <v>127</v>
      </c>
      <c r="AA970" s="21" t="s">
        <v>6570</v>
      </c>
    </row>
    <row r="971" spans="1:27" ht="15.75" customHeight="1" x14ac:dyDescent="0.3">
      <c r="A971" s="21">
        <v>2024</v>
      </c>
      <c r="B971" s="22"/>
      <c r="H971" s="21" t="s">
        <v>6571</v>
      </c>
      <c r="I971" s="21" t="s">
        <v>3296</v>
      </c>
      <c r="J971" s="21" t="s">
        <v>6572</v>
      </c>
      <c r="K971" s="21" t="e">
        <f t="shared" ca="1" si="6"/>
        <v>#NAME?</v>
      </c>
      <c r="L971" s="24">
        <v>1975</v>
      </c>
      <c r="N971" s="21" t="s">
        <v>402</v>
      </c>
      <c r="O971" s="21" t="s">
        <v>316</v>
      </c>
      <c r="P971" s="26">
        <v>9372666620</v>
      </c>
      <c r="Q971" s="26" t="e">
        <f t="shared" ca="1" si="7"/>
        <v>#NAME?</v>
      </c>
      <c r="R971" s="21" t="s">
        <v>6573</v>
      </c>
      <c r="S971" s="21" t="s">
        <v>6574</v>
      </c>
      <c r="U971" s="21" t="s">
        <v>6575</v>
      </c>
      <c r="V971" s="21" t="s">
        <v>6575</v>
      </c>
      <c r="W971" s="21" t="s">
        <v>219</v>
      </c>
      <c r="X971" s="21" t="s">
        <v>6576</v>
      </c>
      <c r="Y971" s="21" t="s">
        <v>1399</v>
      </c>
      <c r="Z971" s="21" t="s">
        <v>284</v>
      </c>
      <c r="AA971" s="21" t="s">
        <v>818</v>
      </c>
    </row>
    <row r="972" spans="1:27" ht="15.75" customHeight="1" x14ac:dyDescent="0.3">
      <c r="A972" s="21">
        <v>2024</v>
      </c>
      <c r="B972" s="22"/>
      <c r="H972" s="21" t="s">
        <v>6577</v>
      </c>
      <c r="I972" s="21" t="s">
        <v>445</v>
      </c>
      <c r="J972" s="21" t="s">
        <v>643</v>
      </c>
      <c r="K972" s="21" t="e">
        <f t="shared" ca="1" si="6"/>
        <v>#NAME?</v>
      </c>
      <c r="L972" s="24">
        <v>1970</v>
      </c>
      <c r="N972" s="21" t="s">
        <v>402</v>
      </c>
      <c r="O972" s="21" t="s">
        <v>316</v>
      </c>
      <c r="P972" s="26">
        <v>6785499400</v>
      </c>
      <c r="Q972" s="26" t="e">
        <f t="shared" ca="1" si="7"/>
        <v>#NAME?</v>
      </c>
      <c r="R972" s="21" t="s">
        <v>6283</v>
      </c>
      <c r="S972" s="21" t="s">
        <v>3717</v>
      </c>
      <c r="U972" s="21" t="s">
        <v>6578</v>
      </c>
      <c r="V972" s="21" t="s">
        <v>6578</v>
      </c>
      <c r="W972" s="21" t="s">
        <v>328</v>
      </c>
      <c r="X972" s="21" t="s">
        <v>179</v>
      </c>
      <c r="Y972" s="21" t="s">
        <v>179</v>
      </c>
      <c r="Z972" s="21" t="s">
        <v>296</v>
      </c>
      <c r="AA972" s="21" t="s">
        <v>6579</v>
      </c>
    </row>
    <row r="973" spans="1:27" ht="15.75" customHeight="1" x14ac:dyDescent="0.3">
      <c r="A973" s="21">
        <v>2024</v>
      </c>
      <c r="B973" s="22"/>
      <c r="H973" s="21" t="s">
        <v>6580</v>
      </c>
      <c r="I973" s="21" t="s">
        <v>6581</v>
      </c>
      <c r="J973" s="21" t="s">
        <v>6582</v>
      </c>
      <c r="K973" s="21" t="e">
        <f t="shared" ca="1" si="6"/>
        <v>#NAME?</v>
      </c>
      <c r="L973" s="24">
        <v>1986</v>
      </c>
      <c r="N973" s="21" t="s">
        <v>474</v>
      </c>
      <c r="O973" s="21" t="s">
        <v>316</v>
      </c>
      <c r="P973" s="26">
        <v>4087053003</v>
      </c>
      <c r="Q973" s="26" t="e">
        <f t="shared" ca="1" si="7"/>
        <v>#NAME?</v>
      </c>
      <c r="R973" s="21" t="s">
        <v>1606</v>
      </c>
      <c r="S973" s="21" t="s">
        <v>6583</v>
      </c>
      <c r="U973" s="21" t="s">
        <v>6584</v>
      </c>
      <c r="V973" s="21" t="s">
        <v>6584</v>
      </c>
      <c r="W973" s="21" t="s">
        <v>307</v>
      </c>
      <c r="X973" s="21" t="s">
        <v>179</v>
      </c>
      <c r="Y973" s="21" t="s">
        <v>5947</v>
      </c>
      <c r="Z973" s="21" t="s">
        <v>127</v>
      </c>
      <c r="AA973" s="21" t="s">
        <v>1707</v>
      </c>
    </row>
    <row r="974" spans="1:27" ht="15.75" customHeight="1" x14ac:dyDescent="0.3">
      <c r="A974" s="21">
        <v>2024</v>
      </c>
      <c r="B974" s="22"/>
      <c r="H974" s="21" t="s">
        <v>6585</v>
      </c>
      <c r="I974" s="21" t="s">
        <v>6586</v>
      </c>
      <c r="J974" s="138" t="s">
        <v>6587</v>
      </c>
      <c r="K974" s="21" t="e">
        <f t="shared" ca="1" si="6"/>
        <v>#NAME?</v>
      </c>
      <c r="L974" s="24">
        <v>1988</v>
      </c>
      <c r="N974" s="21" t="s">
        <v>474</v>
      </c>
      <c r="O974" s="21" t="s">
        <v>316</v>
      </c>
      <c r="P974" s="26">
        <v>4255154023</v>
      </c>
      <c r="Q974" s="26" t="e">
        <f t="shared" ca="1" si="7"/>
        <v>#NAME?</v>
      </c>
      <c r="R974" s="21" t="s">
        <v>3897</v>
      </c>
      <c r="S974" s="21" t="s">
        <v>6588</v>
      </c>
      <c r="U974" s="21" t="s">
        <v>6589</v>
      </c>
      <c r="V974" s="21" t="s">
        <v>6589</v>
      </c>
      <c r="W974" s="21" t="s">
        <v>123</v>
      </c>
      <c r="X974" s="21" t="s">
        <v>1706</v>
      </c>
      <c r="Y974" s="21" t="s">
        <v>1706</v>
      </c>
      <c r="Z974" s="21" t="s">
        <v>127</v>
      </c>
      <c r="AA974" s="21" t="s">
        <v>6590</v>
      </c>
    </row>
    <row r="975" spans="1:27" ht="15.75" customHeight="1" x14ac:dyDescent="0.3">
      <c r="A975" s="21">
        <v>2024</v>
      </c>
      <c r="B975" s="22"/>
      <c r="H975" s="21" t="s">
        <v>6591</v>
      </c>
      <c r="I975" s="21" t="s">
        <v>2044</v>
      </c>
      <c r="J975" s="21" t="s">
        <v>6592</v>
      </c>
      <c r="K975" s="21" t="e">
        <f t="shared" ca="1" si="6"/>
        <v>#NAME?</v>
      </c>
      <c r="L975" s="24">
        <v>1974</v>
      </c>
      <c r="N975" s="21" t="s">
        <v>474</v>
      </c>
      <c r="O975" s="21" t="s">
        <v>316</v>
      </c>
      <c r="P975" s="26">
        <v>4254434895</v>
      </c>
      <c r="Q975" s="26" t="e">
        <f t="shared" ca="1" si="7"/>
        <v>#NAME?</v>
      </c>
      <c r="R975" s="21" t="s">
        <v>475</v>
      </c>
      <c r="S975" s="21" t="s">
        <v>6593</v>
      </c>
      <c r="U975" s="21" t="s">
        <v>6594</v>
      </c>
      <c r="V975" s="21" t="s">
        <v>6594</v>
      </c>
      <c r="W975" s="21" t="s">
        <v>307</v>
      </c>
      <c r="X975" s="21" t="s">
        <v>352</v>
      </c>
      <c r="Y975" s="21" t="s">
        <v>308</v>
      </c>
      <c r="Z975" s="21" t="s">
        <v>127</v>
      </c>
      <c r="AA975" s="21" t="s">
        <v>450</v>
      </c>
    </row>
    <row r="976" spans="1:27" ht="15.75" customHeight="1" x14ac:dyDescent="0.3">
      <c r="A976" s="21">
        <v>2024</v>
      </c>
      <c r="B976" s="22"/>
      <c r="H976" s="21" t="s">
        <v>6595</v>
      </c>
      <c r="I976" s="21" t="s">
        <v>1747</v>
      </c>
      <c r="J976" s="21" t="s">
        <v>6067</v>
      </c>
      <c r="K976" s="21" t="e">
        <f t="shared" ca="1" si="6"/>
        <v>#NAME?</v>
      </c>
      <c r="L976" s="24">
        <v>1983</v>
      </c>
      <c r="N976" s="21" t="s">
        <v>474</v>
      </c>
      <c r="O976" s="21" t="s">
        <v>316</v>
      </c>
      <c r="P976" s="26">
        <v>4792009381</v>
      </c>
      <c r="Q976" s="26" t="e">
        <f t="shared" ca="1" si="7"/>
        <v>#NAME?</v>
      </c>
      <c r="R976" s="21" t="s">
        <v>6596</v>
      </c>
      <c r="S976" s="21" t="s">
        <v>5188</v>
      </c>
      <c r="U976" s="21" t="s">
        <v>6597</v>
      </c>
      <c r="V976" s="21" t="s">
        <v>6597</v>
      </c>
      <c r="W976" s="21" t="s">
        <v>307</v>
      </c>
      <c r="X976" s="21" t="s">
        <v>308</v>
      </c>
      <c r="Y976" s="21" t="s">
        <v>308</v>
      </c>
      <c r="Z976" s="21" t="s">
        <v>6598</v>
      </c>
      <c r="AA976" s="21" t="s">
        <v>6599</v>
      </c>
    </row>
    <row r="977" spans="1:27" ht="15.75" customHeight="1" x14ac:dyDescent="0.3">
      <c r="A977" s="21">
        <v>2024</v>
      </c>
      <c r="B977" s="22"/>
      <c r="H977" s="21" t="s">
        <v>6600</v>
      </c>
      <c r="I977" s="21" t="s">
        <v>937</v>
      </c>
      <c r="J977" s="21" t="s">
        <v>6601</v>
      </c>
      <c r="K977" s="21" t="e">
        <f t="shared" ca="1" si="6"/>
        <v>#NAME?</v>
      </c>
      <c r="L977" s="24">
        <v>1979</v>
      </c>
      <c r="N977" s="21" t="s">
        <v>474</v>
      </c>
      <c r="O977" s="21" t="s">
        <v>316</v>
      </c>
      <c r="P977" s="26">
        <v>5107356684</v>
      </c>
      <c r="Q977" s="26" t="e">
        <f t="shared" ca="1" si="7"/>
        <v>#NAME?</v>
      </c>
      <c r="R977" s="21" t="s">
        <v>6602</v>
      </c>
      <c r="S977" s="21" t="s">
        <v>6603</v>
      </c>
      <c r="U977" s="21" t="s">
        <v>6604</v>
      </c>
      <c r="V977" s="21" t="s">
        <v>6604</v>
      </c>
      <c r="W977" s="21" t="s">
        <v>162</v>
      </c>
      <c r="X977" s="21" t="s">
        <v>3212</v>
      </c>
      <c r="Y977" s="21" t="s">
        <v>3212</v>
      </c>
      <c r="Z977" s="21" t="s">
        <v>127</v>
      </c>
      <c r="AA977" s="21" t="s">
        <v>6605</v>
      </c>
    </row>
    <row r="978" spans="1:27" ht="15.75" customHeight="1" x14ac:dyDescent="0.3">
      <c r="A978" s="21">
        <v>2024</v>
      </c>
      <c r="B978" s="22"/>
      <c r="H978" s="21" t="s">
        <v>6606</v>
      </c>
      <c r="I978" s="21" t="s">
        <v>957</v>
      </c>
      <c r="J978" s="21" t="s">
        <v>6607</v>
      </c>
      <c r="K978" s="21" t="e">
        <f t="shared" ca="1" si="6"/>
        <v>#NAME?</v>
      </c>
      <c r="L978" s="24">
        <v>1996</v>
      </c>
      <c r="N978" s="21" t="s">
        <v>474</v>
      </c>
      <c r="O978" s="21" t="s">
        <v>316</v>
      </c>
      <c r="P978" s="26">
        <v>9802503602</v>
      </c>
      <c r="Q978" s="26" t="e">
        <f t="shared" ca="1" si="7"/>
        <v>#NAME?</v>
      </c>
      <c r="R978" s="21" t="s">
        <v>475</v>
      </c>
      <c r="S978" s="21" t="s">
        <v>864</v>
      </c>
      <c r="U978" s="21" t="s">
        <v>6608</v>
      </c>
      <c r="V978" s="21" t="s">
        <v>6608</v>
      </c>
      <c r="W978" s="21" t="s">
        <v>219</v>
      </c>
      <c r="X978" s="21" t="s">
        <v>308</v>
      </c>
      <c r="Y978" s="21" t="s">
        <v>308</v>
      </c>
      <c r="Z978" s="21" t="s">
        <v>127</v>
      </c>
      <c r="AA978" s="21" t="s">
        <v>396</v>
      </c>
    </row>
    <row r="979" spans="1:27" ht="15.75" customHeight="1" x14ac:dyDescent="0.3">
      <c r="A979" s="21">
        <v>2024</v>
      </c>
      <c r="B979" s="22"/>
      <c r="H979" s="21" t="s">
        <v>6315</v>
      </c>
      <c r="I979" s="21" t="s">
        <v>5369</v>
      </c>
      <c r="J979" s="21" t="s">
        <v>6609</v>
      </c>
      <c r="K979" s="21" t="e">
        <f t="shared" ca="1" si="6"/>
        <v>#NAME?</v>
      </c>
      <c r="L979" s="24">
        <v>2009</v>
      </c>
      <c r="N979" s="21" t="s">
        <v>474</v>
      </c>
      <c r="O979" s="21" t="s">
        <v>316</v>
      </c>
      <c r="P979" s="26">
        <v>4256285454</v>
      </c>
      <c r="Q979" s="26" t="e">
        <f t="shared" ca="1" si="7"/>
        <v>#NAME?</v>
      </c>
      <c r="R979" s="21" t="s">
        <v>475</v>
      </c>
      <c r="S979" s="21" t="s">
        <v>6610</v>
      </c>
      <c r="U979" s="21" t="s">
        <v>6611</v>
      </c>
      <c r="V979" s="21" t="s">
        <v>6611</v>
      </c>
      <c r="W979" s="21" t="s">
        <v>319</v>
      </c>
      <c r="X979" s="21" t="s">
        <v>179</v>
      </c>
      <c r="Y979" s="21" t="s">
        <v>406</v>
      </c>
      <c r="Z979" s="21" t="s">
        <v>127</v>
      </c>
      <c r="AA979" s="21" t="s">
        <v>1059</v>
      </c>
    </row>
    <row r="980" spans="1:27" ht="15.75" customHeight="1" x14ac:dyDescent="0.3">
      <c r="A980" s="21">
        <v>2024</v>
      </c>
      <c r="B980" s="22"/>
      <c r="H980" s="21" t="s">
        <v>5650</v>
      </c>
      <c r="I980" s="21" t="s">
        <v>2881</v>
      </c>
      <c r="J980" s="21" t="s">
        <v>2882</v>
      </c>
      <c r="K980" s="21" t="e">
        <f t="shared" ca="1" si="6"/>
        <v>#NAME?</v>
      </c>
      <c r="L980" s="24">
        <v>2014</v>
      </c>
      <c r="N980" s="21" t="s">
        <v>474</v>
      </c>
      <c r="O980" s="21" t="s">
        <v>316</v>
      </c>
      <c r="P980" s="26">
        <v>8036293505</v>
      </c>
      <c r="Q980" s="26" t="e">
        <f t="shared" ca="1" si="7"/>
        <v>#NAME?</v>
      </c>
      <c r="R980" s="21" t="s">
        <v>475</v>
      </c>
      <c r="S980" s="21" t="s">
        <v>6612</v>
      </c>
      <c r="U980" s="21" t="s">
        <v>6613</v>
      </c>
      <c r="V980" s="21" t="s">
        <v>6613</v>
      </c>
      <c r="W980" s="21" t="s">
        <v>307</v>
      </c>
      <c r="X980" s="21" t="s">
        <v>267</v>
      </c>
      <c r="Y980" s="21" t="s">
        <v>406</v>
      </c>
      <c r="Z980" s="21" t="s">
        <v>6614</v>
      </c>
      <c r="AA980" s="21" t="s">
        <v>6615</v>
      </c>
    </row>
    <row r="981" spans="1:27" ht="15.75" customHeight="1" x14ac:dyDescent="0.3">
      <c r="A981" s="21">
        <v>2025</v>
      </c>
      <c r="B981" s="22"/>
      <c r="H981" s="21" t="s">
        <v>6616</v>
      </c>
      <c r="I981" s="21" t="s">
        <v>1282</v>
      </c>
      <c r="J981" s="21" t="s">
        <v>6617</v>
      </c>
      <c r="K981" s="21" t="e">
        <f t="shared" ca="1" si="6"/>
        <v>#NAME?</v>
      </c>
      <c r="L981" s="24">
        <v>1959</v>
      </c>
      <c r="M981" s="21">
        <v>2012</v>
      </c>
      <c r="N981" s="21" t="s">
        <v>111</v>
      </c>
      <c r="O981" s="21" t="s">
        <v>112</v>
      </c>
      <c r="P981" s="26">
        <v>9347746060</v>
      </c>
      <c r="Q981" s="26" t="e">
        <f t="shared" ca="1" si="7"/>
        <v>#NAME?</v>
      </c>
      <c r="R981" s="21" t="s">
        <v>1368</v>
      </c>
      <c r="S981" s="21" t="s">
        <v>6618</v>
      </c>
      <c r="U981" s="21" t="s">
        <v>6619</v>
      </c>
      <c r="V981" s="21" t="s">
        <v>6619</v>
      </c>
      <c r="W981" s="21" t="s">
        <v>328</v>
      </c>
      <c r="X981" s="21" t="s">
        <v>6620</v>
      </c>
      <c r="Y981" s="21" t="s">
        <v>6621</v>
      </c>
      <c r="Z981" s="21" t="s">
        <v>127</v>
      </c>
      <c r="AA981" s="21" t="s">
        <v>6622</v>
      </c>
    </row>
    <row r="982" spans="1:27" ht="15.75" customHeight="1" x14ac:dyDescent="0.3">
      <c r="A982" s="21">
        <v>2025</v>
      </c>
      <c r="B982" s="22"/>
      <c r="H982" s="21" t="s">
        <v>1943</v>
      </c>
      <c r="I982" s="21" t="s">
        <v>1945</v>
      </c>
      <c r="J982" s="21" t="s">
        <v>1944</v>
      </c>
      <c r="K982" s="21" t="e">
        <f t="shared" ca="1" si="6"/>
        <v>#NAME?</v>
      </c>
      <c r="L982" s="24">
        <v>1982</v>
      </c>
      <c r="M982" s="21">
        <v>2006</v>
      </c>
      <c r="N982" s="21" t="s">
        <v>111</v>
      </c>
      <c r="O982" s="21" t="s">
        <v>112</v>
      </c>
      <c r="P982" s="26">
        <v>9849639880</v>
      </c>
      <c r="Q982" s="26" t="e">
        <f t="shared" ca="1" si="7"/>
        <v>#NAME?</v>
      </c>
      <c r="R982" s="21" t="s">
        <v>188</v>
      </c>
      <c r="S982" s="21" t="s">
        <v>127</v>
      </c>
      <c r="U982" s="21" t="s">
        <v>6623</v>
      </c>
      <c r="V982" s="21" t="s">
        <v>6623</v>
      </c>
      <c r="W982" s="21" t="s">
        <v>307</v>
      </c>
      <c r="X982" s="21" t="s">
        <v>6624</v>
      </c>
      <c r="Y982" s="21" t="s">
        <v>734</v>
      </c>
      <c r="Z982" s="21" t="s">
        <v>127</v>
      </c>
      <c r="AA982" s="21" t="s">
        <v>2300</v>
      </c>
    </row>
    <row r="983" spans="1:27" ht="15.75" customHeight="1" x14ac:dyDescent="0.3">
      <c r="A983" s="21">
        <v>2025</v>
      </c>
      <c r="B983" s="22"/>
      <c r="H983" s="21" t="s">
        <v>6625</v>
      </c>
      <c r="I983" s="21" t="s">
        <v>6626</v>
      </c>
      <c r="J983" s="21" t="s">
        <v>2372</v>
      </c>
      <c r="K983" s="21" t="e">
        <f t="shared" ca="1" si="6"/>
        <v>#NAME?</v>
      </c>
      <c r="L983" s="24">
        <v>1981</v>
      </c>
      <c r="N983" s="21" t="s">
        <v>111</v>
      </c>
      <c r="O983" s="21" t="s">
        <v>112</v>
      </c>
      <c r="P983" s="26">
        <v>8008874235</v>
      </c>
      <c r="Q983" s="26" t="e">
        <f t="shared" ca="1" si="7"/>
        <v>#NAME?</v>
      </c>
      <c r="R983" s="21" t="s">
        <v>188</v>
      </c>
      <c r="S983" s="21" t="s">
        <v>6627</v>
      </c>
      <c r="U983" s="21" t="s">
        <v>6628</v>
      </c>
      <c r="V983" s="21" t="s">
        <v>6628</v>
      </c>
      <c r="W983" s="21" t="s">
        <v>219</v>
      </c>
      <c r="X983" s="21" t="s">
        <v>179</v>
      </c>
      <c r="Y983" s="21" t="s">
        <v>1399</v>
      </c>
      <c r="Z983" s="21" t="s">
        <v>582</v>
      </c>
      <c r="AA983" s="21" t="s">
        <v>818</v>
      </c>
    </row>
    <row r="984" spans="1:27" ht="15.75" customHeight="1" x14ac:dyDescent="0.3">
      <c r="A984" s="21">
        <v>2025</v>
      </c>
      <c r="B984" s="22"/>
      <c r="H984" s="21" t="s">
        <v>6629</v>
      </c>
      <c r="I984" s="21" t="s">
        <v>1256</v>
      </c>
      <c r="J984" s="21" t="s">
        <v>6630</v>
      </c>
      <c r="K984" s="21" t="e">
        <f t="shared" ca="1" si="6"/>
        <v>#NAME?</v>
      </c>
      <c r="L984" s="24">
        <v>1970</v>
      </c>
      <c r="N984" s="21" t="s">
        <v>111</v>
      </c>
      <c r="O984" s="21" t="s">
        <v>112</v>
      </c>
      <c r="P984" s="26">
        <v>9348271275</v>
      </c>
      <c r="Q984" s="26" t="e">
        <f t="shared" ca="1" si="7"/>
        <v>#NAME?</v>
      </c>
      <c r="R984" s="21" t="s">
        <v>1368</v>
      </c>
      <c r="S984" s="21" t="s">
        <v>6631</v>
      </c>
      <c r="U984" s="21" t="s">
        <v>6632</v>
      </c>
      <c r="V984" s="21" t="s">
        <v>6632</v>
      </c>
      <c r="W984" s="21" t="s">
        <v>162</v>
      </c>
      <c r="X984" s="21" t="s">
        <v>3212</v>
      </c>
      <c r="Y984" s="21" t="s">
        <v>3212</v>
      </c>
      <c r="Z984" s="21" t="s">
        <v>127</v>
      </c>
      <c r="AA984" s="21" t="s">
        <v>6633</v>
      </c>
    </row>
    <row r="985" spans="1:27" ht="15.75" customHeight="1" x14ac:dyDescent="0.3">
      <c r="A985" s="21">
        <v>2025</v>
      </c>
      <c r="B985" s="22"/>
      <c r="H985" s="21" t="s">
        <v>6634</v>
      </c>
      <c r="I985" s="21" t="s">
        <v>494</v>
      </c>
      <c r="J985" s="21" t="s">
        <v>6635</v>
      </c>
      <c r="K985" s="21" t="e">
        <f t="shared" ca="1" si="6"/>
        <v>#NAME?</v>
      </c>
      <c r="L985" s="24">
        <v>1980</v>
      </c>
      <c r="N985" s="21" t="s">
        <v>111</v>
      </c>
      <c r="O985" s="21" t="s">
        <v>112</v>
      </c>
      <c r="P985" s="26">
        <v>8498845522</v>
      </c>
      <c r="Q985" s="26" t="e">
        <f t="shared" ca="1" si="7"/>
        <v>#NAME?</v>
      </c>
      <c r="R985" s="21" t="s">
        <v>6406</v>
      </c>
      <c r="S985" s="21" t="s">
        <v>6636</v>
      </c>
      <c r="U985" s="21" t="s">
        <v>6637</v>
      </c>
      <c r="V985" s="21" t="s">
        <v>6637</v>
      </c>
      <c r="W985" s="21" t="s">
        <v>488</v>
      </c>
      <c r="X985" s="21" t="s">
        <v>211</v>
      </c>
      <c r="Y985" s="21" t="s">
        <v>211</v>
      </c>
      <c r="Z985" s="21" t="s">
        <v>284</v>
      </c>
      <c r="AA985" s="21" t="s">
        <v>4165</v>
      </c>
    </row>
    <row r="986" spans="1:27" ht="15.75" customHeight="1" x14ac:dyDescent="0.3">
      <c r="A986" s="21">
        <v>2025</v>
      </c>
      <c r="B986" s="22"/>
      <c r="H986" s="21" t="s">
        <v>6638</v>
      </c>
      <c r="I986" s="21" t="s">
        <v>1412</v>
      </c>
      <c r="J986" s="21" t="s">
        <v>6639</v>
      </c>
      <c r="K986" s="21" t="e">
        <f t="shared" ca="1" si="6"/>
        <v>#NAME?</v>
      </c>
      <c r="L986" s="24">
        <v>1988</v>
      </c>
      <c r="M986" s="21">
        <v>2011</v>
      </c>
      <c r="N986" s="21" t="s">
        <v>111</v>
      </c>
      <c r="O986" s="21" t="s">
        <v>112</v>
      </c>
      <c r="P986" s="26">
        <v>9642099220</v>
      </c>
      <c r="Q986" s="26" t="e">
        <f t="shared" ca="1" si="7"/>
        <v>#NAME?</v>
      </c>
      <c r="R986" s="21" t="s">
        <v>188</v>
      </c>
      <c r="S986" s="21" t="s">
        <v>1977</v>
      </c>
      <c r="U986" s="21" t="s">
        <v>6640</v>
      </c>
      <c r="V986" s="21" t="s">
        <v>6640</v>
      </c>
      <c r="W986" s="21" t="s">
        <v>219</v>
      </c>
      <c r="X986" s="21" t="s">
        <v>1261</v>
      </c>
      <c r="Y986" s="21" t="s">
        <v>1261</v>
      </c>
      <c r="Z986" s="21" t="s">
        <v>127</v>
      </c>
      <c r="AA986" s="21" t="s">
        <v>818</v>
      </c>
    </row>
    <row r="987" spans="1:27" ht="15.75" customHeight="1" x14ac:dyDescent="0.3">
      <c r="A987" s="21">
        <v>2025</v>
      </c>
      <c r="B987" s="22"/>
      <c r="H987" s="21" t="s">
        <v>6641</v>
      </c>
      <c r="I987" s="21" t="s">
        <v>6642</v>
      </c>
      <c r="J987" s="21" t="s">
        <v>6643</v>
      </c>
      <c r="K987" s="21" t="e">
        <f t="shared" ca="1" si="6"/>
        <v>#NAME?</v>
      </c>
      <c r="L987" s="24">
        <v>1965</v>
      </c>
      <c r="M987" s="21">
        <v>2025</v>
      </c>
      <c r="N987" s="21" t="s">
        <v>111</v>
      </c>
      <c r="O987" s="21" t="s">
        <v>112</v>
      </c>
      <c r="P987" s="26">
        <v>9374938055</v>
      </c>
      <c r="Q987" s="26" t="e">
        <f t="shared" ca="1" si="7"/>
        <v>#NAME?</v>
      </c>
      <c r="R987" s="21" t="s">
        <v>6644</v>
      </c>
      <c r="S987" s="21" t="s">
        <v>6645</v>
      </c>
      <c r="U987" s="21" t="s">
        <v>6646</v>
      </c>
      <c r="V987" s="21" t="s">
        <v>6646</v>
      </c>
      <c r="W987" s="21" t="s">
        <v>219</v>
      </c>
      <c r="X987" s="21" t="s">
        <v>6647</v>
      </c>
      <c r="Y987" s="21" t="s">
        <v>6648</v>
      </c>
      <c r="Z987" s="21" t="s">
        <v>284</v>
      </c>
      <c r="AA987" s="21" t="s">
        <v>6649</v>
      </c>
    </row>
    <row r="988" spans="1:27" ht="15.75" customHeight="1" x14ac:dyDescent="0.3">
      <c r="A988" s="21">
        <v>2025</v>
      </c>
      <c r="B988" s="22"/>
      <c r="H988" s="21" t="s">
        <v>6650</v>
      </c>
      <c r="I988" s="21" t="s">
        <v>6651</v>
      </c>
      <c r="J988" s="21" t="s">
        <v>6652</v>
      </c>
      <c r="K988" s="21" t="e">
        <f t="shared" ca="1" si="6"/>
        <v>#NAME?</v>
      </c>
      <c r="L988" s="24">
        <v>1979</v>
      </c>
      <c r="M988" s="21">
        <v>2025</v>
      </c>
      <c r="N988" s="21" t="s">
        <v>111</v>
      </c>
      <c r="O988" s="21" t="s">
        <v>112</v>
      </c>
      <c r="P988" s="26">
        <v>9849548130</v>
      </c>
      <c r="Q988" s="26" t="e">
        <f t="shared" ca="1" si="7"/>
        <v>#NAME?</v>
      </c>
      <c r="R988" s="21" t="s">
        <v>1879</v>
      </c>
      <c r="S988" s="21" t="s">
        <v>6653</v>
      </c>
      <c r="U988" s="21" t="s">
        <v>6654</v>
      </c>
      <c r="V988" s="21" t="s">
        <v>127</v>
      </c>
      <c r="W988" s="21" t="s">
        <v>2366</v>
      </c>
      <c r="X988" s="21" t="s">
        <v>6655</v>
      </c>
      <c r="Y988" s="21" t="s">
        <v>6656</v>
      </c>
      <c r="Z988" s="21" t="s">
        <v>127</v>
      </c>
      <c r="AA988" s="21" t="s">
        <v>6657</v>
      </c>
    </row>
    <row r="989" spans="1:27" ht="15.75" customHeight="1" x14ac:dyDescent="0.3">
      <c r="A989" s="21">
        <v>2025</v>
      </c>
      <c r="B989" s="22"/>
      <c r="H989" s="21" t="s">
        <v>2466</v>
      </c>
      <c r="I989" s="21" t="s">
        <v>1524</v>
      </c>
      <c r="J989" s="21" t="s">
        <v>2467</v>
      </c>
      <c r="K989" s="21" t="e">
        <f t="shared" ca="1" si="6"/>
        <v>#NAME?</v>
      </c>
      <c r="L989" s="24">
        <v>1975</v>
      </c>
      <c r="M989" s="21">
        <v>2002</v>
      </c>
      <c r="N989" s="21" t="s">
        <v>111</v>
      </c>
      <c r="O989" s="21" t="s">
        <v>112</v>
      </c>
      <c r="P989" s="26">
        <v>9618884192</v>
      </c>
      <c r="Q989" s="26" t="e">
        <f t="shared" ca="1" si="7"/>
        <v>#NAME?</v>
      </c>
      <c r="R989" s="21" t="s">
        <v>188</v>
      </c>
      <c r="S989" s="21" t="s">
        <v>2468</v>
      </c>
      <c r="U989" s="21" t="s">
        <v>2470</v>
      </c>
      <c r="V989" s="21" t="s">
        <v>284</v>
      </c>
      <c r="W989" s="21" t="s">
        <v>328</v>
      </c>
      <c r="X989" s="21" t="s">
        <v>352</v>
      </c>
      <c r="Y989" s="21" t="s">
        <v>308</v>
      </c>
      <c r="Z989" s="21" t="s">
        <v>284</v>
      </c>
      <c r="AA989" s="21" t="s">
        <v>6658</v>
      </c>
    </row>
    <row r="990" spans="1:27" ht="15.75" customHeight="1" x14ac:dyDescent="0.3">
      <c r="A990" s="21">
        <v>2025</v>
      </c>
      <c r="B990" s="22"/>
      <c r="H990" s="21" t="s">
        <v>6659</v>
      </c>
      <c r="I990" s="21" t="s">
        <v>6660</v>
      </c>
      <c r="J990" s="21" t="s">
        <v>6661</v>
      </c>
      <c r="K990" s="21" t="e">
        <f t="shared" ca="1" si="6"/>
        <v>#NAME?</v>
      </c>
      <c r="L990" s="24">
        <v>1961</v>
      </c>
      <c r="M990" s="21">
        <v>2025</v>
      </c>
      <c r="N990" s="21" t="s">
        <v>111</v>
      </c>
      <c r="O990" s="21" t="s">
        <v>112</v>
      </c>
      <c r="P990" s="26">
        <v>9445107857</v>
      </c>
      <c r="Q990" s="26" t="e">
        <f t="shared" ca="1" si="7"/>
        <v>#NAME?</v>
      </c>
      <c r="R990" s="21" t="s">
        <v>2191</v>
      </c>
      <c r="S990" s="21" t="s">
        <v>6662</v>
      </c>
      <c r="U990" s="21" t="s">
        <v>6663</v>
      </c>
      <c r="V990" s="21" t="s">
        <v>6663</v>
      </c>
      <c r="W990" s="21" t="s">
        <v>328</v>
      </c>
      <c r="X990" s="21" t="s">
        <v>6664</v>
      </c>
      <c r="Y990" s="21" t="s">
        <v>6665</v>
      </c>
      <c r="Z990" s="21" t="s">
        <v>284</v>
      </c>
      <c r="AA990" s="21" t="s">
        <v>6666</v>
      </c>
    </row>
    <row r="991" spans="1:27" ht="15.75" customHeight="1" x14ac:dyDescent="0.3">
      <c r="A991" s="21">
        <v>2025</v>
      </c>
      <c r="B991" s="22"/>
      <c r="H991" s="21" t="s">
        <v>6667</v>
      </c>
      <c r="I991" s="21" t="s">
        <v>653</v>
      </c>
      <c r="J991" s="21" t="s">
        <v>6668</v>
      </c>
      <c r="K991" s="21" t="e">
        <f t="shared" ca="1" si="6"/>
        <v>#NAME?</v>
      </c>
      <c r="L991" s="24">
        <v>1982</v>
      </c>
      <c r="N991" s="21" t="s">
        <v>111</v>
      </c>
      <c r="O991" s="21" t="s">
        <v>112</v>
      </c>
      <c r="P991" s="26">
        <v>9866800224</v>
      </c>
      <c r="Q991" s="26" t="e">
        <f t="shared" ca="1" si="7"/>
        <v>#NAME?</v>
      </c>
      <c r="R991" s="21" t="s">
        <v>551</v>
      </c>
      <c r="S991" s="21" t="s">
        <v>6028</v>
      </c>
      <c r="U991" s="21" t="s">
        <v>6669</v>
      </c>
      <c r="V991" s="21" t="s">
        <v>6669</v>
      </c>
      <c r="W991" s="21" t="s">
        <v>1924</v>
      </c>
      <c r="X991" s="21" t="s">
        <v>308</v>
      </c>
      <c r="Y991" s="21" t="s">
        <v>308</v>
      </c>
      <c r="Z991" s="21" t="s">
        <v>127</v>
      </c>
      <c r="AA991" s="21" t="s">
        <v>6670</v>
      </c>
    </row>
    <row r="992" spans="1:27" ht="15.75" customHeight="1" x14ac:dyDescent="0.3">
      <c r="A992" s="21">
        <v>2025</v>
      </c>
      <c r="B992" s="22"/>
      <c r="H992" s="21" t="s">
        <v>6671</v>
      </c>
      <c r="I992" s="21" t="s">
        <v>1296</v>
      </c>
      <c r="J992" s="21" t="s">
        <v>643</v>
      </c>
      <c r="K992" s="21" t="e">
        <f t="shared" ca="1" si="6"/>
        <v>#NAME?</v>
      </c>
      <c r="L992" s="24">
        <v>1986</v>
      </c>
      <c r="N992" s="21" t="s">
        <v>111</v>
      </c>
      <c r="O992" s="21" t="s">
        <v>112</v>
      </c>
      <c r="P992" s="26">
        <v>9390373720</v>
      </c>
      <c r="Q992" s="26" t="e">
        <f t="shared" ca="1" si="7"/>
        <v>#NAME?</v>
      </c>
      <c r="R992" s="21" t="s">
        <v>188</v>
      </c>
      <c r="S992" s="21" t="s">
        <v>6672</v>
      </c>
      <c r="U992" s="21" t="s">
        <v>6673</v>
      </c>
      <c r="V992" s="21" t="s">
        <v>6673</v>
      </c>
      <c r="W992" s="21" t="s">
        <v>6674</v>
      </c>
      <c r="X992" s="21" t="s">
        <v>179</v>
      </c>
      <c r="Y992" s="21" t="s">
        <v>179</v>
      </c>
      <c r="Z992" s="21" t="s">
        <v>127</v>
      </c>
      <c r="AA992" s="21" t="s">
        <v>6675</v>
      </c>
    </row>
    <row r="993" spans="1:27" ht="15.75" customHeight="1" x14ac:dyDescent="0.3">
      <c r="A993" s="21">
        <v>2025</v>
      </c>
      <c r="B993" s="22"/>
      <c r="H993" s="21" t="s">
        <v>6676</v>
      </c>
      <c r="I993" s="21" t="s">
        <v>716</v>
      </c>
      <c r="J993" s="21" t="s">
        <v>1859</v>
      </c>
      <c r="K993" s="21" t="e">
        <f t="shared" ca="1" si="6"/>
        <v>#NAME?</v>
      </c>
      <c r="L993" s="24">
        <v>1962</v>
      </c>
      <c r="N993" s="21" t="s">
        <v>111</v>
      </c>
      <c r="O993" s="21" t="s">
        <v>112</v>
      </c>
      <c r="P993" s="26">
        <v>9441975657</v>
      </c>
      <c r="Q993" s="26" t="e">
        <f t="shared" ca="1" si="7"/>
        <v>#NAME?</v>
      </c>
      <c r="R993" s="21" t="s">
        <v>188</v>
      </c>
      <c r="S993" s="21" t="s">
        <v>6677</v>
      </c>
      <c r="U993" s="21" t="s">
        <v>6678</v>
      </c>
      <c r="V993" s="21" t="s">
        <v>6678</v>
      </c>
      <c r="W993" s="21" t="s">
        <v>266</v>
      </c>
      <c r="X993" s="21" t="s">
        <v>478</v>
      </c>
      <c r="Y993" s="21" t="s">
        <v>478</v>
      </c>
      <c r="Z993" s="21" t="s">
        <v>127</v>
      </c>
      <c r="AA993" s="21" t="s">
        <v>6679</v>
      </c>
    </row>
    <row r="994" spans="1:27" ht="15.75" customHeight="1" x14ac:dyDescent="0.3">
      <c r="A994" s="21">
        <v>2025</v>
      </c>
      <c r="B994" s="22"/>
      <c r="H994" s="21" t="s">
        <v>6676</v>
      </c>
      <c r="I994" s="21" t="s">
        <v>716</v>
      </c>
      <c r="J994" s="21" t="s">
        <v>718</v>
      </c>
      <c r="K994" s="21" t="e">
        <f t="shared" ca="1" si="6"/>
        <v>#NAME?</v>
      </c>
      <c r="L994" s="24">
        <v>2013</v>
      </c>
      <c r="M994" s="21">
        <v>2025</v>
      </c>
      <c r="N994" s="21" t="s">
        <v>111</v>
      </c>
      <c r="O994" s="21" t="s">
        <v>112</v>
      </c>
      <c r="P994" s="26">
        <v>9441975657</v>
      </c>
      <c r="Q994" s="26" t="e">
        <f t="shared" ca="1" si="7"/>
        <v>#NAME?</v>
      </c>
      <c r="R994" s="21" t="s">
        <v>188</v>
      </c>
      <c r="S994" s="21" t="s">
        <v>6677</v>
      </c>
      <c r="U994" s="21" t="s">
        <v>6678</v>
      </c>
      <c r="V994" s="21" t="s">
        <v>6678</v>
      </c>
      <c r="W994" s="21" t="s">
        <v>266</v>
      </c>
      <c r="X994" s="21" t="s">
        <v>478</v>
      </c>
      <c r="Y994" s="21" t="s">
        <v>478</v>
      </c>
      <c r="Z994" s="21" t="s">
        <v>127</v>
      </c>
      <c r="AA994" s="21" t="s">
        <v>6679</v>
      </c>
    </row>
    <row r="995" spans="1:27" ht="15.75" customHeight="1" x14ac:dyDescent="0.3">
      <c r="A995" s="21">
        <v>2025</v>
      </c>
      <c r="B995" s="22"/>
      <c r="H995" s="21" t="s">
        <v>1857</v>
      </c>
      <c r="I995" s="21" t="s">
        <v>716</v>
      </c>
      <c r="J995" s="21" t="s">
        <v>1858</v>
      </c>
      <c r="K995" s="21" t="e">
        <f t="shared" ca="1" si="6"/>
        <v>#NAME?</v>
      </c>
      <c r="L995" s="24">
        <v>1977</v>
      </c>
      <c r="M995" s="21">
        <v>1993</v>
      </c>
      <c r="N995" s="21" t="s">
        <v>111</v>
      </c>
      <c r="O995" s="21" t="s">
        <v>112</v>
      </c>
      <c r="P995" s="26">
        <v>9000988326</v>
      </c>
      <c r="Q995" s="26" t="e">
        <f t="shared" ca="1" si="7"/>
        <v>#NAME?</v>
      </c>
      <c r="R995" s="21" t="s">
        <v>188</v>
      </c>
      <c r="S995" s="21" t="s">
        <v>1859</v>
      </c>
      <c r="U995" s="21" t="s">
        <v>1860</v>
      </c>
      <c r="V995" s="21" t="s">
        <v>1860</v>
      </c>
      <c r="W995" s="21" t="s">
        <v>1074</v>
      </c>
      <c r="X995" s="21" t="s">
        <v>267</v>
      </c>
      <c r="Y995" s="21" t="s">
        <v>267</v>
      </c>
      <c r="Z995" s="21" t="s">
        <v>127</v>
      </c>
      <c r="AA995" s="21" t="s">
        <v>450</v>
      </c>
    </row>
    <row r="996" spans="1:27" ht="15.75" customHeight="1" x14ac:dyDescent="0.3">
      <c r="A996" s="21">
        <v>2025</v>
      </c>
      <c r="B996" s="22"/>
      <c r="H996" s="21" t="s">
        <v>6680</v>
      </c>
      <c r="I996" s="21" t="s">
        <v>1747</v>
      </c>
      <c r="J996" s="21" t="s">
        <v>6681</v>
      </c>
      <c r="K996" s="21" t="e">
        <f t="shared" ca="1" si="6"/>
        <v>#NAME?</v>
      </c>
      <c r="L996" s="24">
        <v>2014</v>
      </c>
      <c r="M996" s="21">
        <v>2011</v>
      </c>
      <c r="N996" s="21" t="s">
        <v>111</v>
      </c>
      <c r="O996" s="21" t="s">
        <v>112</v>
      </c>
      <c r="P996" s="26">
        <v>9704667298</v>
      </c>
      <c r="Q996" s="26" t="e">
        <f t="shared" ca="1" si="7"/>
        <v>#NAME?</v>
      </c>
      <c r="R996" s="21" t="s">
        <v>188</v>
      </c>
      <c r="S996" s="21" t="s">
        <v>6682</v>
      </c>
      <c r="U996" s="21" t="s">
        <v>6683</v>
      </c>
      <c r="V996" s="21" t="s">
        <v>6683</v>
      </c>
      <c r="W996" s="21" t="s">
        <v>266</v>
      </c>
      <c r="X996" s="21" t="s">
        <v>211</v>
      </c>
      <c r="Y996" s="21" t="s">
        <v>6684</v>
      </c>
      <c r="Z996" s="21" t="s">
        <v>6685</v>
      </c>
      <c r="AA996" s="21" t="s">
        <v>5143</v>
      </c>
    </row>
    <row r="997" spans="1:27" ht="15.75" customHeight="1" x14ac:dyDescent="0.3">
      <c r="A997" s="21">
        <v>2025</v>
      </c>
      <c r="B997" s="22"/>
      <c r="H997" s="21" t="s">
        <v>1935</v>
      </c>
      <c r="I997" s="21" t="s">
        <v>1936</v>
      </c>
      <c r="J997" s="21" t="s">
        <v>1937</v>
      </c>
      <c r="K997" s="21" t="e">
        <f t="shared" ca="1" si="6"/>
        <v>#NAME?</v>
      </c>
      <c r="L997" s="24">
        <v>2015</v>
      </c>
      <c r="M997" s="21">
        <v>2004</v>
      </c>
      <c r="N997" s="21" t="s">
        <v>111</v>
      </c>
      <c r="O997" s="21" t="s">
        <v>112</v>
      </c>
      <c r="P997" s="26">
        <v>7729950624</v>
      </c>
      <c r="Q997" s="26" t="e">
        <f t="shared" ca="1" si="7"/>
        <v>#NAME?</v>
      </c>
      <c r="R997" s="21" t="s">
        <v>188</v>
      </c>
      <c r="S997" s="21" t="s">
        <v>759</v>
      </c>
      <c r="U997" s="21" t="s">
        <v>1938</v>
      </c>
      <c r="V997" s="21" t="s">
        <v>1938</v>
      </c>
      <c r="W997" s="21" t="s">
        <v>219</v>
      </c>
      <c r="X997" s="21" t="s">
        <v>179</v>
      </c>
      <c r="Y997" s="21" t="s">
        <v>179</v>
      </c>
      <c r="Z997" s="21" t="s">
        <v>6686</v>
      </c>
      <c r="AA997" s="21" t="s">
        <v>6422</v>
      </c>
    </row>
    <row r="998" spans="1:27" ht="15.75" customHeight="1" x14ac:dyDescent="0.3">
      <c r="A998" s="21">
        <v>2025</v>
      </c>
      <c r="B998" s="22"/>
      <c r="H998" s="21" t="s">
        <v>1757</v>
      </c>
      <c r="I998" s="21" t="s">
        <v>1758</v>
      </c>
      <c r="J998" s="21" t="s">
        <v>1759</v>
      </c>
      <c r="K998" s="21" t="e">
        <f t="shared" ca="1" si="6"/>
        <v>#NAME?</v>
      </c>
      <c r="L998" s="24">
        <v>1969</v>
      </c>
      <c r="N998" s="21" t="s">
        <v>111</v>
      </c>
      <c r="O998" s="21" t="s">
        <v>112</v>
      </c>
      <c r="P998" s="26">
        <v>9972045006</v>
      </c>
      <c r="Q998" s="26" t="e">
        <f t="shared" ca="1" si="7"/>
        <v>#NAME?</v>
      </c>
      <c r="R998" s="21" t="s">
        <v>551</v>
      </c>
      <c r="S998" s="21" t="s">
        <v>1760</v>
      </c>
      <c r="U998" s="21" t="s">
        <v>1761</v>
      </c>
      <c r="V998" s="21" t="s">
        <v>1761</v>
      </c>
      <c r="W998" s="21" t="s">
        <v>488</v>
      </c>
      <c r="X998" s="21" t="s">
        <v>211</v>
      </c>
      <c r="Y998" s="21" t="s">
        <v>1762</v>
      </c>
      <c r="Z998" s="21" t="s">
        <v>127</v>
      </c>
      <c r="AA998" s="21" t="s">
        <v>1763</v>
      </c>
    </row>
    <row r="999" spans="1:27" ht="15.75" customHeight="1" x14ac:dyDescent="0.3">
      <c r="A999" s="21">
        <v>2025</v>
      </c>
      <c r="B999" s="22"/>
      <c r="H999" s="21" t="s">
        <v>2352</v>
      </c>
      <c r="I999" s="21" t="s">
        <v>859</v>
      </c>
      <c r="J999" s="21" t="s">
        <v>857</v>
      </c>
      <c r="K999" s="21" t="e">
        <f t="shared" ca="1" si="6"/>
        <v>#NAME?</v>
      </c>
      <c r="L999" s="24">
        <v>2014</v>
      </c>
      <c r="M999" s="21">
        <v>2011</v>
      </c>
      <c r="N999" s="21" t="s">
        <v>111</v>
      </c>
      <c r="O999" s="21" t="s">
        <v>112</v>
      </c>
      <c r="P999" s="26">
        <v>9052550010</v>
      </c>
      <c r="Q999" s="26" t="e">
        <f t="shared" ca="1" si="7"/>
        <v>#NAME?</v>
      </c>
      <c r="R999" s="21" t="s">
        <v>382</v>
      </c>
      <c r="S999" s="21" t="s">
        <v>2354</v>
      </c>
      <c r="U999" s="21" t="s">
        <v>2355</v>
      </c>
      <c r="V999" s="21" t="s">
        <v>2355</v>
      </c>
      <c r="W999" s="21" t="s">
        <v>307</v>
      </c>
      <c r="X999" s="21" t="s">
        <v>211</v>
      </c>
      <c r="Y999" s="21" t="s">
        <v>406</v>
      </c>
      <c r="Z999" s="21" t="s">
        <v>2356</v>
      </c>
      <c r="AA999" s="21" t="s">
        <v>2357</v>
      </c>
    </row>
    <row r="1000" spans="1:27" ht="15.75" customHeight="1" x14ac:dyDescent="0.3">
      <c r="A1000" s="21">
        <v>2025</v>
      </c>
      <c r="B1000" s="22"/>
      <c r="H1000" s="21" t="s">
        <v>1597</v>
      </c>
      <c r="I1000" s="21" t="s">
        <v>1598</v>
      </c>
      <c r="J1000" s="21" t="s">
        <v>6687</v>
      </c>
      <c r="K1000" s="21" t="e">
        <f t="shared" ca="1" si="6"/>
        <v>#NAME?</v>
      </c>
      <c r="L1000" s="24">
        <v>1958</v>
      </c>
      <c r="M1000" s="21">
        <v>2018</v>
      </c>
      <c r="N1000" s="21" t="s">
        <v>111</v>
      </c>
      <c r="O1000" s="21" t="s">
        <v>112</v>
      </c>
      <c r="P1000" s="26">
        <v>8500649946</v>
      </c>
      <c r="Q1000" s="26" t="e">
        <f t="shared" ca="1" si="7"/>
        <v>#NAME?</v>
      </c>
      <c r="R1000" s="21" t="s">
        <v>188</v>
      </c>
      <c r="S1000" s="21" t="s">
        <v>6688</v>
      </c>
      <c r="U1000" s="21" t="s">
        <v>6689</v>
      </c>
      <c r="V1000" s="21" t="s">
        <v>6689</v>
      </c>
      <c r="W1000" s="21" t="s">
        <v>191</v>
      </c>
      <c r="X1000" s="21" t="s">
        <v>211</v>
      </c>
      <c r="Y1000" s="21" t="s">
        <v>211</v>
      </c>
      <c r="Z1000" s="21" t="s">
        <v>127</v>
      </c>
      <c r="AA1000" s="21" t="s">
        <v>6690</v>
      </c>
    </row>
    <row r="1001" spans="1:27" ht="15.75" customHeight="1" x14ac:dyDescent="0.3">
      <c r="A1001" s="21">
        <v>2025</v>
      </c>
      <c r="B1001" s="22"/>
      <c r="H1001" s="21" t="s">
        <v>6691</v>
      </c>
      <c r="I1001" s="21" t="s">
        <v>224</v>
      </c>
      <c r="J1001" s="21" t="s">
        <v>225</v>
      </c>
      <c r="K1001" s="21" t="e">
        <f t="shared" ca="1" si="6"/>
        <v>#NAME?</v>
      </c>
      <c r="L1001" s="24">
        <v>1980</v>
      </c>
      <c r="M1001" s="21">
        <v>2022</v>
      </c>
      <c r="N1001" s="21" t="s">
        <v>111</v>
      </c>
      <c r="O1001" s="21" t="s">
        <v>112</v>
      </c>
      <c r="P1001" s="26">
        <v>9886605005</v>
      </c>
      <c r="Q1001" s="26" t="e">
        <f t="shared" ca="1" si="7"/>
        <v>#NAME?</v>
      </c>
      <c r="R1001" s="21" t="s">
        <v>664</v>
      </c>
      <c r="S1001" s="21" t="s">
        <v>6692</v>
      </c>
      <c r="U1001" s="21" t="s">
        <v>6693</v>
      </c>
      <c r="V1001" s="21" t="s">
        <v>6693</v>
      </c>
      <c r="W1001" s="21" t="s">
        <v>6694</v>
      </c>
      <c r="X1001" s="21" t="s">
        <v>6695</v>
      </c>
      <c r="Y1001" s="21" t="s">
        <v>2163</v>
      </c>
      <c r="Z1001" s="21" t="s">
        <v>296</v>
      </c>
      <c r="AA1001" s="21" t="s">
        <v>297</v>
      </c>
    </row>
    <row r="1002" spans="1:27" ht="15.75" customHeight="1" x14ac:dyDescent="0.3">
      <c r="A1002" s="21">
        <v>2025</v>
      </c>
      <c r="B1002" s="22"/>
      <c r="H1002" s="21" t="s">
        <v>1829</v>
      </c>
      <c r="I1002" s="21" t="s">
        <v>1830</v>
      </c>
      <c r="J1002" s="21" t="s">
        <v>1831</v>
      </c>
      <c r="K1002" s="21" t="e">
        <f t="shared" ca="1" si="6"/>
        <v>#NAME?</v>
      </c>
      <c r="L1002" s="24">
        <v>1962</v>
      </c>
      <c r="N1002" s="21" t="s">
        <v>111</v>
      </c>
      <c r="O1002" s="21" t="s">
        <v>112</v>
      </c>
      <c r="P1002" s="26">
        <v>9440365322</v>
      </c>
      <c r="Q1002" s="26" t="e">
        <f t="shared" ca="1" si="7"/>
        <v>#NAME?</v>
      </c>
      <c r="R1002" s="21" t="s">
        <v>1832</v>
      </c>
      <c r="S1002" s="21" t="s">
        <v>1833</v>
      </c>
      <c r="U1002" s="21" t="s">
        <v>425</v>
      </c>
      <c r="V1002" s="21" t="s">
        <v>425</v>
      </c>
      <c r="W1002" s="21" t="s">
        <v>219</v>
      </c>
      <c r="X1002" s="21" t="s">
        <v>478</v>
      </c>
      <c r="Y1002" s="21" t="s">
        <v>478</v>
      </c>
      <c r="Z1002" s="21" t="s">
        <v>127</v>
      </c>
      <c r="AA1002" s="21" t="s">
        <v>1834</v>
      </c>
    </row>
    <row r="1003" spans="1:27" ht="15.75" customHeight="1" x14ac:dyDescent="0.3">
      <c r="A1003" s="21">
        <v>2025</v>
      </c>
      <c r="B1003" s="22"/>
      <c r="H1003" s="21" t="s">
        <v>6696</v>
      </c>
      <c r="I1003" s="21" t="s">
        <v>6697</v>
      </c>
      <c r="J1003" s="21" t="s">
        <v>520</v>
      </c>
      <c r="K1003" s="21" t="e">
        <f t="shared" ca="1" si="6"/>
        <v>#NAME?</v>
      </c>
      <c r="L1003" s="24">
        <v>1982</v>
      </c>
      <c r="N1003" s="21" t="s">
        <v>111</v>
      </c>
      <c r="O1003" s="21" t="s">
        <v>112</v>
      </c>
      <c r="P1003" s="26">
        <v>9866530443</v>
      </c>
      <c r="Q1003" s="26" t="e">
        <f t="shared" ca="1" si="7"/>
        <v>#NAME?</v>
      </c>
      <c r="R1003" s="21" t="s">
        <v>188</v>
      </c>
      <c r="S1003" s="21" t="s">
        <v>296</v>
      </c>
      <c r="U1003" s="21" t="s">
        <v>6698</v>
      </c>
      <c r="V1003" s="21" t="s">
        <v>6698</v>
      </c>
      <c r="W1003" s="21" t="s">
        <v>219</v>
      </c>
      <c r="X1003" s="21" t="s">
        <v>179</v>
      </c>
      <c r="Y1003" s="21" t="s">
        <v>179</v>
      </c>
      <c r="Z1003" s="21" t="s">
        <v>127</v>
      </c>
      <c r="AA1003" s="21" t="s">
        <v>5956</v>
      </c>
    </row>
    <row r="1004" spans="1:27" ht="15.75" customHeight="1" x14ac:dyDescent="0.3">
      <c r="A1004" s="21">
        <v>2025</v>
      </c>
      <c r="B1004" s="22"/>
      <c r="H1004" s="21" t="s">
        <v>6699</v>
      </c>
      <c r="I1004" s="21" t="s">
        <v>1641</v>
      </c>
      <c r="J1004" s="138" t="s">
        <v>6700</v>
      </c>
      <c r="K1004" s="21" t="e">
        <f t="shared" ca="1" si="6"/>
        <v>#NAME?</v>
      </c>
      <c r="L1004" s="24">
        <v>1987</v>
      </c>
      <c r="N1004" s="21" t="s">
        <v>111</v>
      </c>
      <c r="O1004" s="21" t="s">
        <v>112</v>
      </c>
      <c r="P1004" s="26">
        <v>9886888335</v>
      </c>
      <c r="Q1004" s="26" t="e">
        <f t="shared" ca="1" si="7"/>
        <v>#NAME?</v>
      </c>
      <c r="R1004" s="21" t="s">
        <v>188</v>
      </c>
      <c r="S1004" s="21" t="s">
        <v>6701</v>
      </c>
      <c r="U1004" s="21" t="s">
        <v>6702</v>
      </c>
      <c r="V1004" s="21" t="s">
        <v>6702</v>
      </c>
      <c r="W1004" s="21" t="s">
        <v>307</v>
      </c>
      <c r="X1004" s="21" t="s">
        <v>734</v>
      </c>
      <c r="Y1004" s="21" t="s">
        <v>734</v>
      </c>
      <c r="Z1004" s="21" t="s">
        <v>127</v>
      </c>
      <c r="AA1004" s="21" t="s">
        <v>297</v>
      </c>
    </row>
    <row r="1005" spans="1:27" ht="15.75" customHeight="1" x14ac:dyDescent="0.3">
      <c r="A1005" s="21">
        <v>2025</v>
      </c>
      <c r="B1005" s="22"/>
      <c r="H1005" s="21" t="s">
        <v>6703</v>
      </c>
      <c r="I1005" s="21" t="s">
        <v>5985</v>
      </c>
      <c r="J1005" s="21" t="s">
        <v>6704</v>
      </c>
      <c r="K1005" s="21" t="e">
        <f t="shared" ca="1" si="6"/>
        <v>#NAME?</v>
      </c>
      <c r="L1005" s="24">
        <v>1960</v>
      </c>
      <c r="M1005" s="21">
        <v>2025</v>
      </c>
      <c r="N1005" s="21" t="s">
        <v>111</v>
      </c>
      <c r="O1005" s="21" t="s">
        <v>112</v>
      </c>
      <c r="P1005" s="26">
        <v>9701144482</v>
      </c>
      <c r="Q1005" s="26" t="e">
        <f t="shared" ca="1" si="7"/>
        <v>#NAME?</v>
      </c>
      <c r="R1005" s="21" t="s">
        <v>485</v>
      </c>
      <c r="S1005" s="21" t="s">
        <v>2455</v>
      </c>
      <c r="U1005" s="21" t="s">
        <v>6705</v>
      </c>
      <c r="V1005" s="21" t="s">
        <v>6705</v>
      </c>
      <c r="W1005" s="21" t="s">
        <v>307</v>
      </c>
      <c r="X1005" s="21" t="s">
        <v>4016</v>
      </c>
      <c r="Y1005" s="21" t="s">
        <v>4016</v>
      </c>
      <c r="Z1005" s="21" t="s">
        <v>6706</v>
      </c>
      <c r="AA1005" s="21" t="s">
        <v>6707</v>
      </c>
    </row>
    <row r="1006" spans="1:27" ht="15.75" customHeight="1" x14ac:dyDescent="0.3">
      <c r="A1006" s="21">
        <v>2025</v>
      </c>
      <c r="B1006" s="22"/>
      <c r="H1006" s="21" t="s">
        <v>6708</v>
      </c>
      <c r="I1006" s="21" t="s">
        <v>947</v>
      </c>
      <c r="J1006" s="21" t="s">
        <v>6709</v>
      </c>
      <c r="K1006" s="21" t="e">
        <f t="shared" ca="1" si="6"/>
        <v>#NAME?</v>
      </c>
      <c r="L1006" s="24">
        <v>1973</v>
      </c>
      <c r="M1006" s="21">
        <v>1985</v>
      </c>
      <c r="N1006" s="21" t="s">
        <v>111</v>
      </c>
      <c r="O1006" s="21" t="s">
        <v>112</v>
      </c>
      <c r="P1006" s="26">
        <v>9379681905</v>
      </c>
      <c r="Q1006" s="26" t="e">
        <f t="shared" ca="1" si="7"/>
        <v>#NAME?</v>
      </c>
      <c r="R1006" s="21" t="s">
        <v>188</v>
      </c>
      <c r="S1006" s="21" t="s">
        <v>6710</v>
      </c>
      <c r="U1006" s="21" t="s">
        <v>6711</v>
      </c>
      <c r="V1006" s="21" t="s">
        <v>6711</v>
      </c>
      <c r="W1006" s="21" t="s">
        <v>488</v>
      </c>
      <c r="X1006" s="21" t="s">
        <v>211</v>
      </c>
      <c r="Y1006" s="21" t="s">
        <v>211</v>
      </c>
      <c r="Z1006" s="21" t="s">
        <v>127</v>
      </c>
      <c r="AA1006" s="21" t="s">
        <v>6403</v>
      </c>
    </row>
    <row r="1007" spans="1:27" ht="15.75" customHeight="1" x14ac:dyDescent="0.3">
      <c r="A1007" s="21">
        <v>2025</v>
      </c>
      <c r="B1007" s="22"/>
      <c r="H1007" s="21" t="s">
        <v>6712</v>
      </c>
      <c r="I1007" s="21" t="s">
        <v>6713</v>
      </c>
      <c r="J1007" s="21" t="s">
        <v>6714</v>
      </c>
      <c r="K1007" s="21" t="e">
        <f t="shared" ca="1" si="6"/>
        <v>#NAME?</v>
      </c>
      <c r="L1007" s="24">
        <v>1990</v>
      </c>
      <c r="M1007" s="21">
        <v>1984</v>
      </c>
      <c r="N1007" s="21" t="s">
        <v>111</v>
      </c>
      <c r="O1007" s="21" t="s">
        <v>112</v>
      </c>
      <c r="P1007" s="26">
        <v>9160952609</v>
      </c>
      <c r="Q1007" s="26" t="e">
        <f t="shared" ca="1" si="7"/>
        <v>#NAME?</v>
      </c>
      <c r="R1007" s="21" t="s">
        <v>188</v>
      </c>
      <c r="S1007" s="21" t="s">
        <v>6715</v>
      </c>
      <c r="U1007" s="21" t="s">
        <v>6716</v>
      </c>
      <c r="V1007" s="21" t="s">
        <v>6716</v>
      </c>
      <c r="W1007" s="21" t="s">
        <v>219</v>
      </c>
      <c r="X1007" s="21" t="s">
        <v>308</v>
      </c>
      <c r="Y1007" s="21" t="s">
        <v>308</v>
      </c>
      <c r="Z1007" s="21" t="s">
        <v>284</v>
      </c>
      <c r="AA1007" s="21" t="s">
        <v>4165</v>
      </c>
    </row>
    <row r="1008" spans="1:27" ht="15.75" customHeight="1" x14ac:dyDescent="0.3">
      <c r="A1008" s="21">
        <v>2025</v>
      </c>
      <c r="B1008" s="22"/>
      <c r="H1008" s="21" t="s">
        <v>2294</v>
      </c>
      <c r="I1008" s="21" t="s">
        <v>2296</v>
      </c>
      <c r="J1008" s="21" t="s">
        <v>2295</v>
      </c>
      <c r="K1008" s="21" t="e">
        <f t="shared" ca="1" si="6"/>
        <v>#NAME?</v>
      </c>
      <c r="L1008" s="24">
        <v>1987</v>
      </c>
      <c r="M1008" s="21">
        <v>2011</v>
      </c>
      <c r="N1008" s="21" t="s">
        <v>111</v>
      </c>
      <c r="O1008" s="21" t="s">
        <v>112</v>
      </c>
      <c r="P1008" s="26">
        <v>8978973823</v>
      </c>
      <c r="Q1008" s="26" t="e">
        <f t="shared" ca="1" si="7"/>
        <v>#NAME?</v>
      </c>
      <c r="R1008" s="21" t="s">
        <v>188</v>
      </c>
      <c r="S1008" s="21">
        <v>7013703136</v>
      </c>
      <c r="U1008" s="21" t="s">
        <v>2299</v>
      </c>
      <c r="V1008" s="21" t="s">
        <v>2299</v>
      </c>
      <c r="W1008" s="21" t="s">
        <v>219</v>
      </c>
      <c r="X1008" s="21" t="s">
        <v>179</v>
      </c>
      <c r="Y1008" s="21" t="s">
        <v>571</v>
      </c>
      <c r="Z1008" s="21" t="s">
        <v>127</v>
      </c>
      <c r="AA1008" s="21" t="s">
        <v>2300</v>
      </c>
    </row>
    <row r="1009" spans="1:27" ht="15.75" customHeight="1" x14ac:dyDescent="0.3">
      <c r="A1009" s="21">
        <v>2025</v>
      </c>
      <c r="B1009" s="22"/>
      <c r="H1009" s="21" t="s">
        <v>6717</v>
      </c>
      <c r="I1009" s="21" t="s">
        <v>6718</v>
      </c>
      <c r="J1009" s="21" t="s">
        <v>6719</v>
      </c>
      <c r="K1009" s="21" t="e">
        <f t="shared" ca="1" si="6"/>
        <v>#NAME?</v>
      </c>
      <c r="L1009" s="24">
        <v>1988</v>
      </c>
      <c r="M1009" s="21">
        <v>1986</v>
      </c>
      <c r="N1009" s="21" t="s">
        <v>111</v>
      </c>
      <c r="O1009" s="21" t="s">
        <v>112</v>
      </c>
      <c r="P1009" s="26">
        <v>9441125012</v>
      </c>
      <c r="Q1009" s="26" t="e">
        <f t="shared" ca="1" si="7"/>
        <v>#NAME?</v>
      </c>
      <c r="R1009" s="21" t="s">
        <v>6720</v>
      </c>
      <c r="S1009" s="21" t="s">
        <v>4389</v>
      </c>
      <c r="U1009" s="21" t="s">
        <v>6721</v>
      </c>
      <c r="V1009" s="21" t="s">
        <v>582</v>
      </c>
      <c r="W1009" s="21" t="s">
        <v>6722</v>
      </c>
      <c r="X1009" s="21" t="s">
        <v>6723</v>
      </c>
      <c r="Y1009" s="21" t="s">
        <v>179</v>
      </c>
      <c r="Z1009" s="21" t="s">
        <v>127</v>
      </c>
      <c r="AA1009" s="21" t="s">
        <v>6724</v>
      </c>
    </row>
    <row r="1010" spans="1:27" ht="15.75" customHeight="1" x14ac:dyDescent="0.3">
      <c r="A1010" s="21">
        <v>2025</v>
      </c>
      <c r="B1010" s="22"/>
      <c r="H1010" s="21" t="s">
        <v>6725</v>
      </c>
      <c r="I1010" s="21" t="s">
        <v>4636</v>
      </c>
      <c r="J1010" s="21" t="s">
        <v>4013</v>
      </c>
      <c r="K1010" s="21" t="e">
        <f t="shared" ca="1" si="6"/>
        <v>#NAME?</v>
      </c>
      <c r="L1010" s="24">
        <v>1986</v>
      </c>
      <c r="N1010" s="21" t="s">
        <v>111</v>
      </c>
      <c r="O1010" s="21" t="s">
        <v>112</v>
      </c>
      <c r="P1010" s="26">
        <v>9000014941</v>
      </c>
      <c r="Q1010" s="26" t="e">
        <f t="shared" ca="1" si="7"/>
        <v>#NAME?</v>
      </c>
      <c r="R1010" s="21" t="s">
        <v>188</v>
      </c>
      <c r="S1010" s="21" t="s">
        <v>1331</v>
      </c>
      <c r="U1010" s="21" t="s">
        <v>6726</v>
      </c>
      <c r="V1010" s="21" t="s">
        <v>6726</v>
      </c>
      <c r="W1010" s="21" t="s">
        <v>219</v>
      </c>
      <c r="X1010" s="21" t="s">
        <v>179</v>
      </c>
      <c r="Y1010" s="21" t="s">
        <v>308</v>
      </c>
      <c r="Z1010" s="21" t="s">
        <v>127</v>
      </c>
      <c r="AA1010" s="21" t="s">
        <v>526</v>
      </c>
    </row>
    <row r="1011" spans="1:27" ht="15.75" customHeight="1" x14ac:dyDescent="0.3">
      <c r="A1011" s="21">
        <v>2025</v>
      </c>
      <c r="B1011" s="22"/>
      <c r="H1011" s="21" t="s">
        <v>6727</v>
      </c>
      <c r="I1011" s="21" t="s">
        <v>6728</v>
      </c>
      <c r="J1011" s="21" t="s">
        <v>6729</v>
      </c>
      <c r="K1011" s="21" t="e">
        <f t="shared" ca="1" si="6"/>
        <v>#NAME?</v>
      </c>
      <c r="L1011" s="24">
        <v>1954</v>
      </c>
      <c r="M1011" s="21">
        <v>2016</v>
      </c>
      <c r="N1011" s="21" t="s">
        <v>111</v>
      </c>
      <c r="O1011" s="21" t="s">
        <v>112</v>
      </c>
      <c r="P1011" s="26">
        <v>9866715186</v>
      </c>
      <c r="Q1011" s="26" t="e">
        <f t="shared" ca="1" si="7"/>
        <v>#NAME?</v>
      </c>
      <c r="R1011" s="21" t="s">
        <v>551</v>
      </c>
      <c r="S1011" s="21" t="s">
        <v>6730</v>
      </c>
      <c r="U1011" s="21" t="s">
        <v>6731</v>
      </c>
      <c r="V1011" s="21" t="s">
        <v>6731</v>
      </c>
      <c r="W1011" s="21" t="s">
        <v>219</v>
      </c>
      <c r="X1011" s="21" t="s">
        <v>179</v>
      </c>
      <c r="Y1011" s="21" t="s">
        <v>179</v>
      </c>
      <c r="Z1011" s="21" t="s">
        <v>127</v>
      </c>
      <c r="AA1011" s="21" t="s">
        <v>386</v>
      </c>
    </row>
    <row r="1012" spans="1:27" ht="15.75" customHeight="1" x14ac:dyDescent="0.3">
      <c r="A1012" s="21">
        <v>2025</v>
      </c>
      <c r="B1012" s="22"/>
      <c r="H1012" s="21" t="s">
        <v>6732</v>
      </c>
      <c r="I1012" s="21" t="s">
        <v>6733</v>
      </c>
      <c r="J1012" s="21" t="s">
        <v>6734</v>
      </c>
      <c r="K1012" s="21" t="e">
        <f t="shared" ca="1" si="6"/>
        <v>#NAME?</v>
      </c>
      <c r="L1012" s="24">
        <v>1960</v>
      </c>
      <c r="M1012" s="21">
        <v>2011</v>
      </c>
      <c r="N1012" s="21" t="s">
        <v>111</v>
      </c>
      <c r="O1012" s="21" t="s">
        <v>112</v>
      </c>
      <c r="P1012" s="26">
        <v>9866306410</v>
      </c>
      <c r="Q1012" s="26" t="e">
        <f t="shared" ca="1" si="7"/>
        <v>#NAME?</v>
      </c>
      <c r="R1012" s="21" t="s">
        <v>188</v>
      </c>
      <c r="S1012" s="21" t="s">
        <v>6735</v>
      </c>
      <c r="U1012" s="21" t="s">
        <v>6736</v>
      </c>
      <c r="V1012" s="21" t="s">
        <v>127</v>
      </c>
      <c r="W1012" s="21" t="s">
        <v>307</v>
      </c>
      <c r="X1012" s="21" t="s">
        <v>6737</v>
      </c>
      <c r="Y1012" s="21" t="s">
        <v>6737</v>
      </c>
      <c r="Z1012" s="21" t="s">
        <v>127</v>
      </c>
      <c r="AA1012" s="21" t="s">
        <v>386</v>
      </c>
    </row>
    <row r="1013" spans="1:27" ht="15.75" customHeight="1" x14ac:dyDescent="0.3">
      <c r="A1013" s="21">
        <v>2025</v>
      </c>
      <c r="B1013" s="22"/>
      <c r="H1013" s="21" t="s">
        <v>6738</v>
      </c>
      <c r="I1013" s="21" t="s">
        <v>6739</v>
      </c>
      <c r="J1013" s="21" t="s">
        <v>6740</v>
      </c>
      <c r="K1013" s="21" t="e">
        <f t="shared" ca="1" si="6"/>
        <v>#NAME?</v>
      </c>
      <c r="L1013" s="24">
        <v>1983</v>
      </c>
      <c r="N1013" s="21" t="s">
        <v>111</v>
      </c>
      <c r="O1013" s="21" t="s">
        <v>112</v>
      </c>
      <c r="P1013" s="26">
        <v>9769114998</v>
      </c>
      <c r="Q1013" s="26" t="e">
        <f t="shared" ca="1" si="7"/>
        <v>#NAME?</v>
      </c>
      <c r="R1013" s="21" t="s">
        <v>1536</v>
      </c>
      <c r="S1013" s="21" t="s">
        <v>1537</v>
      </c>
      <c r="U1013" s="21" t="s">
        <v>6741</v>
      </c>
      <c r="V1013" s="21" t="s">
        <v>6741</v>
      </c>
      <c r="W1013" s="21" t="s">
        <v>328</v>
      </c>
      <c r="X1013" s="21" t="s">
        <v>179</v>
      </c>
      <c r="Y1013" s="21" t="s">
        <v>179</v>
      </c>
      <c r="Z1013" s="21" t="s">
        <v>127</v>
      </c>
      <c r="AA1013" s="21" t="s">
        <v>6742</v>
      </c>
    </row>
    <row r="1014" spans="1:27" ht="15.75" customHeight="1" x14ac:dyDescent="0.3">
      <c r="A1014" s="21">
        <v>2025</v>
      </c>
      <c r="B1014" s="22"/>
      <c r="H1014" s="21" t="s">
        <v>2328</v>
      </c>
      <c r="I1014" s="21" t="s">
        <v>1670</v>
      </c>
      <c r="J1014" s="21" t="s">
        <v>6743</v>
      </c>
      <c r="K1014" s="21" t="e">
        <f t="shared" ca="1" si="6"/>
        <v>#NAME?</v>
      </c>
      <c r="L1014" s="24">
        <v>2014</v>
      </c>
      <c r="M1014" s="21">
        <v>1984</v>
      </c>
      <c r="N1014" s="21" t="s">
        <v>111</v>
      </c>
      <c r="O1014" s="21" t="s">
        <v>112</v>
      </c>
      <c r="P1014" s="26">
        <v>6305438951</v>
      </c>
      <c r="Q1014" s="26" t="e">
        <f t="shared" ca="1" si="7"/>
        <v>#NAME?</v>
      </c>
      <c r="R1014" s="21" t="s">
        <v>188</v>
      </c>
      <c r="S1014" s="21" t="s">
        <v>2329</v>
      </c>
      <c r="U1014" s="21" t="s">
        <v>2331</v>
      </c>
      <c r="V1014" s="21" t="s">
        <v>2331</v>
      </c>
      <c r="W1014" s="21" t="s">
        <v>219</v>
      </c>
      <c r="X1014" s="21" t="s">
        <v>2332</v>
      </c>
      <c r="Y1014" s="21" t="s">
        <v>2332</v>
      </c>
      <c r="Z1014" s="21" t="s">
        <v>2333</v>
      </c>
      <c r="AA1014" s="21" t="s">
        <v>2004</v>
      </c>
    </row>
    <row r="1015" spans="1:27" ht="15.75" customHeight="1" x14ac:dyDescent="0.3">
      <c r="A1015" s="21">
        <v>2025</v>
      </c>
      <c r="B1015" s="22"/>
      <c r="H1015" s="21" t="s">
        <v>6744</v>
      </c>
      <c r="I1015" s="21" t="s">
        <v>4805</v>
      </c>
      <c r="J1015" s="21" t="s">
        <v>6745</v>
      </c>
      <c r="K1015" s="21" t="e">
        <f t="shared" ca="1" si="6"/>
        <v>#NAME?</v>
      </c>
      <c r="L1015" s="24">
        <v>1952</v>
      </c>
      <c r="M1015" s="21">
        <v>1983</v>
      </c>
      <c r="N1015" s="21" t="s">
        <v>111</v>
      </c>
      <c r="O1015" s="21" t="s">
        <v>112</v>
      </c>
      <c r="P1015" s="26">
        <v>9866209719</v>
      </c>
      <c r="Q1015" s="26" t="e">
        <f t="shared" ca="1" si="7"/>
        <v>#NAME?</v>
      </c>
      <c r="R1015" s="21" t="s">
        <v>188</v>
      </c>
      <c r="S1015" s="21" t="s">
        <v>6746</v>
      </c>
      <c r="U1015" s="21" t="s">
        <v>6747</v>
      </c>
      <c r="V1015" s="21" t="s">
        <v>6747</v>
      </c>
      <c r="W1015" s="21" t="s">
        <v>266</v>
      </c>
      <c r="X1015" s="21" t="s">
        <v>211</v>
      </c>
      <c r="Y1015" s="21" t="s">
        <v>211</v>
      </c>
      <c r="Z1015" s="21" t="s">
        <v>127</v>
      </c>
      <c r="AA1015" s="21" t="s">
        <v>6748</v>
      </c>
    </row>
    <row r="1016" spans="1:27" ht="15.75" customHeight="1" x14ac:dyDescent="0.3">
      <c r="A1016" s="21">
        <v>2025</v>
      </c>
      <c r="B1016" s="22"/>
      <c r="H1016" s="21" t="s">
        <v>6749</v>
      </c>
      <c r="I1016" s="21" t="s">
        <v>1525</v>
      </c>
      <c r="J1016" s="21" t="s">
        <v>1524</v>
      </c>
      <c r="K1016" s="21" t="e">
        <f t="shared" ca="1" si="6"/>
        <v>#NAME?</v>
      </c>
      <c r="L1016" s="24">
        <v>1970</v>
      </c>
      <c r="N1016" s="21" t="s">
        <v>111</v>
      </c>
      <c r="O1016" s="21" t="s">
        <v>112</v>
      </c>
      <c r="P1016" s="26">
        <v>9500054858</v>
      </c>
      <c r="Q1016" s="26" t="e">
        <f t="shared" ca="1" si="7"/>
        <v>#NAME?</v>
      </c>
      <c r="R1016" s="21" t="s">
        <v>1536</v>
      </c>
      <c r="S1016" s="21" t="s">
        <v>1527</v>
      </c>
      <c r="U1016" s="21" t="s">
        <v>1528</v>
      </c>
      <c r="V1016" s="21" t="s">
        <v>1528</v>
      </c>
      <c r="W1016" s="21" t="s">
        <v>535</v>
      </c>
      <c r="X1016" s="21" t="s">
        <v>616</v>
      </c>
      <c r="Y1016" s="21" t="s">
        <v>1529</v>
      </c>
      <c r="Z1016" s="21" t="s">
        <v>127</v>
      </c>
      <c r="AA1016" s="21" t="s">
        <v>6750</v>
      </c>
    </row>
    <row r="1017" spans="1:27" ht="15.75" customHeight="1" x14ac:dyDescent="0.3">
      <c r="A1017" s="21">
        <v>2025</v>
      </c>
      <c r="B1017" s="22"/>
      <c r="H1017" s="21" t="s">
        <v>6751</v>
      </c>
      <c r="I1017" s="21" t="s">
        <v>1034</v>
      </c>
      <c r="J1017" s="21" t="s">
        <v>6752</v>
      </c>
      <c r="K1017" s="21" t="e">
        <f t="shared" ca="1" si="6"/>
        <v>#NAME?</v>
      </c>
      <c r="L1017" s="24">
        <v>1984</v>
      </c>
      <c r="N1017" s="21" t="s">
        <v>111</v>
      </c>
      <c r="O1017" s="21" t="s">
        <v>112</v>
      </c>
      <c r="P1017" s="26">
        <v>9160750001</v>
      </c>
      <c r="Q1017" s="26" t="e">
        <f t="shared" ca="1" si="7"/>
        <v>#NAME?</v>
      </c>
      <c r="R1017" s="21" t="s">
        <v>3799</v>
      </c>
      <c r="S1017" s="21" t="s">
        <v>3290</v>
      </c>
      <c r="U1017" s="21" t="s">
        <v>6753</v>
      </c>
      <c r="V1017" s="21" t="s">
        <v>6753</v>
      </c>
      <c r="W1017" s="21" t="s">
        <v>307</v>
      </c>
      <c r="X1017" s="21" t="s">
        <v>211</v>
      </c>
      <c r="Y1017" s="21" t="s">
        <v>211</v>
      </c>
      <c r="Z1017" s="21" t="s">
        <v>284</v>
      </c>
      <c r="AA1017" s="21" t="s">
        <v>6754</v>
      </c>
    </row>
    <row r="1018" spans="1:27" ht="15.75" customHeight="1" x14ac:dyDescent="0.3">
      <c r="A1018" s="21">
        <v>2025</v>
      </c>
      <c r="B1018" s="22"/>
      <c r="H1018" s="21" t="s">
        <v>6755</v>
      </c>
      <c r="I1018" s="21" t="s">
        <v>1034</v>
      </c>
      <c r="J1018" s="21" t="s">
        <v>1035</v>
      </c>
      <c r="K1018" s="21" t="e">
        <f t="shared" ca="1" si="6"/>
        <v>#NAME?</v>
      </c>
      <c r="L1018" s="24">
        <v>2012</v>
      </c>
      <c r="M1018" s="21">
        <v>1972</v>
      </c>
      <c r="N1018" s="21" t="s">
        <v>111</v>
      </c>
      <c r="O1018" s="21" t="s">
        <v>112</v>
      </c>
      <c r="P1018" s="26">
        <v>9160750001</v>
      </c>
      <c r="Q1018" s="26" t="e">
        <f t="shared" ca="1" si="7"/>
        <v>#NAME?</v>
      </c>
      <c r="R1018" s="21" t="s">
        <v>188</v>
      </c>
      <c r="S1018" s="21" t="s">
        <v>4517</v>
      </c>
      <c r="U1018" s="21" t="s">
        <v>1046</v>
      </c>
      <c r="V1018" s="21" t="s">
        <v>1046</v>
      </c>
      <c r="W1018" s="21" t="s">
        <v>307</v>
      </c>
      <c r="X1018" s="21" t="s">
        <v>352</v>
      </c>
      <c r="Y1018" s="21" t="s">
        <v>267</v>
      </c>
      <c r="Z1018" s="21" t="s">
        <v>6756</v>
      </c>
      <c r="AA1018" s="21" t="s">
        <v>6757</v>
      </c>
    </row>
    <row r="1019" spans="1:27" ht="15.75" customHeight="1" x14ac:dyDescent="0.3">
      <c r="A1019" s="21">
        <v>2025</v>
      </c>
      <c r="B1019" s="22"/>
      <c r="H1019" s="21" t="s">
        <v>6758</v>
      </c>
      <c r="I1019" s="21" t="s">
        <v>6759</v>
      </c>
      <c r="J1019" s="21" t="s">
        <v>6760</v>
      </c>
      <c r="K1019" s="21" t="e">
        <f t="shared" ca="1" si="6"/>
        <v>#NAME?</v>
      </c>
      <c r="L1019" s="24">
        <v>1988</v>
      </c>
      <c r="M1019" s="21">
        <v>1986</v>
      </c>
      <c r="N1019" s="21" t="s">
        <v>111</v>
      </c>
      <c r="O1019" s="21" t="s">
        <v>112</v>
      </c>
      <c r="P1019" s="26">
        <v>9391030259</v>
      </c>
      <c r="Q1019" s="26" t="e">
        <f t="shared" ca="1" si="7"/>
        <v>#NAME?</v>
      </c>
      <c r="R1019" s="21" t="s">
        <v>6761</v>
      </c>
      <c r="S1019" s="21" t="s">
        <v>6762</v>
      </c>
      <c r="U1019" s="21" t="s">
        <v>6763</v>
      </c>
      <c r="V1019" s="21" t="s">
        <v>6763</v>
      </c>
      <c r="W1019" s="21" t="s">
        <v>219</v>
      </c>
      <c r="X1019" s="21" t="s">
        <v>6764</v>
      </c>
      <c r="Y1019" s="21" t="s">
        <v>6764</v>
      </c>
      <c r="Z1019" s="21" t="s">
        <v>127</v>
      </c>
      <c r="AA1019" s="21" t="s">
        <v>6765</v>
      </c>
    </row>
    <row r="1020" spans="1:27" ht="15.75" customHeight="1" x14ac:dyDescent="0.3">
      <c r="A1020" s="21">
        <v>2025</v>
      </c>
      <c r="B1020" s="22"/>
      <c r="H1020" s="21" t="s">
        <v>6766</v>
      </c>
      <c r="I1020" s="21" t="s">
        <v>891</v>
      </c>
      <c r="J1020" s="21" t="s">
        <v>6767</v>
      </c>
      <c r="K1020" s="21" t="e">
        <f t="shared" ca="1" si="6"/>
        <v>#NAME?</v>
      </c>
      <c r="L1020" s="24">
        <v>1981</v>
      </c>
      <c r="M1020" s="21">
        <v>1980</v>
      </c>
      <c r="N1020" s="21" t="s">
        <v>111</v>
      </c>
      <c r="O1020" s="21" t="s">
        <v>112</v>
      </c>
      <c r="P1020" s="26">
        <v>9849593540</v>
      </c>
      <c r="Q1020" s="26" t="e">
        <f t="shared" ca="1" si="7"/>
        <v>#NAME?</v>
      </c>
      <c r="R1020" s="21" t="s">
        <v>551</v>
      </c>
      <c r="S1020" s="21" t="s">
        <v>6768</v>
      </c>
      <c r="U1020" s="21" t="s">
        <v>6769</v>
      </c>
      <c r="V1020" s="21" t="s">
        <v>6769</v>
      </c>
      <c r="W1020" s="21" t="s">
        <v>775</v>
      </c>
      <c r="X1020" s="21" t="s">
        <v>179</v>
      </c>
      <c r="Y1020" s="21" t="s">
        <v>308</v>
      </c>
      <c r="Z1020" s="21" t="s">
        <v>127</v>
      </c>
      <c r="AA1020" s="21" t="s">
        <v>6770</v>
      </c>
    </row>
    <row r="1021" spans="1:27" ht="15.75" customHeight="1" x14ac:dyDescent="0.3">
      <c r="A1021" s="21">
        <v>2025</v>
      </c>
      <c r="B1021" s="22"/>
      <c r="H1021" s="21" t="s">
        <v>6771</v>
      </c>
      <c r="I1021" s="21" t="s">
        <v>891</v>
      </c>
      <c r="J1021" s="21" t="s">
        <v>6772</v>
      </c>
      <c r="K1021" s="21" t="e">
        <f t="shared" ca="1" si="6"/>
        <v>#NAME?</v>
      </c>
      <c r="L1021" s="24">
        <v>1982</v>
      </c>
      <c r="M1021" s="21">
        <v>2003</v>
      </c>
      <c r="N1021" s="21" t="s">
        <v>111</v>
      </c>
      <c r="O1021" s="21" t="s">
        <v>112</v>
      </c>
      <c r="P1021" s="26">
        <v>8179222576</v>
      </c>
      <c r="Q1021" s="26" t="e">
        <f t="shared" ca="1" si="7"/>
        <v>#NAME?</v>
      </c>
      <c r="R1021" s="21" t="s">
        <v>188</v>
      </c>
      <c r="S1021" s="21" t="s">
        <v>6773</v>
      </c>
      <c r="U1021" s="21" t="s">
        <v>6774</v>
      </c>
      <c r="V1021" s="21" t="s">
        <v>6774</v>
      </c>
      <c r="W1021" s="21" t="s">
        <v>266</v>
      </c>
      <c r="X1021" s="21" t="s">
        <v>2685</v>
      </c>
      <c r="Y1021" s="21" t="s">
        <v>2685</v>
      </c>
      <c r="Z1021" s="21" t="s">
        <v>127</v>
      </c>
      <c r="AA1021" s="21" t="s">
        <v>6775</v>
      </c>
    </row>
    <row r="1022" spans="1:27" ht="15.75" customHeight="1" x14ac:dyDescent="0.3">
      <c r="A1022" s="21">
        <v>2025</v>
      </c>
      <c r="B1022" s="22"/>
      <c r="H1022" s="21" t="s">
        <v>6776</v>
      </c>
      <c r="I1022" s="21" t="s">
        <v>6777</v>
      </c>
      <c r="J1022" s="21" t="s">
        <v>6778</v>
      </c>
      <c r="K1022" s="21" t="e">
        <f t="shared" ref="K1022:K1074" ca="1" si="8">_xludf.TEXTJOIN(" ",TRUE,I1022:J1022)</f>
        <v>#NAME?</v>
      </c>
      <c r="L1022" s="24">
        <v>1969</v>
      </c>
      <c r="M1022" s="21">
        <v>2001</v>
      </c>
      <c r="N1022" s="21" t="s">
        <v>111</v>
      </c>
      <c r="O1022" s="21" t="s">
        <v>112</v>
      </c>
      <c r="P1022" s="26">
        <v>9849885213</v>
      </c>
      <c r="Q1022" s="26" t="e">
        <f t="shared" ca="1" si="7"/>
        <v>#NAME?</v>
      </c>
      <c r="R1022" s="21" t="s">
        <v>188</v>
      </c>
      <c r="S1022" s="21" t="s">
        <v>6779</v>
      </c>
      <c r="U1022" s="21" t="s">
        <v>6780</v>
      </c>
      <c r="V1022" s="21" t="s">
        <v>6780</v>
      </c>
      <c r="W1022" s="21" t="s">
        <v>219</v>
      </c>
      <c r="X1022" s="21" t="s">
        <v>179</v>
      </c>
      <c r="Y1022" s="21" t="s">
        <v>179</v>
      </c>
      <c r="Z1022" s="21" t="s">
        <v>6781</v>
      </c>
      <c r="AA1022" s="21" t="s">
        <v>1119</v>
      </c>
    </row>
    <row r="1023" spans="1:27" ht="15.75" customHeight="1" x14ac:dyDescent="0.3">
      <c r="A1023" s="21">
        <v>2025</v>
      </c>
      <c r="B1023" s="22"/>
      <c r="H1023" s="21" t="s">
        <v>2569</v>
      </c>
      <c r="I1023" s="21" t="s">
        <v>2552</v>
      </c>
      <c r="J1023" s="21" t="s">
        <v>2570</v>
      </c>
      <c r="K1023" s="21" t="e">
        <f t="shared" ca="1" si="8"/>
        <v>#NAME?</v>
      </c>
      <c r="L1023" s="24">
        <v>1965</v>
      </c>
      <c r="M1023" s="21">
        <v>1988</v>
      </c>
      <c r="N1023" s="21" t="s">
        <v>111</v>
      </c>
      <c r="O1023" s="21" t="s">
        <v>112</v>
      </c>
      <c r="P1023" s="26">
        <v>8790205061</v>
      </c>
      <c r="Q1023" s="26" t="e">
        <f t="shared" ref="Q1023:Q1074" ca="1" si="9">P1023&amp;"/"&amp;L1023&amp;"/"&amp;K1023</f>
        <v>#NAME?</v>
      </c>
      <c r="R1023" s="21" t="s">
        <v>188</v>
      </c>
      <c r="S1023" s="21" t="s">
        <v>2571</v>
      </c>
      <c r="U1023" s="21" t="s">
        <v>6782</v>
      </c>
      <c r="V1023" s="21" t="s">
        <v>127</v>
      </c>
      <c r="W1023" s="21" t="s">
        <v>488</v>
      </c>
      <c r="X1023" s="21" t="s">
        <v>308</v>
      </c>
      <c r="Y1023" s="21" t="s">
        <v>308</v>
      </c>
      <c r="Z1023" s="21" t="s">
        <v>127</v>
      </c>
      <c r="AA1023" s="21" t="s">
        <v>6783</v>
      </c>
    </row>
    <row r="1024" spans="1:27" ht="15.75" customHeight="1" x14ac:dyDescent="0.3">
      <c r="A1024" s="21">
        <v>2025</v>
      </c>
      <c r="B1024" s="22"/>
      <c r="H1024" s="21" t="s">
        <v>1681</v>
      </c>
      <c r="I1024" s="21" t="s">
        <v>1682</v>
      </c>
      <c r="J1024" s="21" t="s">
        <v>1683</v>
      </c>
      <c r="K1024" s="21" t="e">
        <f t="shared" ca="1" si="8"/>
        <v>#NAME?</v>
      </c>
      <c r="L1024" s="24">
        <v>1952</v>
      </c>
      <c r="N1024" s="21" t="s">
        <v>111</v>
      </c>
      <c r="O1024" s="21" t="s">
        <v>112</v>
      </c>
      <c r="P1024" s="26">
        <v>8297184888</v>
      </c>
      <c r="Q1024" s="26" t="e">
        <f t="shared" ca="1" si="9"/>
        <v>#NAME?</v>
      </c>
      <c r="R1024" s="21" t="s">
        <v>188</v>
      </c>
      <c r="S1024" s="21" t="s">
        <v>1684</v>
      </c>
      <c r="U1024" s="21" t="s">
        <v>1685</v>
      </c>
      <c r="V1024" s="21" t="s">
        <v>1685</v>
      </c>
      <c r="W1024" s="21" t="s">
        <v>328</v>
      </c>
      <c r="X1024" s="21" t="s">
        <v>1399</v>
      </c>
      <c r="Y1024" s="21" t="s">
        <v>707</v>
      </c>
      <c r="Z1024" s="21" t="s">
        <v>127</v>
      </c>
      <c r="AA1024" s="21" t="s">
        <v>1688</v>
      </c>
    </row>
    <row r="1025" spans="1:27" ht="15.75" customHeight="1" x14ac:dyDescent="0.3">
      <c r="A1025" s="21">
        <v>2025</v>
      </c>
      <c r="B1025" s="22"/>
      <c r="H1025" s="21" t="s">
        <v>6784</v>
      </c>
      <c r="I1025" s="21" t="s">
        <v>6785</v>
      </c>
      <c r="J1025" s="21" t="s">
        <v>6786</v>
      </c>
      <c r="K1025" s="21" t="e">
        <f t="shared" ca="1" si="8"/>
        <v>#NAME?</v>
      </c>
      <c r="L1025" s="24">
        <v>2015</v>
      </c>
      <c r="N1025" s="21" t="s">
        <v>111</v>
      </c>
      <c r="O1025" s="21" t="s">
        <v>112</v>
      </c>
      <c r="P1025" s="26">
        <v>9885601189</v>
      </c>
      <c r="Q1025" s="26" t="e">
        <f t="shared" ca="1" si="9"/>
        <v>#NAME?</v>
      </c>
      <c r="R1025" s="21" t="s">
        <v>188</v>
      </c>
      <c r="S1025" s="21" t="s">
        <v>6787</v>
      </c>
      <c r="U1025" s="21" t="s">
        <v>6788</v>
      </c>
      <c r="V1025" s="21" t="s">
        <v>6788</v>
      </c>
      <c r="W1025" s="21" t="s">
        <v>328</v>
      </c>
      <c r="X1025" s="21" t="s">
        <v>6789</v>
      </c>
      <c r="Y1025" s="21" t="s">
        <v>616</v>
      </c>
      <c r="Z1025" s="21" t="s">
        <v>6787</v>
      </c>
      <c r="AA1025" s="21" t="s">
        <v>6790</v>
      </c>
    </row>
    <row r="1026" spans="1:27" ht="15.75" customHeight="1" x14ac:dyDescent="0.3">
      <c r="A1026" s="21">
        <v>2025</v>
      </c>
      <c r="B1026" s="22"/>
      <c r="H1026" s="21" t="s">
        <v>1926</v>
      </c>
      <c r="I1026" s="21" t="s">
        <v>1928</v>
      </c>
      <c r="J1026" s="21" t="s">
        <v>1927</v>
      </c>
      <c r="K1026" s="21" t="e">
        <f t="shared" ca="1" si="8"/>
        <v>#NAME?</v>
      </c>
      <c r="L1026" s="24">
        <v>1959</v>
      </c>
      <c r="M1026" s="21">
        <v>2002</v>
      </c>
      <c r="N1026" s="21" t="s">
        <v>111</v>
      </c>
      <c r="O1026" s="21" t="s">
        <v>112</v>
      </c>
      <c r="P1026" s="26">
        <v>9177141449</v>
      </c>
      <c r="Q1026" s="26" t="e">
        <f t="shared" ca="1" si="9"/>
        <v>#NAME?</v>
      </c>
      <c r="R1026" s="21" t="s">
        <v>188</v>
      </c>
      <c r="S1026" s="21" t="s">
        <v>3473</v>
      </c>
      <c r="U1026" s="21" t="s">
        <v>1930</v>
      </c>
      <c r="V1026" s="21" t="s">
        <v>1930</v>
      </c>
      <c r="W1026" s="21" t="s">
        <v>328</v>
      </c>
      <c r="X1026" s="21" t="s">
        <v>1931</v>
      </c>
      <c r="Y1026" s="21" t="s">
        <v>6791</v>
      </c>
      <c r="Z1026" s="21" t="s">
        <v>284</v>
      </c>
      <c r="AA1026" s="21" t="s">
        <v>1933</v>
      </c>
    </row>
    <row r="1027" spans="1:27" ht="15.75" customHeight="1" x14ac:dyDescent="0.3">
      <c r="A1027" s="21">
        <v>2025</v>
      </c>
      <c r="B1027" s="22"/>
      <c r="H1027" s="21" t="s">
        <v>6792</v>
      </c>
      <c r="I1027" s="21" t="s">
        <v>313</v>
      </c>
      <c r="J1027" s="21" t="s">
        <v>6793</v>
      </c>
      <c r="K1027" s="21" t="e">
        <f t="shared" ca="1" si="8"/>
        <v>#NAME?</v>
      </c>
      <c r="L1027" s="24">
        <v>1980</v>
      </c>
      <c r="M1027" s="21">
        <v>2022</v>
      </c>
      <c r="N1027" s="21" t="s">
        <v>111</v>
      </c>
      <c r="O1027" s="21" t="s">
        <v>112</v>
      </c>
      <c r="P1027" s="26">
        <v>9866707774</v>
      </c>
      <c r="Q1027" s="26" t="e">
        <f t="shared" ca="1" si="9"/>
        <v>#NAME?</v>
      </c>
      <c r="R1027" s="21" t="s">
        <v>6389</v>
      </c>
      <c r="S1027" s="21" t="s">
        <v>6794</v>
      </c>
      <c r="U1027" s="21" t="s">
        <v>2671</v>
      </c>
      <c r="V1027" s="21" t="s">
        <v>6795</v>
      </c>
      <c r="W1027" s="21" t="s">
        <v>219</v>
      </c>
      <c r="X1027" s="21" t="s">
        <v>6796</v>
      </c>
      <c r="Y1027" s="21" t="s">
        <v>6796</v>
      </c>
      <c r="Z1027" s="21" t="s">
        <v>127</v>
      </c>
      <c r="AA1027" s="21" t="s">
        <v>5907</v>
      </c>
    </row>
    <row r="1028" spans="1:27" ht="15.75" customHeight="1" x14ac:dyDescent="0.3">
      <c r="A1028" s="21">
        <v>2025</v>
      </c>
      <c r="B1028" s="22"/>
      <c r="H1028" s="21" t="s">
        <v>6792</v>
      </c>
      <c r="I1028" s="21" t="s">
        <v>313</v>
      </c>
      <c r="J1028" s="21" t="s">
        <v>2236</v>
      </c>
      <c r="K1028" s="21" t="e">
        <f t="shared" ca="1" si="8"/>
        <v>#NAME?</v>
      </c>
      <c r="L1028" s="24">
        <v>2013</v>
      </c>
      <c r="M1028" s="21">
        <v>30</v>
      </c>
      <c r="N1028" s="21" t="s">
        <v>111</v>
      </c>
      <c r="O1028" s="21" t="s">
        <v>112</v>
      </c>
      <c r="P1028" s="26">
        <v>9866707774</v>
      </c>
      <c r="Q1028" s="26" t="e">
        <f t="shared" ca="1" si="9"/>
        <v>#NAME?</v>
      </c>
      <c r="R1028" s="21" t="s">
        <v>6389</v>
      </c>
      <c r="S1028" s="21" t="s">
        <v>6797</v>
      </c>
      <c r="U1028" s="21" t="s">
        <v>127</v>
      </c>
      <c r="V1028" s="21" t="s">
        <v>6798</v>
      </c>
      <c r="W1028" s="21" t="s">
        <v>328</v>
      </c>
      <c r="X1028" s="21" t="s">
        <v>6799</v>
      </c>
      <c r="Y1028" s="21" t="s">
        <v>6800</v>
      </c>
      <c r="Z1028" s="21" t="s">
        <v>6801</v>
      </c>
      <c r="AA1028" s="21" t="s">
        <v>396</v>
      </c>
    </row>
    <row r="1029" spans="1:27" ht="15.75" customHeight="1" x14ac:dyDescent="0.3">
      <c r="A1029" s="21">
        <v>2025</v>
      </c>
      <c r="B1029" s="22"/>
      <c r="H1029" s="21" t="s">
        <v>6802</v>
      </c>
      <c r="I1029" s="21" t="s">
        <v>6803</v>
      </c>
      <c r="J1029" s="21" t="s">
        <v>6804</v>
      </c>
      <c r="K1029" s="21" t="e">
        <f t="shared" ca="1" si="8"/>
        <v>#NAME?</v>
      </c>
      <c r="L1029" s="24">
        <v>1979</v>
      </c>
      <c r="M1029" s="21">
        <v>2025</v>
      </c>
      <c r="N1029" s="21" t="s">
        <v>111</v>
      </c>
      <c r="O1029" s="21" t="s">
        <v>112</v>
      </c>
      <c r="P1029" s="26">
        <v>9666687666</v>
      </c>
      <c r="Q1029" s="26" t="e">
        <f t="shared" ca="1" si="9"/>
        <v>#NAME?</v>
      </c>
      <c r="R1029" s="21" t="s">
        <v>188</v>
      </c>
      <c r="S1029" s="21" t="s">
        <v>6805</v>
      </c>
      <c r="U1029" s="21" t="s">
        <v>6806</v>
      </c>
      <c r="V1029" s="21" t="s">
        <v>6806</v>
      </c>
      <c r="W1029" s="21" t="s">
        <v>328</v>
      </c>
      <c r="X1029" s="21" t="s">
        <v>6807</v>
      </c>
      <c r="Y1029" s="21" t="s">
        <v>352</v>
      </c>
      <c r="Z1029" s="21" t="s">
        <v>284</v>
      </c>
      <c r="AA1029" s="21" t="s">
        <v>6403</v>
      </c>
    </row>
    <row r="1030" spans="1:27" ht="15.75" customHeight="1" x14ac:dyDescent="0.3">
      <c r="A1030" s="21">
        <v>2025</v>
      </c>
      <c r="B1030" s="22"/>
      <c r="H1030" s="21" t="s">
        <v>6808</v>
      </c>
      <c r="I1030" s="21" t="s">
        <v>6509</v>
      </c>
      <c r="J1030" s="21" t="s">
        <v>2820</v>
      </c>
      <c r="K1030" s="21" t="e">
        <f t="shared" ca="1" si="8"/>
        <v>#NAME?</v>
      </c>
      <c r="L1030" s="24">
        <v>1982</v>
      </c>
      <c r="N1030" s="21" t="s">
        <v>111</v>
      </c>
      <c r="O1030" s="21" t="s">
        <v>112</v>
      </c>
      <c r="P1030" s="26">
        <v>9052526395</v>
      </c>
      <c r="Q1030" s="26" t="e">
        <f t="shared" ca="1" si="9"/>
        <v>#NAME?</v>
      </c>
      <c r="R1030" s="21" t="s">
        <v>6809</v>
      </c>
      <c r="S1030" s="21" t="s">
        <v>6810</v>
      </c>
      <c r="U1030" s="21" t="s">
        <v>6811</v>
      </c>
      <c r="V1030" s="21" t="s">
        <v>6811</v>
      </c>
      <c r="W1030" s="21" t="s">
        <v>219</v>
      </c>
      <c r="X1030" s="21" t="s">
        <v>478</v>
      </c>
      <c r="Y1030" s="21" t="s">
        <v>478</v>
      </c>
      <c r="Z1030" s="21" t="s">
        <v>127</v>
      </c>
      <c r="AA1030" s="21" t="s">
        <v>6812</v>
      </c>
    </row>
    <row r="1031" spans="1:27" ht="15.75" customHeight="1" x14ac:dyDescent="0.3">
      <c r="A1031" s="21">
        <v>2025</v>
      </c>
      <c r="B1031" s="22"/>
      <c r="H1031" s="21" t="s">
        <v>6813</v>
      </c>
      <c r="I1031" s="21" t="s">
        <v>6814</v>
      </c>
      <c r="J1031" s="21" t="s">
        <v>6815</v>
      </c>
      <c r="K1031" s="21" t="e">
        <f t="shared" ca="1" si="8"/>
        <v>#NAME?</v>
      </c>
      <c r="L1031" s="24">
        <v>1963</v>
      </c>
      <c r="M1031" s="21">
        <v>1975</v>
      </c>
      <c r="N1031" s="21" t="s">
        <v>111</v>
      </c>
      <c r="O1031" s="21" t="s">
        <v>112</v>
      </c>
      <c r="P1031" s="26">
        <v>9963122211</v>
      </c>
      <c r="Q1031" s="26" t="e">
        <f t="shared" ca="1" si="9"/>
        <v>#NAME?</v>
      </c>
      <c r="R1031" s="21" t="s">
        <v>188</v>
      </c>
      <c r="S1031" s="21" t="s">
        <v>6816</v>
      </c>
      <c r="U1031" s="21" t="s">
        <v>6817</v>
      </c>
      <c r="V1031" s="21" t="s">
        <v>6817</v>
      </c>
      <c r="W1031" s="21" t="s">
        <v>951</v>
      </c>
      <c r="X1031" s="21" t="s">
        <v>1136</v>
      </c>
      <c r="Y1031" s="21" t="s">
        <v>352</v>
      </c>
      <c r="Z1031" s="21" t="s">
        <v>127</v>
      </c>
      <c r="AA1031" s="21" t="s">
        <v>6818</v>
      </c>
    </row>
    <row r="1032" spans="1:27" ht="15.75" customHeight="1" x14ac:dyDescent="0.3">
      <c r="A1032" s="21">
        <v>2025</v>
      </c>
      <c r="B1032" s="22"/>
      <c r="H1032" s="21" t="s">
        <v>6819</v>
      </c>
      <c r="I1032" s="21" t="s">
        <v>2320</v>
      </c>
      <c r="J1032" s="21" t="s">
        <v>6820</v>
      </c>
      <c r="K1032" s="21" t="e">
        <f t="shared" ca="1" si="8"/>
        <v>#NAME?</v>
      </c>
      <c r="L1032" s="24">
        <v>1959</v>
      </c>
      <c r="M1032" s="21">
        <v>2007</v>
      </c>
      <c r="N1032" s="21" t="s">
        <v>111</v>
      </c>
      <c r="O1032" s="21" t="s">
        <v>112</v>
      </c>
      <c r="P1032" s="26">
        <v>9440761912</v>
      </c>
      <c r="Q1032" s="26" t="e">
        <f t="shared" ca="1" si="9"/>
        <v>#NAME?</v>
      </c>
      <c r="R1032" s="21" t="s">
        <v>664</v>
      </c>
      <c r="S1032" s="21" t="s">
        <v>6821</v>
      </c>
      <c r="U1032" s="21" t="s">
        <v>6822</v>
      </c>
      <c r="V1032" s="21" t="s">
        <v>6822</v>
      </c>
      <c r="W1032" s="21" t="s">
        <v>307</v>
      </c>
      <c r="X1032" s="21" t="s">
        <v>6823</v>
      </c>
      <c r="Y1032" s="21" t="s">
        <v>308</v>
      </c>
      <c r="Z1032" s="21" t="s">
        <v>127</v>
      </c>
      <c r="AA1032" s="21" t="s">
        <v>6824</v>
      </c>
    </row>
    <row r="1033" spans="1:27" ht="15.75" customHeight="1" x14ac:dyDescent="0.3">
      <c r="A1033" s="21">
        <v>2025</v>
      </c>
      <c r="B1033" s="22"/>
      <c r="H1033" s="21" t="s">
        <v>6825</v>
      </c>
      <c r="I1033" s="21" t="s">
        <v>2254</v>
      </c>
      <c r="J1033" s="21" t="s">
        <v>6826</v>
      </c>
      <c r="K1033" s="21" t="e">
        <f t="shared" ca="1" si="8"/>
        <v>#NAME?</v>
      </c>
      <c r="L1033" s="24">
        <v>1975</v>
      </c>
      <c r="N1033" s="21" t="s">
        <v>315</v>
      </c>
      <c r="O1033" s="21" t="s">
        <v>316</v>
      </c>
      <c r="P1033" s="26">
        <v>8628128868</v>
      </c>
      <c r="Q1033" s="26" t="e">
        <f t="shared" ca="1" si="9"/>
        <v>#NAME?</v>
      </c>
      <c r="R1033" s="21" t="s">
        <v>1324</v>
      </c>
      <c r="S1033" s="21" t="s">
        <v>6827</v>
      </c>
      <c r="U1033" s="21" t="s">
        <v>6828</v>
      </c>
      <c r="V1033" s="21" t="s">
        <v>6828</v>
      </c>
      <c r="W1033" s="21" t="s">
        <v>951</v>
      </c>
      <c r="X1033" s="21" t="s">
        <v>308</v>
      </c>
      <c r="Y1033" s="21" t="s">
        <v>308</v>
      </c>
      <c r="Z1033" s="21" t="s">
        <v>284</v>
      </c>
      <c r="AA1033" s="21" t="s">
        <v>818</v>
      </c>
    </row>
    <row r="1034" spans="1:27" ht="15.75" customHeight="1" x14ac:dyDescent="0.3">
      <c r="A1034" s="21">
        <v>2025</v>
      </c>
      <c r="B1034" s="22"/>
      <c r="H1034" s="21" t="s">
        <v>6829</v>
      </c>
      <c r="I1034" s="21" t="s">
        <v>528</v>
      </c>
      <c r="J1034" s="21" t="s">
        <v>6830</v>
      </c>
      <c r="K1034" s="21" t="e">
        <f t="shared" ca="1" si="8"/>
        <v>#NAME?</v>
      </c>
      <c r="L1034" s="24">
        <v>2016</v>
      </c>
      <c r="M1034" s="21">
        <v>2001</v>
      </c>
      <c r="N1034" s="21" t="s">
        <v>315</v>
      </c>
      <c r="O1034" s="21" t="s">
        <v>316</v>
      </c>
      <c r="P1034" s="26">
        <v>8148826399</v>
      </c>
      <c r="Q1034" s="26" t="e">
        <f t="shared" ca="1" si="9"/>
        <v>#NAME?</v>
      </c>
      <c r="R1034" s="21" t="s">
        <v>521</v>
      </c>
      <c r="S1034" s="21" t="s">
        <v>6831</v>
      </c>
      <c r="U1034" s="21" t="s">
        <v>6832</v>
      </c>
      <c r="V1034" s="21" t="s">
        <v>6832</v>
      </c>
      <c r="W1034" s="21" t="s">
        <v>219</v>
      </c>
      <c r="X1034" s="21" t="s">
        <v>179</v>
      </c>
      <c r="Y1034" s="21" t="s">
        <v>6833</v>
      </c>
      <c r="Z1034" s="21" t="s">
        <v>6834</v>
      </c>
      <c r="AA1034" s="21" t="s">
        <v>6170</v>
      </c>
    </row>
    <row r="1035" spans="1:27" ht="15.75" customHeight="1" x14ac:dyDescent="0.3">
      <c r="A1035" s="21">
        <v>2025</v>
      </c>
      <c r="B1035" s="22"/>
      <c r="H1035" s="21" t="s">
        <v>6835</v>
      </c>
      <c r="I1035" s="21" t="s">
        <v>6836</v>
      </c>
      <c r="J1035" s="21" t="s">
        <v>3625</v>
      </c>
      <c r="K1035" s="21" t="e">
        <f t="shared" ca="1" si="8"/>
        <v>#NAME?</v>
      </c>
      <c r="L1035" s="24">
        <v>1991</v>
      </c>
      <c r="N1035" s="21" t="s">
        <v>315</v>
      </c>
      <c r="O1035" s="21" t="s">
        <v>316</v>
      </c>
      <c r="P1035" s="26">
        <v>4128198863</v>
      </c>
      <c r="Q1035" s="26" t="e">
        <f t="shared" ca="1" si="9"/>
        <v>#NAME?</v>
      </c>
      <c r="R1035" s="21" t="s">
        <v>521</v>
      </c>
      <c r="S1035" s="21" t="s">
        <v>6837</v>
      </c>
      <c r="U1035" s="21" t="s">
        <v>6838</v>
      </c>
      <c r="V1035" s="21" t="s">
        <v>6838</v>
      </c>
      <c r="W1035" s="21" t="s">
        <v>328</v>
      </c>
      <c r="X1035" s="21" t="s">
        <v>515</v>
      </c>
      <c r="Y1035" s="21" t="s">
        <v>6839</v>
      </c>
      <c r="Z1035" s="21" t="s">
        <v>127</v>
      </c>
      <c r="AA1035" s="21" t="s">
        <v>1439</v>
      </c>
    </row>
    <row r="1036" spans="1:27" ht="15.75" customHeight="1" x14ac:dyDescent="0.3">
      <c r="A1036" s="21">
        <v>2025</v>
      </c>
      <c r="B1036" s="22"/>
      <c r="H1036" s="21" t="s">
        <v>6840</v>
      </c>
      <c r="I1036" s="21" t="s">
        <v>3058</v>
      </c>
      <c r="J1036" s="21" t="s">
        <v>6841</v>
      </c>
      <c r="K1036" s="21" t="e">
        <f t="shared" ca="1" si="8"/>
        <v>#NAME?</v>
      </c>
      <c r="L1036" s="24">
        <v>1995</v>
      </c>
      <c r="M1036" s="21">
        <v>1999</v>
      </c>
      <c r="N1036" s="21" t="s">
        <v>315</v>
      </c>
      <c r="O1036" s="21" t="s">
        <v>316</v>
      </c>
      <c r="P1036" s="26">
        <v>4806124302</v>
      </c>
      <c r="Q1036" s="26" t="e">
        <f t="shared" ca="1" si="9"/>
        <v>#NAME?</v>
      </c>
      <c r="R1036" s="21" t="s">
        <v>521</v>
      </c>
      <c r="S1036" s="21" t="s">
        <v>6842</v>
      </c>
      <c r="U1036" s="21" t="s">
        <v>6843</v>
      </c>
      <c r="V1036" s="21" t="s">
        <v>6843</v>
      </c>
      <c r="W1036" s="21" t="s">
        <v>123</v>
      </c>
      <c r="X1036" s="21" t="s">
        <v>308</v>
      </c>
      <c r="Y1036" s="21" t="s">
        <v>1743</v>
      </c>
      <c r="Z1036" s="21" t="s">
        <v>127</v>
      </c>
      <c r="AA1036" s="21" t="s">
        <v>450</v>
      </c>
    </row>
    <row r="1037" spans="1:27" ht="15.75" customHeight="1" x14ac:dyDescent="0.3">
      <c r="A1037" s="21">
        <v>2025</v>
      </c>
      <c r="B1037" s="22"/>
      <c r="H1037" s="21" t="s">
        <v>6844</v>
      </c>
      <c r="I1037" s="21" t="s">
        <v>6845</v>
      </c>
      <c r="J1037" s="21" t="s">
        <v>4013</v>
      </c>
      <c r="K1037" s="21" t="e">
        <f t="shared" ca="1" si="8"/>
        <v>#NAME?</v>
      </c>
      <c r="L1037" s="24">
        <v>1979</v>
      </c>
      <c r="M1037" s="21">
        <v>2025</v>
      </c>
      <c r="N1037" s="21" t="s">
        <v>315</v>
      </c>
      <c r="O1037" s="21" t="s">
        <v>316</v>
      </c>
      <c r="P1037" s="26">
        <v>4084647033</v>
      </c>
      <c r="Q1037" s="26" t="e">
        <f t="shared" ca="1" si="9"/>
        <v>#NAME?</v>
      </c>
      <c r="R1037" s="21" t="s">
        <v>6846</v>
      </c>
      <c r="S1037" s="21" t="s">
        <v>6847</v>
      </c>
      <c r="U1037" s="21" t="s">
        <v>6848</v>
      </c>
      <c r="V1037" s="21" t="s">
        <v>6848</v>
      </c>
      <c r="W1037" s="21" t="s">
        <v>6849</v>
      </c>
      <c r="X1037" s="21" t="s">
        <v>571</v>
      </c>
      <c r="Y1037" s="21" t="s">
        <v>1261</v>
      </c>
      <c r="Z1037" s="21" t="s">
        <v>296</v>
      </c>
      <c r="AA1037" s="21" t="s">
        <v>297</v>
      </c>
    </row>
    <row r="1038" spans="1:27" ht="15.75" customHeight="1" x14ac:dyDescent="0.3">
      <c r="A1038" s="21">
        <v>2025</v>
      </c>
      <c r="B1038" s="22"/>
      <c r="H1038" s="21" t="s">
        <v>6850</v>
      </c>
      <c r="I1038" s="21" t="s">
        <v>781</v>
      </c>
      <c r="J1038" s="21" t="s">
        <v>6851</v>
      </c>
      <c r="K1038" s="21" t="e">
        <f t="shared" ca="1" si="8"/>
        <v>#NAME?</v>
      </c>
      <c r="L1038" s="24">
        <v>1973</v>
      </c>
      <c r="N1038" s="21" t="s">
        <v>315</v>
      </c>
      <c r="O1038" s="21" t="s">
        <v>316</v>
      </c>
      <c r="P1038" s="26">
        <v>8188762063</v>
      </c>
      <c r="Q1038" s="26" t="e">
        <f t="shared" ca="1" si="9"/>
        <v>#NAME?</v>
      </c>
      <c r="R1038" s="21" t="s">
        <v>1501</v>
      </c>
      <c r="S1038" s="21" t="s">
        <v>6852</v>
      </c>
      <c r="U1038" s="21" t="s">
        <v>6853</v>
      </c>
      <c r="V1038" s="21" t="s">
        <v>6853</v>
      </c>
      <c r="W1038" s="21" t="s">
        <v>6854</v>
      </c>
      <c r="X1038" s="21" t="s">
        <v>6855</v>
      </c>
      <c r="Y1038" s="21" t="s">
        <v>6855</v>
      </c>
      <c r="Z1038" s="21" t="s">
        <v>127</v>
      </c>
      <c r="AA1038" s="21" t="s">
        <v>6856</v>
      </c>
    </row>
    <row r="1039" spans="1:27" ht="15.75" customHeight="1" x14ac:dyDescent="0.3">
      <c r="A1039" s="21">
        <v>2025</v>
      </c>
      <c r="B1039" s="22"/>
      <c r="H1039" s="21" t="s">
        <v>6857</v>
      </c>
      <c r="I1039" s="21" t="s">
        <v>803</v>
      </c>
      <c r="J1039" s="21" t="s">
        <v>6858</v>
      </c>
      <c r="K1039" s="21" t="e">
        <f t="shared" ca="1" si="8"/>
        <v>#NAME?</v>
      </c>
      <c r="L1039" s="24">
        <v>1981</v>
      </c>
      <c r="N1039" s="21" t="s">
        <v>315</v>
      </c>
      <c r="O1039" s="21" t="s">
        <v>316</v>
      </c>
      <c r="P1039" s="26">
        <v>4694754656</v>
      </c>
      <c r="Q1039" s="26" t="e">
        <f t="shared" ca="1" si="9"/>
        <v>#NAME?</v>
      </c>
      <c r="R1039" s="21" t="s">
        <v>3275</v>
      </c>
      <c r="S1039" s="21" t="s">
        <v>6859</v>
      </c>
      <c r="U1039" s="21" t="s">
        <v>6860</v>
      </c>
      <c r="V1039" s="21" t="s">
        <v>6860</v>
      </c>
      <c r="W1039" s="21" t="s">
        <v>488</v>
      </c>
      <c r="X1039" s="21" t="s">
        <v>4719</v>
      </c>
      <c r="Y1039" s="21" t="s">
        <v>4719</v>
      </c>
      <c r="Z1039" s="21" t="s">
        <v>127</v>
      </c>
      <c r="AA1039" s="21" t="s">
        <v>5775</v>
      </c>
    </row>
    <row r="1040" spans="1:27" ht="15.75" customHeight="1" x14ac:dyDescent="0.3">
      <c r="A1040" s="21">
        <v>2025</v>
      </c>
      <c r="B1040" s="22"/>
      <c r="H1040" s="21" t="s">
        <v>6861</v>
      </c>
      <c r="I1040" s="21" t="s">
        <v>1287</v>
      </c>
      <c r="J1040" s="21" t="s">
        <v>3070</v>
      </c>
      <c r="K1040" s="21" t="e">
        <f t="shared" ca="1" si="8"/>
        <v>#NAME?</v>
      </c>
      <c r="L1040" s="24">
        <v>1992</v>
      </c>
      <c r="N1040" s="21" t="s">
        <v>315</v>
      </c>
      <c r="O1040" s="21" t="s">
        <v>316</v>
      </c>
      <c r="P1040" s="26">
        <v>9403151546</v>
      </c>
      <c r="Q1040" s="26" t="e">
        <f t="shared" ca="1" si="9"/>
        <v>#NAME?</v>
      </c>
      <c r="R1040" s="21" t="s">
        <v>6521</v>
      </c>
      <c r="S1040" s="21" t="s">
        <v>6862</v>
      </c>
      <c r="U1040" s="21" t="s">
        <v>2729</v>
      </c>
      <c r="V1040" s="21" t="s">
        <v>2729</v>
      </c>
      <c r="W1040" s="21" t="s">
        <v>266</v>
      </c>
      <c r="X1040" s="21" t="s">
        <v>308</v>
      </c>
      <c r="Y1040" s="21" t="s">
        <v>308</v>
      </c>
      <c r="Z1040" s="21" t="s">
        <v>127</v>
      </c>
      <c r="AA1040" s="21" t="s">
        <v>450</v>
      </c>
    </row>
    <row r="1041" spans="1:36" ht="15.75" customHeight="1" x14ac:dyDescent="0.3">
      <c r="A1041" s="21">
        <v>2025</v>
      </c>
      <c r="B1041" s="22"/>
      <c r="H1041" s="21" t="s">
        <v>6863</v>
      </c>
      <c r="I1041" s="21" t="s">
        <v>2238</v>
      </c>
      <c r="J1041" s="21" t="s">
        <v>2083</v>
      </c>
      <c r="K1041" s="21" t="e">
        <f t="shared" ca="1" si="8"/>
        <v>#NAME?</v>
      </c>
      <c r="L1041" s="24">
        <v>1984</v>
      </c>
      <c r="M1041" s="21">
        <v>2014</v>
      </c>
      <c r="N1041" s="21" t="s">
        <v>315</v>
      </c>
      <c r="O1041" s="21" t="s">
        <v>316</v>
      </c>
      <c r="P1041" s="26">
        <v>8474945060</v>
      </c>
      <c r="Q1041" s="26" t="e">
        <f t="shared" ca="1" si="9"/>
        <v>#NAME?</v>
      </c>
      <c r="R1041" s="21" t="s">
        <v>1289</v>
      </c>
      <c r="S1041" s="21" t="s">
        <v>6864</v>
      </c>
      <c r="U1041" s="21" t="s">
        <v>6865</v>
      </c>
      <c r="V1041" s="21" t="s">
        <v>6865</v>
      </c>
      <c r="W1041" s="21" t="s">
        <v>319</v>
      </c>
      <c r="X1041" s="21" t="s">
        <v>6866</v>
      </c>
      <c r="Y1041" s="21" t="s">
        <v>179</v>
      </c>
      <c r="Z1041" s="21" t="s">
        <v>127</v>
      </c>
      <c r="AA1041" s="21" t="s">
        <v>6867</v>
      </c>
    </row>
    <row r="1042" spans="1:36" ht="15.75" customHeight="1" x14ac:dyDescent="0.3">
      <c r="A1042" s="21">
        <v>2025</v>
      </c>
      <c r="B1042" s="22"/>
      <c r="H1042" s="21" t="s">
        <v>6868</v>
      </c>
      <c r="I1042" s="21" t="s">
        <v>982</v>
      </c>
      <c r="J1042" s="21" t="s">
        <v>4060</v>
      </c>
      <c r="K1042" s="21" t="e">
        <f t="shared" ca="1" si="8"/>
        <v>#NAME?</v>
      </c>
      <c r="L1042" s="24">
        <v>2016</v>
      </c>
      <c r="N1042" s="21" t="s">
        <v>315</v>
      </c>
      <c r="O1042" s="21" t="s">
        <v>316</v>
      </c>
      <c r="P1042" s="26">
        <v>5126691143</v>
      </c>
      <c r="Q1042" s="26" t="e">
        <f t="shared" ca="1" si="9"/>
        <v>#NAME?</v>
      </c>
      <c r="R1042" s="21" t="s">
        <v>1297</v>
      </c>
      <c r="S1042" s="21" t="s">
        <v>6870</v>
      </c>
      <c r="U1042" s="21" t="s">
        <v>6871</v>
      </c>
      <c r="V1042" s="21" t="s">
        <v>6871</v>
      </c>
      <c r="W1042" s="21" t="s">
        <v>488</v>
      </c>
      <c r="X1042" s="21" t="s">
        <v>6872</v>
      </c>
      <c r="Y1042" s="21" t="s">
        <v>4511</v>
      </c>
      <c r="Z1042" s="21" t="s">
        <v>6873</v>
      </c>
      <c r="AA1042" s="21" t="s">
        <v>6874</v>
      </c>
    </row>
    <row r="1043" spans="1:36" ht="15.75" customHeight="1" x14ac:dyDescent="0.3">
      <c r="A1043" s="21">
        <v>2025</v>
      </c>
      <c r="B1043" s="22"/>
      <c r="H1043" s="21" t="s">
        <v>6868</v>
      </c>
      <c r="I1043" s="21" t="s">
        <v>982</v>
      </c>
      <c r="J1043" s="21" t="s">
        <v>6875</v>
      </c>
      <c r="K1043" s="21" t="e">
        <f t="shared" ca="1" si="8"/>
        <v>#NAME?</v>
      </c>
      <c r="L1043" s="24">
        <v>1984</v>
      </c>
      <c r="N1043" s="21" t="s">
        <v>315</v>
      </c>
      <c r="O1043" s="21" t="s">
        <v>316</v>
      </c>
      <c r="P1043" s="26">
        <v>5126691143</v>
      </c>
      <c r="Q1043" s="26" t="e">
        <f t="shared" ca="1" si="9"/>
        <v>#NAME?</v>
      </c>
      <c r="R1043" s="21" t="s">
        <v>1297</v>
      </c>
      <c r="S1043" s="21" t="s">
        <v>6870</v>
      </c>
      <c r="U1043" s="21" t="s">
        <v>6876</v>
      </c>
      <c r="V1043" s="21" t="s">
        <v>6876</v>
      </c>
      <c r="W1043" s="21" t="s">
        <v>229</v>
      </c>
      <c r="X1043" s="21" t="s">
        <v>308</v>
      </c>
      <c r="Y1043" s="21" t="s">
        <v>6877</v>
      </c>
      <c r="Z1043" s="21" t="s">
        <v>284</v>
      </c>
      <c r="AA1043" s="21" t="s">
        <v>6878</v>
      </c>
    </row>
    <row r="1044" spans="1:36" ht="15.75" customHeight="1" x14ac:dyDescent="0.3">
      <c r="A1044" s="21">
        <v>2025</v>
      </c>
      <c r="B1044" s="22"/>
      <c r="H1044" s="21" t="s">
        <v>6879</v>
      </c>
      <c r="I1044" s="21" t="s">
        <v>6880</v>
      </c>
      <c r="J1044" s="21" t="s">
        <v>3878</v>
      </c>
      <c r="K1044" s="21" t="e">
        <f t="shared" ca="1" si="8"/>
        <v>#NAME?</v>
      </c>
      <c r="L1044" s="24">
        <v>1987</v>
      </c>
      <c r="N1044" s="21" t="s">
        <v>315</v>
      </c>
      <c r="O1044" s="21" t="s">
        <v>316</v>
      </c>
      <c r="P1044" s="26">
        <v>4087845436</v>
      </c>
      <c r="Q1044" s="26" t="e">
        <f t="shared" ca="1" si="9"/>
        <v>#NAME?</v>
      </c>
      <c r="R1044" s="21" t="s">
        <v>521</v>
      </c>
      <c r="S1044" s="21" t="s">
        <v>6881</v>
      </c>
      <c r="U1044" s="21" t="s">
        <v>6882</v>
      </c>
      <c r="V1044" s="21" t="s">
        <v>6882</v>
      </c>
      <c r="W1044" s="21" t="s">
        <v>6883</v>
      </c>
      <c r="X1044" s="21" t="s">
        <v>179</v>
      </c>
      <c r="Y1044" s="21" t="s">
        <v>179</v>
      </c>
      <c r="Z1044" s="21" t="s">
        <v>127</v>
      </c>
      <c r="AA1044" s="21" t="s">
        <v>450</v>
      </c>
    </row>
    <row r="1045" spans="1:36" ht="15.75" customHeight="1" x14ac:dyDescent="0.3">
      <c r="A1045" s="21">
        <v>2025</v>
      </c>
      <c r="B1045" s="22"/>
      <c r="H1045" s="21" t="s">
        <v>6884</v>
      </c>
      <c r="I1045" s="21" t="s">
        <v>2361</v>
      </c>
      <c r="J1045" s="21" t="s">
        <v>1642</v>
      </c>
      <c r="K1045" s="21" t="e">
        <f t="shared" ca="1" si="8"/>
        <v>#NAME?</v>
      </c>
      <c r="L1045" s="24">
        <v>2014</v>
      </c>
      <c r="M1045" s="21">
        <v>2025</v>
      </c>
      <c r="N1045" s="21" t="s">
        <v>402</v>
      </c>
      <c r="O1045" s="21" t="s">
        <v>316</v>
      </c>
      <c r="P1045" s="26">
        <v>3024423467</v>
      </c>
      <c r="Q1045" s="26" t="e">
        <f t="shared" ca="1" si="9"/>
        <v>#NAME?</v>
      </c>
      <c r="R1045" s="21" t="s">
        <v>1232</v>
      </c>
      <c r="S1045" s="21" t="s">
        <v>6885</v>
      </c>
      <c r="U1045" s="21" t="s">
        <v>6886</v>
      </c>
      <c r="V1045" s="21" t="s">
        <v>6886</v>
      </c>
      <c r="W1045" s="21" t="s">
        <v>1268</v>
      </c>
      <c r="X1045" s="21" t="s">
        <v>343</v>
      </c>
      <c r="Y1045" s="21" t="s">
        <v>343</v>
      </c>
      <c r="Z1045" s="21" t="s">
        <v>6887</v>
      </c>
      <c r="AA1045" s="21" t="s">
        <v>2250</v>
      </c>
    </row>
    <row r="1046" spans="1:36" ht="15.75" customHeight="1" x14ac:dyDescent="0.3">
      <c r="A1046" s="21">
        <v>2025</v>
      </c>
      <c r="B1046" s="22"/>
      <c r="H1046" s="21" t="s">
        <v>6888</v>
      </c>
      <c r="I1046" s="21" t="s">
        <v>6889</v>
      </c>
      <c r="J1046" s="21" t="s">
        <v>6890</v>
      </c>
      <c r="K1046" s="21" t="e">
        <f t="shared" ca="1" si="8"/>
        <v>#NAME?</v>
      </c>
      <c r="L1046" s="24">
        <v>1975</v>
      </c>
      <c r="M1046" s="21">
        <v>1997</v>
      </c>
      <c r="N1046" s="21" t="s">
        <v>402</v>
      </c>
      <c r="O1046" s="21" t="s">
        <v>316</v>
      </c>
      <c r="P1046" s="26">
        <v>5023860875</v>
      </c>
      <c r="Q1046" s="26" t="e">
        <f t="shared" ca="1" si="9"/>
        <v>#NAME?</v>
      </c>
      <c r="R1046" s="21" t="s">
        <v>6891</v>
      </c>
      <c r="S1046" s="21" t="s">
        <v>6892</v>
      </c>
      <c r="U1046" s="21" t="s">
        <v>6893</v>
      </c>
      <c r="V1046" s="21" t="s">
        <v>6893</v>
      </c>
      <c r="W1046" s="21" t="s">
        <v>219</v>
      </c>
      <c r="X1046" s="21" t="s">
        <v>352</v>
      </c>
      <c r="Y1046" s="21" t="s">
        <v>352</v>
      </c>
      <c r="Z1046" s="21" t="s">
        <v>127</v>
      </c>
      <c r="AA1046" s="21" t="s">
        <v>6894</v>
      </c>
    </row>
    <row r="1047" spans="1:36" ht="15.75" customHeight="1" x14ac:dyDescent="0.3">
      <c r="A1047" s="21">
        <v>2025</v>
      </c>
      <c r="B1047" s="22"/>
      <c r="H1047" s="21" t="s">
        <v>6895</v>
      </c>
      <c r="I1047" s="21" t="s">
        <v>6896</v>
      </c>
      <c r="J1047" s="21" t="s">
        <v>6897</v>
      </c>
      <c r="K1047" s="21" t="e">
        <f t="shared" ca="1" si="8"/>
        <v>#NAME?</v>
      </c>
      <c r="L1047" s="24">
        <v>1979</v>
      </c>
      <c r="M1047" s="21">
        <v>2025</v>
      </c>
      <c r="N1047" s="21" t="s">
        <v>402</v>
      </c>
      <c r="O1047" s="21" t="s">
        <v>316</v>
      </c>
      <c r="P1047" s="26">
        <v>4702972490</v>
      </c>
      <c r="Q1047" s="26" t="e">
        <f t="shared" ca="1" si="9"/>
        <v>#NAME?</v>
      </c>
      <c r="R1047" s="21" t="s">
        <v>2651</v>
      </c>
      <c r="S1047" s="21" t="s">
        <v>6898</v>
      </c>
      <c r="U1047" s="21" t="s">
        <v>6899</v>
      </c>
      <c r="V1047" s="21" t="s">
        <v>127</v>
      </c>
      <c r="W1047" s="21" t="s">
        <v>328</v>
      </c>
      <c r="X1047" s="21" t="s">
        <v>308</v>
      </c>
      <c r="Y1047" s="21" t="s">
        <v>308</v>
      </c>
      <c r="Z1047" s="21" t="s">
        <v>127</v>
      </c>
      <c r="AA1047" s="21" t="s">
        <v>297</v>
      </c>
    </row>
    <row r="1048" spans="1:36" ht="15.75" customHeight="1" x14ac:dyDescent="0.3">
      <c r="A1048" s="21">
        <v>2025</v>
      </c>
      <c r="B1048" s="22"/>
      <c r="H1048" s="21" t="s">
        <v>6900</v>
      </c>
      <c r="I1048" s="21" t="s">
        <v>4514</v>
      </c>
      <c r="J1048" s="21" t="s">
        <v>731</v>
      </c>
      <c r="K1048" s="21" t="e">
        <f t="shared" ca="1" si="8"/>
        <v>#NAME?</v>
      </c>
      <c r="L1048" s="24">
        <v>1977</v>
      </c>
      <c r="M1048" s="21">
        <v>2025</v>
      </c>
      <c r="N1048" s="21" t="s">
        <v>402</v>
      </c>
      <c r="O1048" s="21" t="s">
        <v>316</v>
      </c>
      <c r="P1048" s="26">
        <v>8565712982</v>
      </c>
      <c r="Q1048" s="26" t="e">
        <f t="shared" ca="1" si="9"/>
        <v>#NAME?</v>
      </c>
      <c r="R1048" s="21" t="s">
        <v>6901</v>
      </c>
      <c r="S1048" s="21" t="s">
        <v>6902</v>
      </c>
      <c r="U1048" s="21" t="s">
        <v>6903</v>
      </c>
      <c r="V1048" s="21" t="s">
        <v>6903</v>
      </c>
      <c r="W1048" s="21" t="s">
        <v>488</v>
      </c>
      <c r="X1048" s="21" t="s">
        <v>4068</v>
      </c>
      <c r="Y1048" s="21" t="s">
        <v>308</v>
      </c>
      <c r="Z1048" s="21" t="s">
        <v>127</v>
      </c>
      <c r="AA1048" s="21" t="s">
        <v>6904</v>
      </c>
    </row>
    <row r="1049" spans="1:36" ht="15.75" customHeight="1" x14ac:dyDescent="0.3">
      <c r="A1049" s="21">
        <v>2025</v>
      </c>
      <c r="B1049" s="22"/>
      <c r="H1049" s="21" t="s">
        <v>6905</v>
      </c>
      <c r="I1049" s="21" t="s">
        <v>6906</v>
      </c>
      <c r="J1049" s="21" t="s">
        <v>1642</v>
      </c>
      <c r="K1049" s="21" t="e">
        <f t="shared" ca="1" si="8"/>
        <v>#NAME?</v>
      </c>
      <c r="L1049" s="24">
        <v>2010</v>
      </c>
      <c r="M1049" s="21">
        <v>1997</v>
      </c>
      <c r="N1049" s="21" t="s">
        <v>402</v>
      </c>
      <c r="O1049" s="21" t="s">
        <v>316</v>
      </c>
      <c r="P1049" s="26">
        <v>9717134909</v>
      </c>
      <c r="Q1049" s="26" t="e">
        <f t="shared" ca="1" si="9"/>
        <v>#NAME?</v>
      </c>
      <c r="R1049" s="21" t="s">
        <v>6907</v>
      </c>
      <c r="S1049" s="21" t="s">
        <v>6908</v>
      </c>
      <c r="U1049" s="21" t="s">
        <v>127</v>
      </c>
      <c r="V1049" s="21" t="s">
        <v>6909</v>
      </c>
      <c r="W1049" s="21" t="s">
        <v>328</v>
      </c>
      <c r="X1049" s="21" t="s">
        <v>1399</v>
      </c>
      <c r="Y1049" s="21" t="s">
        <v>406</v>
      </c>
      <c r="Z1049" s="21" t="s">
        <v>6910</v>
      </c>
      <c r="AA1049" s="21" t="s">
        <v>6911</v>
      </c>
    </row>
    <row r="1050" spans="1:36" ht="15.75" customHeight="1" x14ac:dyDescent="0.3">
      <c r="A1050" s="21">
        <v>2025</v>
      </c>
      <c r="B1050" s="22"/>
      <c r="H1050" s="21" t="s">
        <v>1061</v>
      </c>
      <c r="I1050" s="21" t="s">
        <v>891</v>
      </c>
      <c r="J1050" s="21" t="s">
        <v>6912</v>
      </c>
      <c r="K1050" s="21" t="e">
        <f t="shared" ca="1" si="8"/>
        <v>#NAME?</v>
      </c>
      <c r="L1050" s="24">
        <v>1979</v>
      </c>
      <c r="N1050" s="21" t="s">
        <v>402</v>
      </c>
      <c r="O1050" s="21" t="s">
        <v>316</v>
      </c>
      <c r="P1050" s="26">
        <v>4702725998</v>
      </c>
      <c r="Q1050" s="26" t="e">
        <f t="shared" ca="1" si="9"/>
        <v>#NAME?</v>
      </c>
      <c r="R1050" s="21" t="s">
        <v>6913</v>
      </c>
      <c r="S1050" s="21" t="s">
        <v>6914</v>
      </c>
      <c r="U1050" s="21" t="s">
        <v>6915</v>
      </c>
      <c r="V1050" s="21" t="s">
        <v>6915</v>
      </c>
      <c r="W1050" s="21" t="s">
        <v>4084</v>
      </c>
      <c r="X1050" s="21" t="s">
        <v>179</v>
      </c>
      <c r="Y1050" s="21" t="s">
        <v>179</v>
      </c>
      <c r="Z1050" s="21" t="s">
        <v>127</v>
      </c>
      <c r="AA1050" s="21" t="s">
        <v>6326</v>
      </c>
    </row>
    <row r="1051" spans="1:36" ht="15.75" customHeight="1" x14ac:dyDescent="0.3">
      <c r="A1051" s="21">
        <v>2025</v>
      </c>
      <c r="B1051" s="22"/>
      <c r="H1051" s="21" t="s">
        <v>6916</v>
      </c>
      <c r="I1051" s="21" t="s">
        <v>6728</v>
      </c>
      <c r="J1051" s="21" t="s">
        <v>6917</v>
      </c>
      <c r="K1051" s="21" t="e">
        <f t="shared" ca="1" si="8"/>
        <v>#NAME?</v>
      </c>
      <c r="L1051" s="24">
        <v>1985</v>
      </c>
      <c r="N1051" s="21" t="s">
        <v>474</v>
      </c>
      <c r="O1051" s="21" t="s">
        <v>316</v>
      </c>
      <c r="P1051" s="26">
        <v>9802293255</v>
      </c>
      <c r="Q1051" s="26" t="e">
        <f t="shared" ca="1" si="9"/>
        <v>#NAME?</v>
      </c>
      <c r="R1051" s="21" t="s">
        <v>3202</v>
      </c>
      <c r="S1051" s="21" t="s">
        <v>1265</v>
      </c>
      <c r="U1051" s="21" t="s">
        <v>6918</v>
      </c>
      <c r="V1051" s="21" t="s">
        <v>6918</v>
      </c>
      <c r="W1051" s="21" t="s">
        <v>307</v>
      </c>
      <c r="X1051" s="21" t="s">
        <v>308</v>
      </c>
      <c r="Y1051" s="21" t="s">
        <v>6877</v>
      </c>
      <c r="Z1051" s="21" t="s">
        <v>127</v>
      </c>
      <c r="AA1051" s="21" t="s">
        <v>297</v>
      </c>
    </row>
    <row r="1052" spans="1:36" ht="15.75" customHeight="1" x14ac:dyDescent="0.3">
      <c r="A1052" s="21">
        <v>2025</v>
      </c>
      <c r="B1052" s="22"/>
      <c r="H1052" s="21" t="s">
        <v>6919</v>
      </c>
      <c r="I1052" s="21" t="s">
        <v>771</v>
      </c>
      <c r="J1052" s="21" t="s">
        <v>3873</v>
      </c>
      <c r="K1052" s="21" t="e">
        <f t="shared" ca="1" si="8"/>
        <v>#NAME?</v>
      </c>
      <c r="L1052" s="24">
        <v>1972</v>
      </c>
      <c r="M1052" s="21">
        <v>1997</v>
      </c>
      <c r="N1052" s="21" t="s">
        <v>474</v>
      </c>
      <c r="O1052" s="21" t="s">
        <v>316</v>
      </c>
      <c r="P1052" s="26">
        <v>4257530807</v>
      </c>
      <c r="Q1052" s="26" t="e">
        <f t="shared" ca="1" si="9"/>
        <v>#NAME?</v>
      </c>
      <c r="R1052" s="21" t="s">
        <v>6920</v>
      </c>
      <c r="S1052" s="21" t="s">
        <v>2612</v>
      </c>
      <c r="U1052" s="21" t="s">
        <v>6921</v>
      </c>
      <c r="V1052" s="21" t="s">
        <v>6921</v>
      </c>
      <c r="W1052" s="21" t="s">
        <v>319</v>
      </c>
      <c r="X1052" s="21" t="s">
        <v>179</v>
      </c>
      <c r="Y1052" s="21" t="s">
        <v>1399</v>
      </c>
      <c r="Z1052" s="21" t="s">
        <v>6922</v>
      </c>
      <c r="AA1052" s="21" t="s">
        <v>968</v>
      </c>
    </row>
    <row r="1053" spans="1:36" ht="15.75" customHeight="1" x14ac:dyDescent="0.3">
      <c r="A1053" s="21">
        <v>2026</v>
      </c>
      <c r="B1053" s="22">
        <v>46158.369876932869</v>
      </c>
      <c r="G1053" s="21" t="s">
        <v>93</v>
      </c>
      <c r="H1053" s="21" t="s">
        <v>6923</v>
      </c>
      <c r="I1053" s="21" t="s">
        <v>4548</v>
      </c>
      <c r="J1053" s="21" t="s">
        <v>3873</v>
      </c>
      <c r="K1053" s="21" t="e">
        <f t="shared" ca="1" si="8"/>
        <v>#NAME?</v>
      </c>
      <c r="L1053" s="24">
        <v>1987</v>
      </c>
      <c r="M1053" s="21">
        <v>1996</v>
      </c>
      <c r="N1053" s="21" t="s">
        <v>111</v>
      </c>
      <c r="O1053" s="21" t="s">
        <v>112</v>
      </c>
      <c r="P1053" s="26">
        <v>9849317124</v>
      </c>
      <c r="Q1053" s="26" t="e">
        <f t="shared" ca="1" si="9"/>
        <v>#NAME?</v>
      </c>
      <c r="R1053" s="21" t="s">
        <v>664</v>
      </c>
      <c r="S1053" s="21" t="s">
        <v>6924</v>
      </c>
      <c r="T1053" s="21" t="s">
        <v>6925</v>
      </c>
      <c r="U1053" s="21" t="s">
        <v>6926</v>
      </c>
      <c r="V1053" s="21" t="s">
        <v>6927</v>
      </c>
      <c r="W1053" s="21" t="s">
        <v>328</v>
      </c>
      <c r="X1053" s="21" t="s">
        <v>179</v>
      </c>
      <c r="Y1053" s="21" t="s">
        <v>178</v>
      </c>
      <c r="Z1053" s="21" t="s">
        <v>127</v>
      </c>
      <c r="AA1053" s="21" t="s">
        <v>285</v>
      </c>
      <c r="AB1053" s="21" t="s">
        <v>363</v>
      </c>
      <c r="AC1053" s="21" t="s">
        <v>6928</v>
      </c>
      <c r="AD1053" s="21" t="s">
        <v>287</v>
      </c>
      <c r="AE1053" s="21" t="s">
        <v>365</v>
      </c>
      <c r="AF1053" s="21" t="s">
        <v>135</v>
      </c>
      <c r="AG1053" s="21" t="s">
        <v>135</v>
      </c>
      <c r="AH1053" s="21" t="s">
        <v>135</v>
      </c>
      <c r="AI1053" s="21" t="s">
        <v>135</v>
      </c>
    </row>
    <row r="1054" spans="1:36" ht="15.75" customHeight="1" x14ac:dyDescent="0.3">
      <c r="A1054" s="21">
        <v>2026</v>
      </c>
      <c r="B1054" s="22">
        <v>46158.382868217595</v>
      </c>
      <c r="G1054" s="21" t="s">
        <v>93</v>
      </c>
      <c r="H1054" s="21" t="s">
        <v>4532</v>
      </c>
      <c r="I1054" s="21" t="s">
        <v>4533</v>
      </c>
      <c r="J1054" s="21" t="s">
        <v>3684</v>
      </c>
      <c r="K1054" s="21" t="e">
        <f t="shared" ca="1" si="8"/>
        <v>#NAME?</v>
      </c>
      <c r="L1054" s="24">
        <v>1989</v>
      </c>
      <c r="M1054" s="21">
        <v>2014</v>
      </c>
      <c r="N1054" s="21" t="s">
        <v>111</v>
      </c>
      <c r="O1054" s="21" t="s">
        <v>112</v>
      </c>
      <c r="P1054" s="26">
        <v>9110595085</v>
      </c>
      <c r="Q1054" s="26" t="e">
        <f t="shared" ca="1" si="9"/>
        <v>#NAME?</v>
      </c>
      <c r="R1054" s="21" t="s">
        <v>6929</v>
      </c>
      <c r="S1054" s="21" t="s">
        <v>6930</v>
      </c>
      <c r="T1054" s="21" t="s">
        <v>6931</v>
      </c>
      <c r="U1054" s="21" t="s">
        <v>6932</v>
      </c>
      <c r="V1054" s="21" t="s">
        <v>582</v>
      </c>
      <c r="W1054" s="21" t="s">
        <v>706</v>
      </c>
      <c r="X1054" s="21" t="s">
        <v>6933</v>
      </c>
      <c r="Y1054" s="21" t="s">
        <v>1145</v>
      </c>
      <c r="Z1054" s="21" t="s">
        <v>582</v>
      </c>
      <c r="AA1054" s="21" t="s">
        <v>6934</v>
      </c>
      <c r="AB1054" s="21" t="s">
        <v>4562</v>
      </c>
      <c r="AC1054" s="21" t="s">
        <v>6935</v>
      </c>
      <c r="AD1054" s="21" t="s">
        <v>132</v>
      </c>
      <c r="AE1054" s="21" t="s">
        <v>365</v>
      </c>
      <c r="AF1054" s="21" t="s">
        <v>135</v>
      </c>
      <c r="AG1054" s="21" t="s">
        <v>135</v>
      </c>
      <c r="AH1054" s="21" t="s">
        <v>135</v>
      </c>
      <c r="AI1054" s="21" t="s">
        <v>135</v>
      </c>
      <c r="AJ1054" s="21" t="s">
        <v>6936</v>
      </c>
    </row>
    <row r="1055" spans="1:36" ht="15.75" customHeight="1" x14ac:dyDescent="0.3">
      <c r="A1055" s="21">
        <v>2026</v>
      </c>
      <c r="B1055" s="22">
        <v>46159.816416145834</v>
      </c>
      <c r="G1055" s="21" t="s">
        <v>93</v>
      </c>
      <c r="H1055" s="21" t="s">
        <v>6937</v>
      </c>
      <c r="I1055" s="21" t="s">
        <v>4443</v>
      </c>
      <c r="J1055" s="21" t="s">
        <v>6938</v>
      </c>
      <c r="K1055" s="21" t="e">
        <f t="shared" ca="1" si="8"/>
        <v>#NAME?</v>
      </c>
      <c r="L1055" s="24">
        <v>1960</v>
      </c>
      <c r="M1055" s="21">
        <v>1972</v>
      </c>
      <c r="N1055" s="21" t="s">
        <v>111</v>
      </c>
      <c r="O1055" s="21" t="s">
        <v>112</v>
      </c>
      <c r="P1055" s="26">
        <v>9441475427</v>
      </c>
      <c r="Q1055" s="26" t="e">
        <f t="shared" ca="1" si="9"/>
        <v>#NAME?</v>
      </c>
      <c r="R1055" s="21" t="s">
        <v>188</v>
      </c>
      <c r="S1055" s="21" t="s">
        <v>6939</v>
      </c>
      <c r="T1055" s="21">
        <v>9966406261</v>
      </c>
      <c r="U1055" s="21" t="s">
        <v>6940</v>
      </c>
      <c r="V1055" s="21" t="s">
        <v>127</v>
      </c>
      <c r="W1055" s="21" t="s">
        <v>307</v>
      </c>
      <c r="X1055" s="21" t="s">
        <v>3529</v>
      </c>
      <c r="Y1055" s="21" t="s">
        <v>308</v>
      </c>
      <c r="Z1055" s="21" t="s">
        <v>127</v>
      </c>
      <c r="AA1055" s="21" t="s">
        <v>4136</v>
      </c>
      <c r="AB1055" s="21" t="s">
        <v>363</v>
      </c>
      <c r="AC1055" s="21" t="s">
        <v>6941</v>
      </c>
      <c r="AD1055" s="21" t="s">
        <v>132</v>
      </c>
      <c r="AE1055" s="21" t="s">
        <v>365</v>
      </c>
      <c r="AF1055" s="21" t="s">
        <v>135</v>
      </c>
      <c r="AG1055" s="21" t="s">
        <v>135</v>
      </c>
      <c r="AH1055" s="21" t="s">
        <v>135</v>
      </c>
      <c r="AI1055" s="21" t="s">
        <v>135</v>
      </c>
      <c r="AJ1055" s="21" t="s">
        <v>6942</v>
      </c>
    </row>
    <row r="1056" spans="1:36" ht="15.75" customHeight="1" x14ac:dyDescent="0.3">
      <c r="A1056" s="21">
        <v>2026</v>
      </c>
      <c r="B1056" s="22">
        <v>46160.670073136571</v>
      </c>
      <c r="G1056" s="21" t="s">
        <v>93</v>
      </c>
      <c r="H1056" s="21" t="s">
        <v>6943</v>
      </c>
      <c r="I1056" s="21" t="s">
        <v>6944</v>
      </c>
      <c r="J1056" s="21" t="s">
        <v>6945</v>
      </c>
      <c r="K1056" s="21" t="e">
        <f t="shared" ca="1" si="8"/>
        <v>#NAME?</v>
      </c>
      <c r="L1056" s="24">
        <v>1981</v>
      </c>
      <c r="M1056" s="21">
        <v>1995</v>
      </c>
      <c r="N1056" s="21" t="s">
        <v>111</v>
      </c>
      <c r="O1056" s="21" t="s">
        <v>112</v>
      </c>
      <c r="P1056" s="26">
        <v>9490797663</v>
      </c>
      <c r="Q1056" s="26" t="e">
        <f t="shared" ca="1" si="9"/>
        <v>#NAME?</v>
      </c>
      <c r="R1056" s="21" t="s">
        <v>485</v>
      </c>
      <c r="S1056" s="21" t="s">
        <v>6946</v>
      </c>
      <c r="T1056" s="21">
        <v>9885600552</v>
      </c>
      <c r="U1056" s="21" t="s">
        <v>6947</v>
      </c>
      <c r="V1056" s="21" t="s">
        <v>582</v>
      </c>
      <c r="W1056" s="21" t="s">
        <v>219</v>
      </c>
      <c r="X1056" s="21" t="s">
        <v>6948</v>
      </c>
      <c r="Y1056" s="21" t="s">
        <v>6948</v>
      </c>
      <c r="Z1056" s="21" t="s">
        <v>127</v>
      </c>
      <c r="AA1056" s="21" t="s">
        <v>6949</v>
      </c>
      <c r="AB1056" s="21" t="s">
        <v>363</v>
      </c>
      <c r="AC1056" s="21" t="s">
        <v>1029</v>
      </c>
      <c r="AD1056" s="21" t="s">
        <v>132</v>
      </c>
      <c r="AE1056" s="21" t="s">
        <v>332</v>
      </c>
      <c r="AF1056" s="21" t="s">
        <v>135</v>
      </c>
      <c r="AG1056" s="21" t="s">
        <v>135</v>
      </c>
      <c r="AH1056" s="21" t="s">
        <v>135</v>
      </c>
      <c r="AI1056" s="21" t="s">
        <v>135</v>
      </c>
    </row>
    <row r="1057" spans="1:36" ht="15.75" customHeight="1" x14ac:dyDescent="0.3">
      <c r="A1057" s="21">
        <v>2026</v>
      </c>
      <c r="B1057" s="22">
        <v>46161.404723657412</v>
      </c>
      <c r="G1057" s="21" t="s">
        <v>93</v>
      </c>
      <c r="H1057" s="21" t="s">
        <v>6950</v>
      </c>
      <c r="I1057" s="21" t="s">
        <v>4169</v>
      </c>
      <c r="J1057" s="21" t="s">
        <v>6951</v>
      </c>
      <c r="K1057" s="21" t="e">
        <f t="shared" ca="1" si="8"/>
        <v>#NAME?</v>
      </c>
      <c r="L1057" s="24">
        <v>1992</v>
      </c>
      <c r="M1057" s="21">
        <v>2022</v>
      </c>
      <c r="N1057" s="21" t="s">
        <v>111</v>
      </c>
      <c r="O1057" s="21" t="s">
        <v>112</v>
      </c>
      <c r="P1057" s="26">
        <v>8985828284</v>
      </c>
      <c r="Q1057" s="26" t="e">
        <f t="shared" ca="1" si="9"/>
        <v>#NAME?</v>
      </c>
      <c r="R1057" s="21" t="s">
        <v>1368</v>
      </c>
      <c r="S1057" s="21" t="s">
        <v>6952</v>
      </c>
      <c r="T1057" s="21" t="s">
        <v>6953</v>
      </c>
      <c r="U1057" s="21" t="s">
        <v>6954</v>
      </c>
      <c r="V1057" s="21" t="s">
        <v>127</v>
      </c>
      <c r="W1057" s="21" t="s">
        <v>488</v>
      </c>
      <c r="X1057" s="21" t="s">
        <v>6955</v>
      </c>
      <c r="Y1057" s="21" t="s">
        <v>220</v>
      </c>
      <c r="Z1057" s="21" t="s">
        <v>127</v>
      </c>
      <c r="AA1057" s="21" t="s">
        <v>6956</v>
      </c>
      <c r="AB1057" s="21" t="s">
        <v>363</v>
      </c>
      <c r="AC1057" s="21" t="s">
        <v>6957</v>
      </c>
      <c r="AD1057" s="21" t="s">
        <v>132</v>
      </c>
      <c r="AE1057" s="21" t="s">
        <v>365</v>
      </c>
      <c r="AF1057" s="21" t="s">
        <v>135</v>
      </c>
      <c r="AG1057" s="21" t="s">
        <v>135</v>
      </c>
      <c r="AH1057" s="21" t="s">
        <v>135</v>
      </c>
      <c r="AI1057" s="21" t="s">
        <v>135</v>
      </c>
    </row>
    <row r="1058" spans="1:36" ht="15.75" customHeight="1" x14ac:dyDescent="0.3">
      <c r="A1058" s="21">
        <v>2026</v>
      </c>
      <c r="B1058" s="22">
        <v>46162.393419953703</v>
      </c>
      <c r="G1058" s="21" t="s">
        <v>93</v>
      </c>
      <c r="H1058" s="21" t="s">
        <v>6958</v>
      </c>
      <c r="I1058" s="21" t="s">
        <v>6959</v>
      </c>
      <c r="J1058" s="21" t="s">
        <v>6960</v>
      </c>
      <c r="K1058" s="21" t="e">
        <f t="shared" ca="1" si="8"/>
        <v>#NAME?</v>
      </c>
      <c r="L1058" s="24">
        <v>1980</v>
      </c>
      <c r="M1058" s="21">
        <v>2012</v>
      </c>
      <c r="N1058" s="21" t="s">
        <v>111</v>
      </c>
      <c r="O1058" s="21" t="s">
        <v>112</v>
      </c>
      <c r="P1058" s="26">
        <v>9985014784</v>
      </c>
      <c r="Q1058" s="26" t="e">
        <f t="shared" ca="1" si="9"/>
        <v>#NAME?</v>
      </c>
      <c r="R1058" s="21" t="s">
        <v>118</v>
      </c>
      <c r="S1058" s="21" t="s">
        <v>6961</v>
      </c>
      <c r="T1058" s="21" t="s">
        <v>6962</v>
      </c>
      <c r="U1058" s="21" t="s">
        <v>6963</v>
      </c>
      <c r="V1058" s="21" t="s">
        <v>127</v>
      </c>
      <c r="W1058" s="21" t="s">
        <v>328</v>
      </c>
      <c r="X1058" s="21" t="s">
        <v>352</v>
      </c>
      <c r="Y1058" s="21" t="s">
        <v>352</v>
      </c>
      <c r="Z1058" s="21" t="s">
        <v>127</v>
      </c>
      <c r="AA1058" s="21" t="s">
        <v>6964</v>
      </c>
      <c r="AB1058" s="21" t="s">
        <v>363</v>
      </c>
      <c r="AC1058" s="21" t="s">
        <v>6965</v>
      </c>
      <c r="AD1058" s="21" t="s">
        <v>132</v>
      </c>
      <c r="AE1058" s="21" t="s">
        <v>365</v>
      </c>
      <c r="AF1058" s="21" t="s">
        <v>135</v>
      </c>
      <c r="AG1058" s="21" t="s">
        <v>135</v>
      </c>
      <c r="AH1058" s="21" t="s">
        <v>135</v>
      </c>
      <c r="AI1058" s="21" t="s">
        <v>135</v>
      </c>
      <c r="AJ1058" s="21" t="s">
        <v>6966</v>
      </c>
    </row>
    <row r="1059" spans="1:36" ht="15.75" customHeight="1" x14ac:dyDescent="0.3">
      <c r="A1059" s="21">
        <v>2026</v>
      </c>
      <c r="B1059" s="22">
        <v>46164.996703101853</v>
      </c>
      <c r="G1059" s="21" t="s">
        <v>93</v>
      </c>
      <c r="H1059" s="21" t="s">
        <v>6967</v>
      </c>
      <c r="I1059" s="21" t="s">
        <v>1632</v>
      </c>
      <c r="J1059" s="21" t="s">
        <v>6968</v>
      </c>
      <c r="K1059" s="21" t="e">
        <f t="shared" ca="1" si="8"/>
        <v>#NAME?</v>
      </c>
      <c r="L1059" s="24">
        <v>1959</v>
      </c>
      <c r="M1059" s="21">
        <v>1984</v>
      </c>
      <c r="N1059" s="21" t="s">
        <v>111</v>
      </c>
      <c r="O1059" s="21" t="s">
        <v>112</v>
      </c>
      <c r="P1059" s="26">
        <v>9963001375</v>
      </c>
      <c r="Q1059" s="26" t="e">
        <f t="shared" ca="1" si="9"/>
        <v>#NAME?</v>
      </c>
      <c r="R1059" s="21" t="s">
        <v>188</v>
      </c>
      <c r="S1059" s="21" t="s">
        <v>6969</v>
      </c>
      <c r="T1059" s="21">
        <v>9989488299</v>
      </c>
      <c r="U1059" s="21" t="s">
        <v>6970</v>
      </c>
      <c r="V1059" s="21" t="s">
        <v>127</v>
      </c>
      <c r="W1059" s="21" t="s">
        <v>307</v>
      </c>
      <c r="X1059" s="21" t="s">
        <v>2957</v>
      </c>
      <c r="Y1059" s="21" t="s">
        <v>2685</v>
      </c>
      <c r="Z1059" s="21" t="s">
        <v>127</v>
      </c>
      <c r="AA1059" s="21" t="s">
        <v>6971</v>
      </c>
      <c r="AB1059" s="21" t="s">
        <v>363</v>
      </c>
      <c r="AC1059" s="21" t="s">
        <v>6972</v>
      </c>
      <c r="AD1059" s="21" t="s">
        <v>169</v>
      </c>
      <c r="AE1059" s="21" t="s">
        <v>365</v>
      </c>
      <c r="AF1059" s="21" t="s">
        <v>135</v>
      </c>
      <c r="AG1059" s="21" t="s">
        <v>135</v>
      </c>
      <c r="AH1059" s="21" t="s">
        <v>135</v>
      </c>
      <c r="AI1059" s="21" t="s">
        <v>135</v>
      </c>
      <c r="AJ1059" s="21" t="s">
        <v>6973</v>
      </c>
    </row>
    <row r="1060" spans="1:36" ht="15.75" customHeight="1" x14ac:dyDescent="0.3">
      <c r="A1060" s="21">
        <v>2026</v>
      </c>
      <c r="B1060" s="22">
        <v>46165.262473773153</v>
      </c>
      <c r="G1060" s="21" t="s">
        <v>256</v>
      </c>
      <c r="H1060" s="21" t="s">
        <v>6974</v>
      </c>
      <c r="I1060" s="21" t="s">
        <v>2649</v>
      </c>
      <c r="J1060" s="21" t="s">
        <v>6975</v>
      </c>
      <c r="K1060" s="21" t="e">
        <f t="shared" ca="1" si="8"/>
        <v>#NAME?</v>
      </c>
      <c r="L1060" s="24">
        <v>2014</v>
      </c>
      <c r="M1060" s="21">
        <v>2026</v>
      </c>
      <c r="N1060" s="21" t="s">
        <v>111</v>
      </c>
      <c r="O1060" s="21" t="s">
        <v>112</v>
      </c>
      <c r="P1060" s="26">
        <v>8297059956</v>
      </c>
      <c r="Q1060" s="26" t="e">
        <f t="shared" ca="1" si="9"/>
        <v>#NAME?</v>
      </c>
      <c r="R1060" s="21" t="s">
        <v>118</v>
      </c>
      <c r="S1060" s="21" t="s">
        <v>6976</v>
      </c>
      <c r="T1060" s="21">
        <v>918297184888</v>
      </c>
      <c r="U1060" s="21" t="s">
        <v>127</v>
      </c>
      <c r="V1060" s="21" t="s">
        <v>6977</v>
      </c>
      <c r="W1060" s="21" t="s">
        <v>328</v>
      </c>
      <c r="X1060" s="21" t="s">
        <v>179</v>
      </c>
      <c r="Y1060" s="21" t="s">
        <v>6978</v>
      </c>
      <c r="Z1060" s="21" t="s">
        <v>6979</v>
      </c>
      <c r="AA1060" s="21" t="s">
        <v>3656</v>
      </c>
      <c r="AB1060" s="21" t="s">
        <v>3657</v>
      </c>
      <c r="AC1060" s="21" t="s">
        <v>6980</v>
      </c>
      <c r="AD1060" s="21" t="s">
        <v>287</v>
      </c>
      <c r="AE1060" s="21" t="s">
        <v>365</v>
      </c>
      <c r="AF1060" s="21" t="s">
        <v>135</v>
      </c>
      <c r="AG1060" s="21" t="s">
        <v>135</v>
      </c>
      <c r="AH1060" s="21" t="s">
        <v>135</v>
      </c>
      <c r="AI1060" s="21" t="s">
        <v>135</v>
      </c>
      <c r="AJ1060" s="21" t="s">
        <v>6981</v>
      </c>
    </row>
    <row r="1061" spans="1:36" ht="15.75" customHeight="1" x14ac:dyDescent="0.3">
      <c r="A1061" s="21">
        <v>2026</v>
      </c>
      <c r="B1061" s="22">
        <v>46165.31147857639</v>
      </c>
      <c r="G1061" s="21" t="s">
        <v>93</v>
      </c>
      <c r="H1061" s="21" t="s">
        <v>6982</v>
      </c>
      <c r="I1061" s="21" t="s">
        <v>2649</v>
      </c>
      <c r="J1061" s="21" t="s">
        <v>6983</v>
      </c>
      <c r="K1061" s="21" t="e">
        <f t="shared" ca="1" si="8"/>
        <v>#NAME?</v>
      </c>
      <c r="L1061" s="24">
        <v>1983</v>
      </c>
      <c r="M1061" s="21">
        <v>2005</v>
      </c>
      <c r="N1061" s="21" t="s">
        <v>111</v>
      </c>
      <c r="O1061" s="21" t="s">
        <v>112</v>
      </c>
      <c r="P1061" s="26">
        <v>8297059956</v>
      </c>
      <c r="Q1061" s="26" t="e">
        <f t="shared" ca="1" si="9"/>
        <v>#NAME?</v>
      </c>
      <c r="R1061" s="21" t="s">
        <v>236</v>
      </c>
      <c r="S1061" s="21" t="s">
        <v>6976</v>
      </c>
      <c r="T1061" s="21">
        <v>918297184888</v>
      </c>
      <c r="U1061" s="21" t="s">
        <v>6984</v>
      </c>
      <c r="V1061" s="21" t="s">
        <v>127</v>
      </c>
      <c r="W1061" s="21" t="s">
        <v>219</v>
      </c>
      <c r="X1061" s="21" t="s">
        <v>6985</v>
      </c>
      <c r="Y1061" s="21" t="s">
        <v>3611</v>
      </c>
      <c r="Z1061" s="21" t="s">
        <v>127</v>
      </c>
      <c r="AA1061" s="21" t="s">
        <v>1127</v>
      </c>
      <c r="AB1061" s="21" t="s">
        <v>363</v>
      </c>
      <c r="AC1061" s="21" t="s">
        <v>6986</v>
      </c>
      <c r="AD1061" s="21" t="s">
        <v>287</v>
      </c>
      <c r="AE1061" s="21" t="s">
        <v>365</v>
      </c>
      <c r="AF1061" s="21" t="s">
        <v>686</v>
      </c>
      <c r="AG1061" s="21" t="s">
        <v>135</v>
      </c>
      <c r="AH1061" s="21" t="s">
        <v>135</v>
      </c>
      <c r="AI1061" s="21" t="s">
        <v>135</v>
      </c>
      <c r="AJ1061" s="21" t="s">
        <v>6987</v>
      </c>
    </row>
    <row r="1062" spans="1:36" ht="15.75" customHeight="1" x14ac:dyDescent="0.3">
      <c r="A1062" s="21">
        <v>2026</v>
      </c>
      <c r="B1062" s="22">
        <v>46170.012493136572</v>
      </c>
      <c r="G1062" s="21" t="s">
        <v>256</v>
      </c>
      <c r="H1062" s="21" t="s">
        <v>6988</v>
      </c>
      <c r="I1062" s="21" t="s">
        <v>1287</v>
      </c>
      <c r="J1062" s="21" t="s">
        <v>6989</v>
      </c>
      <c r="K1062" s="21" t="e">
        <f t="shared" ca="1" si="8"/>
        <v>#NAME?</v>
      </c>
      <c r="L1062" s="24">
        <v>2019</v>
      </c>
      <c r="M1062" s="21">
        <v>2026</v>
      </c>
      <c r="N1062" s="21" t="s">
        <v>111</v>
      </c>
      <c r="O1062" s="21" t="s">
        <v>112</v>
      </c>
      <c r="P1062" s="26">
        <v>9704899355</v>
      </c>
      <c r="Q1062" s="26" t="e">
        <f t="shared" ca="1" si="9"/>
        <v>#NAME?</v>
      </c>
      <c r="R1062" s="21" t="s">
        <v>188</v>
      </c>
      <c r="S1062" s="21" t="s">
        <v>5313</v>
      </c>
      <c r="T1062" s="21">
        <v>9419125122</v>
      </c>
      <c r="U1062" s="21" t="s">
        <v>127</v>
      </c>
      <c r="V1062" s="21" t="s">
        <v>4765</v>
      </c>
      <c r="W1062" s="21" t="s">
        <v>307</v>
      </c>
      <c r="X1062" s="21" t="s">
        <v>308</v>
      </c>
      <c r="Y1062" s="21" t="s">
        <v>308</v>
      </c>
      <c r="Z1062" s="21" t="s">
        <v>6990</v>
      </c>
      <c r="AA1062" s="21" t="s">
        <v>3231</v>
      </c>
      <c r="AB1062" s="21" t="s">
        <v>3591</v>
      </c>
      <c r="AC1062" s="21" t="s">
        <v>1169</v>
      </c>
      <c r="AD1062" s="21" t="s">
        <v>287</v>
      </c>
      <c r="AE1062" s="21" t="s">
        <v>365</v>
      </c>
      <c r="AF1062" s="21" t="s">
        <v>135</v>
      </c>
      <c r="AG1062" s="21" t="s">
        <v>135</v>
      </c>
      <c r="AH1062" s="21" t="s">
        <v>135</v>
      </c>
      <c r="AI1062" s="21" t="s">
        <v>135</v>
      </c>
    </row>
    <row r="1063" spans="1:36" ht="15.75" customHeight="1" x14ac:dyDescent="0.3">
      <c r="A1063" s="21">
        <v>2026</v>
      </c>
      <c r="B1063" s="22">
        <v>46170.234408344906</v>
      </c>
      <c r="G1063" s="21" t="s">
        <v>93</v>
      </c>
      <c r="H1063" s="21" t="s">
        <v>6991</v>
      </c>
      <c r="I1063" s="21" t="s">
        <v>6992</v>
      </c>
      <c r="J1063" s="21" t="s">
        <v>6993</v>
      </c>
      <c r="K1063" s="21" t="e">
        <f t="shared" ca="1" si="8"/>
        <v>#NAME?</v>
      </c>
      <c r="L1063" s="24">
        <v>1992</v>
      </c>
      <c r="M1063" s="21">
        <v>2016</v>
      </c>
      <c r="N1063" s="21" t="s">
        <v>111</v>
      </c>
      <c r="O1063" s="21" t="s">
        <v>112</v>
      </c>
      <c r="P1063" s="26">
        <v>7997622228</v>
      </c>
      <c r="Q1063" s="26" t="e">
        <f t="shared" ca="1" si="9"/>
        <v>#NAME?</v>
      </c>
      <c r="R1063" s="21" t="s">
        <v>6994</v>
      </c>
      <c r="S1063" s="21" t="s">
        <v>6995</v>
      </c>
      <c r="T1063" s="21" t="s">
        <v>6996</v>
      </c>
      <c r="U1063" s="21" t="s">
        <v>6997</v>
      </c>
      <c r="V1063" s="21" t="s">
        <v>127</v>
      </c>
      <c r="W1063" s="21" t="s">
        <v>191</v>
      </c>
      <c r="X1063" s="21" t="s">
        <v>178</v>
      </c>
      <c r="Y1063" s="21" t="s">
        <v>178</v>
      </c>
      <c r="Z1063" s="21" t="s">
        <v>127</v>
      </c>
      <c r="AA1063" s="21" t="s">
        <v>6998</v>
      </c>
      <c r="AB1063" s="21" t="s">
        <v>3591</v>
      </c>
      <c r="AC1063" s="21" t="s">
        <v>6999</v>
      </c>
      <c r="AD1063" s="21" t="s">
        <v>132</v>
      </c>
      <c r="AE1063" s="21" t="s">
        <v>365</v>
      </c>
      <c r="AF1063" s="21" t="s">
        <v>135</v>
      </c>
      <c r="AG1063" s="21" t="s">
        <v>135</v>
      </c>
      <c r="AH1063" s="21" t="s">
        <v>135</v>
      </c>
      <c r="AI1063" s="21" t="s">
        <v>135</v>
      </c>
    </row>
    <row r="1064" spans="1:36" ht="15.75" customHeight="1" x14ac:dyDescent="0.3">
      <c r="A1064" s="21">
        <v>2026</v>
      </c>
      <c r="B1064" s="22">
        <v>46179.299115682872</v>
      </c>
      <c r="G1064" s="21" t="s">
        <v>93</v>
      </c>
      <c r="H1064" s="21" t="s">
        <v>7000</v>
      </c>
      <c r="I1064" s="21" t="s">
        <v>7001</v>
      </c>
      <c r="J1064" s="21" t="s">
        <v>7002</v>
      </c>
      <c r="K1064" s="21" t="e">
        <f t="shared" ca="1" si="8"/>
        <v>#NAME?</v>
      </c>
      <c r="L1064" s="24">
        <v>1964</v>
      </c>
      <c r="M1064" s="21">
        <v>1984</v>
      </c>
      <c r="N1064" s="21" t="s">
        <v>260</v>
      </c>
      <c r="O1064" s="21" t="s">
        <v>5008</v>
      </c>
      <c r="P1064" s="26">
        <v>96305472</v>
      </c>
      <c r="Q1064" s="26" t="e">
        <f t="shared" ca="1" si="9"/>
        <v>#NAME?</v>
      </c>
      <c r="R1064" s="21" t="s">
        <v>5009</v>
      </c>
      <c r="S1064" s="21" t="s">
        <v>7003</v>
      </c>
      <c r="T1064" s="21" t="s">
        <v>7004</v>
      </c>
      <c r="U1064" s="21" t="s">
        <v>7005</v>
      </c>
      <c r="V1064" s="21" t="s">
        <v>127</v>
      </c>
      <c r="W1064" s="21" t="s">
        <v>307</v>
      </c>
      <c r="X1064" s="21" t="s">
        <v>7006</v>
      </c>
      <c r="Y1064" s="21" t="s">
        <v>7007</v>
      </c>
      <c r="Z1064" s="21" t="s">
        <v>127</v>
      </c>
      <c r="AA1064" s="21" t="s">
        <v>7008</v>
      </c>
      <c r="AB1064" s="21" t="s">
        <v>363</v>
      </c>
      <c r="AC1064" s="21" t="s">
        <v>7009</v>
      </c>
      <c r="AD1064" s="21" t="s">
        <v>132</v>
      </c>
      <c r="AE1064" s="21" t="s">
        <v>365</v>
      </c>
      <c r="AF1064" s="21" t="s">
        <v>135</v>
      </c>
      <c r="AG1064" s="21" t="s">
        <v>135</v>
      </c>
      <c r="AH1064" s="21" t="s">
        <v>135</v>
      </c>
      <c r="AI1064" s="21" t="s">
        <v>135</v>
      </c>
      <c r="AJ1064" s="21" t="s">
        <v>7010</v>
      </c>
    </row>
    <row r="1065" spans="1:36" ht="15.75" customHeight="1" x14ac:dyDescent="0.3">
      <c r="A1065" s="21">
        <v>2026</v>
      </c>
      <c r="B1065" s="22">
        <v>46180.348555532408</v>
      </c>
      <c r="G1065" s="21" t="s">
        <v>93</v>
      </c>
      <c r="H1065" s="21" t="s">
        <v>7011</v>
      </c>
      <c r="I1065" s="21" t="s">
        <v>2016</v>
      </c>
      <c r="J1065" s="21" t="s">
        <v>7012</v>
      </c>
      <c r="K1065" s="21" t="e">
        <f t="shared" ca="1" si="8"/>
        <v>#NAME?</v>
      </c>
      <c r="L1065" s="24">
        <v>1957</v>
      </c>
      <c r="M1065" s="21">
        <v>1970</v>
      </c>
      <c r="N1065" s="21" t="s">
        <v>111</v>
      </c>
      <c r="O1065" s="21" t="s">
        <v>112</v>
      </c>
      <c r="P1065" s="26">
        <v>9246371957</v>
      </c>
      <c r="Q1065" s="26" t="e">
        <f t="shared" ca="1" si="9"/>
        <v>#NAME?</v>
      </c>
      <c r="R1065" s="21" t="s">
        <v>188</v>
      </c>
      <c r="S1065" s="21" t="s">
        <v>7013</v>
      </c>
      <c r="T1065" s="21" t="s">
        <v>7014</v>
      </c>
      <c r="U1065" s="21" t="s">
        <v>7015</v>
      </c>
      <c r="V1065" s="21" t="s">
        <v>127</v>
      </c>
      <c r="W1065" s="21" t="s">
        <v>266</v>
      </c>
      <c r="X1065" s="21" t="s">
        <v>7016</v>
      </c>
      <c r="Y1065" s="21" t="s">
        <v>7017</v>
      </c>
      <c r="Z1065" s="21" t="s">
        <v>127</v>
      </c>
      <c r="AA1065" s="21" t="s">
        <v>7018</v>
      </c>
      <c r="AB1065" s="21" t="s">
        <v>363</v>
      </c>
      <c r="AC1065" s="21" t="s">
        <v>7019</v>
      </c>
      <c r="AD1065" s="21" t="s">
        <v>132</v>
      </c>
      <c r="AE1065" s="21" t="s">
        <v>365</v>
      </c>
      <c r="AF1065" s="21" t="s">
        <v>135</v>
      </c>
      <c r="AG1065" s="21" t="s">
        <v>135</v>
      </c>
      <c r="AH1065" s="21" t="s">
        <v>135</v>
      </c>
      <c r="AI1065" s="21" t="s">
        <v>135</v>
      </c>
      <c r="AJ1065" s="21" t="s">
        <v>7020</v>
      </c>
    </row>
    <row r="1066" spans="1:36" ht="15.75" customHeight="1" x14ac:dyDescent="0.3">
      <c r="A1066" s="21">
        <v>2026</v>
      </c>
      <c r="B1066" s="22">
        <v>46180.837189861108</v>
      </c>
      <c r="G1066" s="21" t="s">
        <v>93</v>
      </c>
      <c r="H1066" s="21" t="s">
        <v>7021</v>
      </c>
      <c r="I1066" s="21" t="s">
        <v>622</v>
      </c>
      <c r="J1066" s="21" t="s">
        <v>7022</v>
      </c>
      <c r="K1066" s="21" t="e">
        <f t="shared" ca="1" si="8"/>
        <v>#NAME?</v>
      </c>
      <c r="L1066" s="24">
        <v>1975</v>
      </c>
      <c r="M1066" s="21">
        <v>2003</v>
      </c>
      <c r="N1066" s="21" t="s">
        <v>402</v>
      </c>
      <c r="O1066" s="21" t="s">
        <v>316</v>
      </c>
      <c r="P1066" s="26">
        <v>9808758142</v>
      </c>
      <c r="Q1066" s="26" t="e">
        <f t="shared" ca="1" si="9"/>
        <v>#NAME?</v>
      </c>
      <c r="R1066" s="21" t="s">
        <v>1780</v>
      </c>
      <c r="S1066" s="21" t="s">
        <v>2792</v>
      </c>
      <c r="T1066" s="21">
        <v>7042943580</v>
      </c>
      <c r="U1066" s="21" t="s">
        <v>7023</v>
      </c>
      <c r="V1066" s="21" t="s">
        <v>127</v>
      </c>
      <c r="W1066" s="21" t="s">
        <v>7024</v>
      </c>
      <c r="X1066" s="21" t="s">
        <v>7025</v>
      </c>
      <c r="Y1066" s="21" t="s">
        <v>352</v>
      </c>
      <c r="Z1066" s="21" t="s">
        <v>127</v>
      </c>
      <c r="AA1066" s="21" t="s">
        <v>6326</v>
      </c>
      <c r="AB1066" s="21" t="s">
        <v>363</v>
      </c>
      <c r="AC1066" s="21" t="s">
        <v>7026</v>
      </c>
      <c r="AD1066" s="21" t="s">
        <v>132</v>
      </c>
      <c r="AE1066" s="21" t="s">
        <v>365</v>
      </c>
      <c r="AF1066" s="21" t="s">
        <v>135</v>
      </c>
      <c r="AG1066" s="21" t="s">
        <v>135</v>
      </c>
      <c r="AH1066" s="21" t="s">
        <v>135</v>
      </c>
      <c r="AI1066" s="21" t="s">
        <v>135</v>
      </c>
      <c r="AJ1066" s="21" t="s">
        <v>7027</v>
      </c>
    </row>
    <row r="1067" spans="1:36" ht="15.75" customHeight="1" x14ac:dyDescent="0.3">
      <c r="A1067" s="21">
        <v>2026</v>
      </c>
      <c r="B1067" s="22">
        <v>46180.919780752316</v>
      </c>
      <c r="G1067" s="21" t="s">
        <v>93</v>
      </c>
      <c r="H1067" s="21" t="s">
        <v>7028</v>
      </c>
      <c r="I1067" s="21" t="s">
        <v>390</v>
      </c>
      <c r="J1067" s="21" t="s">
        <v>7029</v>
      </c>
      <c r="K1067" s="21" t="e">
        <f t="shared" ca="1" si="8"/>
        <v>#NAME?</v>
      </c>
      <c r="L1067" s="24">
        <v>1979</v>
      </c>
      <c r="M1067" s="21">
        <v>1994</v>
      </c>
      <c r="N1067" s="21" t="s">
        <v>111</v>
      </c>
      <c r="O1067" s="21" t="s">
        <v>112</v>
      </c>
      <c r="P1067" s="26">
        <v>8008700077</v>
      </c>
      <c r="Q1067" s="26" t="e">
        <f t="shared" ca="1" si="9"/>
        <v>#NAME?</v>
      </c>
      <c r="R1067" s="21" t="s">
        <v>188</v>
      </c>
      <c r="S1067" s="21" t="s">
        <v>392</v>
      </c>
      <c r="T1067" s="21">
        <v>8885578787</v>
      </c>
      <c r="U1067" s="21" t="s">
        <v>7030</v>
      </c>
      <c r="V1067" s="21" t="s">
        <v>127</v>
      </c>
      <c r="W1067" s="21" t="s">
        <v>307</v>
      </c>
      <c r="X1067" s="21" t="s">
        <v>352</v>
      </c>
      <c r="Y1067" s="21" t="s">
        <v>7031</v>
      </c>
      <c r="Z1067" s="21" t="s">
        <v>127</v>
      </c>
      <c r="AA1067" s="21" t="s">
        <v>297</v>
      </c>
      <c r="AB1067" s="21" t="s">
        <v>363</v>
      </c>
      <c r="AC1067" s="21" t="s">
        <v>7032</v>
      </c>
      <c r="AD1067" s="21" t="s">
        <v>132</v>
      </c>
      <c r="AE1067" s="21" t="s">
        <v>365</v>
      </c>
      <c r="AF1067" s="21" t="s">
        <v>135</v>
      </c>
      <c r="AG1067" s="21" t="s">
        <v>135</v>
      </c>
      <c r="AH1067" s="21" t="s">
        <v>135</v>
      </c>
      <c r="AI1067" s="21" t="s">
        <v>135</v>
      </c>
      <c r="AJ1067" s="21" t="s">
        <v>7033</v>
      </c>
    </row>
    <row r="1068" spans="1:36" ht="15.75" customHeight="1" x14ac:dyDescent="0.3">
      <c r="A1068" s="21">
        <v>2026</v>
      </c>
      <c r="B1068" s="22">
        <v>46192.941081550925</v>
      </c>
      <c r="G1068" s="21" t="s">
        <v>93</v>
      </c>
      <c r="H1068" s="21" t="s">
        <v>7034</v>
      </c>
      <c r="I1068" s="21" t="s">
        <v>982</v>
      </c>
      <c r="J1068" s="21" t="s">
        <v>1970</v>
      </c>
      <c r="K1068" s="21" t="e">
        <f t="shared" ca="1" si="8"/>
        <v>#NAME?</v>
      </c>
      <c r="L1068" s="24">
        <v>1970</v>
      </c>
      <c r="M1068" s="21">
        <v>1989</v>
      </c>
      <c r="N1068" s="21" t="s">
        <v>111</v>
      </c>
      <c r="O1068" s="21" t="s">
        <v>112</v>
      </c>
      <c r="P1068" s="26">
        <v>9703804150</v>
      </c>
      <c r="Q1068" s="26" t="e">
        <f t="shared" ca="1" si="9"/>
        <v>#NAME?</v>
      </c>
      <c r="R1068" s="21" t="s">
        <v>485</v>
      </c>
      <c r="S1068" s="21" t="s">
        <v>7035</v>
      </c>
      <c r="T1068" s="21">
        <v>9121551597</v>
      </c>
      <c r="U1068" s="21" t="s">
        <v>6940</v>
      </c>
      <c r="V1068" s="21" t="s">
        <v>127</v>
      </c>
      <c r="W1068" s="21" t="s">
        <v>266</v>
      </c>
      <c r="X1068" s="21" t="s">
        <v>352</v>
      </c>
      <c r="Y1068" s="21" t="s">
        <v>352</v>
      </c>
      <c r="Z1068" s="21" t="s">
        <v>127</v>
      </c>
      <c r="AA1068" s="21" t="s">
        <v>386</v>
      </c>
      <c r="AB1068" s="21" t="s">
        <v>363</v>
      </c>
      <c r="AC1068" s="21" t="s">
        <v>7036</v>
      </c>
      <c r="AD1068" s="21" t="s">
        <v>287</v>
      </c>
      <c r="AE1068" s="21" t="s">
        <v>365</v>
      </c>
      <c r="AF1068" s="21" t="s">
        <v>135</v>
      </c>
      <c r="AG1068" s="21" t="s">
        <v>135</v>
      </c>
      <c r="AH1068" s="21" t="s">
        <v>135</v>
      </c>
      <c r="AI1068" s="21" t="s">
        <v>135</v>
      </c>
    </row>
    <row r="1069" spans="1:36" ht="15.75" customHeight="1" x14ac:dyDescent="0.3">
      <c r="A1069" s="21">
        <v>2024</v>
      </c>
      <c r="B1069" s="22"/>
      <c r="I1069" s="21" t="s">
        <v>3544</v>
      </c>
      <c r="J1069" s="21" t="s">
        <v>3546</v>
      </c>
      <c r="K1069" s="21" t="e">
        <f t="shared" ca="1" si="8"/>
        <v>#NAME?</v>
      </c>
      <c r="L1069" s="24">
        <v>2010</v>
      </c>
      <c r="N1069" s="21" t="s">
        <v>111</v>
      </c>
      <c r="O1069" s="21" t="s">
        <v>112</v>
      </c>
      <c r="P1069" s="26">
        <v>9160044414</v>
      </c>
      <c r="Q1069" s="26" t="e">
        <f t="shared" ca="1" si="9"/>
        <v>#NAME?</v>
      </c>
    </row>
    <row r="1070" spans="1:36" ht="15.75" customHeight="1" x14ac:dyDescent="0.3">
      <c r="A1070" s="21">
        <v>2025</v>
      </c>
      <c r="B1070" s="22"/>
      <c r="I1070" s="21" t="s">
        <v>7037</v>
      </c>
      <c r="J1070" s="21" t="s">
        <v>2514</v>
      </c>
      <c r="K1070" s="21" t="e">
        <f t="shared" ca="1" si="8"/>
        <v>#NAME?</v>
      </c>
      <c r="L1070" s="24"/>
      <c r="N1070" s="21" t="s">
        <v>402</v>
      </c>
      <c r="O1070" s="21" t="s">
        <v>316</v>
      </c>
      <c r="P1070" s="26">
        <v>4846454865</v>
      </c>
      <c r="Q1070" s="26" t="e">
        <f t="shared" ca="1" si="9"/>
        <v>#NAME?</v>
      </c>
    </row>
    <row r="1071" spans="1:36" ht="15.75" customHeight="1" x14ac:dyDescent="0.3">
      <c r="A1071" s="21">
        <v>2025</v>
      </c>
      <c r="B1071" s="22"/>
      <c r="I1071" s="21" t="s">
        <v>7038</v>
      </c>
      <c r="J1071" s="21" t="s">
        <v>2221</v>
      </c>
      <c r="K1071" s="21" t="e">
        <f t="shared" ca="1" si="8"/>
        <v>#NAME?</v>
      </c>
      <c r="L1071" s="24"/>
      <c r="N1071" s="21" t="s">
        <v>111</v>
      </c>
      <c r="O1071" s="21" t="s">
        <v>112</v>
      </c>
      <c r="P1071" s="26">
        <v>7013165192</v>
      </c>
      <c r="Q1071" s="26" t="e">
        <f t="shared" ca="1" si="9"/>
        <v>#NAME?</v>
      </c>
    </row>
    <row r="1072" spans="1:36" ht="15.75" customHeight="1" x14ac:dyDescent="0.3">
      <c r="A1072" s="21">
        <v>2025</v>
      </c>
      <c r="B1072" s="22"/>
      <c r="I1072" s="21" t="s">
        <v>6165</v>
      </c>
      <c r="J1072" s="21" t="s">
        <v>5546</v>
      </c>
      <c r="K1072" s="21" t="e">
        <f t="shared" ca="1" si="8"/>
        <v>#NAME?</v>
      </c>
      <c r="L1072" s="24"/>
      <c r="N1072" s="21" t="s">
        <v>315</v>
      </c>
      <c r="O1072" s="21" t="s">
        <v>316</v>
      </c>
      <c r="P1072" s="26">
        <v>7049298741</v>
      </c>
      <c r="Q1072" s="26" t="e">
        <f t="shared" ca="1" si="9"/>
        <v>#NAME?</v>
      </c>
    </row>
    <row r="1073" spans="1:28" ht="15.75" customHeight="1" x14ac:dyDescent="0.3">
      <c r="A1073" s="21">
        <v>2025</v>
      </c>
      <c r="B1073" s="22"/>
      <c r="I1073" s="21" t="s">
        <v>6138</v>
      </c>
      <c r="J1073" s="21" t="s">
        <v>7039</v>
      </c>
      <c r="K1073" s="21" t="e">
        <f t="shared" ca="1" si="8"/>
        <v>#NAME?</v>
      </c>
      <c r="L1073" s="24"/>
      <c r="N1073" s="21" t="s">
        <v>315</v>
      </c>
      <c r="O1073" s="21" t="s">
        <v>316</v>
      </c>
      <c r="P1073" s="26">
        <v>6512020309</v>
      </c>
      <c r="Q1073" s="26" t="e">
        <f t="shared" ca="1" si="9"/>
        <v>#NAME?</v>
      </c>
    </row>
    <row r="1074" spans="1:28" ht="15.75" customHeight="1" x14ac:dyDescent="0.3">
      <c r="A1074" s="21">
        <v>2021</v>
      </c>
      <c r="B1074" s="22"/>
      <c r="I1074" s="21" t="s">
        <v>7040</v>
      </c>
      <c r="J1074" s="21" t="s">
        <v>5611</v>
      </c>
      <c r="K1074" s="21" t="e">
        <f t="shared" ca="1" si="8"/>
        <v>#NAME?</v>
      </c>
      <c r="L1074" s="69">
        <v>1967</v>
      </c>
      <c r="M1074" s="70"/>
      <c r="N1074" s="21" t="s">
        <v>402</v>
      </c>
      <c r="O1074" s="21" t="s">
        <v>316</v>
      </c>
      <c r="P1074" s="71">
        <v>3135881289</v>
      </c>
      <c r="Q1074" s="26" t="e">
        <f t="shared" ca="1" si="9"/>
        <v>#NAME?</v>
      </c>
      <c r="R1074" s="70"/>
      <c r="S1074" s="70"/>
      <c r="T1074" s="70"/>
      <c r="U1074" s="70"/>
      <c r="V1074" s="70"/>
      <c r="W1074" s="70"/>
      <c r="X1074" s="70"/>
      <c r="Y1074" s="70"/>
      <c r="Z1074" s="70"/>
      <c r="AA1074" s="70"/>
      <c r="AB1074" s="70"/>
    </row>
    <row r="1075" spans="1:28" ht="15.75" customHeight="1" x14ac:dyDescent="0.3">
      <c r="B1075" s="22"/>
      <c r="L1075" s="24"/>
      <c r="P1075" s="26"/>
      <c r="Q1075" s="26"/>
    </row>
    <row r="1076" spans="1:28" ht="15.75" customHeight="1" x14ac:dyDescent="0.3">
      <c r="B1076" s="22"/>
      <c r="L1076" s="24"/>
      <c r="P1076" s="26"/>
      <c r="Q1076" s="26"/>
    </row>
    <row r="1077" spans="1:28" ht="15.75" customHeight="1" x14ac:dyDescent="0.3">
      <c r="B1077" s="22"/>
      <c r="L1077" s="24"/>
      <c r="P1077" s="26"/>
      <c r="Q1077" s="26"/>
    </row>
    <row r="1078" spans="1:28" ht="15.75" customHeight="1" x14ac:dyDescent="0.3">
      <c r="B1078" s="22"/>
      <c r="L1078" s="24"/>
      <c r="P1078" s="26"/>
      <c r="Q1078" s="26"/>
    </row>
    <row r="1079" spans="1:28" ht="15.75" customHeight="1" x14ac:dyDescent="0.3">
      <c r="B1079" s="22"/>
      <c r="L1079" s="24"/>
      <c r="P1079" s="26"/>
      <c r="Q1079" s="26"/>
    </row>
    <row r="1080" spans="1:28" ht="15.75" customHeight="1" x14ac:dyDescent="0.3">
      <c r="B1080" s="22"/>
      <c r="L1080" s="24"/>
      <c r="P1080" s="26"/>
      <c r="Q1080" s="26"/>
    </row>
    <row r="1081" spans="1:28" ht="15.75" customHeight="1" x14ac:dyDescent="0.3">
      <c r="B1081" s="22"/>
      <c r="L1081" s="24"/>
      <c r="P1081" s="26"/>
      <c r="Q1081" s="26"/>
    </row>
    <row r="1082" spans="1:28" ht="15.75" customHeight="1" x14ac:dyDescent="0.3">
      <c r="B1082" s="22"/>
      <c r="L1082" s="24"/>
      <c r="P1082" s="26"/>
      <c r="Q1082" s="26"/>
    </row>
    <row r="1083" spans="1:28" ht="15.75" customHeight="1" x14ac:dyDescent="0.3">
      <c r="B1083" s="22"/>
      <c r="L1083" s="24"/>
      <c r="P1083" s="26"/>
      <c r="Q1083" s="26"/>
    </row>
    <row r="1084" spans="1:28" ht="15.75" customHeight="1" x14ac:dyDescent="0.3">
      <c r="B1084" s="22"/>
      <c r="L1084" s="24"/>
      <c r="P1084" s="26"/>
      <c r="Q1084" s="26"/>
    </row>
    <row r="1085" spans="1:28" ht="15.75" customHeight="1" x14ac:dyDescent="0.3">
      <c r="B1085" s="22"/>
      <c r="L1085" s="24"/>
      <c r="P1085" s="26"/>
      <c r="Q1085" s="26"/>
    </row>
    <row r="1086" spans="1:28" ht="15.75" customHeight="1" x14ac:dyDescent="0.3">
      <c r="B1086" s="22"/>
      <c r="L1086" s="24"/>
      <c r="P1086" s="26"/>
      <c r="Q1086" s="26"/>
    </row>
    <row r="1087" spans="1:28" ht="15.75" customHeight="1" x14ac:dyDescent="0.3">
      <c r="B1087" s="22"/>
      <c r="L1087" s="24"/>
      <c r="P1087" s="26"/>
      <c r="Q1087" s="26"/>
    </row>
    <row r="1088" spans="1:28" ht="15.75" customHeight="1" x14ac:dyDescent="0.3">
      <c r="B1088" s="22"/>
      <c r="L1088" s="24"/>
      <c r="P1088" s="26"/>
      <c r="Q1088" s="26"/>
    </row>
    <row r="1089" spans="2:17" ht="15.75" customHeight="1" x14ac:dyDescent="0.3">
      <c r="B1089" s="22"/>
      <c r="L1089" s="24"/>
      <c r="P1089" s="26"/>
      <c r="Q1089" s="26"/>
    </row>
    <row r="1090" spans="2:17" ht="15.75" customHeight="1" x14ac:dyDescent="0.3">
      <c r="B1090" s="22"/>
      <c r="L1090" s="24"/>
      <c r="P1090" s="26"/>
      <c r="Q1090" s="26"/>
    </row>
    <row r="1091" spans="2:17" ht="15.75" customHeight="1" x14ac:dyDescent="0.3">
      <c r="B1091" s="22"/>
      <c r="L1091" s="24"/>
      <c r="P1091" s="26"/>
      <c r="Q1091" s="26"/>
    </row>
    <row r="1092" spans="2:17" ht="15.75" customHeight="1" x14ac:dyDescent="0.3">
      <c r="B1092" s="22"/>
      <c r="L1092" s="24"/>
      <c r="P1092" s="26"/>
      <c r="Q1092" s="26"/>
    </row>
    <row r="1093" spans="2:17" ht="15.75" customHeight="1" x14ac:dyDescent="0.3">
      <c r="B1093" s="22"/>
      <c r="L1093" s="24"/>
      <c r="P1093" s="26"/>
      <c r="Q1093" s="26"/>
    </row>
    <row r="1094" spans="2:17" ht="15.75" customHeight="1" x14ac:dyDescent="0.3">
      <c r="B1094" s="22"/>
      <c r="L1094" s="24"/>
      <c r="P1094" s="26"/>
      <c r="Q1094" s="26"/>
    </row>
    <row r="1095" spans="2:17" ht="15.75" customHeight="1" x14ac:dyDescent="0.3">
      <c r="B1095" s="22"/>
      <c r="L1095" s="24"/>
      <c r="P1095" s="26"/>
      <c r="Q1095" s="26"/>
    </row>
    <row r="1096" spans="2:17" ht="15.75" customHeight="1" x14ac:dyDescent="0.3">
      <c r="B1096" s="22"/>
      <c r="L1096" s="24"/>
      <c r="P1096" s="26"/>
      <c r="Q1096" s="26"/>
    </row>
    <row r="1097" spans="2:17" ht="15.75" customHeight="1" x14ac:dyDescent="0.3">
      <c r="B1097" s="22"/>
      <c r="L1097" s="24"/>
      <c r="P1097" s="26"/>
      <c r="Q1097" s="26"/>
    </row>
    <row r="1098" spans="2:17" ht="15.75" customHeight="1" x14ac:dyDescent="0.3">
      <c r="B1098" s="22"/>
      <c r="L1098" s="24"/>
      <c r="P1098" s="26"/>
      <c r="Q1098" s="26"/>
    </row>
    <row r="1099" spans="2:17" ht="15.75" customHeight="1" x14ac:dyDescent="0.3">
      <c r="B1099" s="22"/>
      <c r="L1099" s="24"/>
      <c r="P1099" s="26"/>
      <c r="Q1099" s="26"/>
    </row>
    <row r="1100" spans="2:17" ht="15.75" customHeight="1" x14ac:dyDescent="0.3">
      <c r="B1100" s="22"/>
      <c r="L1100" s="24"/>
      <c r="P1100" s="26"/>
      <c r="Q1100" s="26"/>
    </row>
    <row r="1101" spans="2:17" ht="15.75" customHeight="1" x14ac:dyDescent="0.3">
      <c r="B1101" s="22"/>
      <c r="L1101" s="24"/>
      <c r="P1101" s="26"/>
      <c r="Q1101" s="26"/>
    </row>
    <row r="1102" spans="2:17" ht="15.75" customHeight="1" x14ac:dyDescent="0.3">
      <c r="B1102" s="22"/>
      <c r="L1102" s="24"/>
      <c r="P1102" s="26"/>
      <c r="Q1102" s="26"/>
    </row>
    <row r="1103" spans="2:17" ht="15.75" customHeight="1" x14ac:dyDescent="0.3">
      <c r="B1103" s="22"/>
      <c r="L1103" s="24"/>
      <c r="P1103" s="26"/>
      <c r="Q1103" s="26"/>
    </row>
    <row r="1104" spans="2:17" ht="15.75" customHeight="1" x14ac:dyDescent="0.3">
      <c r="B1104" s="22"/>
      <c r="L1104" s="24"/>
      <c r="P1104" s="26"/>
      <c r="Q1104" s="26"/>
    </row>
    <row r="1105" spans="2:17" ht="15.75" customHeight="1" x14ac:dyDescent="0.3">
      <c r="B1105" s="22"/>
      <c r="L1105" s="24"/>
      <c r="P1105" s="26"/>
      <c r="Q1105" s="26"/>
    </row>
    <row r="1106" spans="2:17" ht="15.75" customHeight="1" x14ac:dyDescent="0.3">
      <c r="B1106" s="22"/>
      <c r="L1106" s="24"/>
      <c r="P1106" s="26"/>
      <c r="Q1106" s="26"/>
    </row>
    <row r="1107" spans="2:17" ht="15.75" customHeight="1" x14ac:dyDescent="0.3">
      <c r="B1107" s="22"/>
      <c r="L1107" s="24"/>
      <c r="P1107" s="26"/>
      <c r="Q1107" s="26"/>
    </row>
    <row r="1108" spans="2:17" ht="15.75" customHeight="1" x14ac:dyDescent="0.3">
      <c r="B1108" s="22"/>
      <c r="L1108" s="24"/>
      <c r="P1108" s="26"/>
      <c r="Q1108" s="26"/>
    </row>
    <row r="1109" spans="2:17" ht="15.75" customHeight="1" x14ac:dyDescent="0.3">
      <c r="B1109" s="22"/>
      <c r="L1109" s="24"/>
      <c r="P1109" s="26"/>
      <c r="Q1109" s="26"/>
    </row>
    <row r="1110" spans="2:17" ht="15.75" customHeight="1" x14ac:dyDescent="0.3">
      <c r="B1110" s="22"/>
      <c r="L1110" s="24"/>
      <c r="P1110" s="26"/>
      <c r="Q1110" s="26"/>
    </row>
    <row r="1111" spans="2:17" ht="15.75" customHeight="1" x14ac:dyDescent="0.3">
      <c r="B1111" s="22"/>
      <c r="L1111" s="24"/>
      <c r="P1111" s="26"/>
      <c r="Q1111" s="26"/>
    </row>
    <row r="1112" spans="2:17" ht="15.75" customHeight="1" x14ac:dyDescent="0.3">
      <c r="B1112" s="22"/>
      <c r="L1112" s="24"/>
      <c r="P1112" s="26"/>
      <c r="Q1112" s="26"/>
    </row>
    <row r="1113" spans="2:17" ht="15.75" customHeight="1" x14ac:dyDescent="0.3">
      <c r="B1113" s="22"/>
      <c r="L1113" s="24"/>
      <c r="P1113" s="26"/>
      <c r="Q1113" s="26"/>
    </row>
    <row r="1114" spans="2:17" ht="15.75" customHeight="1" x14ac:dyDescent="0.3">
      <c r="B1114" s="22"/>
      <c r="L1114" s="24"/>
      <c r="P1114" s="26"/>
      <c r="Q1114" s="26"/>
    </row>
    <row r="1115" spans="2:17" ht="15.75" customHeight="1" x14ac:dyDescent="0.3">
      <c r="B1115" s="22"/>
      <c r="L1115" s="24"/>
      <c r="P1115" s="26"/>
      <c r="Q1115" s="26"/>
    </row>
    <row r="1116" spans="2:17" ht="15.75" customHeight="1" x14ac:dyDescent="0.3">
      <c r="B1116" s="22"/>
      <c r="L1116" s="24"/>
      <c r="P1116" s="26"/>
      <c r="Q1116" s="26"/>
    </row>
    <row r="1117" spans="2:17" ht="15.75" customHeight="1" x14ac:dyDescent="0.3">
      <c r="B1117" s="22"/>
      <c r="L1117" s="24"/>
      <c r="P1117" s="26"/>
      <c r="Q1117" s="26"/>
    </row>
    <row r="1118" spans="2:17" ht="15.75" customHeight="1" x14ac:dyDescent="0.3">
      <c r="B1118" s="22"/>
      <c r="L1118" s="24"/>
      <c r="P1118" s="26"/>
      <c r="Q1118" s="26"/>
    </row>
    <row r="1119" spans="2:17" ht="15.75" customHeight="1" x14ac:dyDescent="0.3">
      <c r="B1119" s="22"/>
      <c r="L1119" s="24"/>
      <c r="P1119" s="26"/>
      <c r="Q1119" s="26"/>
    </row>
    <row r="1120" spans="2:17" ht="15.75" customHeight="1" x14ac:dyDescent="0.3">
      <c r="B1120" s="22"/>
      <c r="L1120" s="24"/>
      <c r="P1120" s="26"/>
      <c r="Q1120" s="26"/>
    </row>
    <row r="1121" spans="2:17" ht="15.75" customHeight="1" x14ac:dyDescent="0.3">
      <c r="B1121" s="22"/>
      <c r="L1121" s="24"/>
      <c r="P1121" s="26"/>
      <c r="Q1121" s="26"/>
    </row>
    <row r="1122" spans="2:17" ht="15.75" customHeight="1" x14ac:dyDescent="0.3">
      <c r="B1122" s="22"/>
      <c r="L1122" s="24"/>
      <c r="P1122" s="26"/>
      <c r="Q1122" s="26"/>
    </row>
    <row r="1123" spans="2:17" ht="15.75" customHeight="1" x14ac:dyDescent="0.3">
      <c r="B1123" s="22"/>
      <c r="L1123" s="24"/>
      <c r="P1123" s="26"/>
      <c r="Q1123" s="26"/>
    </row>
    <row r="1124" spans="2:17" ht="15.75" customHeight="1" x14ac:dyDescent="0.3">
      <c r="B1124" s="22"/>
      <c r="L1124" s="24"/>
      <c r="P1124" s="26"/>
      <c r="Q1124" s="26"/>
    </row>
    <row r="1125" spans="2:17" ht="15.75" customHeight="1" x14ac:dyDescent="0.3">
      <c r="B1125" s="22"/>
      <c r="L1125" s="24"/>
      <c r="P1125" s="26"/>
      <c r="Q1125" s="26"/>
    </row>
    <row r="1126" spans="2:17" ht="15.75" customHeight="1" x14ac:dyDescent="0.3">
      <c r="B1126" s="22"/>
      <c r="L1126" s="24"/>
      <c r="P1126" s="26"/>
      <c r="Q1126" s="26"/>
    </row>
    <row r="1127" spans="2:17" ht="15.75" customHeight="1" x14ac:dyDescent="0.3">
      <c r="B1127" s="22"/>
      <c r="L1127" s="24"/>
      <c r="P1127" s="26"/>
      <c r="Q1127" s="26"/>
    </row>
    <row r="1128" spans="2:17" ht="15.75" customHeight="1" x14ac:dyDescent="0.3">
      <c r="B1128" s="22"/>
      <c r="L1128" s="24"/>
      <c r="P1128" s="26"/>
      <c r="Q1128" s="26"/>
    </row>
    <row r="1129" spans="2:17" ht="15.75" customHeight="1" x14ac:dyDescent="0.3">
      <c r="B1129" s="22"/>
      <c r="L1129" s="24"/>
      <c r="P1129" s="26"/>
      <c r="Q1129" s="26"/>
    </row>
    <row r="1130" spans="2:17" ht="15.75" customHeight="1" x14ac:dyDescent="0.3">
      <c r="B1130" s="22"/>
      <c r="L1130" s="24"/>
      <c r="P1130" s="26"/>
      <c r="Q1130" s="26"/>
    </row>
    <row r="1131" spans="2:17" ht="15.75" customHeight="1" x14ac:dyDescent="0.3">
      <c r="B1131" s="22"/>
      <c r="L1131" s="24"/>
      <c r="P1131" s="26"/>
      <c r="Q1131" s="26"/>
    </row>
    <row r="1132" spans="2:17" ht="15.75" customHeight="1" x14ac:dyDescent="0.3">
      <c r="B1132" s="22"/>
      <c r="L1132" s="24"/>
      <c r="P1132" s="26"/>
      <c r="Q1132" s="26"/>
    </row>
    <row r="1133" spans="2:17" ht="15.75" customHeight="1" x14ac:dyDescent="0.3">
      <c r="B1133" s="22"/>
      <c r="L1133" s="24"/>
      <c r="P1133" s="26"/>
      <c r="Q1133" s="26"/>
    </row>
    <row r="1134" spans="2:17" ht="15.75" customHeight="1" x14ac:dyDescent="0.3">
      <c r="B1134" s="22"/>
      <c r="L1134" s="24"/>
      <c r="P1134" s="26"/>
      <c r="Q1134" s="26"/>
    </row>
    <row r="1135" spans="2:17" ht="15.75" customHeight="1" x14ac:dyDescent="0.3">
      <c r="B1135" s="22"/>
      <c r="L1135" s="24"/>
      <c r="P1135" s="26"/>
      <c r="Q1135" s="26"/>
    </row>
    <row r="1136" spans="2:17" ht="15.75" customHeight="1" x14ac:dyDescent="0.3">
      <c r="B1136" s="22"/>
      <c r="L1136" s="24"/>
      <c r="P1136" s="26"/>
      <c r="Q1136" s="26"/>
    </row>
    <row r="1137" spans="2:17" ht="15.75" customHeight="1" x14ac:dyDescent="0.3">
      <c r="B1137" s="22"/>
      <c r="L1137" s="24"/>
      <c r="P1137" s="26"/>
      <c r="Q1137" s="26"/>
    </row>
    <row r="1138" spans="2:17" ht="15.75" customHeight="1" x14ac:dyDescent="0.3">
      <c r="B1138" s="22"/>
      <c r="L1138" s="24"/>
      <c r="P1138" s="26"/>
      <c r="Q1138" s="26"/>
    </row>
    <row r="1139" spans="2:17" ht="15.75" customHeight="1" x14ac:dyDescent="0.3">
      <c r="B1139" s="22"/>
      <c r="L1139" s="24"/>
      <c r="P1139" s="26"/>
      <c r="Q1139" s="26"/>
    </row>
    <row r="1140" spans="2:17" ht="15.75" customHeight="1" x14ac:dyDescent="0.3">
      <c r="B1140" s="22"/>
      <c r="L1140" s="24"/>
      <c r="P1140" s="26"/>
      <c r="Q1140" s="26"/>
    </row>
    <row r="1141" spans="2:17" ht="15.75" customHeight="1" x14ac:dyDescent="0.3">
      <c r="B1141" s="22"/>
      <c r="L1141" s="24"/>
      <c r="P1141" s="26"/>
      <c r="Q1141" s="26"/>
    </row>
    <row r="1142" spans="2:17" ht="15.75" customHeight="1" x14ac:dyDescent="0.3">
      <c r="B1142" s="22"/>
      <c r="L1142" s="24"/>
      <c r="P1142" s="26"/>
      <c r="Q1142" s="26"/>
    </row>
    <row r="1143" spans="2:17" ht="15.75" customHeight="1" x14ac:dyDescent="0.3">
      <c r="B1143" s="22"/>
      <c r="L1143" s="24"/>
      <c r="P1143" s="26"/>
      <c r="Q1143" s="26"/>
    </row>
    <row r="1144" spans="2:17" ht="15.75" customHeight="1" x14ac:dyDescent="0.3">
      <c r="B1144" s="22"/>
      <c r="L1144" s="24"/>
      <c r="P1144" s="26"/>
      <c r="Q1144" s="26"/>
    </row>
    <row r="1145" spans="2:17" ht="15.75" customHeight="1" x14ac:dyDescent="0.3">
      <c r="B1145" s="22"/>
      <c r="L1145" s="24"/>
      <c r="P1145" s="26"/>
      <c r="Q1145" s="26"/>
    </row>
    <row r="1146" spans="2:17" ht="15.75" customHeight="1" x14ac:dyDescent="0.3">
      <c r="B1146" s="22"/>
      <c r="L1146" s="24"/>
      <c r="P1146" s="26"/>
      <c r="Q1146" s="26"/>
    </row>
    <row r="1147" spans="2:17" ht="15.75" customHeight="1" x14ac:dyDescent="0.3">
      <c r="B1147" s="22"/>
      <c r="L1147" s="24"/>
      <c r="P1147" s="26"/>
      <c r="Q1147" s="26"/>
    </row>
    <row r="1148" spans="2:17" ht="15.75" customHeight="1" x14ac:dyDescent="0.3">
      <c r="B1148" s="22"/>
      <c r="L1148" s="24"/>
      <c r="P1148" s="26"/>
      <c r="Q1148" s="26"/>
    </row>
    <row r="1149" spans="2:17" ht="15.75" customHeight="1" x14ac:dyDescent="0.3">
      <c r="B1149" s="22"/>
      <c r="L1149" s="24"/>
      <c r="P1149" s="26"/>
      <c r="Q1149" s="26"/>
    </row>
    <row r="1150" spans="2:17" ht="15.75" customHeight="1" x14ac:dyDescent="0.3">
      <c r="B1150" s="22"/>
      <c r="L1150" s="24"/>
      <c r="P1150" s="26"/>
      <c r="Q1150" s="26"/>
    </row>
    <row r="1151" spans="2:17" ht="15.75" customHeight="1" x14ac:dyDescent="0.3">
      <c r="B1151" s="22"/>
      <c r="L1151" s="24"/>
      <c r="P1151" s="26"/>
      <c r="Q1151" s="26"/>
    </row>
    <row r="1152" spans="2:17" ht="15.75" customHeight="1" x14ac:dyDescent="0.3">
      <c r="B1152" s="22"/>
      <c r="L1152" s="24"/>
      <c r="P1152" s="26"/>
      <c r="Q1152" s="26"/>
    </row>
    <row r="1153" spans="2:17" ht="15.75" customHeight="1" x14ac:dyDescent="0.3">
      <c r="B1153" s="22"/>
      <c r="L1153" s="24"/>
      <c r="P1153" s="26"/>
      <c r="Q1153" s="26"/>
    </row>
    <row r="1154" spans="2:17" ht="15.75" customHeight="1" x14ac:dyDescent="0.3">
      <c r="B1154" s="22"/>
      <c r="L1154" s="24"/>
      <c r="P1154" s="26"/>
      <c r="Q1154" s="26"/>
    </row>
    <row r="1155" spans="2:17" ht="15.75" customHeight="1" x14ac:dyDescent="0.3">
      <c r="B1155" s="22"/>
      <c r="L1155" s="24"/>
      <c r="P1155" s="26"/>
      <c r="Q1155" s="26"/>
    </row>
    <row r="1156" spans="2:17" ht="15.75" customHeight="1" x14ac:dyDescent="0.3">
      <c r="B1156" s="22"/>
      <c r="L1156" s="24"/>
      <c r="P1156" s="26"/>
      <c r="Q1156" s="26"/>
    </row>
    <row r="1157" spans="2:17" ht="15.75" customHeight="1" x14ac:dyDescent="0.3">
      <c r="B1157" s="22"/>
      <c r="L1157" s="24"/>
      <c r="P1157" s="26"/>
      <c r="Q1157" s="26"/>
    </row>
    <row r="1158" spans="2:17" ht="15.75" customHeight="1" x14ac:dyDescent="0.3">
      <c r="B1158" s="22"/>
      <c r="L1158" s="24"/>
      <c r="P1158" s="26"/>
      <c r="Q1158" s="26"/>
    </row>
    <row r="1159" spans="2:17" ht="15.75" customHeight="1" x14ac:dyDescent="0.3">
      <c r="B1159" s="22"/>
      <c r="L1159" s="24"/>
      <c r="P1159" s="26"/>
      <c r="Q1159" s="26"/>
    </row>
    <row r="1160" spans="2:17" ht="15.75" customHeight="1" x14ac:dyDescent="0.3">
      <c r="B1160" s="22"/>
      <c r="L1160" s="24"/>
      <c r="P1160" s="26"/>
      <c r="Q1160" s="26"/>
    </row>
    <row r="1161" spans="2:17" ht="15.75" customHeight="1" x14ac:dyDescent="0.3">
      <c r="B1161" s="22"/>
      <c r="L1161" s="24"/>
      <c r="P1161" s="26"/>
      <c r="Q1161" s="26"/>
    </row>
    <row r="1162" spans="2:17" ht="15.75" customHeight="1" x14ac:dyDescent="0.3">
      <c r="B1162" s="22"/>
      <c r="L1162" s="24"/>
      <c r="P1162" s="26"/>
      <c r="Q1162" s="26"/>
    </row>
    <row r="1163" spans="2:17" ht="15.75" customHeight="1" x14ac:dyDescent="0.3">
      <c r="B1163" s="22"/>
      <c r="L1163" s="24"/>
      <c r="P1163" s="26"/>
      <c r="Q1163" s="26"/>
    </row>
    <row r="1164" spans="2:17" ht="15.75" customHeight="1" x14ac:dyDescent="0.3">
      <c r="B1164" s="22"/>
      <c r="L1164" s="24"/>
      <c r="P1164" s="26"/>
      <c r="Q1164" s="26"/>
    </row>
    <row r="1165" spans="2:17" ht="15.75" customHeight="1" x14ac:dyDescent="0.3">
      <c r="B1165" s="22"/>
      <c r="L1165" s="24"/>
      <c r="P1165" s="26"/>
      <c r="Q1165" s="26"/>
    </row>
    <row r="1166" spans="2:17" ht="15.75" customHeight="1" x14ac:dyDescent="0.3">
      <c r="B1166" s="22"/>
      <c r="L1166" s="24"/>
      <c r="P1166" s="26"/>
      <c r="Q1166" s="26"/>
    </row>
    <row r="1167" spans="2:17" ht="15.75" customHeight="1" x14ac:dyDescent="0.3">
      <c r="B1167" s="22"/>
      <c r="L1167" s="24"/>
      <c r="P1167" s="26"/>
      <c r="Q1167" s="26"/>
    </row>
    <row r="1168" spans="2:17" ht="15.75" customHeight="1" x14ac:dyDescent="0.3">
      <c r="B1168" s="22"/>
      <c r="L1168" s="24"/>
      <c r="P1168" s="26"/>
      <c r="Q1168" s="26"/>
    </row>
    <row r="1169" spans="2:17" ht="15.75" customHeight="1" x14ac:dyDescent="0.3">
      <c r="B1169" s="22"/>
      <c r="L1169" s="24"/>
      <c r="P1169" s="26"/>
      <c r="Q1169" s="26"/>
    </row>
    <row r="1170" spans="2:17" ht="15.75" customHeight="1" x14ac:dyDescent="0.3">
      <c r="B1170" s="22"/>
      <c r="L1170" s="24"/>
      <c r="P1170" s="26"/>
      <c r="Q1170" s="26"/>
    </row>
    <row r="1171" spans="2:17" ht="15.75" customHeight="1" x14ac:dyDescent="0.3">
      <c r="B1171" s="22"/>
      <c r="L1171" s="24"/>
      <c r="P1171" s="26"/>
      <c r="Q1171" s="26"/>
    </row>
    <row r="1172" spans="2:17" ht="15.75" customHeight="1" x14ac:dyDescent="0.3">
      <c r="B1172" s="22"/>
      <c r="L1172" s="24"/>
      <c r="P1172" s="26"/>
      <c r="Q1172" s="26"/>
    </row>
    <row r="1173" spans="2:17" ht="15.75" customHeight="1" x14ac:dyDescent="0.3">
      <c r="B1173" s="22"/>
      <c r="L1173" s="24"/>
      <c r="P1173" s="26"/>
      <c r="Q1173" s="26"/>
    </row>
    <row r="1174" spans="2:17" ht="15.75" customHeight="1" x14ac:dyDescent="0.3">
      <c r="B1174" s="22"/>
      <c r="L1174" s="24"/>
      <c r="P1174" s="26"/>
      <c r="Q1174" s="26"/>
    </row>
    <row r="1175" spans="2:17" ht="15.75" customHeight="1" x14ac:dyDescent="0.3">
      <c r="B1175" s="22"/>
      <c r="L1175" s="24"/>
      <c r="P1175" s="26"/>
      <c r="Q1175" s="26"/>
    </row>
    <row r="1176" spans="2:17" ht="15.75" customHeight="1" x14ac:dyDescent="0.3">
      <c r="B1176" s="22"/>
      <c r="L1176" s="24"/>
      <c r="P1176" s="26"/>
      <c r="Q1176" s="26"/>
    </row>
    <row r="1177" spans="2:17" ht="15.75" customHeight="1" x14ac:dyDescent="0.3">
      <c r="B1177" s="22"/>
      <c r="L1177" s="24"/>
      <c r="P1177" s="26"/>
      <c r="Q1177" s="26"/>
    </row>
    <row r="1178" spans="2:17" ht="15.75" customHeight="1" x14ac:dyDescent="0.3">
      <c r="B1178" s="22"/>
      <c r="L1178" s="24"/>
      <c r="P1178" s="26"/>
      <c r="Q1178" s="26"/>
    </row>
    <row r="1179" spans="2:17" ht="15.75" customHeight="1" x14ac:dyDescent="0.3">
      <c r="B1179" s="22"/>
      <c r="L1179" s="24"/>
      <c r="P1179" s="26"/>
      <c r="Q1179" s="26"/>
    </row>
    <row r="1180" spans="2:17" ht="15.75" customHeight="1" x14ac:dyDescent="0.3">
      <c r="B1180" s="22"/>
      <c r="L1180" s="24"/>
      <c r="P1180" s="26"/>
      <c r="Q1180" s="26"/>
    </row>
    <row r="1181" spans="2:17" ht="15.75" customHeight="1" x14ac:dyDescent="0.3">
      <c r="B1181" s="22"/>
      <c r="L1181" s="24"/>
      <c r="P1181" s="26"/>
      <c r="Q1181" s="26"/>
    </row>
    <row r="1182" spans="2:17" ht="15.75" customHeight="1" x14ac:dyDescent="0.3">
      <c r="B1182" s="22"/>
      <c r="L1182" s="24"/>
      <c r="P1182" s="26"/>
      <c r="Q1182" s="26"/>
    </row>
    <row r="1183" spans="2:17" ht="15.75" customHeight="1" x14ac:dyDescent="0.3">
      <c r="B1183" s="22"/>
      <c r="L1183" s="24"/>
      <c r="P1183" s="26"/>
      <c r="Q1183" s="26"/>
    </row>
    <row r="1184" spans="2:17" ht="15.75" customHeight="1" x14ac:dyDescent="0.3">
      <c r="B1184" s="22"/>
      <c r="L1184" s="24"/>
      <c r="P1184" s="26"/>
      <c r="Q1184" s="26"/>
    </row>
    <row r="1185" spans="2:17" ht="15.75" customHeight="1" x14ac:dyDescent="0.3">
      <c r="B1185" s="22"/>
      <c r="L1185" s="24"/>
      <c r="P1185" s="26"/>
      <c r="Q1185" s="26"/>
    </row>
    <row r="1186" spans="2:17" ht="15.75" customHeight="1" x14ac:dyDescent="0.3">
      <c r="B1186" s="22"/>
      <c r="L1186" s="24"/>
      <c r="P1186" s="26"/>
      <c r="Q1186" s="26"/>
    </row>
    <row r="1187" spans="2:17" ht="15.75" customHeight="1" x14ac:dyDescent="0.3">
      <c r="B1187" s="22"/>
      <c r="L1187" s="24"/>
      <c r="P1187" s="26"/>
      <c r="Q1187" s="26"/>
    </row>
    <row r="1188" spans="2:17" ht="15.75" customHeight="1" x14ac:dyDescent="0.3">
      <c r="B1188" s="22"/>
      <c r="L1188" s="24"/>
      <c r="P1188" s="26"/>
      <c r="Q1188" s="26"/>
    </row>
    <row r="1189" spans="2:17" ht="15.75" customHeight="1" x14ac:dyDescent="0.3">
      <c r="B1189" s="22"/>
      <c r="L1189" s="24"/>
      <c r="P1189" s="26"/>
      <c r="Q1189" s="26"/>
    </row>
    <row r="1190" spans="2:17" ht="15.75" customHeight="1" x14ac:dyDescent="0.3">
      <c r="B1190" s="22"/>
      <c r="L1190" s="24"/>
      <c r="P1190" s="26"/>
      <c r="Q1190" s="26"/>
    </row>
    <row r="1191" spans="2:17" ht="15.75" customHeight="1" x14ac:dyDescent="0.3">
      <c r="B1191" s="22"/>
      <c r="L1191" s="24"/>
      <c r="P1191" s="26"/>
      <c r="Q1191" s="26"/>
    </row>
    <row r="1192" spans="2:17" ht="15.75" customHeight="1" x14ac:dyDescent="0.3">
      <c r="B1192" s="22"/>
      <c r="L1192" s="24"/>
      <c r="P1192" s="26"/>
      <c r="Q1192" s="26"/>
    </row>
    <row r="1193" spans="2:17" ht="15.75" customHeight="1" x14ac:dyDescent="0.3">
      <c r="B1193" s="22"/>
      <c r="L1193" s="24"/>
      <c r="P1193" s="26"/>
      <c r="Q1193" s="26"/>
    </row>
    <row r="1194" spans="2:17" ht="15.75" customHeight="1" x14ac:dyDescent="0.3">
      <c r="B1194" s="22"/>
      <c r="L1194" s="24"/>
      <c r="P1194" s="26"/>
      <c r="Q1194" s="26"/>
    </row>
    <row r="1195" spans="2:17" ht="15.75" customHeight="1" x14ac:dyDescent="0.3">
      <c r="B1195" s="22"/>
      <c r="L1195" s="24"/>
      <c r="P1195" s="26"/>
      <c r="Q1195" s="26"/>
    </row>
    <row r="1196" spans="2:17" ht="15.75" customHeight="1" x14ac:dyDescent="0.3">
      <c r="B1196" s="22"/>
      <c r="L1196" s="24"/>
      <c r="P1196" s="26"/>
      <c r="Q1196" s="26"/>
    </row>
    <row r="1197" spans="2:17" ht="15.75" customHeight="1" x14ac:dyDescent="0.3">
      <c r="B1197" s="22"/>
      <c r="L1197" s="24"/>
      <c r="P1197" s="26"/>
      <c r="Q1197" s="26"/>
    </row>
    <row r="1198" spans="2:17" ht="15.75" customHeight="1" x14ac:dyDescent="0.3">
      <c r="B1198" s="22"/>
      <c r="L1198" s="24"/>
      <c r="P1198" s="26"/>
      <c r="Q1198" s="26"/>
    </row>
    <row r="1199" spans="2:17" ht="15.75" customHeight="1" x14ac:dyDescent="0.3">
      <c r="B1199" s="22"/>
      <c r="L1199" s="24"/>
      <c r="P1199" s="26"/>
      <c r="Q1199" s="26"/>
    </row>
    <row r="1200" spans="2:17" ht="15.75" customHeight="1" x14ac:dyDescent="0.3">
      <c r="B1200" s="22"/>
      <c r="L1200" s="24"/>
      <c r="P1200" s="26"/>
      <c r="Q1200" s="26"/>
    </row>
    <row r="1201" spans="2:17" ht="15.75" customHeight="1" x14ac:dyDescent="0.3">
      <c r="B1201" s="22"/>
      <c r="L1201" s="24"/>
      <c r="P1201" s="26"/>
      <c r="Q1201" s="26"/>
    </row>
    <row r="1202" spans="2:17" ht="15.75" customHeight="1" x14ac:dyDescent="0.3">
      <c r="B1202" s="22"/>
      <c r="L1202" s="24"/>
      <c r="P1202" s="26"/>
      <c r="Q1202" s="26"/>
    </row>
    <row r="1203" spans="2:17" ht="15.75" customHeight="1" x14ac:dyDescent="0.3">
      <c r="B1203" s="22"/>
      <c r="L1203" s="24"/>
      <c r="P1203" s="26"/>
      <c r="Q1203" s="26"/>
    </row>
    <row r="1204" spans="2:17" ht="15.75" customHeight="1" x14ac:dyDescent="0.3">
      <c r="B1204" s="22"/>
      <c r="L1204" s="24"/>
      <c r="P1204" s="26"/>
      <c r="Q1204" s="26"/>
    </row>
    <row r="1205" spans="2:17" ht="15.75" customHeight="1" x14ac:dyDescent="0.3">
      <c r="B1205" s="22"/>
      <c r="L1205" s="24"/>
      <c r="P1205" s="26"/>
      <c r="Q1205" s="26"/>
    </row>
    <row r="1206" spans="2:17" ht="15.75" customHeight="1" x14ac:dyDescent="0.3">
      <c r="B1206" s="22"/>
      <c r="L1206" s="24"/>
      <c r="P1206" s="26"/>
      <c r="Q1206" s="26"/>
    </row>
    <row r="1207" spans="2:17" ht="15.75" customHeight="1" x14ac:dyDescent="0.3">
      <c r="B1207" s="22"/>
      <c r="L1207" s="24"/>
      <c r="P1207" s="26"/>
      <c r="Q1207" s="26"/>
    </row>
    <row r="1208" spans="2:17" ht="15.75" customHeight="1" x14ac:dyDescent="0.3">
      <c r="B1208" s="22"/>
      <c r="L1208" s="24"/>
      <c r="P1208" s="26"/>
      <c r="Q1208" s="26"/>
    </row>
    <row r="1209" spans="2:17" ht="15.75" customHeight="1" x14ac:dyDescent="0.3">
      <c r="B1209" s="22"/>
      <c r="L1209" s="24"/>
      <c r="P1209" s="26"/>
      <c r="Q1209" s="26"/>
    </row>
    <row r="1210" spans="2:17" ht="15.75" customHeight="1" x14ac:dyDescent="0.3">
      <c r="B1210" s="22"/>
      <c r="L1210" s="24"/>
      <c r="P1210" s="26"/>
      <c r="Q1210" s="26"/>
    </row>
    <row r="1211" spans="2:17" ht="15.75" customHeight="1" x14ac:dyDescent="0.3">
      <c r="B1211" s="22"/>
      <c r="L1211" s="24"/>
      <c r="P1211" s="26"/>
      <c r="Q1211" s="26"/>
    </row>
    <row r="1212" spans="2:17" ht="15.75" customHeight="1" x14ac:dyDescent="0.3">
      <c r="B1212" s="22"/>
      <c r="L1212" s="24"/>
      <c r="P1212" s="26"/>
      <c r="Q1212" s="26"/>
    </row>
    <row r="1213" spans="2:17" ht="15.75" customHeight="1" x14ac:dyDescent="0.3">
      <c r="B1213" s="22"/>
      <c r="L1213" s="24"/>
      <c r="P1213" s="26"/>
      <c r="Q1213" s="26"/>
    </row>
    <row r="1214" spans="2:17" ht="15.75" customHeight="1" x14ac:dyDescent="0.3">
      <c r="B1214" s="22"/>
      <c r="L1214" s="24"/>
      <c r="P1214" s="26"/>
      <c r="Q1214" s="26"/>
    </row>
    <row r="1215" spans="2:17" ht="15.75" customHeight="1" x14ac:dyDescent="0.3">
      <c r="B1215" s="22"/>
      <c r="L1215" s="24"/>
      <c r="P1215" s="26"/>
      <c r="Q1215" s="26"/>
    </row>
    <row r="1216" spans="2:17" ht="15.75" customHeight="1" x14ac:dyDescent="0.3">
      <c r="B1216" s="22"/>
      <c r="L1216" s="24"/>
      <c r="P1216" s="26"/>
      <c r="Q1216" s="26"/>
    </row>
    <row r="1217" spans="2:17" ht="15.75" customHeight="1" x14ac:dyDescent="0.3">
      <c r="B1217" s="22"/>
      <c r="L1217" s="24"/>
      <c r="P1217" s="26"/>
      <c r="Q1217" s="26"/>
    </row>
    <row r="1218" spans="2:17" ht="15.75" customHeight="1" x14ac:dyDescent="0.3">
      <c r="B1218" s="22"/>
      <c r="L1218" s="24"/>
      <c r="P1218" s="26"/>
      <c r="Q1218" s="26"/>
    </row>
    <row r="1219" spans="2:17" ht="15.75" customHeight="1" x14ac:dyDescent="0.3">
      <c r="B1219" s="22"/>
      <c r="L1219" s="24"/>
      <c r="P1219" s="26"/>
      <c r="Q1219" s="26"/>
    </row>
    <row r="1220" spans="2:17" ht="15.75" customHeight="1" x14ac:dyDescent="0.3">
      <c r="B1220" s="22"/>
      <c r="L1220" s="24"/>
      <c r="P1220" s="26"/>
      <c r="Q1220" s="26"/>
    </row>
    <row r="1221" spans="2:17" ht="15.75" customHeight="1" x14ac:dyDescent="0.3">
      <c r="B1221" s="22"/>
      <c r="L1221" s="24"/>
      <c r="P1221" s="26"/>
      <c r="Q1221" s="26"/>
    </row>
    <row r="1222" spans="2:17" ht="15.75" customHeight="1" x14ac:dyDescent="0.3">
      <c r="B1222" s="22"/>
      <c r="L1222" s="24"/>
      <c r="P1222" s="26"/>
      <c r="Q1222" s="26"/>
    </row>
    <row r="1223" spans="2:17" ht="15.75" customHeight="1" x14ac:dyDescent="0.3">
      <c r="B1223" s="22"/>
      <c r="L1223" s="24"/>
      <c r="P1223" s="26"/>
      <c r="Q1223" s="26"/>
    </row>
    <row r="1224" spans="2:17" ht="15.75" customHeight="1" x14ac:dyDescent="0.3">
      <c r="B1224" s="22"/>
      <c r="L1224" s="24"/>
      <c r="P1224" s="26"/>
      <c r="Q1224" s="26"/>
    </row>
    <row r="1225" spans="2:17" ht="15.75" customHeight="1" x14ac:dyDescent="0.3">
      <c r="B1225" s="22"/>
      <c r="L1225" s="24"/>
      <c r="P1225" s="26"/>
      <c r="Q1225" s="26"/>
    </row>
    <row r="1226" spans="2:17" ht="15.75" customHeight="1" x14ac:dyDescent="0.3">
      <c r="B1226" s="22"/>
      <c r="L1226" s="24"/>
      <c r="P1226" s="26"/>
      <c r="Q1226" s="26"/>
    </row>
    <row r="1227" spans="2:17" ht="15.75" customHeight="1" x14ac:dyDescent="0.3">
      <c r="B1227" s="22"/>
      <c r="L1227" s="24"/>
      <c r="P1227" s="26"/>
      <c r="Q1227" s="26"/>
    </row>
    <row r="1228" spans="2:17" ht="15.75" customHeight="1" x14ac:dyDescent="0.3">
      <c r="B1228" s="22"/>
      <c r="L1228" s="24"/>
      <c r="P1228" s="26"/>
      <c r="Q1228" s="26"/>
    </row>
    <row r="1229" spans="2:17" ht="15.75" customHeight="1" x14ac:dyDescent="0.3">
      <c r="B1229" s="22"/>
      <c r="L1229" s="24"/>
      <c r="P1229" s="26"/>
      <c r="Q1229" s="26"/>
    </row>
    <row r="1230" spans="2:17" ht="15.75" customHeight="1" x14ac:dyDescent="0.3">
      <c r="B1230" s="22"/>
      <c r="L1230" s="24"/>
      <c r="P1230" s="26"/>
      <c r="Q1230" s="26"/>
    </row>
    <row r="1231" spans="2:17" ht="15.75" customHeight="1" x14ac:dyDescent="0.3">
      <c r="B1231" s="22"/>
      <c r="L1231" s="24"/>
      <c r="P1231" s="26"/>
      <c r="Q1231" s="26"/>
    </row>
    <row r="1232" spans="2:17" ht="15.75" customHeight="1" x14ac:dyDescent="0.3">
      <c r="B1232" s="22"/>
      <c r="L1232" s="24"/>
      <c r="P1232" s="26"/>
      <c r="Q1232" s="26"/>
    </row>
    <row r="1233" spans="2:17" ht="15.75" customHeight="1" x14ac:dyDescent="0.3">
      <c r="B1233" s="22"/>
      <c r="L1233" s="24"/>
      <c r="P1233" s="26"/>
      <c r="Q1233" s="26"/>
    </row>
    <row r="1234" spans="2:17" ht="15.75" customHeight="1" x14ac:dyDescent="0.3">
      <c r="B1234" s="22"/>
      <c r="L1234" s="24"/>
      <c r="P1234" s="26"/>
      <c r="Q1234" s="26"/>
    </row>
    <row r="1235" spans="2:17" ht="15.75" customHeight="1" x14ac:dyDescent="0.3">
      <c r="B1235" s="22"/>
      <c r="L1235" s="24"/>
      <c r="P1235" s="26"/>
      <c r="Q1235" s="26"/>
    </row>
    <row r="1236" spans="2:17" ht="15.75" customHeight="1" x14ac:dyDescent="0.3">
      <c r="B1236" s="22"/>
      <c r="L1236" s="24"/>
      <c r="P1236" s="26"/>
      <c r="Q1236" s="26"/>
    </row>
    <row r="1237" spans="2:17" ht="15.75" customHeight="1" x14ac:dyDescent="0.3">
      <c r="B1237" s="22"/>
      <c r="L1237" s="24"/>
      <c r="P1237" s="26"/>
      <c r="Q1237" s="26"/>
    </row>
    <row r="1238" spans="2:17" ht="15.75" customHeight="1" x14ac:dyDescent="0.3">
      <c r="B1238" s="22"/>
      <c r="L1238" s="24"/>
      <c r="P1238" s="26"/>
      <c r="Q1238" s="26"/>
    </row>
    <row r="1239" spans="2:17" ht="15.75" customHeight="1" x14ac:dyDescent="0.3">
      <c r="B1239" s="22"/>
      <c r="L1239" s="24"/>
      <c r="P1239" s="26"/>
      <c r="Q1239" s="26"/>
    </row>
    <row r="1240" spans="2:17" ht="15.75" customHeight="1" x14ac:dyDescent="0.3">
      <c r="B1240" s="22"/>
      <c r="L1240" s="24"/>
      <c r="P1240" s="26"/>
      <c r="Q1240" s="26"/>
    </row>
    <row r="1241" spans="2:17" ht="15.75" customHeight="1" x14ac:dyDescent="0.3">
      <c r="B1241" s="22"/>
      <c r="L1241" s="24"/>
      <c r="P1241" s="26"/>
      <c r="Q1241" s="26"/>
    </row>
    <row r="1242" spans="2:17" ht="15.75" customHeight="1" x14ac:dyDescent="0.3">
      <c r="B1242" s="22"/>
      <c r="L1242" s="24"/>
      <c r="P1242" s="26"/>
      <c r="Q1242" s="26"/>
    </row>
    <row r="1243" spans="2:17" ht="15.75" customHeight="1" x14ac:dyDescent="0.3">
      <c r="B1243" s="22"/>
      <c r="L1243" s="24"/>
      <c r="P1243" s="26"/>
      <c r="Q1243" s="26"/>
    </row>
    <row r="1244" spans="2:17" ht="15.75" customHeight="1" x14ac:dyDescent="0.3">
      <c r="B1244" s="22"/>
      <c r="L1244" s="24"/>
      <c r="P1244" s="26"/>
      <c r="Q1244" s="26"/>
    </row>
    <row r="1245" spans="2:17" ht="15.75" customHeight="1" x14ac:dyDescent="0.3">
      <c r="B1245" s="22"/>
      <c r="L1245" s="24"/>
      <c r="P1245" s="26"/>
      <c r="Q1245" s="26"/>
    </row>
    <row r="1246" spans="2:17" ht="15.75" customHeight="1" x14ac:dyDescent="0.3">
      <c r="B1246" s="22"/>
      <c r="L1246" s="24"/>
      <c r="P1246" s="26"/>
      <c r="Q1246" s="26"/>
    </row>
    <row r="1247" spans="2:17" ht="15.75" customHeight="1" x14ac:dyDescent="0.3">
      <c r="B1247" s="22"/>
      <c r="L1247" s="24"/>
      <c r="P1247" s="26"/>
      <c r="Q1247" s="26"/>
    </row>
    <row r="1248" spans="2:17" ht="15.75" customHeight="1" x14ac:dyDescent="0.3">
      <c r="B1248" s="22"/>
      <c r="L1248" s="24"/>
      <c r="P1248" s="26"/>
      <c r="Q1248" s="26"/>
    </row>
    <row r="1249" spans="2:17" ht="15.75" customHeight="1" x14ac:dyDescent="0.3">
      <c r="B1249" s="22"/>
      <c r="L1249" s="24"/>
      <c r="P1249" s="26"/>
      <c r="Q1249" s="26"/>
    </row>
    <row r="1250" spans="2:17" ht="15.75" customHeight="1" x14ac:dyDescent="0.3">
      <c r="B1250" s="22"/>
      <c r="L1250" s="24"/>
      <c r="P1250" s="26"/>
      <c r="Q1250" s="26"/>
    </row>
    <row r="1251" spans="2:17" ht="15.75" customHeight="1" x14ac:dyDescent="0.3">
      <c r="B1251" s="22"/>
      <c r="L1251" s="24"/>
      <c r="P1251" s="26"/>
      <c r="Q1251" s="26"/>
    </row>
    <row r="1252" spans="2:17" ht="15.75" customHeight="1" x14ac:dyDescent="0.3">
      <c r="B1252" s="22"/>
      <c r="L1252" s="24"/>
      <c r="P1252" s="26"/>
      <c r="Q1252" s="26"/>
    </row>
    <row r="1253" spans="2:17" ht="15.75" customHeight="1" x14ac:dyDescent="0.3">
      <c r="B1253" s="22"/>
      <c r="L1253" s="24"/>
      <c r="P1253" s="26"/>
      <c r="Q1253" s="26"/>
    </row>
    <row r="1254" spans="2:17" ht="15.75" customHeight="1" x14ac:dyDescent="0.3">
      <c r="B1254" s="22"/>
      <c r="L1254" s="24"/>
      <c r="P1254" s="26"/>
      <c r="Q1254" s="26"/>
    </row>
    <row r="1255" spans="2:17" ht="15.75" customHeight="1" x14ac:dyDescent="0.3">
      <c r="B1255" s="22"/>
      <c r="L1255" s="24"/>
      <c r="P1255" s="26"/>
      <c r="Q1255" s="26"/>
    </row>
    <row r="1256" spans="2:17" ht="15.75" customHeight="1" x14ac:dyDescent="0.3">
      <c r="B1256" s="22"/>
      <c r="L1256" s="24"/>
      <c r="P1256" s="26"/>
      <c r="Q1256" s="26"/>
    </row>
    <row r="1257" spans="2:17" ht="15.75" customHeight="1" x14ac:dyDescent="0.3">
      <c r="B1257" s="22"/>
      <c r="L1257" s="24"/>
      <c r="P1257" s="26"/>
      <c r="Q1257" s="26"/>
    </row>
    <row r="1258" spans="2:17" ht="15.75" customHeight="1" x14ac:dyDescent="0.3">
      <c r="B1258" s="22"/>
      <c r="L1258" s="24"/>
      <c r="P1258" s="26"/>
      <c r="Q1258" s="26"/>
    </row>
    <row r="1259" spans="2:17" ht="15.75" customHeight="1" x14ac:dyDescent="0.3">
      <c r="B1259" s="22"/>
      <c r="L1259" s="24"/>
      <c r="P1259" s="26"/>
      <c r="Q1259" s="26"/>
    </row>
    <row r="1260" spans="2:17" ht="15.75" customHeight="1" x14ac:dyDescent="0.3">
      <c r="B1260" s="22"/>
      <c r="L1260" s="24"/>
      <c r="P1260" s="26"/>
      <c r="Q1260" s="26"/>
    </row>
    <row r="1261" spans="2:17" ht="15.75" customHeight="1" x14ac:dyDescent="0.3">
      <c r="B1261" s="22"/>
      <c r="L1261" s="24"/>
      <c r="P1261" s="26"/>
      <c r="Q1261" s="26"/>
    </row>
    <row r="1262" spans="2:17" ht="15.75" customHeight="1" x14ac:dyDescent="0.3">
      <c r="B1262" s="22"/>
      <c r="L1262" s="24"/>
      <c r="P1262" s="26"/>
      <c r="Q1262" s="26"/>
    </row>
    <row r="1263" spans="2:17" ht="15.75" customHeight="1" x14ac:dyDescent="0.3">
      <c r="B1263" s="22"/>
      <c r="L1263" s="24"/>
      <c r="P1263" s="26"/>
      <c r="Q1263" s="26"/>
    </row>
    <row r="1264" spans="2:17" ht="15.75" customHeight="1" x14ac:dyDescent="0.3">
      <c r="B1264" s="22"/>
      <c r="L1264" s="24"/>
      <c r="P1264" s="26"/>
      <c r="Q1264" s="26"/>
    </row>
    <row r="1265" spans="2:17" ht="15.75" customHeight="1" x14ac:dyDescent="0.3">
      <c r="B1265" s="22"/>
      <c r="L1265" s="24"/>
      <c r="P1265" s="26"/>
      <c r="Q1265" s="26"/>
    </row>
    <row r="1266" spans="2:17" ht="15.75" customHeight="1" x14ac:dyDescent="0.3">
      <c r="B1266" s="22"/>
      <c r="L1266" s="24"/>
      <c r="P1266" s="26"/>
      <c r="Q1266" s="26"/>
    </row>
  </sheetData>
  <autoFilter ref="A1:R1073" xr:uid="{00000000-0009-0000-0000-000001000000}"/>
  <conditionalFormatting sqref="P1:P1073 Q1:Q1266 P1075:P1266">
    <cfRule type="expression" dxfId="0" priority="1">
      <formula>COUNTIF($P:$P,P1)&gt;1</formula>
    </cfRule>
  </conditionalFormatting>
  <hyperlinks>
    <hyperlink ref="H203" r:id="rId1" xr:uid="{00000000-0004-0000-0100-000000000000}"/>
  </hyperlinks>
  <pageMargins left="0.7" right="0.7" top="0.75" bottom="0.75" header="0" footer="0"/>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Assessments-Master</vt:lpstr>
      <vt:lpstr>Master_Registrations</vt:lpstr>
      <vt:lpstr>'Assessments-Master'!trak1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Karanam, Hari</cp:lastModifiedBy>
  <dcterms:modified xsi:type="dcterms:W3CDTF">2026-08-05T03:49:24Z</dcterms:modified>
</cp:coreProperties>
</file>